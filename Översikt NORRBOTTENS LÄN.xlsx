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45798</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45798</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45798</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45798</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45798</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45798</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45798</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45798</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45798</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45798</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45798</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45798</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45798</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45798</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45798</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45798</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45798</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45798</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45798</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45798</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45798</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45798</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45798</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45798</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45798</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45798</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45798</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45798</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45798</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45798</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45798</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45798</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45798</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45798</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45798</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45798</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45798</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45798</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45798</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45798</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45798</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45798</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45798</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45798</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45798</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45798</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45798</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45798</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45798</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45798</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45798</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45798</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45798</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45798</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45798</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45798</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45798</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45798</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45798</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45798</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45798</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45798</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45798</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45798</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45798</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45798</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45798</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45798</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45798</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45798</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45798</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45798</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23597-2025</t>
        </is>
      </c>
      <c r="B85" s="1" t="n">
        <v>45792</v>
      </c>
      <c r="C85" s="1" t="n">
        <v>45798</v>
      </c>
      <c r="D85" t="inlineStr">
        <is>
          <t>NORRBOTTENS LÄN</t>
        </is>
      </c>
      <c r="E85" t="inlineStr">
        <is>
          <t>ÄLVSBYN</t>
        </is>
      </c>
      <c r="G85" t="n">
        <v>5</v>
      </c>
      <c r="H85" t="n">
        <v>6</v>
      </c>
      <c r="I85" t="n">
        <v>2</v>
      </c>
      <c r="J85" t="n">
        <v>9</v>
      </c>
      <c r="K85" t="n">
        <v>1</v>
      </c>
      <c r="L85" t="n">
        <v>0</v>
      </c>
      <c r="M85" t="n">
        <v>0</v>
      </c>
      <c r="N85" t="n">
        <v>0</v>
      </c>
      <c r="O85" t="n">
        <v>10</v>
      </c>
      <c r="P85" t="n">
        <v>1</v>
      </c>
      <c r="Q85" t="n">
        <v>15</v>
      </c>
      <c r="R85" s="2" t="inlineStr">
        <is>
          <t>Rynkskinn
Brunpudrad nållav
Gammelgransskål
Garnlav
Granticka
Rosenticka
Spillkråka
Talltita
Tretåig hackspett
Violettgrå tagellav
Bollvitmossa
Vedticka
Enkelbeckasin
Kungsfågel
Revlummer</t>
        </is>
      </c>
      <c r="S85">
        <f>HYPERLINK("https://klasma.github.io/Logging_252560/artfynd/A 23597-2025 artfynd.xlsx", "A 23597-2025")</f>
        <v/>
      </c>
      <c r="T85">
        <f>HYPERLINK("https://klasma.github.io/Logging_252560/kartor/A 23597-2025 karta.png", "A 23597-2025")</f>
        <v/>
      </c>
      <c r="V85">
        <f>HYPERLINK("https://klasma.github.io/Logging_252560/klagomål/A 23597-2025 FSC-klagomål.docx", "A 23597-2025")</f>
        <v/>
      </c>
      <c r="W85">
        <f>HYPERLINK("https://klasma.github.io/Logging_252560/klagomålsmail/A 23597-2025 FSC-klagomål mail.docx", "A 23597-2025")</f>
        <v/>
      </c>
      <c r="X85">
        <f>HYPERLINK("https://klasma.github.io/Logging_252560/tillsyn/A 23597-2025 tillsynsbegäran.docx", "A 23597-2025")</f>
        <v/>
      </c>
      <c r="Y85">
        <f>HYPERLINK("https://klasma.github.io/Logging_252560/tillsynsmail/A 23597-2025 tillsynsbegäran mail.docx", "A 23597-2025")</f>
        <v/>
      </c>
      <c r="Z85">
        <f>HYPERLINK("https://klasma.github.io/Logging_252560/fåglar/A 23597-2025 prioriterade fågelarter.docx", "A 23597-2025")</f>
        <v/>
      </c>
    </row>
    <row r="86" ht="15" customHeight="1">
      <c r="A86" t="inlineStr">
        <is>
          <t>A 18212-2020</t>
        </is>
      </c>
      <c r="B86" s="1" t="n">
        <v>43927</v>
      </c>
      <c r="C86" s="1" t="n">
        <v>45798</v>
      </c>
      <c r="D86" t="inlineStr">
        <is>
          <t>NORRBOTTENS LÄN</t>
        </is>
      </c>
      <c r="E86" t="inlineStr">
        <is>
          <t>GÄLLIVARE</t>
        </is>
      </c>
      <c r="F86" t="inlineStr">
        <is>
          <t>SCA</t>
        </is>
      </c>
      <c r="G86" t="n">
        <v>9.5</v>
      </c>
      <c r="H86" t="n">
        <v>0</v>
      </c>
      <c r="I86" t="n">
        <v>2</v>
      </c>
      <c r="J86" t="n">
        <v>6</v>
      </c>
      <c r="K86" t="n">
        <v>6</v>
      </c>
      <c r="L86" t="n">
        <v>0</v>
      </c>
      <c r="M86" t="n">
        <v>0</v>
      </c>
      <c r="N86" t="n">
        <v>0</v>
      </c>
      <c r="O86" t="n">
        <v>12</v>
      </c>
      <c r="P86" t="n">
        <v>6</v>
      </c>
      <c r="Q86" t="n">
        <v>14</v>
      </c>
      <c r="R86" s="2" t="inlineStr">
        <is>
          <t>Goliatmusseron
Lammticka
Rotfingersvamp
Smalfotad taggsvamp
Tallgråticka
Tallmusseron
Blå taggsvamp
Druvfingersvamp
Skrovlig taggsvamp
Tallriska
Talltaggsvamp
Vaddporing
Skarp dropptaggsvamp
Späd brosklav</t>
        </is>
      </c>
      <c r="S86">
        <f>HYPERLINK("https://klasma.github.io/Logging_2523/artfynd/A 18212-2020 artfynd.xlsx", "A 18212-2020")</f>
        <v/>
      </c>
      <c r="T86">
        <f>HYPERLINK("https://klasma.github.io/Logging_2523/kartor/A 18212-2020 karta.png", "A 18212-2020")</f>
        <v/>
      </c>
      <c r="V86">
        <f>HYPERLINK("https://klasma.github.io/Logging_2523/klagomål/A 18212-2020 FSC-klagomål.docx", "A 18212-2020")</f>
        <v/>
      </c>
      <c r="W86">
        <f>HYPERLINK("https://klasma.github.io/Logging_2523/klagomålsmail/A 18212-2020 FSC-klagomål mail.docx", "A 18212-2020")</f>
        <v/>
      </c>
      <c r="X86">
        <f>HYPERLINK("https://klasma.github.io/Logging_2523/tillsyn/A 18212-2020 tillsynsbegäran.docx", "A 18212-2020")</f>
        <v/>
      </c>
      <c r="Y86">
        <f>HYPERLINK("https://klasma.github.io/Logging_2523/tillsynsmail/A 18212-2020 tillsynsbegäran mail.docx", "A 18212-2020")</f>
        <v/>
      </c>
    </row>
    <row r="87" ht="15" customHeight="1">
      <c r="A87" t="inlineStr">
        <is>
          <t>A 38281-2020</t>
        </is>
      </c>
      <c r="B87" s="1" t="n">
        <v>44060</v>
      </c>
      <c r="C87" s="1" t="n">
        <v>45798</v>
      </c>
      <c r="D87" t="inlineStr">
        <is>
          <t>NORRBOTTENS LÄN</t>
        </is>
      </c>
      <c r="E87" t="inlineStr">
        <is>
          <t>KIRUNA</t>
        </is>
      </c>
      <c r="F87" t="inlineStr">
        <is>
          <t>Allmännings- och besparingsskogar</t>
        </is>
      </c>
      <c r="G87" t="n">
        <v>20</v>
      </c>
      <c r="H87" t="n">
        <v>2</v>
      </c>
      <c r="I87" t="n">
        <v>5</v>
      </c>
      <c r="J87" t="n">
        <v>7</v>
      </c>
      <c r="K87" t="n">
        <v>1</v>
      </c>
      <c r="L87" t="n">
        <v>0</v>
      </c>
      <c r="M87" t="n">
        <v>0</v>
      </c>
      <c r="N87" t="n">
        <v>0</v>
      </c>
      <c r="O87" t="n">
        <v>8</v>
      </c>
      <c r="P87" t="n">
        <v>1</v>
      </c>
      <c r="Q87" t="n">
        <v>14</v>
      </c>
      <c r="R87" s="2" t="inlineStr">
        <is>
          <t>Fläckporing
Blå taggsvamp
Granticka
Nordtagging
Orange taggsvamp
Rosenticka
Violmussling
Vitplätt
Blodticka
Dropptaggsvamp
Plattlummer
Skarp dropptaggsvamp
Vedticka
Tjäder</t>
        </is>
      </c>
      <c r="S87">
        <f>HYPERLINK("https://klasma.github.io/Logging_2584/artfynd/A 38281-2020 artfynd.xlsx", "A 38281-2020")</f>
        <v/>
      </c>
      <c r="T87">
        <f>HYPERLINK("https://klasma.github.io/Logging_2584/kartor/A 38281-2020 karta.png", "A 38281-2020")</f>
        <v/>
      </c>
      <c r="V87">
        <f>HYPERLINK("https://klasma.github.io/Logging_2584/klagomål/A 38281-2020 FSC-klagomål.docx", "A 38281-2020")</f>
        <v/>
      </c>
      <c r="W87">
        <f>HYPERLINK("https://klasma.github.io/Logging_2584/klagomålsmail/A 38281-2020 FSC-klagomål mail.docx", "A 38281-2020")</f>
        <v/>
      </c>
      <c r="X87">
        <f>HYPERLINK("https://klasma.github.io/Logging_2584/tillsyn/A 38281-2020 tillsynsbegäran.docx", "A 38281-2020")</f>
        <v/>
      </c>
      <c r="Y87">
        <f>HYPERLINK("https://klasma.github.io/Logging_2584/tillsynsmail/A 38281-2020 tillsynsbegäran mail.docx", "A 38281-2020")</f>
        <v/>
      </c>
      <c r="Z87">
        <f>HYPERLINK("https://klasma.github.io/Logging_2584/fåglar/A 38281-2020 prioriterade fågelarter.docx", "A 38281-2020")</f>
        <v/>
      </c>
    </row>
    <row r="88" ht="15" customHeight="1">
      <c r="A88" t="inlineStr">
        <is>
          <t>A 61009-2021</t>
        </is>
      </c>
      <c r="B88" s="1" t="n">
        <v>44497</v>
      </c>
      <c r="C88" s="1" t="n">
        <v>45798</v>
      </c>
      <c r="D88" t="inlineStr">
        <is>
          <t>NORRBOTTENS LÄN</t>
        </is>
      </c>
      <c r="E88" t="inlineStr">
        <is>
          <t>ÄLVSBYN</t>
        </is>
      </c>
      <c r="G88" t="n">
        <v>16.2</v>
      </c>
      <c r="H88" t="n">
        <v>5</v>
      </c>
      <c r="I88" t="n">
        <v>3</v>
      </c>
      <c r="J88" t="n">
        <v>7</v>
      </c>
      <c r="K88" t="n">
        <v>0</v>
      </c>
      <c r="L88" t="n">
        <v>0</v>
      </c>
      <c r="M88" t="n">
        <v>0</v>
      </c>
      <c r="N88" t="n">
        <v>0</v>
      </c>
      <c r="O88" t="n">
        <v>7</v>
      </c>
      <c r="P88" t="n">
        <v>0</v>
      </c>
      <c r="Q88" t="n">
        <v>14</v>
      </c>
      <c r="R88" s="2" t="inlineStr">
        <is>
          <t>Garnlav
Kungsörn
Motaggsvamp
Skrovlig flatbagge
Vedflamlav
Violettgrå tagellav
Vitplätt
Bronshjon
Luddlav
Nästlav
Tjäder
Brudsporre
Fläcknycklar
Nattviol</t>
        </is>
      </c>
      <c r="S88">
        <f>HYPERLINK("https://klasma.github.io/Logging_2560/artfynd/A 61009-2021 artfynd.xlsx", "A 61009-2021")</f>
        <v/>
      </c>
      <c r="T88">
        <f>HYPERLINK("https://klasma.github.io/Logging_2560/kartor/A 61009-2021 karta.png", "A 61009-2021")</f>
        <v/>
      </c>
      <c r="U88">
        <f>HYPERLINK("https://klasma.github.io/Logging_2560/knärot/A 61009-2021 karta knärot.png", "A 61009-2021")</f>
        <v/>
      </c>
      <c r="V88">
        <f>HYPERLINK("https://klasma.github.io/Logging_2560/klagomål/A 61009-2021 FSC-klagomål.docx", "A 61009-2021")</f>
        <v/>
      </c>
      <c r="W88">
        <f>HYPERLINK("https://klasma.github.io/Logging_2560/klagomålsmail/A 61009-2021 FSC-klagomål mail.docx", "A 61009-2021")</f>
        <v/>
      </c>
      <c r="X88">
        <f>HYPERLINK("https://klasma.github.io/Logging_2560/tillsyn/A 61009-2021 tillsynsbegäran.docx", "A 61009-2021")</f>
        <v/>
      </c>
      <c r="Y88">
        <f>HYPERLINK("https://klasma.github.io/Logging_2560/tillsynsmail/A 61009-2021 tillsynsbegäran mail.docx", "A 61009-2021")</f>
        <v/>
      </c>
      <c r="Z88">
        <f>HYPERLINK("https://klasma.github.io/Logging_2560/fåglar/A 61009-2021 prioriterade fågelarter.docx", "A 61009-2021")</f>
        <v/>
      </c>
    </row>
    <row r="89" ht="15" customHeight="1">
      <c r="A89" t="inlineStr">
        <is>
          <t>A 62607-2021</t>
        </is>
      </c>
      <c r="B89" s="1" t="n">
        <v>44503</v>
      </c>
      <c r="C89" s="1" t="n">
        <v>45798</v>
      </c>
      <c r="D89" t="inlineStr">
        <is>
          <t>NORRBOTTENS LÄN</t>
        </is>
      </c>
      <c r="E89" t="inlineStr">
        <is>
          <t>PAJALA</t>
        </is>
      </c>
      <c r="F89" t="inlineStr">
        <is>
          <t>Sveaskog</t>
        </is>
      </c>
      <c r="G89" t="n">
        <v>14.3</v>
      </c>
      <c r="H89" t="n">
        <v>2</v>
      </c>
      <c r="I89" t="n">
        <v>3</v>
      </c>
      <c r="J89" t="n">
        <v>9</v>
      </c>
      <c r="K89" t="n">
        <v>2</v>
      </c>
      <c r="L89" t="n">
        <v>0</v>
      </c>
      <c r="M89" t="n">
        <v>0</v>
      </c>
      <c r="N89" t="n">
        <v>0</v>
      </c>
      <c r="O89" t="n">
        <v>11</v>
      </c>
      <c r="P89" t="n">
        <v>2</v>
      </c>
      <c r="Q89" t="n">
        <v>14</v>
      </c>
      <c r="R89" s="2" t="inlineStr">
        <is>
          <t>Fläckporing
Gräddporing
Blanksvart spiklav
Garnlav
Kolflarnlav
Lunglav
Motaggsvamp
Mörk kolflarnlav
Rosenticka
Spillkråka
Vaddporing
Plattlummer
Stuplav
Vedticka</t>
        </is>
      </c>
      <c r="S89">
        <f>HYPERLINK("https://klasma.github.io/Logging_2521/artfynd/A 62607-2021 artfynd.xlsx", "A 62607-2021")</f>
        <v/>
      </c>
      <c r="T89">
        <f>HYPERLINK("https://klasma.github.io/Logging_2521/kartor/A 62607-2021 karta.png", "A 62607-2021")</f>
        <v/>
      </c>
      <c r="V89">
        <f>HYPERLINK("https://klasma.github.io/Logging_2521/klagomål/A 62607-2021 FSC-klagomål.docx", "A 62607-2021")</f>
        <v/>
      </c>
      <c r="W89">
        <f>HYPERLINK("https://klasma.github.io/Logging_2521/klagomålsmail/A 62607-2021 FSC-klagomål mail.docx", "A 62607-2021")</f>
        <v/>
      </c>
      <c r="X89">
        <f>HYPERLINK("https://klasma.github.io/Logging_2521/tillsyn/A 62607-2021 tillsynsbegäran.docx", "A 62607-2021")</f>
        <v/>
      </c>
      <c r="Y89">
        <f>HYPERLINK("https://klasma.github.io/Logging_2521/tillsynsmail/A 62607-2021 tillsynsbegäran mail.docx", "A 62607-2021")</f>
        <v/>
      </c>
      <c r="Z89">
        <f>HYPERLINK("https://klasma.github.io/Logging_2521/fåglar/A 62607-2021 prioriterade fågelarter.docx", "A 62607-2021")</f>
        <v/>
      </c>
    </row>
    <row r="90" ht="15" customHeight="1">
      <c r="A90" t="inlineStr">
        <is>
          <t>A 68385-2021</t>
        </is>
      </c>
      <c r="B90" s="1" t="n">
        <v>44529</v>
      </c>
      <c r="C90" s="1" t="n">
        <v>45798</v>
      </c>
      <c r="D90" t="inlineStr">
        <is>
          <t>NORRBOTTENS LÄN</t>
        </is>
      </c>
      <c r="E90" t="inlineStr">
        <is>
          <t>ARVIDSJAUR</t>
        </is>
      </c>
      <c r="F90" t="inlineStr">
        <is>
          <t>Sveaskog</t>
        </is>
      </c>
      <c r="G90" t="n">
        <v>10.8</v>
      </c>
      <c r="H90" t="n">
        <v>2</v>
      </c>
      <c r="I90" t="n">
        <v>2</v>
      </c>
      <c r="J90" t="n">
        <v>12</v>
      </c>
      <c r="K90" t="n">
        <v>0</v>
      </c>
      <c r="L90" t="n">
        <v>0</v>
      </c>
      <c r="M90" t="n">
        <v>0</v>
      </c>
      <c r="N90" t="n">
        <v>0</v>
      </c>
      <c r="O90" t="n">
        <v>12</v>
      </c>
      <c r="P90" t="n">
        <v>0</v>
      </c>
      <c r="Q90" t="n">
        <v>14</v>
      </c>
      <c r="R90" s="2" t="inlineStr">
        <is>
          <t>Doftskinn
Gammelgransskål
Garnlav
Granticka
Knottrig blåslav
Kolflarnlav
Lunglav
Nordtagging
Spillkråka
Tretåig hackspett
Ullticka
Vedflamlav
Blodticka
Vedticka</t>
        </is>
      </c>
      <c r="S90">
        <f>HYPERLINK("https://klasma.github.io/Logging_2505/artfynd/A 68385-2021 artfynd.xlsx", "A 68385-2021")</f>
        <v/>
      </c>
      <c r="T90">
        <f>HYPERLINK("https://klasma.github.io/Logging_2505/kartor/A 68385-2021 karta.png", "A 68385-2021")</f>
        <v/>
      </c>
      <c r="V90">
        <f>HYPERLINK("https://klasma.github.io/Logging_2505/klagomål/A 68385-2021 FSC-klagomål.docx", "A 68385-2021")</f>
        <v/>
      </c>
      <c r="W90">
        <f>HYPERLINK("https://klasma.github.io/Logging_2505/klagomålsmail/A 68385-2021 FSC-klagomål mail.docx", "A 68385-2021")</f>
        <v/>
      </c>
      <c r="X90">
        <f>HYPERLINK("https://klasma.github.io/Logging_2505/tillsyn/A 68385-2021 tillsynsbegäran.docx", "A 68385-2021")</f>
        <v/>
      </c>
      <c r="Y90">
        <f>HYPERLINK("https://klasma.github.io/Logging_2505/tillsynsmail/A 68385-2021 tillsynsbegäran mail.docx", "A 68385-2021")</f>
        <v/>
      </c>
      <c r="Z90">
        <f>HYPERLINK("https://klasma.github.io/Logging_2505/fåglar/A 68385-2021 prioriterade fågelarter.docx", "A 68385-2021")</f>
        <v/>
      </c>
    </row>
    <row r="91" ht="15" customHeight="1">
      <c r="A91" t="inlineStr">
        <is>
          <t>A 63835-2023</t>
        </is>
      </c>
      <c r="B91" s="1" t="n">
        <v>45278</v>
      </c>
      <c r="C91" s="1" t="n">
        <v>45798</v>
      </c>
      <c r="D91" t="inlineStr">
        <is>
          <t>NORRBOTTENS LÄN</t>
        </is>
      </c>
      <c r="E91" t="inlineStr">
        <is>
          <t>ARVIDSJAUR</t>
        </is>
      </c>
      <c r="F91" t="inlineStr">
        <is>
          <t>Sveaskog</t>
        </is>
      </c>
      <c r="G91" t="n">
        <v>3.8</v>
      </c>
      <c r="H91" t="n">
        <v>6</v>
      </c>
      <c r="I91" t="n">
        <v>3</v>
      </c>
      <c r="J91" t="n">
        <v>8</v>
      </c>
      <c r="K91" t="n">
        <v>0</v>
      </c>
      <c r="L91" t="n">
        <v>0</v>
      </c>
      <c r="M91" t="n">
        <v>0</v>
      </c>
      <c r="N91" t="n">
        <v>0</v>
      </c>
      <c r="O91" t="n">
        <v>8</v>
      </c>
      <c r="P91" t="n">
        <v>0</v>
      </c>
      <c r="Q91" t="n">
        <v>14</v>
      </c>
      <c r="R91" s="2" t="inlineStr">
        <is>
          <t>Brunpudrad nållav
Gammelgransskål
Garnlav
Granticka
Knottrig blåslav
Spillkråka
Tretåig hackspett
Violettgrå tagellav
Skinnlav
Skuggblåslav
Spindelblomster
Kungsfågel
Lavskrika
Revlummer</t>
        </is>
      </c>
      <c r="S91">
        <f>HYPERLINK("https://klasma.github.io/Logging_2505/artfynd/A 63835-2023 artfynd.xlsx", "A 63835-2023")</f>
        <v/>
      </c>
      <c r="T91">
        <f>HYPERLINK("https://klasma.github.io/Logging_2505/kartor/A 63835-2023 karta.png", "A 63835-2023")</f>
        <v/>
      </c>
      <c r="V91">
        <f>HYPERLINK("https://klasma.github.io/Logging_2505/klagomål/A 63835-2023 FSC-klagomål.docx", "A 63835-2023")</f>
        <v/>
      </c>
      <c r="W91">
        <f>HYPERLINK("https://klasma.github.io/Logging_2505/klagomålsmail/A 63835-2023 FSC-klagomål mail.docx", "A 63835-2023")</f>
        <v/>
      </c>
      <c r="X91">
        <f>HYPERLINK("https://klasma.github.io/Logging_2505/tillsyn/A 63835-2023 tillsynsbegäran.docx", "A 63835-2023")</f>
        <v/>
      </c>
      <c r="Y91">
        <f>HYPERLINK("https://klasma.github.io/Logging_2505/tillsynsmail/A 63835-2023 tillsynsbegäran mail.docx", "A 63835-2023")</f>
        <v/>
      </c>
      <c r="Z91">
        <f>HYPERLINK("https://klasma.github.io/Logging_2505/fåglar/A 63835-2023 prioriterade fågelarter.docx", "A 63835-2023")</f>
        <v/>
      </c>
    </row>
    <row r="92" ht="15" customHeight="1">
      <c r="A92" t="inlineStr">
        <is>
          <t>A 5511-2024</t>
        </is>
      </c>
      <c r="B92" s="1" t="n">
        <v>45334</v>
      </c>
      <c r="C92" s="1" t="n">
        <v>45798</v>
      </c>
      <c r="D92" t="inlineStr">
        <is>
          <t>NORRBOTTENS LÄN</t>
        </is>
      </c>
      <c r="E92" t="inlineStr">
        <is>
          <t>GÄLLIVARE</t>
        </is>
      </c>
      <c r="F92" t="inlineStr">
        <is>
          <t>Sveaskog</t>
        </is>
      </c>
      <c r="G92" t="n">
        <v>22.6</v>
      </c>
      <c r="H92" t="n">
        <v>0</v>
      </c>
      <c r="I92" t="n">
        <v>2</v>
      </c>
      <c r="J92" t="n">
        <v>8</v>
      </c>
      <c r="K92" t="n">
        <v>4</v>
      </c>
      <c r="L92" t="n">
        <v>0</v>
      </c>
      <c r="M92" t="n">
        <v>0</v>
      </c>
      <c r="N92" t="n">
        <v>0</v>
      </c>
      <c r="O92" t="n">
        <v>12</v>
      </c>
      <c r="P92" t="n">
        <v>4</v>
      </c>
      <c r="Q92" t="n">
        <v>14</v>
      </c>
      <c r="R92" s="2" t="inlineStr">
        <is>
          <t>Goliatmusseron
Smalfotad taggsvamp
Spadskinn
Tallgråticka
Blå taggsvamp
Motaggsvamp
Orange taggsvamp
Skrovlig taggsvamp
Svart taggsvamp
Svartvit taggsvamp
Tallriska
Talltaggsvamp
Dropptaggsvamp
Skarp dropptaggsvamp</t>
        </is>
      </c>
      <c r="S92">
        <f>HYPERLINK("https://klasma.github.io/Logging_2523/artfynd/A 5511-2024 artfynd.xlsx", "A 5511-2024")</f>
        <v/>
      </c>
      <c r="T92">
        <f>HYPERLINK("https://klasma.github.io/Logging_2523/kartor/A 5511-2024 karta.png", "A 5511-2024")</f>
        <v/>
      </c>
      <c r="V92">
        <f>HYPERLINK("https://klasma.github.io/Logging_2523/klagomål/A 5511-2024 FSC-klagomål.docx", "A 5511-2024")</f>
        <v/>
      </c>
      <c r="W92">
        <f>HYPERLINK("https://klasma.github.io/Logging_2523/klagomålsmail/A 5511-2024 FSC-klagomål mail.docx", "A 5511-2024")</f>
        <v/>
      </c>
      <c r="X92">
        <f>HYPERLINK("https://klasma.github.io/Logging_2523/tillsyn/A 5511-2024 tillsynsbegäran.docx", "A 5511-2024")</f>
        <v/>
      </c>
      <c r="Y92">
        <f>HYPERLINK("https://klasma.github.io/Logging_2523/tillsynsmail/A 5511-2024 tillsynsbegäran mail.docx", "A 5511-2024")</f>
        <v/>
      </c>
    </row>
    <row r="93" ht="15" customHeight="1">
      <c r="A93" t="inlineStr">
        <is>
          <t>A 16240-2024</t>
        </is>
      </c>
      <c r="B93" s="1" t="n">
        <v>45407</v>
      </c>
      <c r="C93" s="1" t="n">
        <v>45798</v>
      </c>
      <c r="D93" t="inlineStr">
        <is>
          <t>NORRBOTTENS LÄN</t>
        </is>
      </c>
      <c r="E93" t="inlineStr">
        <is>
          <t>PAJALA</t>
        </is>
      </c>
      <c r="F93" t="inlineStr">
        <is>
          <t>SCA</t>
        </is>
      </c>
      <c r="G93" t="n">
        <v>3</v>
      </c>
      <c r="H93" t="n">
        <v>5</v>
      </c>
      <c r="I93" t="n">
        <v>4</v>
      </c>
      <c r="J93" t="n">
        <v>6</v>
      </c>
      <c r="K93" t="n">
        <v>2</v>
      </c>
      <c r="L93" t="n">
        <v>0</v>
      </c>
      <c r="M93" t="n">
        <v>0</v>
      </c>
      <c r="N93" t="n">
        <v>0</v>
      </c>
      <c r="O93" t="n">
        <v>8</v>
      </c>
      <c r="P93" t="n">
        <v>2</v>
      </c>
      <c r="Q93" t="n">
        <v>14</v>
      </c>
      <c r="R93" s="2" t="inlineStr">
        <is>
          <t>Blackticka
Knärot
Gammelgransskål
Garnlav
Granticka
Spillkråka
Talltita
Äggvaxskivling
Bårdlav
Luddlav
Skinnlav
Vedticka
Fläcknycklar
Revlummer</t>
        </is>
      </c>
      <c r="S93">
        <f>HYPERLINK("https://klasma.github.io/Logging_2521/artfynd/A 16240-2024 artfynd.xlsx", "A 16240-2024")</f>
        <v/>
      </c>
      <c r="T93">
        <f>HYPERLINK("https://klasma.github.io/Logging_2521/kartor/A 16240-2024 karta.png", "A 16240-2024")</f>
        <v/>
      </c>
      <c r="U93">
        <f>HYPERLINK("https://klasma.github.io/Logging_2521/knärot/A 16240-2024 karta knärot.png", "A 16240-2024")</f>
        <v/>
      </c>
      <c r="V93">
        <f>HYPERLINK("https://klasma.github.io/Logging_2521/klagomål/A 16240-2024 FSC-klagomål.docx", "A 16240-2024")</f>
        <v/>
      </c>
      <c r="W93">
        <f>HYPERLINK("https://klasma.github.io/Logging_2521/klagomålsmail/A 16240-2024 FSC-klagomål mail.docx", "A 16240-2024")</f>
        <v/>
      </c>
      <c r="X93">
        <f>HYPERLINK("https://klasma.github.io/Logging_2521/tillsyn/A 16240-2024 tillsynsbegäran.docx", "A 16240-2024")</f>
        <v/>
      </c>
      <c r="Y93">
        <f>HYPERLINK("https://klasma.github.io/Logging_2521/tillsynsmail/A 16240-2024 tillsynsbegäran mail.docx", "A 16240-2024")</f>
        <v/>
      </c>
      <c r="Z93">
        <f>HYPERLINK("https://klasma.github.io/Logging_2521/fåglar/A 16240-2024 prioriterade fågelarter.docx", "A 16240-2024")</f>
        <v/>
      </c>
    </row>
    <row r="94" ht="15" customHeight="1">
      <c r="A94" t="inlineStr">
        <is>
          <t>A 22458-2024</t>
        </is>
      </c>
      <c r="B94" s="1" t="n">
        <v>45447</v>
      </c>
      <c r="C94" s="1" t="n">
        <v>45798</v>
      </c>
      <c r="D94" t="inlineStr">
        <is>
          <t>NORRBOTTENS LÄN</t>
        </is>
      </c>
      <c r="E94" t="inlineStr">
        <is>
          <t>KALIX</t>
        </is>
      </c>
      <c r="F94" t="inlineStr">
        <is>
          <t>SCA</t>
        </is>
      </c>
      <c r="G94" t="n">
        <v>6.1</v>
      </c>
      <c r="H94" t="n">
        <v>7</v>
      </c>
      <c r="I94" t="n">
        <v>5</v>
      </c>
      <c r="J94" t="n">
        <v>6</v>
      </c>
      <c r="K94" t="n">
        <v>1</v>
      </c>
      <c r="L94" t="n">
        <v>0</v>
      </c>
      <c r="M94" t="n">
        <v>0</v>
      </c>
      <c r="N94" t="n">
        <v>0</v>
      </c>
      <c r="O94" t="n">
        <v>7</v>
      </c>
      <c r="P94" t="n">
        <v>1</v>
      </c>
      <c r="Q94" t="n">
        <v>14</v>
      </c>
      <c r="R94" s="2" t="inlineStr">
        <is>
          <t>Knärot
Granticka
Gränsticka
Lunglav
Spillkråka
Talltita
Ullticka
Bårdlav
Korallrot
Spindelblomster
Stuplav
Vedticka
Fläcknycklar
Nattviol</t>
        </is>
      </c>
      <c r="S94">
        <f>HYPERLINK("https://klasma.github.io/Logging_2514/artfynd/A 22458-2024 artfynd.xlsx", "A 22458-2024")</f>
        <v/>
      </c>
      <c r="T94">
        <f>HYPERLINK("https://klasma.github.io/Logging_2514/kartor/A 22458-2024 karta.png", "A 22458-2024")</f>
        <v/>
      </c>
      <c r="U94">
        <f>HYPERLINK("https://klasma.github.io/Logging_2514/knärot/A 22458-2024 karta knärot.png", "A 22458-2024")</f>
        <v/>
      </c>
      <c r="V94">
        <f>HYPERLINK("https://klasma.github.io/Logging_2514/klagomål/A 22458-2024 FSC-klagomål.docx", "A 22458-2024")</f>
        <v/>
      </c>
      <c r="W94">
        <f>HYPERLINK("https://klasma.github.io/Logging_2514/klagomålsmail/A 22458-2024 FSC-klagomål mail.docx", "A 22458-2024")</f>
        <v/>
      </c>
      <c r="X94">
        <f>HYPERLINK("https://klasma.github.io/Logging_2514/tillsyn/A 22458-2024 tillsynsbegäran.docx", "A 22458-2024")</f>
        <v/>
      </c>
      <c r="Y94">
        <f>HYPERLINK("https://klasma.github.io/Logging_2514/tillsynsmail/A 22458-2024 tillsynsbegäran mail.docx", "A 22458-2024")</f>
        <v/>
      </c>
      <c r="Z94">
        <f>HYPERLINK("https://klasma.github.io/Logging_2514/fåglar/A 22458-2024 prioriterade fågelarter.docx", "A 22458-2024")</f>
        <v/>
      </c>
    </row>
    <row r="95" ht="15" customHeight="1">
      <c r="A95" t="inlineStr">
        <is>
          <t>A 29675-2024</t>
        </is>
      </c>
      <c r="B95" s="1" t="n">
        <v>45485</v>
      </c>
      <c r="C95" s="1" t="n">
        <v>45798</v>
      </c>
      <c r="D95" t="inlineStr">
        <is>
          <t>NORRBOTTENS LÄN</t>
        </is>
      </c>
      <c r="E95" t="inlineStr">
        <is>
          <t>JOKKMOKK</t>
        </is>
      </c>
      <c r="F95" t="inlineStr">
        <is>
          <t>SCA</t>
        </is>
      </c>
      <c r="G95" t="n">
        <v>35.7</v>
      </c>
      <c r="H95" t="n">
        <v>3</v>
      </c>
      <c r="I95" t="n">
        <v>6</v>
      </c>
      <c r="J95" t="n">
        <v>5</v>
      </c>
      <c r="K95" t="n">
        <v>1</v>
      </c>
      <c r="L95" t="n">
        <v>0</v>
      </c>
      <c r="M95" t="n">
        <v>0</v>
      </c>
      <c r="N95" t="n">
        <v>0</v>
      </c>
      <c r="O95" t="n">
        <v>6</v>
      </c>
      <c r="P95" t="n">
        <v>1</v>
      </c>
      <c r="Q95" t="n">
        <v>14</v>
      </c>
      <c r="R95" s="2" t="inlineStr">
        <is>
          <t>Liten aspgelélav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56243-2024</t>
        </is>
      </c>
      <c r="B96" s="1" t="n">
        <v>45624</v>
      </c>
      <c r="C96" s="1" t="n">
        <v>45798</v>
      </c>
      <c r="D96" t="inlineStr">
        <is>
          <t>NORRBOTTENS LÄN</t>
        </is>
      </c>
      <c r="E96" t="inlineStr">
        <is>
          <t>ÄLVSBYN</t>
        </is>
      </c>
      <c r="G96" t="n">
        <v>3.1</v>
      </c>
      <c r="H96" t="n">
        <v>3</v>
      </c>
      <c r="I96" t="n">
        <v>1</v>
      </c>
      <c r="J96" t="n">
        <v>9</v>
      </c>
      <c r="K96" t="n">
        <v>2</v>
      </c>
      <c r="L96" t="n">
        <v>0</v>
      </c>
      <c r="M96" t="n">
        <v>0</v>
      </c>
      <c r="N96" t="n">
        <v>0</v>
      </c>
      <c r="O96" t="n">
        <v>11</v>
      </c>
      <c r="P96" t="n">
        <v>2</v>
      </c>
      <c r="Q96" t="n">
        <v>14</v>
      </c>
      <c r="R96" s="2" t="inlineStr">
        <is>
          <t>Knärot
Spadskinn
Brunpudrad nållav
Dvärgbägarlav
Kolflarnlav
Motaggsvamp
Mörk kolflarnlav
Talltaggsvamp
Vedflamlav
Vedskivlav
Vitplätt
Dropptaggsvamp
Tjäder
Revlummer</t>
        </is>
      </c>
      <c r="S96">
        <f>HYPERLINK("https://klasma.github.io/Logging_2560/artfynd/A 56243-2024 artfynd.xlsx", "A 56243-2024")</f>
        <v/>
      </c>
      <c r="T96">
        <f>HYPERLINK("https://klasma.github.io/Logging_2560/kartor/A 56243-2024 karta.png", "A 56243-2024")</f>
        <v/>
      </c>
      <c r="U96">
        <f>HYPERLINK("https://klasma.github.io/Logging_2560/knärot/A 56243-2024 karta knärot.png", "A 56243-2024")</f>
        <v/>
      </c>
      <c r="V96">
        <f>HYPERLINK("https://klasma.github.io/Logging_2560/klagomål/A 56243-2024 FSC-klagomål.docx", "A 56243-2024")</f>
        <v/>
      </c>
      <c r="W96">
        <f>HYPERLINK("https://klasma.github.io/Logging_2560/klagomålsmail/A 56243-2024 FSC-klagomål mail.docx", "A 56243-2024")</f>
        <v/>
      </c>
      <c r="X96">
        <f>HYPERLINK("https://klasma.github.io/Logging_2560/tillsyn/A 56243-2024 tillsynsbegäran.docx", "A 56243-2024")</f>
        <v/>
      </c>
      <c r="Y96">
        <f>HYPERLINK("https://klasma.github.io/Logging_2560/tillsynsmail/A 56243-2024 tillsynsbegäran mail.docx", "A 56243-2024")</f>
        <v/>
      </c>
      <c r="Z96">
        <f>HYPERLINK("https://klasma.github.io/Logging_2560/fåglar/A 56243-2024 prioriterade fågelarter.docx", "A 56243-2024")</f>
        <v/>
      </c>
    </row>
    <row r="97" ht="15" customHeight="1">
      <c r="A97" t="inlineStr">
        <is>
          <t>A 25131-2020</t>
        </is>
      </c>
      <c r="B97" s="1" t="n">
        <v>43980</v>
      </c>
      <c r="C97" s="1" t="n">
        <v>45798</v>
      </c>
      <c r="D97" t="inlineStr">
        <is>
          <t>NORRBOTTENS LÄN</t>
        </is>
      </c>
      <c r="E97" t="inlineStr">
        <is>
          <t>JOKKMOKK</t>
        </is>
      </c>
      <c r="F97" t="inlineStr">
        <is>
          <t>Sveaskog</t>
        </is>
      </c>
      <c r="G97" t="n">
        <v>8.6</v>
      </c>
      <c r="H97" t="n">
        <v>0</v>
      </c>
      <c r="I97" t="n">
        <v>2</v>
      </c>
      <c r="J97" t="n">
        <v>10</v>
      </c>
      <c r="K97" t="n">
        <v>1</v>
      </c>
      <c r="L97" t="n">
        <v>0</v>
      </c>
      <c r="M97" t="n">
        <v>0</v>
      </c>
      <c r="N97" t="n">
        <v>0</v>
      </c>
      <c r="O97" t="n">
        <v>11</v>
      </c>
      <c r="P97" t="n">
        <v>1</v>
      </c>
      <c r="Q97" t="n">
        <v>13</v>
      </c>
      <c r="R97" s="2" t="inlineStr">
        <is>
          <t>Goliatmusseron
Blanksvart spiklav
Blå taggsvamp
Blågrå svartspik
Kolflarnlav
Orange taggsvamp
Skrovlig taggsvamp
Tallriska
Vaddporing
Vedflamlav
Vedskivlav
Dropptaggsvamp
Skarp dropptaggsvamp</t>
        </is>
      </c>
      <c r="S97">
        <f>HYPERLINK("https://klasma.github.io/Logging_2510/artfynd/A 25131-2020 artfynd.xlsx", "A 25131-2020")</f>
        <v/>
      </c>
      <c r="T97">
        <f>HYPERLINK("https://klasma.github.io/Logging_2510/kartor/A 25131-2020 karta.png", "A 25131-2020")</f>
        <v/>
      </c>
      <c r="V97">
        <f>HYPERLINK("https://klasma.github.io/Logging_2510/klagomål/A 25131-2020 FSC-klagomål.docx", "A 25131-2020")</f>
        <v/>
      </c>
      <c r="W97">
        <f>HYPERLINK("https://klasma.github.io/Logging_2510/klagomålsmail/A 25131-2020 FSC-klagomål mail.docx", "A 25131-2020")</f>
        <v/>
      </c>
      <c r="X97">
        <f>HYPERLINK("https://klasma.github.io/Logging_2510/tillsyn/A 25131-2020 tillsynsbegäran.docx", "A 25131-2020")</f>
        <v/>
      </c>
      <c r="Y97">
        <f>HYPERLINK("https://klasma.github.io/Logging_2510/tillsynsmail/A 25131-2020 tillsynsbegäran mail.docx", "A 25131-2020")</f>
        <v/>
      </c>
    </row>
    <row r="98" ht="15" customHeight="1">
      <c r="A98" t="inlineStr">
        <is>
          <t>A 39991-2020</t>
        </is>
      </c>
      <c r="B98" s="1" t="n">
        <v>44067</v>
      </c>
      <c r="C98" s="1" t="n">
        <v>45798</v>
      </c>
      <c r="D98" t="inlineStr">
        <is>
          <t>NORRBOTTENS LÄN</t>
        </is>
      </c>
      <c r="E98" t="inlineStr">
        <is>
          <t>ARVIDSJAUR</t>
        </is>
      </c>
      <c r="F98" t="inlineStr">
        <is>
          <t>Sveaskog</t>
        </is>
      </c>
      <c r="G98" t="n">
        <v>26.4</v>
      </c>
      <c r="H98" t="n">
        <v>0</v>
      </c>
      <c r="I98" t="n">
        <v>2</v>
      </c>
      <c r="J98" t="n">
        <v>9</v>
      </c>
      <c r="K98" t="n">
        <v>2</v>
      </c>
      <c r="L98" t="n">
        <v>0</v>
      </c>
      <c r="M98" t="n">
        <v>0</v>
      </c>
      <c r="N98" t="n">
        <v>0</v>
      </c>
      <c r="O98" t="n">
        <v>11</v>
      </c>
      <c r="P98" t="n">
        <v>2</v>
      </c>
      <c r="Q98" t="n">
        <v>13</v>
      </c>
      <c r="R98" s="2" t="inlineStr">
        <is>
          <t>Gräddporing
Rynkskinn
Blågrå svartspik
Garnlav
Granticka
Gränsticka
Lunglav
Mörk kolflarnlav
Rosenticka
Ullticka
Vitplätt
Luddlav
Skinnlav</t>
        </is>
      </c>
      <c r="S98">
        <f>HYPERLINK("https://klasma.github.io/Logging_2505/artfynd/A 39991-2020 artfynd.xlsx", "A 39991-2020")</f>
        <v/>
      </c>
      <c r="T98">
        <f>HYPERLINK("https://klasma.github.io/Logging_2505/kartor/A 39991-2020 karta.png", "A 39991-2020")</f>
        <v/>
      </c>
      <c r="V98">
        <f>HYPERLINK("https://klasma.github.io/Logging_2505/klagomål/A 39991-2020 FSC-klagomål.docx", "A 39991-2020")</f>
        <v/>
      </c>
      <c r="W98">
        <f>HYPERLINK("https://klasma.github.io/Logging_2505/klagomålsmail/A 39991-2020 FSC-klagomål mail.docx", "A 39991-2020")</f>
        <v/>
      </c>
      <c r="X98">
        <f>HYPERLINK("https://klasma.github.io/Logging_2505/tillsyn/A 39991-2020 tillsynsbegäran.docx", "A 39991-2020")</f>
        <v/>
      </c>
      <c r="Y98">
        <f>HYPERLINK("https://klasma.github.io/Logging_2505/tillsynsmail/A 39991-2020 tillsynsbegäran mail.docx", "A 39991-2020")</f>
        <v/>
      </c>
    </row>
    <row r="99" ht="15" customHeight="1">
      <c r="A99" t="inlineStr">
        <is>
          <t>A 42505-2020</t>
        </is>
      </c>
      <c r="B99" s="1" t="n">
        <v>44074</v>
      </c>
      <c r="C99" s="1" t="n">
        <v>45798</v>
      </c>
      <c r="D99" t="inlineStr">
        <is>
          <t>NORRBOTTENS LÄN</t>
        </is>
      </c>
      <c r="E99" t="inlineStr">
        <is>
          <t>KIRUNA</t>
        </is>
      </c>
      <c r="F99" t="inlineStr">
        <is>
          <t>Sveaskog</t>
        </is>
      </c>
      <c r="G99" t="n">
        <v>30.4</v>
      </c>
      <c r="H99" t="n">
        <v>0</v>
      </c>
      <c r="I99" t="n">
        <v>2</v>
      </c>
      <c r="J99" t="n">
        <v>8</v>
      </c>
      <c r="K99" t="n">
        <v>3</v>
      </c>
      <c r="L99" t="n">
        <v>0</v>
      </c>
      <c r="M99" t="n">
        <v>0</v>
      </c>
      <c r="N99" t="n">
        <v>0</v>
      </c>
      <c r="O99" t="n">
        <v>11</v>
      </c>
      <c r="P99" t="n">
        <v>3</v>
      </c>
      <c r="Q99" t="n">
        <v>13</v>
      </c>
      <c r="R99" s="2" t="inlineStr">
        <is>
          <t>Kristallticka
Lappticka
Rynkskinn
Garnlav
Granticka
Gränsticka
Harticka
Knottrig blåslav
Rosenticka
Stjärntagging
Ullticka
Blodticka
Vedticka</t>
        </is>
      </c>
      <c r="S99">
        <f>HYPERLINK("https://klasma.github.io/Logging_2584/artfynd/A 42505-2020 artfynd.xlsx", "A 42505-2020")</f>
        <v/>
      </c>
      <c r="T99">
        <f>HYPERLINK("https://klasma.github.io/Logging_2584/kartor/A 42505-2020 karta.png", "A 42505-2020")</f>
        <v/>
      </c>
      <c r="V99">
        <f>HYPERLINK("https://klasma.github.io/Logging_2584/klagomål/A 42505-2020 FSC-klagomål.docx", "A 42505-2020")</f>
        <v/>
      </c>
      <c r="W99">
        <f>HYPERLINK("https://klasma.github.io/Logging_2584/klagomålsmail/A 42505-2020 FSC-klagomål mail.docx", "A 42505-2020")</f>
        <v/>
      </c>
      <c r="X99">
        <f>HYPERLINK("https://klasma.github.io/Logging_2584/tillsyn/A 42505-2020 tillsynsbegäran.docx", "A 42505-2020")</f>
        <v/>
      </c>
      <c r="Y99">
        <f>HYPERLINK("https://klasma.github.io/Logging_2584/tillsynsmail/A 42505-2020 tillsynsbegäran mail.docx", "A 42505-2020")</f>
        <v/>
      </c>
    </row>
    <row r="100" ht="15" customHeight="1">
      <c r="A100" t="inlineStr">
        <is>
          <t>A 24072-2022</t>
        </is>
      </c>
      <c r="B100" s="1" t="n">
        <v>44722</v>
      </c>
      <c r="C100" s="1" t="n">
        <v>45798</v>
      </c>
      <c r="D100" t="inlineStr">
        <is>
          <t>NORRBOTTENS LÄN</t>
        </is>
      </c>
      <c r="E100" t="inlineStr">
        <is>
          <t>JOKKMOKK</t>
        </is>
      </c>
      <c r="F100" t="inlineStr">
        <is>
          <t>Övriga statliga verk och myndigheter</t>
        </is>
      </c>
      <c r="G100" t="n">
        <v>19.9</v>
      </c>
      <c r="H100" t="n">
        <v>0</v>
      </c>
      <c r="I100" t="n">
        <v>4</v>
      </c>
      <c r="J100" t="n">
        <v>7</v>
      </c>
      <c r="K100" t="n">
        <v>2</v>
      </c>
      <c r="L100" t="n">
        <v>0</v>
      </c>
      <c r="M100" t="n">
        <v>0</v>
      </c>
      <c r="N100" t="n">
        <v>0</v>
      </c>
      <c r="O100" t="n">
        <v>9</v>
      </c>
      <c r="P100" t="n">
        <v>2</v>
      </c>
      <c r="Q100" t="n">
        <v>13</v>
      </c>
      <c r="R100" s="2" t="inlineStr">
        <is>
          <t>Fläckporing
Gräddporing
Blanksvart spiklav
Dvärgbägarlav
Gränsticka
Skrovellav
Tallticka
Vedskivlav
Vitplätt
Bårdlav
Luddlav
Skarp dropptaggsvamp
Stuplav</t>
        </is>
      </c>
      <c r="S100">
        <f>HYPERLINK("https://klasma.github.io/Logging_2510/artfynd/A 24072-2022 artfynd.xlsx", "A 24072-2022")</f>
        <v/>
      </c>
      <c r="T100">
        <f>HYPERLINK("https://klasma.github.io/Logging_2510/kartor/A 24072-2022 karta.png", "A 24072-2022")</f>
        <v/>
      </c>
      <c r="V100">
        <f>HYPERLINK("https://klasma.github.io/Logging_2510/klagomål/A 24072-2022 FSC-klagomål.docx", "A 24072-2022")</f>
        <v/>
      </c>
      <c r="W100">
        <f>HYPERLINK("https://klasma.github.io/Logging_2510/klagomålsmail/A 24072-2022 FSC-klagomål mail.docx", "A 24072-2022")</f>
        <v/>
      </c>
      <c r="X100">
        <f>HYPERLINK("https://klasma.github.io/Logging_2510/tillsyn/A 24072-2022 tillsynsbegäran.docx", "A 24072-2022")</f>
        <v/>
      </c>
      <c r="Y100">
        <f>HYPERLINK("https://klasma.github.io/Logging_2510/tillsynsmail/A 24072-2022 tillsynsbegäran mail.docx", "A 24072-2022")</f>
        <v/>
      </c>
    </row>
    <row r="101" ht="15" customHeight="1">
      <c r="A101" t="inlineStr">
        <is>
          <t>A 21840-2023</t>
        </is>
      </c>
      <c r="B101" s="1" t="n">
        <v>45068</v>
      </c>
      <c r="C101" s="1" t="n">
        <v>45798</v>
      </c>
      <c r="D101" t="inlineStr">
        <is>
          <t>NORRBOTTENS LÄN</t>
        </is>
      </c>
      <c r="E101" t="inlineStr">
        <is>
          <t>ÖVERTORNEÅ</t>
        </is>
      </c>
      <c r="G101" t="n">
        <v>30.5</v>
      </c>
      <c r="H101" t="n">
        <v>8</v>
      </c>
      <c r="I101" t="n">
        <v>5</v>
      </c>
      <c r="J101" t="n">
        <v>4</v>
      </c>
      <c r="K101" t="n">
        <v>2</v>
      </c>
      <c r="L101" t="n">
        <v>0</v>
      </c>
      <c r="M101" t="n">
        <v>0</v>
      </c>
      <c r="N101" t="n">
        <v>0</v>
      </c>
      <c r="O101" t="n">
        <v>6</v>
      </c>
      <c r="P101" t="n">
        <v>2</v>
      </c>
      <c r="Q101" t="n">
        <v>13</v>
      </c>
      <c r="R101" s="2" t="inlineStr">
        <is>
          <t>Doftticka
Knärot
Garnlav
Spillkråka
Talltita
Ullticka
Bårdlav
Norrlandslav
Plattlummer
Spindelblomster
Stuplav
Fläcknycklar
Revlummer</t>
        </is>
      </c>
      <c r="S101">
        <f>HYPERLINK("https://klasma.github.io/Logging_2518/artfynd/A 21840-2023 artfynd.xlsx", "A 21840-2023")</f>
        <v/>
      </c>
      <c r="T101">
        <f>HYPERLINK("https://klasma.github.io/Logging_2518/kartor/A 21840-2023 karta.png", "A 21840-2023")</f>
        <v/>
      </c>
      <c r="U101">
        <f>HYPERLINK("https://klasma.github.io/Logging_2518/knärot/A 21840-2023 karta knärot.png", "A 21840-2023")</f>
        <v/>
      </c>
      <c r="V101">
        <f>HYPERLINK("https://klasma.github.io/Logging_2518/klagomål/A 21840-2023 FSC-klagomål.docx", "A 21840-2023")</f>
        <v/>
      </c>
      <c r="W101">
        <f>HYPERLINK("https://klasma.github.io/Logging_2518/klagomålsmail/A 21840-2023 FSC-klagomål mail.docx", "A 21840-2023")</f>
        <v/>
      </c>
      <c r="X101">
        <f>HYPERLINK("https://klasma.github.io/Logging_2518/tillsyn/A 21840-2023 tillsynsbegäran.docx", "A 21840-2023")</f>
        <v/>
      </c>
      <c r="Y101">
        <f>HYPERLINK("https://klasma.github.io/Logging_2518/tillsynsmail/A 21840-2023 tillsynsbegäran mail.docx", "A 21840-2023")</f>
        <v/>
      </c>
      <c r="Z101">
        <f>HYPERLINK("https://klasma.github.io/Logging_2518/fåglar/A 21840-2023 prioriterade fågelarter.docx", "A 21840-2023")</f>
        <v/>
      </c>
    </row>
    <row r="102" ht="15" customHeight="1">
      <c r="A102" t="inlineStr">
        <is>
          <t>A 30560-2023</t>
        </is>
      </c>
      <c r="B102" s="1" t="n">
        <v>45111</v>
      </c>
      <c r="C102" s="1" t="n">
        <v>45798</v>
      </c>
      <c r="D102" t="inlineStr">
        <is>
          <t>NORRBOTTENS LÄN</t>
        </is>
      </c>
      <c r="E102" t="inlineStr">
        <is>
          <t>ÖVERTORNEÅ</t>
        </is>
      </c>
      <c r="G102" t="n">
        <v>9.199999999999999</v>
      </c>
      <c r="H102" t="n">
        <v>4</v>
      </c>
      <c r="I102" t="n">
        <v>5</v>
      </c>
      <c r="J102" t="n">
        <v>6</v>
      </c>
      <c r="K102" t="n">
        <v>1</v>
      </c>
      <c r="L102" t="n">
        <v>0</v>
      </c>
      <c r="M102" t="n">
        <v>0</v>
      </c>
      <c r="N102" t="n">
        <v>0</v>
      </c>
      <c r="O102" t="n">
        <v>7</v>
      </c>
      <c r="P102" t="n">
        <v>1</v>
      </c>
      <c r="Q102" t="n">
        <v>13</v>
      </c>
      <c r="R102" s="2" t="inlineStr">
        <is>
          <t>Knärot
Blanksvart spiklav
Gammelgransskål
Garnlav
Mörk kolflarnlav
Spillkråka
Vitplätt
Plattlummer
Skinnlav
Stor aspticka
Stuplav
Vedticka
Fläcknycklar</t>
        </is>
      </c>
      <c r="S102">
        <f>HYPERLINK("https://klasma.github.io/Logging_2518/artfynd/A 30560-2023 artfynd.xlsx", "A 30560-2023")</f>
        <v/>
      </c>
      <c r="T102">
        <f>HYPERLINK("https://klasma.github.io/Logging_2518/kartor/A 30560-2023 karta.png", "A 30560-2023")</f>
        <v/>
      </c>
      <c r="U102">
        <f>HYPERLINK("https://klasma.github.io/Logging_2518/knärot/A 30560-2023 karta knärot.png", "A 30560-2023")</f>
        <v/>
      </c>
      <c r="V102">
        <f>HYPERLINK("https://klasma.github.io/Logging_2518/klagomål/A 30560-2023 FSC-klagomål.docx", "A 30560-2023")</f>
        <v/>
      </c>
      <c r="W102">
        <f>HYPERLINK("https://klasma.github.io/Logging_2518/klagomålsmail/A 30560-2023 FSC-klagomål mail.docx", "A 30560-2023")</f>
        <v/>
      </c>
      <c r="X102">
        <f>HYPERLINK("https://klasma.github.io/Logging_2518/tillsyn/A 30560-2023 tillsynsbegäran.docx", "A 30560-2023")</f>
        <v/>
      </c>
      <c r="Y102">
        <f>HYPERLINK("https://klasma.github.io/Logging_2518/tillsynsmail/A 30560-2023 tillsynsbegäran mail.docx", "A 30560-2023")</f>
        <v/>
      </c>
      <c r="Z102">
        <f>HYPERLINK("https://klasma.github.io/Logging_2518/fåglar/A 30560-2023 prioriterade fågelarter.docx", "A 30560-2023")</f>
        <v/>
      </c>
    </row>
    <row r="103" ht="15" customHeight="1">
      <c r="A103" t="inlineStr">
        <is>
          <t>A 41396-2023</t>
        </is>
      </c>
      <c r="B103" s="1" t="n">
        <v>45175</v>
      </c>
      <c r="C103" s="1" t="n">
        <v>45798</v>
      </c>
      <c r="D103" t="inlineStr">
        <is>
          <t>NORRBOTTENS LÄN</t>
        </is>
      </c>
      <c r="E103" t="inlineStr">
        <is>
          <t>JOKKMOKK</t>
        </is>
      </c>
      <c r="F103" t="inlineStr">
        <is>
          <t>Allmännings- och besparingsskogar</t>
        </is>
      </c>
      <c r="G103" t="n">
        <v>14.7</v>
      </c>
      <c r="H103" t="n">
        <v>5</v>
      </c>
      <c r="I103" t="n">
        <v>6</v>
      </c>
      <c r="J103" t="n">
        <v>5</v>
      </c>
      <c r="K103" t="n">
        <v>0</v>
      </c>
      <c r="L103" t="n">
        <v>0</v>
      </c>
      <c r="M103" t="n">
        <v>0</v>
      </c>
      <c r="N103" t="n">
        <v>0</v>
      </c>
      <c r="O103" t="n">
        <v>5</v>
      </c>
      <c r="P103" t="n">
        <v>0</v>
      </c>
      <c r="Q103" t="n">
        <v>13</v>
      </c>
      <c r="R103" s="2" t="inlineStr">
        <is>
          <t>Garnlav
Kolflarnlav
Spillkråka
Tretåig hackspett
Vedskivlav
Bårdlav
Granriska
Norrlandslav
Plattlummer
Skarp dropptaggsvamp
Skinnlav
Tjäder
Revlummer</t>
        </is>
      </c>
      <c r="S103">
        <f>HYPERLINK("https://klasma.github.io/Logging_2510/artfynd/A 41396-2023 artfynd.xlsx", "A 41396-2023")</f>
        <v/>
      </c>
      <c r="T103">
        <f>HYPERLINK("https://klasma.github.io/Logging_2510/kartor/A 41396-2023 karta.png", "A 41396-2023")</f>
        <v/>
      </c>
      <c r="V103">
        <f>HYPERLINK("https://klasma.github.io/Logging_2510/klagomål/A 41396-2023 FSC-klagomål.docx", "A 41396-2023")</f>
        <v/>
      </c>
      <c r="W103">
        <f>HYPERLINK("https://klasma.github.io/Logging_2510/klagomålsmail/A 41396-2023 FSC-klagomål mail.docx", "A 41396-2023")</f>
        <v/>
      </c>
      <c r="X103">
        <f>HYPERLINK("https://klasma.github.io/Logging_2510/tillsyn/A 41396-2023 tillsynsbegäran.docx", "A 41396-2023")</f>
        <v/>
      </c>
      <c r="Y103">
        <f>HYPERLINK("https://klasma.github.io/Logging_2510/tillsynsmail/A 41396-2023 tillsynsbegäran mail.docx", "A 41396-2023")</f>
        <v/>
      </c>
      <c r="Z103">
        <f>HYPERLINK("https://klasma.github.io/Logging_2510/fåglar/A 41396-2023 prioriterade fågelarter.docx", "A 41396-2023")</f>
        <v/>
      </c>
    </row>
    <row r="104" ht="15" customHeight="1">
      <c r="A104" t="inlineStr">
        <is>
          <t>A 50504-2023</t>
        </is>
      </c>
      <c r="B104" s="1" t="n">
        <v>45216</v>
      </c>
      <c r="C104" s="1" t="n">
        <v>45798</v>
      </c>
      <c r="D104" t="inlineStr">
        <is>
          <t>NORRBOTTENS LÄN</t>
        </is>
      </c>
      <c r="E104" t="inlineStr">
        <is>
          <t>BODEN</t>
        </is>
      </c>
      <c r="F104" t="inlineStr">
        <is>
          <t>SCA</t>
        </is>
      </c>
      <c r="G104" t="n">
        <v>7.2</v>
      </c>
      <c r="H104" t="n">
        <v>3</v>
      </c>
      <c r="I104" t="n">
        <v>2</v>
      </c>
      <c r="J104" t="n">
        <v>9</v>
      </c>
      <c r="K104" t="n">
        <v>0</v>
      </c>
      <c r="L104" t="n">
        <v>0</v>
      </c>
      <c r="M104" t="n">
        <v>0</v>
      </c>
      <c r="N104" t="n">
        <v>0</v>
      </c>
      <c r="O104" t="n">
        <v>9</v>
      </c>
      <c r="P104" t="n">
        <v>0</v>
      </c>
      <c r="Q104" t="n">
        <v>13</v>
      </c>
      <c r="R104" s="2" t="inlineStr">
        <is>
          <t>Gammelgransskål
Garnlav
Granticka
Knottrig blåslav
Nordlig nållav
Ullticka
Vedskivlav
Vitgrynig nållav
Äggvaxskivling
Plattlummer
Skinnlav
Lavskrika
Tjäder</t>
        </is>
      </c>
      <c r="S104">
        <f>HYPERLINK("https://klasma.github.io/Logging_2582/artfynd/A 50504-2023 artfynd.xlsx", "A 50504-2023")</f>
        <v/>
      </c>
      <c r="T104">
        <f>HYPERLINK("https://klasma.github.io/Logging_2582/kartor/A 50504-2023 karta.png", "A 50504-2023")</f>
        <v/>
      </c>
      <c r="V104">
        <f>HYPERLINK("https://klasma.github.io/Logging_2582/klagomål/A 50504-2023 FSC-klagomål.docx", "A 50504-2023")</f>
        <v/>
      </c>
      <c r="W104">
        <f>HYPERLINK("https://klasma.github.io/Logging_2582/klagomålsmail/A 50504-2023 FSC-klagomål mail.docx", "A 50504-2023")</f>
        <v/>
      </c>
      <c r="X104">
        <f>HYPERLINK("https://klasma.github.io/Logging_2582/tillsyn/A 50504-2023 tillsynsbegäran.docx", "A 50504-2023")</f>
        <v/>
      </c>
      <c r="Y104">
        <f>HYPERLINK("https://klasma.github.io/Logging_2582/tillsynsmail/A 50504-2023 tillsynsbegäran mail.docx", "A 50504-2023")</f>
        <v/>
      </c>
      <c r="Z104">
        <f>HYPERLINK("https://klasma.github.io/Logging_2582/fåglar/A 50504-2023 prioriterade fågelarter.docx", "A 50504-2023")</f>
        <v/>
      </c>
    </row>
    <row r="105" ht="15" customHeight="1">
      <c r="A105" t="inlineStr">
        <is>
          <t>A 18726-2024</t>
        </is>
      </c>
      <c r="B105" s="1" t="n">
        <v>45426</v>
      </c>
      <c r="C105" s="1" t="n">
        <v>45798</v>
      </c>
      <c r="D105" t="inlineStr">
        <is>
          <t>NORRBOTTENS LÄN</t>
        </is>
      </c>
      <c r="E105" t="inlineStr">
        <is>
          <t>KIRUNA</t>
        </is>
      </c>
      <c r="F105" t="inlineStr">
        <is>
          <t>Allmännings- och besparingsskogar</t>
        </is>
      </c>
      <c r="G105" t="n">
        <v>4.9</v>
      </c>
      <c r="H105" t="n">
        <v>0</v>
      </c>
      <c r="I105" t="n">
        <v>1</v>
      </c>
      <c r="J105" t="n">
        <v>6</v>
      </c>
      <c r="K105" t="n">
        <v>6</v>
      </c>
      <c r="L105" t="n">
        <v>0</v>
      </c>
      <c r="M105" t="n">
        <v>0</v>
      </c>
      <c r="N105" t="n">
        <v>0</v>
      </c>
      <c r="O105" t="n">
        <v>12</v>
      </c>
      <c r="P105" t="n">
        <v>6</v>
      </c>
      <c r="Q105" t="n">
        <v>13</v>
      </c>
      <c r="R105" s="2" t="inlineStr">
        <is>
          <t>Fläckporing
Goliatmusseron
Gräddporing
Smalfotad taggsvamp
Tajgataggsvamp
Tallgråticka
Blå taggsvamp
Orange taggsvamp
Skrovlig taggsvamp
Svartvit taggsvamp
Talltaggsvamp
Vaddporing
Dropptaggsvamp</t>
        </is>
      </c>
      <c r="S105">
        <f>HYPERLINK("https://klasma.github.io/Logging_2584/artfynd/A 18726-2024 artfynd.xlsx", "A 18726-2024")</f>
        <v/>
      </c>
      <c r="T105">
        <f>HYPERLINK("https://klasma.github.io/Logging_2584/kartor/A 18726-2024 karta.png", "A 18726-2024")</f>
        <v/>
      </c>
      <c r="V105">
        <f>HYPERLINK("https://klasma.github.io/Logging_2584/klagomål/A 18726-2024 FSC-klagomål.docx", "A 18726-2024")</f>
        <v/>
      </c>
      <c r="W105">
        <f>HYPERLINK("https://klasma.github.io/Logging_2584/klagomålsmail/A 18726-2024 FSC-klagomål mail.docx", "A 18726-2024")</f>
        <v/>
      </c>
      <c r="X105">
        <f>HYPERLINK("https://klasma.github.io/Logging_2584/tillsyn/A 18726-2024 tillsynsbegäran.docx", "A 18726-2024")</f>
        <v/>
      </c>
      <c r="Y105">
        <f>HYPERLINK("https://klasma.github.io/Logging_2584/tillsynsmail/A 18726-2024 tillsynsbegäran mail.docx", "A 18726-2024")</f>
        <v/>
      </c>
    </row>
    <row r="106" ht="15" customHeight="1">
      <c r="A106" t="inlineStr">
        <is>
          <t>A 23357-2024</t>
        </is>
      </c>
      <c r="B106" s="1" t="n">
        <v>45453</v>
      </c>
      <c r="C106" s="1" t="n">
        <v>45798</v>
      </c>
      <c r="D106" t="inlineStr">
        <is>
          <t>NORRBOTTENS LÄN</t>
        </is>
      </c>
      <c r="E106" t="inlineStr">
        <is>
          <t>GÄLLIVARE</t>
        </is>
      </c>
      <c r="F106" t="inlineStr">
        <is>
          <t>Allmännings- och besparingsskogar</t>
        </is>
      </c>
      <c r="G106" t="n">
        <v>16.5</v>
      </c>
      <c r="H106" t="n">
        <v>3</v>
      </c>
      <c r="I106" t="n">
        <v>4</v>
      </c>
      <c r="J106" t="n">
        <v>6</v>
      </c>
      <c r="K106" t="n">
        <v>2</v>
      </c>
      <c r="L106" t="n">
        <v>0</v>
      </c>
      <c r="M106" t="n">
        <v>0</v>
      </c>
      <c r="N106" t="n">
        <v>0</v>
      </c>
      <c r="O106" t="n">
        <v>8</v>
      </c>
      <c r="P106" t="n">
        <v>2</v>
      </c>
      <c r="Q106" t="n">
        <v>13</v>
      </c>
      <c r="R106" s="2" t="inlineStr">
        <is>
          <t>Knärot
Tallgråticka
Dvärgbägarlav
Garnlav
Lunglav
Mörk kolflarnlav
Vedskivlav
Vedtrappmossa
Dropptaggsvamp
Källpraktmossa
Plattlummer
Skinnlav
Fläcknycklar</t>
        </is>
      </c>
      <c r="S106">
        <f>HYPERLINK("https://klasma.github.io/Logging_2523/artfynd/A 23357-2024 artfynd.xlsx", "A 23357-2024")</f>
        <v/>
      </c>
      <c r="T106">
        <f>HYPERLINK("https://klasma.github.io/Logging_2523/kartor/A 23357-2024 karta.png", "A 23357-2024")</f>
        <v/>
      </c>
      <c r="U106">
        <f>HYPERLINK("https://klasma.github.io/Logging_2523/knärot/A 23357-2024 karta knärot.png", "A 23357-2024")</f>
        <v/>
      </c>
      <c r="V106">
        <f>HYPERLINK("https://klasma.github.io/Logging_2523/klagomål/A 23357-2024 FSC-klagomål.docx", "A 23357-2024")</f>
        <v/>
      </c>
      <c r="W106">
        <f>HYPERLINK("https://klasma.github.io/Logging_2523/klagomålsmail/A 23357-2024 FSC-klagomål mail.docx", "A 23357-2024")</f>
        <v/>
      </c>
      <c r="X106">
        <f>HYPERLINK("https://klasma.github.io/Logging_2523/tillsyn/A 23357-2024 tillsynsbegäran.docx", "A 23357-2024")</f>
        <v/>
      </c>
      <c r="Y106">
        <f>HYPERLINK("https://klasma.github.io/Logging_2523/tillsynsmail/A 23357-2024 tillsynsbegäran mail.docx", "A 23357-2024")</f>
        <v/>
      </c>
    </row>
    <row r="107" ht="15" customHeight="1">
      <c r="A107" t="inlineStr">
        <is>
          <t>A 26733-2024</t>
        </is>
      </c>
      <c r="B107" s="1" t="n">
        <v>45470</v>
      </c>
      <c r="C107" s="1" t="n">
        <v>45798</v>
      </c>
      <c r="D107" t="inlineStr">
        <is>
          <t>NORRBOTTENS LÄN</t>
        </is>
      </c>
      <c r="E107" t="inlineStr">
        <is>
          <t>ÄLVSBYN</t>
        </is>
      </c>
      <c r="F107" t="inlineStr">
        <is>
          <t>Sveaskog</t>
        </is>
      </c>
      <c r="G107" t="n">
        <v>7.5</v>
      </c>
      <c r="H107" t="n">
        <v>1</v>
      </c>
      <c r="I107" t="n">
        <v>2</v>
      </c>
      <c r="J107" t="n">
        <v>7</v>
      </c>
      <c r="K107" t="n">
        <v>3</v>
      </c>
      <c r="L107" t="n">
        <v>0</v>
      </c>
      <c r="M107" t="n">
        <v>0</v>
      </c>
      <c r="N107" t="n">
        <v>0</v>
      </c>
      <c r="O107" t="n">
        <v>10</v>
      </c>
      <c r="P107" t="n">
        <v>3</v>
      </c>
      <c r="Q107" t="n">
        <v>13</v>
      </c>
      <c r="R107" s="2" t="inlineStr">
        <is>
          <t>Rotfingersvamp
Smalfotad taggsvamp
Tajgataggsvamp
Blå taggsvamp
Kolflarnlav
Motaggsvamp
Orange taggsvamp
Skrovlig taggsvamp
Svart taggsvamp
Vaddporing
Dropptaggsvamp
Skarp dropptaggsvamp
Tjäder</t>
        </is>
      </c>
      <c r="S107">
        <f>HYPERLINK("https://klasma.github.io/Logging_2560/artfynd/A 26733-2024 artfynd.xlsx", "A 26733-2024")</f>
        <v/>
      </c>
      <c r="T107">
        <f>HYPERLINK("https://klasma.github.io/Logging_2560/kartor/A 26733-2024 karta.png", "A 26733-2024")</f>
        <v/>
      </c>
      <c r="V107">
        <f>HYPERLINK("https://klasma.github.io/Logging_2560/klagomål/A 26733-2024 FSC-klagomål.docx", "A 26733-2024")</f>
        <v/>
      </c>
      <c r="W107">
        <f>HYPERLINK("https://klasma.github.io/Logging_2560/klagomålsmail/A 26733-2024 FSC-klagomål mail.docx", "A 26733-2024")</f>
        <v/>
      </c>
      <c r="X107">
        <f>HYPERLINK("https://klasma.github.io/Logging_2560/tillsyn/A 26733-2024 tillsynsbegäran.docx", "A 26733-2024")</f>
        <v/>
      </c>
      <c r="Y107">
        <f>HYPERLINK("https://klasma.github.io/Logging_2560/tillsynsmail/A 26733-2024 tillsynsbegäran mail.docx", "A 26733-2024")</f>
        <v/>
      </c>
      <c r="Z107">
        <f>HYPERLINK("https://klasma.github.io/Logging_2560/fåglar/A 26733-2024 prioriterade fågelarter.docx", "A 26733-2024")</f>
        <v/>
      </c>
    </row>
    <row r="108" ht="15" customHeight="1">
      <c r="A108" t="inlineStr">
        <is>
          <t>A 36383-2024</t>
        </is>
      </c>
      <c r="B108" s="1" t="n">
        <v>45534</v>
      </c>
      <c r="C108" s="1" t="n">
        <v>45798</v>
      </c>
      <c r="D108" t="inlineStr">
        <is>
          <t>NORRBOTTENS LÄN</t>
        </is>
      </c>
      <c r="E108" t="inlineStr">
        <is>
          <t>ÖVERKALIX</t>
        </is>
      </c>
      <c r="F108" t="inlineStr">
        <is>
          <t>Sveaskog</t>
        </is>
      </c>
      <c r="G108" t="n">
        <v>42.1</v>
      </c>
      <c r="H108" t="n">
        <v>6</v>
      </c>
      <c r="I108" t="n">
        <v>2</v>
      </c>
      <c r="J108" t="n">
        <v>8</v>
      </c>
      <c r="K108" t="n">
        <v>0</v>
      </c>
      <c r="L108" t="n">
        <v>0</v>
      </c>
      <c r="M108" t="n">
        <v>0</v>
      </c>
      <c r="N108" t="n">
        <v>0</v>
      </c>
      <c r="O108" t="n">
        <v>8</v>
      </c>
      <c r="P108" t="n">
        <v>0</v>
      </c>
      <c r="Q108" t="n">
        <v>13</v>
      </c>
      <c r="R108" s="2" t="inlineStr">
        <is>
          <t>Gammelgransskål
Garnlav
Knottrig blåslav
Kolflarnlav
Orange taggsvamp
Spillkråka
Tretåig hackspett
Vedflamlav
Spindelblomster
Vedticka
Orre
Tjäder
Fläcknycklar</t>
        </is>
      </c>
      <c r="S108">
        <f>HYPERLINK("https://klasma.github.io/Logging_2513/artfynd/A 36383-2024 artfynd.xlsx", "A 36383-2024")</f>
        <v/>
      </c>
      <c r="T108">
        <f>HYPERLINK("https://klasma.github.io/Logging_2513/kartor/A 36383-2024 karta.png", "A 36383-2024")</f>
        <v/>
      </c>
      <c r="V108">
        <f>HYPERLINK("https://klasma.github.io/Logging_2513/klagomål/A 36383-2024 FSC-klagomål.docx", "A 36383-2024")</f>
        <v/>
      </c>
      <c r="W108">
        <f>HYPERLINK("https://klasma.github.io/Logging_2513/klagomålsmail/A 36383-2024 FSC-klagomål mail.docx", "A 36383-2024")</f>
        <v/>
      </c>
      <c r="X108">
        <f>HYPERLINK("https://klasma.github.io/Logging_2513/tillsyn/A 36383-2024 tillsynsbegäran.docx", "A 36383-2024")</f>
        <v/>
      </c>
      <c r="Y108">
        <f>HYPERLINK("https://klasma.github.io/Logging_2513/tillsynsmail/A 36383-2024 tillsynsbegäran mail.docx", "A 36383-2024")</f>
        <v/>
      </c>
      <c r="Z108">
        <f>HYPERLINK("https://klasma.github.io/Logging_2513/fåglar/A 36383-2024 prioriterade fågelarter.docx", "A 36383-2024")</f>
        <v/>
      </c>
    </row>
    <row r="109" ht="15" customHeight="1">
      <c r="A109" t="inlineStr">
        <is>
          <t>A 2028-2025</t>
        </is>
      </c>
      <c r="B109" s="1" t="n">
        <v>45672</v>
      </c>
      <c r="C109" s="1" t="n">
        <v>45798</v>
      </c>
      <c r="D109" t="inlineStr">
        <is>
          <t>NORRBOTTENS LÄN</t>
        </is>
      </c>
      <c r="E109" t="inlineStr">
        <is>
          <t>JOKKMOKK</t>
        </is>
      </c>
      <c r="F109" t="inlineStr">
        <is>
          <t>Övriga statliga verk och myndigheter</t>
        </is>
      </c>
      <c r="G109" t="n">
        <v>27.8</v>
      </c>
      <c r="H109" t="n">
        <v>4</v>
      </c>
      <c r="I109" t="n">
        <v>3</v>
      </c>
      <c r="J109" t="n">
        <v>8</v>
      </c>
      <c r="K109" t="n">
        <v>1</v>
      </c>
      <c r="L109" t="n">
        <v>0</v>
      </c>
      <c r="M109" t="n">
        <v>0</v>
      </c>
      <c r="N109" t="n">
        <v>0</v>
      </c>
      <c r="O109" t="n">
        <v>9</v>
      </c>
      <c r="P109" t="n">
        <v>1</v>
      </c>
      <c r="Q109" t="n">
        <v>13</v>
      </c>
      <c r="R109" s="2" t="inlineStr">
        <is>
          <t>Gräddporing
Dvärgbägarlav
Gammelgransskål
Knottrig blåslav
Kolflarnlav
Nordtagging
Skrovellav
Spillkråka
Tretåig hackspett
Bronshjon
Bårdlav
Plattlummer
Tjäder</t>
        </is>
      </c>
      <c r="S109">
        <f>HYPERLINK("https://klasma.github.io/Logging_2510/artfynd/A 2028-2025 artfynd.xlsx", "A 2028-2025")</f>
        <v/>
      </c>
      <c r="T109">
        <f>HYPERLINK("https://klasma.github.io/Logging_2510/kartor/A 2028-2025 karta.png", "A 2028-2025")</f>
        <v/>
      </c>
      <c r="V109">
        <f>HYPERLINK("https://klasma.github.io/Logging_2510/klagomål/A 2028-2025 FSC-klagomål.docx", "A 2028-2025")</f>
        <v/>
      </c>
      <c r="W109">
        <f>HYPERLINK("https://klasma.github.io/Logging_2510/klagomålsmail/A 2028-2025 FSC-klagomål mail.docx", "A 2028-2025")</f>
        <v/>
      </c>
      <c r="X109">
        <f>HYPERLINK("https://klasma.github.io/Logging_2510/tillsyn/A 2028-2025 tillsynsbegäran.docx", "A 2028-2025")</f>
        <v/>
      </c>
      <c r="Y109">
        <f>HYPERLINK("https://klasma.github.io/Logging_2510/tillsynsmail/A 2028-2025 tillsynsbegäran mail.docx", "A 2028-2025")</f>
        <v/>
      </c>
      <c r="Z109">
        <f>HYPERLINK("https://klasma.github.io/Logging_2510/fåglar/A 2028-2025 prioriterade fågelarter.docx", "A 2028-2025")</f>
        <v/>
      </c>
    </row>
    <row r="110" ht="15" customHeight="1">
      <c r="A110" t="inlineStr">
        <is>
          <t>A 7434-2025</t>
        </is>
      </c>
      <c r="B110" s="1" t="n">
        <v>45705</v>
      </c>
      <c r="C110" s="1" t="n">
        <v>45798</v>
      </c>
      <c r="D110" t="inlineStr">
        <is>
          <t>NORRBOTTENS LÄN</t>
        </is>
      </c>
      <c r="E110" t="inlineStr">
        <is>
          <t>ÖVERTORNEÅ</t>
        </is>
      </c>
      <c r="G110" t="n">
        <v>36.7</v>
      </c>
      <c r="H110" t="n">
        <v>8</v>
      </c>
      <c r="I110" t="n">
        <v>5</v>
      </c>
      <c r="J110" t="n">
        <v>4</v>
      </c>
      <c r="K110" t="n">
        <v>2</v>
      </c>
      <c r="L110" t="n">
        <v>0</v>
      </c>
      <c r="M110" t="n">
        <v>0</v>
      </c>
      <c r="N110" t="n">
        <v>0</v>
      </c>
      <c r="O110" t="n">
        <v>6</v>
      </c>
      <c r="P110" t="n">
        <v>2</v>
      </c>
      <c r="Q110" t="n">
        <v>13</v>
      </c>
      <c r="R110" s="2" t="inlineStr">
        <is>
          <t>Doftticka
Knärot
Garnlav
Spillkråka
Talltita
Ullticka
Bårdlav
Norrlandslav
Plattlummer
Spindelblomster
Stuplav
Fläcknycklar
Revlummer</t>
        </is>
      </c>
      <c r="S110">
        <f>HYPERLINK("https://klasma.github.io/Logging_2518/artfynd/A 7434-2025 artfynd.xlsx", "A 7434-2025")</f>
        <v/>
      </c>
      <c r="T110">
        <f>HYPERLINK("https://klasma.github.io/Logging_2518/kartor/A 7434-2025 karta.png", "A 7434-2025")</f>
        <v/>
      </c>
      <c r="U110">
        <f>HYPERLINK("https://klasma.github.io/Logging_2518/knärot/A 7434-2025 karta knärot.png", "A 7434-2025")</f>
        <v/>
      </c>
      <c r="V110">
        <f>HYPERLINK("https://klasma.github.io/Logging_2518/klagomål/A 7434-2025 FSC-klagomål.docx", "A 7434-2025")</f>
        <v/>
      </c>
      <c r="W110">
        <f>HYPERLINK("https://klasma.github.io/Logging_2518/klagomålsmail/A 7434-2025 FSC-klagomål mail.docx", "A 7434-2025")</f>
        <v/>
      </c>
      <c r="X110">
        <f>HYPERLINK("https://klasma.github.io/Logging_2518/tillsyn/A 7434-2025 tillsynsbegäran.docx", "A 7434-2025")</f>
        <v/>
      </c>
      <c r="Y110">
        <f>HYPERLINK("https://klasma.github.io/Logging_2518/tillsynsmail/A 7434-2025 tillsynsbegäran mail.docx", "A 7434-2025")</f>
        <v/>
      </c>
      <c r="Z110">
        <f>HYPERLINK("https://klasma.github.io/Logging_2518/fåglar/A 7434-2025 prioriterade fågelarter.docx", "A 7434-2025")</f>
        <v/>
      </c>
    </row>
    <row r="111" ht="15" customHeight="1">
      <c r="A111" t="inlineStr">
        <is>
          <t>A 65339-2020</t>
        </is>
      </c>
      <c r="B111" s="1" t="n">
        <v>44173</v>
      </c>
      <c r="C111" s="1" t="n">
        <v>45798</v>
      </c>
      <c r="D111" t="inlineStr">
        <is>
          <t>NORRBOTTENS LÄN</t>
        </is>
      </c>
      <c r="E111" t="inlineStr">
        <is>
          <t>JOKKMOKK</t>
        </is>
      </c>
      <c r="F111" t="inlineStr">
        <is>
          <t>Sveaskog</t>
        </is>
      </c>
      <c r="G111" t="n">
        <v>29.1</v>
      </c>
      <c r="H111" t="n">
        <v>1</v>
      </c>
      <c r="I111" t="n">
        <v>0</v>
      </c>
      <c r="J111" t="n">
        <v>11</v>
      </c>
      <c r="K111" t="n">
        <v>1</v>
      </c>
      <c r="L111" t="n">
        <v>0</v>
      </c>
      <c r="M111" t="n">
        <v>0</v>
      </c>
      <c r="N111" t="n">
        <v>0</v>
      </c>
      <c r="O111" t="n">
        <v>12</v>
      </c>
      <c r="P111" t="n">
        <v>1</v>
      </c>
      <c r="Q111" t="n">
        <v>12</v>
      </c>
      <c r="R111" s="2" t="inlineStr">
        <is>
          <t>Tallgråticka
Blanksvart spiklav
Blågrå svartspik
Dvärgbägarlav
Kolflarnlav
Mörk kolflarnlav
Skrovlig taggsvamp
Tretåig hackspett
Vedflamlav
Vedskivlav
Violmussling
Vitplätt</t>
        </is>
      </c>
      <c r="S111">
        <f>HYPERLINK("https://klasma.github.io/Logging_2510/artfynd/A 65339-2020 artfynd.xlsx", "A 65339-2020")</f>
        <v/>
      </c>
      <c r="T111">
        <f>HYPERLINK("https://klasma.github.io/Logging_2510/kartor/A 65339-2020 karta.png", "A 65339-2020")</f>
        <v/>
      </c>
      <c r="V111">
        <f>HYPERLINK("https://klasma.github.io/Logging_2510/klagomål/A 65339-2020 FSC-klagomål.docx", "A 65339-2020")</f>
        <v/>
      </c>
      <c r="W111">
        <f>HYPERLINK("https://klasma.github.io/Logging_2510/klagomålsmail/A 65339-2020 FSC-klagomål mail.docx", "A 65339-2020")</f>
        <v/>
      </c>
      <c r="X111">
        <f>HYPERLINK("https://klasma.github.io/Logging_2510/tillsyn/A 65339-2020 tillsynsbegäran.docx", "A 65339-2020")</f>
        <v/>
      </c>
      <c r="Y111">
        <f>HYPERLINK("https://klasma.github.io/Logging_2510/tillsynsmail/A 65339-2020 tillsynsbegäran mail.docx", "A 65339-2020")</f>
        <v/>
      </c>
      <c r="Z111">
        <f>HYPERLINK("https://klasma.github.io/Logging_2510/fåglar/A 65339-2020 prioriterade fågelarter.docx", "A 65339-2020")</f>
        <v/>
      </c>
    </row>
    <row r="112" ht="15" customHeight="1">
      <c r="A112" t="inlineStr">
        <is>
          <t>A 7957-2022</t>
        </is>
      </c>
      <c r="B112" s="1" t="n">
        <v>44608</v>
      </c>
      <c r="C112" s="1" t="n">
        <v>45798</v>
      </c>
      <c r="D112" t="inlineStr">
        <is>
          <t>NORRBOTTENS LÄN</t>
        </is>
      </c>
      <c r="E112" t="inlineStr">
        <is>
          <t>PAJALA</t>
        </is>
      </c>
      <c r="F112" t="inlineStr">
        <is>
          <t>SCA</t>
        </is>
      </c>
      <c r="G112" t="n">
        <v>12.2</v>
      </c>
      <c r="H112" t="n">
        <v>1</v>
      </c>
      <c r="I112" t="n">
        <v>1</v>
      </c>
      <c r="J112" t="n">
        <v>10</v>
      </c>
      <c r="K112" t="n">
        <v>1</v>
      </c>
      <c r="L112" t="n">
        <v>0</v>
      </c>
      <c r="M112" t="n">
        <v>0</v>
      </c>
      <c r="N112" t="n">
        <v>0</v>
      </c>
      <c r="O112" t="n">
        <v>11</v>
      </c>
      <c r="P112" t="n">
        <v>1</v>
      </c>
      <c r="Q112" t="n">
        <v>12</v>
      </c>
      <c r="R112" s="2" t="inlineStr">
        <is>
          <t>Goliatmusseron
Blå taggsvamp
Gammelgransskål
Knottrig blåslav
Orange taggsvamp
Skrovlig taggsvamp
Svartvit taggsvamp
Tallriska
Talltaggsvamp
Tretåig hackspett
Ullticka
Dropptaggsvamp</t>
        </is>
      </c>
      <c r="S112">
        <f>HYPERLINK("https://klasma.github.io/Logging_2521/artfynd/A 7957-2022 artfynd.xlsx", "A 7957-2022")</f>
        <v/>
      </c>
      <c r="T112">
        <f>HYPERLINK("https://klasma.github.io/Logging_2521/kartor/A 7957-2022 karta.png", "A 7957-2022")</f>
        <v/>
      </c>
      <c r="V112">
        <f>HYPERLINK("https://klasma.github.io/Logging_2521/klagomål/A 7957-2022 FSC-klagomål.docx", "A 7957-2022")</f>
        <v/>
      </c>
      <c r="W112">
        <f>HYPERLINK("https://klasma.github.io/Logging_2521/klagomålsmail/A 7957-2022 FSC-klagomål mail.docx", "A 7957-2022")</f>
        <v/>
      </c>
      <c r="X112">
        <f>HYPERLINK("https://klasma.github.io/Logging_2521/tillsyn/A 7957-2022 tillsynsbegäran.docx", "A 7957-2022")</f>
        <v/>
      </c>
      <c r="Y112">
        <f>HYPERLINK("https://klasma.github.io/Logging_2521/tillsynsmail/A 7957-2022 tillsynsbegäran mail.docx", "A 7957-2022")</f>
        <v/>
      </c>
      <c r="Z112">
        <f>HYPERLINK("https://klasma.github.io/Logging_2521/fåglar/A 7957-2022 prioriterade fågelarter.docx", "A 7957-2022")</f>
        <v/>
      </c>
    </row>
    <row r="113" ht="15" customHeight="1">
      <c r="A113" t="inlineStr">
        <is>
          <t>A 47547-2022</t>
        </is>
      </c>
      <c r="B113" s="1" t="n">
        <v>44853</v>
      </c>
      <c r="C113" s="1" t="n">
        <v>45798</v>
      </c>
      <c r="D113" t="inlineStr">
        <is>
          <t>NORRBOTTENS LÄN</t>
        </is>
      </c>
      <c r="E113" t="inlineStr">
        <is>
          <t>BODEN</t>
        </is>
      </c>
      <c r="G113" t="n">
        <v>14.6</v>
      </c>
      <c r="H113" t="n">
        <v>3</v>
      </c>
      <c r="I113" t="n">
        <v>3</v>
      </c>
      <c r="J113" t="n">
        <v>8</v>
      </c>
      <c r="K113" t="n">
        <v>0</v>
      </c>
      <c r="L113" t="n">
        <v>0</v>
      </c>
      <c r="M113" t="n">
        <v>0</v>
      </c>
      <c r="N113" t="n">
        <v>0</v>
      </c>
      <c r="O113" t="n">
        <v>8</v>
      </c>
      <c r="P113" t="n">
        <v>0</v>
      </c>
      <c r="Q113" t="n">
        <v>12</v>
      </c>
      <c r="R113" s="2" t="inlineStr">
        <is>
          <t>Blå taggsvamp
Gammelgransskål
Garnlav
Kolflarnlav
Lunglav
Talltita
Tretåig hackspett
Vedskivlav
Bårdlav
Luddlav
Stuplav
Revlummer</t>
        </is>
      </c>
      <c r="S113">
        <f>HYPERLINK("https://klasma.github.io/Logging_2582/artfynd/A 47547-2022 artfynd.xlsx", "A 47547-2022")</f>
        <v/>
      </c>
      <c r="T113">
        <f>HYPERLINK("https://klasma.github.io/Logging_2582/kartor/A 47547-2022 karta.png", "A 47547-2022")</f>
        <v/>
      </c>
      <c r="V113">
        <f>HYPERLINK("https://klasma.github.io/Logging_2582/klagomål/A 47547-2022 FSC-klagomål.docx", "A 47547-2022")</f>
        <v/>
      </c>
      <c r="W113">
        <f>HYPERLINK("https://klasma.github.io/Logging_2582/klagomålsmail/A 47547-2022 FSC-klagomål mail.docx", "A 47547-2022")</f>
        <v/>
      </c>
      <c r="X113">
        <f>HYPERLINK("https://klasma.github.io/Logging_2582/tillsyn/A 47547-2022 tillsynsbegäran.docx", "A 47547-2022")</f>
        <v/>
      </c>
      <c r="Y113">
        <f>HYPERLINK("https://klasma.github.io/Logging_2582/tillsynsmail/A 47547-2022 tillsynsbegäran mail.docx", "A 47547-2022")</f>
        <v/>
      </c>
      <c r="Z113">
        <f>HYPERLINK("https://klasma.github.io/Logging_2582/fåglar/A 47547-2022 prioriterade fågelarter.docx", "A 47547-2022")</f>
        <v/>
      </c>
    </row>
    <row r="114" ht="15" customHeight="1">
      <c r="A114" t="inlineStr">
        <is>
          <t>A 50304-2022</t>
        </is>
      </c>
      <c r="B114" s="1" t="n">
        <v>44865</v>
      </c>
      <c r="C114" s="1" t="n">
        <v>45798</v>
      </c>
      <c r="D114" t="inlineStr">
        <is>
          <t>NORRBOTTENS LÄN</t>
        </is>
      </c>
      <c r="E114" t="inlineStr">
        <is>
          <t>ARVIDSJAUR</t>
        </is>
      </c>
      <c r="G114" t="n">
        <v>14.5</v>
      </c>
      <c r="H114" t="n">
        <v>2</v>
      </c>
      <c r="I114" t="n">
        <v>2</v>
      </c>
      <c r="J114" t="n">
        <v>8</v>
      </c>
      <c r="K114" t="n">
        <v>2</v>
      </c>
      <c r="L114" t="n">
        <v>0</v>
      </c>
      <c r="M114" t="n">
        <v>0</v>
      </c>
      <c r="N114" t="n">
        <v>0</v>
      </c>
      <c r="O114" t="n">
        <v>10</v>
      </c>
      <c r="P114" t="n">
        <v>2</v>
      </c>
      <c r="Q114" t="n">
        <v>12</v>
      </c>
      <c r="R114" s="2" t="inlineStr">
        <is>
          <t>Ostticka
Rynkskinn
Gammelgransskål
Garnlav
Granticka
Gränsticka
Rosenticka
Spillkråka
Tretåig hackspett
Ullticka
Dropptaggsvamp
Vedticka</t>
        </is>
      </c>
      <c r="S114">
        <f>HYPERLINK("https://klasma.github.io/Logging_2505/artfynd/A 50304-2022 artfynd.xlsx", "A 50304-2022")</f>
        <v/>
      </c>
      <c r="T114">
        <f>HYPERLINK("https://klasma.github.io/Logging_2505/kartor/A 50304-2022 karta.png", "A 50304-2022")</f>
        <v/>
      </c>
      <c r="V114">
        <f>HYPERLINK("https://klasma.github.io/Logging_2505/klagomål/A 50304-2022 FSC-klagomål.docx", "A 50304-2022")</f>
        <v/>
      </c>
      <c r="W114">
        <f>HYPERLINK("https://klasma.github.io/Logging_2505/klagomålsmail/A 50304-2022 FSC-klagomål mail.docx", "A 50304-2022")</f>
        <v/>
      </c>
      <c r="X114">
        <f>HYPERLINK("https://klasma.github.io/Logging_2505/tillsyn/A 50304-2022 tillsynsbegäran.docx", "A 50304-2022")</f>
        <v/>
      </c>
      <c r="Y114">
        <f>HYPERLINK("https://klasma.github.io/Logging_2505/tillsynsmail/A 50304-2022 tillsynsbegäran mail.docx", "A 50304-2022")</f>
        <v/>
      </c>
      <c r="Z114">
        <f>HYPERLINK("https://klasma.github.io/Logging_2505/fåglar/A 50304-2022 prioriterade fågelarter.docx", "A 50304-2022")</f>
        <v/>
      </c>
    </row>
    <row r="115" ht="15" customHeight="1">
      <c r="A115" t="inlineStr">
        <is>
          <t>A 44336-2023</t>
        </is>
      </c>
      <c r="B115" s="1" t="n">
        <v>45188</v>
      </c>
      <c r="C115" s="1" t="n">
        <v>45798</v>
      </c>
      <c r="D115" t="inlineStr">
        <is>
          <t>NORRBOTTENS LÄN</t>
        </is>
      </c>
      <c r="E115" t="inlineStr">
        <is>
          <t>KALIX</t>
        </is>
      </c>
      <c r="G115" t="n">
        <v>11.2</v>
      </c>
      <c r="H115" t="n">
        <v>5</v>
      </c>
      <c r="I115" t="n">
        <v>2</v>
      </c>
      <c r="J115" t="n">
        <v>8</v>
      </c>
      <c r="K115" t="n">
        <v>1</v>
      </c>
      <c r="L115" t="n">
        <v>0</v>
      </c>
      <c r="M115" t="n">
        <v>0</v>
      </c>
      <c r="N115" t="n">
        <v>0</v>
      </c>
      <c r="O115" t="n">
        <v>9</v>
      </c>
      <c r="P115" t="n">
        <v>1</v>
      </c>
      <c r="Q115" t="n">
        <v>12</v>
      </c>
      <c r="R115" s="2" t="inlineStr">
        <is>
          <t>Lammticka
Garnlav
Kråka
Motaggsvamp
Orange taggsvamp
Spillkråka
Svart taggsvamp
Svartvit taggsvamp
Talltita
Dropptaggsvamp
Plattlummer
Revlummer</t>
        </is>
      </c>
      <c r="S115">
        <f>HYPERLINK("https://klasma.github.io/Logging_2514/artfynd/A 44336-2023 artfynd.xlsx", "A 44336-2023")</f>
        <v/>
      </c>
      <c r="T115">
        <f>HYPERLINK("https://klasma.github.io/Logging_2514/kartor/A 44336-2023 karta.png", "A 44336-2023")</f>
        <v/>
      </c>
      <c r="V115">
        <f>HYPERLINK("https://klasma.github.io/Logging_2514/klagomål/A 44336-2023 FSC-klagomål.docx", "A 44336-2023")</f>
        <v/>
      </c>
      <c r="W115">
        <f>HYPERLINK("https://klasma.github.io/Logging_2514/klagomålsmail/A 44336-2023 FSC-klagomål mail.docx", "A 44336-2023")</f>
        <v/>
      </c>
      <c r="X115">
        <f>HYPERLINK("https://klasma.github.io/Logging_2514/tillsyn/A 44336-2023 tillsynsbegäran.docx", "A 44336-2023")</f>
        <v/>
      </c>
      <c r="Y115">
        <f>HYPERLINK("https://klasma.github.io/Logging_2514/tillsynsmail/A 44336-2023 tillsynsbegäran mail.docx", "A 44336-2023")</f>
        <v/>
      </c>
      <c r="Z115">
        <f>HYPERLINK("https://klasma.github.io/Logging_2514/fåglar/A 44336-2023 prioriterade fågelarter.docx", "A 44336-2023")</f>
        <v/>
      </c>
    </row>
    <row r="116" ht="15" customHeight="1">
      <c r="A116" t="inlineStr">
        <is>
          <t>A 61941-2023</t>
        </is>
      </c>
      <c r="B116" s="1" t="n">
        <v>45266</v>
      </c>
      <c r="C116" s="1" t="n">
        <v>45798</v>
      </c>
      <c r="D116" t="inlineStr">
        <is>
          <t>NORRBOTTENS LÄN</t>
        </is>
      </c>
      <c r="E116" t="inlineStr">
        <is>
          <t>JOKKMOKK</t>
        </is>
      </c>
      <c r="F116" t="inlineStr">
        <is>
          <t>Allmännings- och besparingsskogar</t>
        </is>
      </c>
      <c r="G116" t="n">
        <v>10.1</v>
      </c>
      <c r="H116" t="n">
        <v>3</v>
      </c>
      <c r="I116" t="n">
        <v>4</v>
      </c>
      <c r="J116" t="n">
        <v>7</v>
      </c>
      <c r="K116" t="n">
        <v>0</v>
      </c>
      <c r="L116" t="n">
        <v>0</v>
      </c>
      <c r="M116" t="n">
        <v>0</v>
      </c>
      <c r="N116" t="n">
        <v>0</v>
      </c>
      <c r="O116" t="n">
        <v>7</v>
      </c>
      <c r="P116" t="n">
        <v>0</v>
      </c>
      <c r="Q116" t="n">
        <v>12</v>
      </c>
      <c r="R116" s="2" t="inlineStr">
        <is>
          <t>Kolflarnlav
Skrovlig taggsvamp
Spillkråka
Tallriska
Talltaggsvamp
Vaxspindling
Vedskivlav
Norrlandslav
Plattlummer
Skarp dropptaggsvamp
Vedticka
Revlummer</t>
        </is>
      </c>
      <c r="S116">
        <f>HYPERLINK("https://klasma.github.io/Logging_2510/artfynd/A 61941-2023 artfynd.xlsx", "A 61941-2023")</f>
        <v/>
      </c>
      <c r="T116">
        <f>HYPERLINK("https://klasma.github.io/Logging_2510/kartor/A 61941-2023 karta.png", "A 61941-2023")</f>
        <v/>
      </c>
      <c r="V116">
        <f>HYPERLINK("https://klasma.github.io/Logging_2510/klagomål/A 61941-2023 FSC-klagomål.docx", "A 61941-2023")</f>
        <v/>
      </c>
      <c r="W116">
        <f>HYPERLINK("https://klasma.github.io/Logging_2510/klagomålsmail/A 61941-2023 FSC-klagomål mail.docx", "A 61941-2023")</f>
        <v/>
      </c>
      <c r="X116">
        <f>HYPERLINK("https://klasma.github.io/Logging_2510/tillsyn/A 61941-2023 tillsynsbegäran.docx", "A 61941-2023")</f>
        <v/>
      </c>
      <c r="Y116">
        <f>HYPERLINK("https://klasma.github.io/Logging_2510/tillsynsmail/A 61941-2023 tillsynsbegäran mail.docx", "A 61941-2023")</f>
        <v/>
      </c>
      <c r="Z116">
        <f>HYPERLINK("https://klasma.github.io/Logging_2510/fåglar/A 61941-2023 prioriterade fågelarter.docx", "A 61941-2023")</f>
        <v/>
      </c>
    </row>
    <row r="117" ht="15" customHeight="1">
      <c r="A117" t="inlineStr">
        <is>
          <t>A 62208-2023</t>
        </is>
      </c>
      <c r="B117" s="1" t="n">
        <v>45267</v>
      </c>
      <c r="C117" s="1" t="n">
        <v>45798</v>
      </c>
      <c r="D117" t="inlineStr">
        <is>
          <t>NORRBOTTENS LÄN</t>
        </is>
      </c>
      <c r="E117" t="inlineStr">
        <is>
          <t>GÄLLIVARE</t>
        </is>
      </c>
      <c r="F117" t="inlineStr">
        <is>
          <t>Sveaskog</t>
        </is>
      </c>
      <c r="G117" t="n">
        <v>5.8</v>
      </c>
      <c r="H117" t="n">
        <v>0</v>
      </c>
      <c r="I117" t="n">
        <v>2</v>
      </c>
      <c r="J117" t="n">
        <v>6</v>
      </c>
      <c r="K117" t="n">
        <v>4</v>
      </c>
      <c r="L117" t="n">
        <v>0</v>
      </c>
      <c r="M117" t="n">
        <v>0</v>
      </c>
      <c r="N117" t="n">
        <v>0</v>
      </c>
      <c r="O117" t="n">
        <v>10</v>
      </c>
      <c r="P117" t="n">
        <v>4</v>
      </c>
      <c r="Q117" t="n">
        <v>12</v>
      </c>
      <c r="R117" s="2" t="inlineStr">
        <is>
          <t>Goliatmusseron
Smalfotad taggsvamp
Spadskinn
Tallgråticka
Blå taggsvamp
Orange taggsvamp
Skrovlig taggsvamp
Svart taggsvamp
Talltaggsvamp
Vaddporing
Dropptaggsvamp
Skarp dropptaggsvamp</t>
        </is>
      </c>
      <c r="S117">
        <f>HYPERLINK("https://klasma.github.io/Logging_2523/artfynd/A 62208-2023 artfynd.xlsx", "A 62208-2023")</f>
        <v/>
      </c>
      <c r="T117">
        <f>HYPERLINK("https://klasma.github.io/Logging_2523/kartor/A 62208-2023 karta.png", "A 62208-2023")</f>
        <v/>
      </c>
      <c r="V117">
        <f>HYPERLINK("https://klasma.github.io/Logging_2523/klagomål/A 62208-2023 FSC-klagomål.docx", "A 62208-2023")</f>
        <v/>
      </c>
      <c r="W117">
        <f>HYPERLINK("https://klasma.github.io/Logging_2523/klagomålsmail/A 62208-2023 FSC-klagomål mail.docx", "A 62208-2023")</f>
        <v/>
      </c>
      <c r="X117">
        <f>HYPERLINK("https://klasma.github.io/Logging_2523/tillsyn/A 62208-2023 tillsynsbegäran.docx", "A 62208-2023")</f>
        <v/>
      </c>
      <c r="Y117">
        <f>HYPERLINK("https://klasma.github.io/Logging_2523/tillsynsmail/A 62208-2023 tillsynsbegäran mail.docx", "A 62208-2023")</f>
        <v/>
      </c>
    </row>
    <row r="118" ht="15" customHeight="1">
      <c r="A118" t="inlineStr">
        <is>
          <t>A 63808-2023</t>
        </is>
      </c>
      <c r="B118" s="1" t="n">
        <v>45278</v>
      </c>
      <c r="C118" s="1" t="n">
        <v>45798</v>
      </c>
      <c r="D118" t="inlineStr">
        <is>
          <t>NORRBOTTENS LÄN</t>
        </is>
      </c>
      <c r="E118" t="inlineStr">
        <is>
          <t>ÖVERTORNEÅ</t>
        </is>
      </c>
      <c r="G118" t="n">
        <v>5.6</v>
      </c>
      <c r="H118" t="n">
        <v>5</v>
      </c>
      <c r="I118" t="n">
        <v>3</v>
      </c>
      <c r="J118" t="n">
        <v>5</v>
      </c>
      <c r="K118" t="n">
        <v>2</v>
      </c>
      <c r="L118" t="n">
        <v>0</v>
      </c>
      <c r="M118" t="n">
        <v>0</v>
      </c>
      <c r="N118" t="n">
        <v>0</v>
      </c>
      <c r="O118" t="n">
        <v>7</v>
      </c>
      <c r="P118" t="n">
        <v>2</v>
      </c>
      <c r="Q118" t="n">
        <v>12</v>
      </c>
      <c r="R118" s="2" t="inlineStr">
        <is>
          <t>Fläckporing
Knärot
Garnlav
Kolflarnlav
Lunglav
Mörk kolflarnlav
Spillkråka
Plattlummer
Skinnlav
Stuplav
Orre
Fläcknycklar</t>
        </is>
      </c>
      <c r="S118">
        <f>HYPERLINK("https://klasma.github.io/Logging_2518/artfynd/A 63808-2023 artfynd.xlsx", "A 63808-2023")</f>
        <v/>
      </c>
      <c r="T118">
        <f>HYPERLINK("https://klasma.github.io/Logging_2518/kartor/A 63808-2023 karta.png", "A 63808-2023")</f>
        <v/>
      </c>
      <c r="U118">
        <f>HYPERLINK("https://klasma.github.io/Logging_2518/knärot/A 63808-2023 karta knärot.png", "A 63808-2023")</f>
        <v/>
      </c>
      <c r="V118">
        <f>HYPERLINK("https://klasma.github.io/Logging_2518/klagomål/A 63808-2023 FSC-klagomål.docx", "A 63808-2023")</f>
        <v/>
      </c>
      <c r="W118">
        <f>HYPERLINK("https://klasma.github.io/Logging_2518/klagomålsmail/A 63808-2023 FSC-klagomål mail.docx", "A 63808-2023")</f>
        <v/>
      </c>
      <c r="X118">
        <f>HYPERLINK("https://klasma.github.io/Logging_2518/tillsyn/A 63808-2023 tillsynsbegäran.docx", "A 63808-2023")</f>
        <v/>
      </c>
      <c r="Y118">
        <f>HYPERLINK("https://klasma.github.io/Logging_2518/tillsynsmail/A 63808-2023 tillsynsbegäran mail.docx", "A 63808-2023")</f>
        <v/>
      </c>
      <c r="Z118">
        <f>HYPERLINK("https://klasma.github.io/Logging_2518/fåglar/A 63808-2023 prioriterade fågelarter.docx", "A 63808-2023")</f>
        <v/>
      </c>
    </row>
    <row r="119" ht="15" customHeight="1">
      <c r="A119" t="inlineStr">
        <is>
          <t>A 3199-2024</t>
        </is>
      </c>
      <c r="B119" s="1" t="n">
        <v>45316</v>
      </c>
      <c r="C119" s="1" t="n">
        <v>45798</v>
      </c>
      <c r="D119" t="inlineStr">
        <is>
          <t>NORRBOTTENS LÄN</t>
        </is>
      </c>
      <c r="E119" t="inlineStr">
        <is>
          <t>ARVIDSJAUR</t>
        </is>
      </c>
      <c r="F119" t="inlineStr">
        <is>
          <t>Allmännings- och besparingsskogar</t>
        </is>
      </c>
      <c r="G119" t="n">
        <v>13.3</v>
      </c>
      <c r="H119" t="n">
        <v>0</v>
      </c>
      <c r="I119" t="n">
        <v>2</v>
      </c>
      <c r="J119" t="n">
        <v>8</v>
      </c>
      <c r="K119" t="n">
        <v>2</v>
      </c>
      <c r="L119" t="n">
        <v>0</v>
      </c>
      <c r="M119" t="n">
        <v>0</v>
      </c>
      <c r="N119" t="n">
        <v>0</v>
      </c>
      <c r="O119" t="n">
        <v>10</v>
      </c>
      <c r="P119" t="n">
        <v>2</v>
      </c>
      <c r="Q119" t="n">
        <v>12</v>
      </c>
      <c r="R119" s="2" t="inlineStr">
        <is>
          <t>Fläckporing
Smalfotad taggsvamp
Blå taggsvamp
Nordtagging
Orange taggsvamp
Skrovlig taggsvamp
Svart taggsvamp
Svartvit taggsvamp
Talltaggsvamp
Vaddporing
Dropptaggsvamp
Skarp dropptaggsvamp</t>
        </is>
      </c>
      <c r="S119">
        <f>HYPERLINK("https://klasma.github.io/Logging_2505/artfynd/A 3199-2024 artfynd.xlsx", "A 3199-2024")</f>
        <v/>
      </c>
      <c r="T119">
        <f>HYPERLINK("https://klasma.github.io/Logging_2505/kartor/A 3199-2024 karta.png", "A 3199-2024")</f>
        <v/>
      </c>
      <c r="V119">
        <f>HYPERLINK("https://klasma.github.io/Logging_2505/klagomål/A 3199-2024 FSC-klagomål.docx", "A 3199-2024")</f>
        <v/>
      </c>
      <c r="W119">
        <f>HYPERLINK("https://klasma.github.io/Logging_2505/klagomålsmail/A 3199-2024 FSC-klagomål mail.docx", "A 3199-2024")</f>
        <v/>
      </c>
      <c r="X119">
        <f>HYPERLINK("https://klasma.github.io/Logging_2505/tillsyn/A 3199-2024 tillsynsbegäran.docx", "A 3199-2024")</f>
        <v/>
      </c>
      <c r="Y119">
        <f>HYPERLINK("https://klasma.github.io/Logging_2505/tillsynsmail/A 3199-2024 tillsynsbegäran mail.docx", "A 3199-2024")</f>
        <v/>
      </c>
    </row>
    <row r="120" ht="15" customHeight="1">
      <c r="A120" t="inlineStr">
        <is>
          <t>A 26852-2024</t>
        </is>
      </c>
      <c r="B120" s="1" t="n">
        <v>45470</v>
      </c>
      <c r="C120" s="1" t="n">
        <v>45798</v>
      </c>
      <c r="D120" t="inlineStr">
        <is>
          <t>NORRBOTTENS LÄN</t>
        </is>
      </c>
      <c r="E120" t="inlineStr">
        <is>
          <t>ARJEPLOG</t>
        </is>
      </c>
      <c r="F120" t="inlineStr">
        <is>
          <t>Allmännings- och besparingsskogar</t>
        </is>
      </c>
      <c r="G120" t="n">
        <v>17.9</v>
      </c>
      <c r="H120" t="n">
        <v>0</v>
      </c>
      <c r="I120" t="n">
        <v>1</v>
      </c>
      <c r="J120" t="n">
        <v>9</v>
      </c>
      <c r="K120" t="n">
        <v>2</v>
      </c>
      <c r="L120" t="n">
        <v>0</v>
      </c>
      <c r="M120" t="n">
        <v>0</v>
      </c>
      <c r="N120" t="n">
        <v>0</v>
      </c>
      <c r="O120" t="n">
        <v>11</v>
      </c>
      <c r="P120" t="n">
        <v>2</v>
      </c>
      <c r="Q120" t="n">
        <v>12</v>
      </c>
      <c r="R120" s="2" t="inlineStr">
        <is>
          <t>Fläckporing
Tajgaskinn
Blågrå svartspik
Dvärgbägarlav
Garnlav
Granticka
Gränsticka
Knottrig blåslav
Nordtagging
Ullticka
Vedflamlav
Vedticka</t>
        </is>
      </c>
      <c r="S120">
        <f>HYPERLINK("https://klasma.github.io/Logging_2506/artfynd/A 26852-2024 artfynd.xlsx", "A 26852-2024")</f>
        <v/>
      </c>
      <c r="T120">
        <f>HYPERLINK("https://klasma.github.io/Logging_2506/kartor/A 26852-2024 karta.png", "A 26852-2024")</f>
        <v/>
      </c>
      <c r="V120">
        <f>HYPERLINK("https://klasma.github.io/Logging_2506/klagomål/A 26852-2024 FSC-klagomål.docx", "A 26852-2024")</f>
        <v/>
      </c>
      <c r="W120">
        <f>HYPERLINK("https://klasma.github.io/Logging_2506/klagomålsmail/A 26852-2024 FSC-klagomål mail.docx", "A 26852-2024")</f>
        <v/>
      </c>
      <c r="X120">
        <f>HYPERLINK("https://klasma.github.io/Logging_2506/tillsyn/A 26852-2024 tillsynsbegäran.docx", "A 26852-2024")</f>
        <v/>
      </c>
      <c r="Y120">
        <f>HYPERLINK("https://klasma.github.io/Logging_2506/tillsynsmail/A 26852-2024 tillsynsbegäran mail.docx", "A 26852-2024")</f>
        <v/>
      </c>
    </row>
    <row r="121" ht="15" customHeight="1">
      <c r="A121" t="inlineStr">
        <is>
          <t>A 6198-2025</t>
        </is>
      </c>
      <c r="B121" s="1" t="n">
        <v>45696</v>
      </c>
      <c r="C121" s="1" t="n">
        <v>45798</v>
      </c>
      <c r="D121" t="inlineStr">
        <is>
          <t>NORRBOTTENS LÄN</t>
        </is>
      </c>
      <c r="E121" t="inlineStr">
        <is>
          <t>LULEÅ</t>
        </is>
      </c>
      <c r="G121" t="n">
        <v>7.7</v>
      </c>
      <c r="H121" t="n">
        <v>1</v>
      </c>
      <c r="I121" t="n">
        <v>3</v>
      </c>
      <c r="J121" t="n">
        <v>6</v>
      </c>
      <c r="K121" t="n">
        <v>3</v>
      </c>
      <c r="L121" t="n">
        <v>0</v>
      </c>
      <c r="M121" t="n">
        <v>0</v>
      </c>
      <c r="N121" t="n">
        <v>0</v>
      </c>
      <c r="O121" t="n">
        <v>9</v>
      </c>
      <c r="P121" t="n">
        <v>3</v>
      </c>
      <c r="Q121" t="n">
        <v>12</v>
      </c>
      <c r="R121" s="2" t="inlineStr">
        <is>
          <t>Granrotsspindling
Knärot
Sprickporing
Gammelgransskål
Granticka
Lunglav
Stjärntagging
Tallriska
Äggvaxskivling
Gulnål
Stuplav
Vedticka</t>
        </is>
      </c>
      <c r="S121">
        <f>HYPERLINK("https://klasma.github.io/Logging_2580/artfynd/A 6198-2025 artfynd.xlsx", "A 6198-2025")</f>
        <v/>
      </c>
      <c r="T121">
        <f>HYPERLINK("https://klasma.github.io/Logging_2580/kartor/A 6198-2025 karta.png", "A 6198-2025")</f>
        <v/>
      </c>
      <c r="U121">
        <f>HYPERLINK("https://klasma.github.io/Logging_2580/knärot/A 6198-2025 karta knärot.png", "A 6198-2025")</f>
        <v/>
      </c>
      <c r="V121">
        <f>HYPERLINK("https://klasma.github.io/Logging_2580/klagomål/A 6198-2025 FSC-klagomål.docx", "A 6198-2025")</f>
        <v/>
      </c>
      <c r="W121">
        <f>HYPERLINK("https://klasma.github.io/Logging_2580/klagomålsmail/A 6198-2025 FSC-klagomål mail.docx", "A 6198-2025")</f>
        <v/>
      </c>
      <c r="X121">
        <f>HYPERLINK("https://klasma.github.io/Logging_2580/tillsyn/A 6198-2025 tillsynsbegäran.docx", "A 6198-2025")</f>
        <v/>
      </c>
      <c r="Y121">
        <f>HYPERLINK("https://klasma.github.io/Logging_2580/tillsynsmail/A 6198-2025 tillsynsbegäran mail.docx", "A 6198-2025")</f>
        <v/>
      </c>
    </row>
    <row r="122" ht="15" customHeight="1">
      <c r="A122" t="inlineStr">
        <is>
          <t>A 19776-2019</t>
        </is>
      </c>
      <c r="B122" s="1" t="n">
        <v>43566</v>
      </c>
      <c r="C122" s="1" t="n">
        <v>45798</v>
      </c>
      <c r="D122" t="inlineStr">
        <is>
          <t>NORRBOTTENS LÄN</t>
        </is>
      </c>
      <c r="E122" t="inlineStr">
        <is>
          <t>JOKKMOKK</t>
        </is>
      </c>
      <c r="G122" t="n">
        <v>13.9</v>
      </c>
      <c r="H122" t="n">
        <v>2</v>
      </c>
      <c r="I122" t="n">
        <v>5</v>
      </c>
      <c r="J122" t="n">
        <v>5</v>
      </c>
      <c r="K122" t="n">
        <v>0</v>
      </c>
      <c r="L122" t="n">
        <v>0</v>
      </c>
      <c r="M122" t="n">
        <v>0</v>
      </c>
      <c r="N122" t="n">
        <v>0</v>
      </c>
      <c r="O122" t="n">
        <v>5</v>
      </c>
      <c r="P122" t="n">
        <v>0</v>
      </c>
      <c r="Q122" t="n">
        <v>11</v>
      </c>
      <c r="R122" s="2" t="inlineStr">
        <is>
          <t>Brunpudrad nållav
Gammelgransskål
Garnlav
Lunglav
Talltita
Bårdlav
Luddlav
Norrlandslav
Nästlav
Stuplav
Revlummer</t>
        </is>
      </c>
      <c r="S122">
        <f>HYPERLINK("https://klasma.github.io/Logging_2510/artfynd/A 19776-2019 artfynd.xlsx", "A 19776-2019")</f>
        <v/>
      </c>
      <c r="T122">
        <f>HYPERLINK("https://klasma.github.io/Logging_2510/kartor/A 19776-2019 karta.png", "A 19776-2019")</f>
        <v/>
      </c>
      <c r="V122">
        <f>HYPERLINK("https://klasma.github.io/Logging_2510/klagomål/A 19776-2019 FSC-klagomål.docx", "A 19776-2019")</f>
        <v/>
      </c>
      <c r="W122">
        <f>HYPERLINK("https://klasma.github.io/Logging_2510/klagomålsmail/A 19776-2019 FSC-klagomål mail.docx", "A 19776-2019")</f>
        <v/>
      </c>
      <c r="X122">
        <f>HYPERLINK("https://klasma.github.io/Logging_2510/tillsyn/A 19776-2019 tillsynsbegäran.docx", "A 19776-2019")</f>
        <v/>
      </c>
      <c r="Y122">
        <f>HYPERLINK("https://klasma.github.io/Logging_2510/tillsynsmail/A 19776-2019 tillsynsbegäran mail.docx", "A 19776-2019")</f>
        <v/>
      </c>
      <c r="Z122">
        <f>HYPERLINK("https://klasma.github.io/Logging_2510/fåglar/A 19776-2019 prioriterade fågelarter.docx", "A 19776-2019")</f>
        <v/>
      </c>
    </row>
    <row r="123" ht="15" customHeight="1">
      <c r="A123" t="inlineStr">
        <is>
          <t>A 30926-2019</t>
        </is>
      </c>
      <c r="B123" s="1" t="n">
        <v>43636</v>
      </c>
      <c r="C123" s="1" t="n">
        <v>45798</v>
      </c>
      <c r="D123" t="inlineStr">
        <is>
          <t>NORRBOTTENS LÄN</t>
        </is>
      </c>
      <c r="E123" t="inlineStr">
        <is>
          <t>GÄLLIVARE</t>
        </is>
      </c>
      <c r="F123" t="inlineStr">
        <is>
          <t>SCA</t>
        </is>
      </c>
      <c r="G123" t="n">
        <v>2.4</v>
      </c>
      <c r="H123" t="n">
        <v>0</v>
      </c>
      <c r="I123" t="n">
        <v>1</v>
      </c>
      <c r="J123" t="n">
        <v>5</v>
      </c>
      <c r="K123" t="n">
        <v>5</v>
      </c>
      <c r="L123" t="n">
        <v>0</v>
      </c>
      <c r="M123" t="n">
        <v>0</v>
      </c>
      <c r="N123" t="n">
        <v>0</v>
      </c>
      <c r="O123" t="n">
        <v>10</v>
      </c>
      <c r="P123" t="n">
        <v>5</v>
      </c>
      <c r="Q123" t="n">
        <v>11</v>
      </c>
      <c r="R123" s="2" t="inlineStr">
        <is>
          <t>Lammticka
Rotfingersvamp
Tallgråticka
Tallstocksticka
Torrmusseron
Blå taggsvamp
Mjölsvärting
Motaggsvamp
Tallriska
Talltaggsvamp
Skarp dropptaggsvamp</t>
        </is>
      </c>
      <c r="S123">
        <f>HYPERLINK("https://klasma.github.io/Logging_2523/artfynd/A 30926-2019 artfynd.xlsx", "A 30926-2019")</f>
        <v/>
      </c>
      <c r="T123">
        <f>HYPERLINK("https://klasma.github.io/Logging_2523/kartor/A 30926-2019 karta.png", "A 30926-2019")</f>
        <v/>
      </c>
      <c r="V123">
        <f>HYPERLINK("https://klasma.github.io/Logging_2523/klagomål/A 30926-2019 FSC-klagomål.docx", "A 30926-2019")</f>
        <v/>
      </c>
      <c r="W123">
        <f>HYPERLINK("https://klasma.github.io/Logging_2523/klagomålsmail/A 30926-2019 FSC-klagomål mail.docx", "A 30926-2019")</f>
        <v/>
      </c>
      <c r="X123">
        <f>HYPERLINK("https://klasma.github.io/Logging_2523/tillsyn/A 30926-2019 tillsynsbegäran.docx", "A 30926-2019")</f>
        <v/>
      </c>
      <c r="Y123">
        <f>HYPERLINK("https://klasma.github.io/Logging_2523/tillsynsmail/A 30926-2019 tillsynsbegäran mail.docx", "A 30926-2019")</f>
        <v/>
      </c>
    </row>
    <row r="124" ht="15" customHeight="1">
      <c r="A124" t="inlineStr">
        <is>
          <t>A 13867-2020</t>
        </is>
      </c>
      <c r="B124" s="1" t="n">
        <v>43896</v>
      </c>
      <c r="C124" s="1" t="n">
        <v>45798</v>
      </c>
      <c r="D124" t="inlineStr">
        <is>
          <t>NORRBOTTENS LÄN</t>
        </is>
      </c>
      <c r="E124" t="inlineStr">
        <is>
          <t>PITEÅ</t>
        </is>
      </c>
      <c r="G124" t="n">
        <v>5</v>
      </c>
      <c r="H124" t="n">
        <v>2</v>
      </c>
      <c r="I124" t="n">
        <v>2</v>
      </c>
      <c r="J124" t="n">
        <v>8</v>
      </c>
      <c r="K124" t="n">
        <v>1</v>
      </c>
      <c r="L124" t="n">
        <v>0</v>
      </c>
      <c r="M124" t="n">
        <v>0</v>
      </c>
      <c r="N124" t="n">
        <v>0</v>
      </c>
      <c r="O124" t="n">
        <v>9</v>
      </c>
      <c r="P124" t="n">
        <v>1</v>
      </c>
      <c r="Q124" t="n">
        <v>11</v>
      </c>
      <c r="R124" s="2" t="inlineStr">
        <is>
          <t>Knärot
Garnlav
Granticka
Lunglav
Orange taggsvamp
Stjärntagging
Tretåig hackspett
Ullticka
Äggvaxskivling
Fjällig taggsvamp s.str.
Skarp dropptaggsvamp</t>
        </is>
      </c>
      <c r="S124">
        <f>HYPERLINK("https://klasma.github.io/Logging_2581/artfynd/A 13867-2020 artfynd.xlsx", "A 13867-2020")</f>
        <v/>
      </c>
      <c r="T124">
        <f>HYPERLINK("https://klasma.github.io/Logging_2581/kartor/A 13867-2020 karta.png", "A 13867-2020")</f>
        <v/>
      </c>
      <c r="U124">
        <f>HYPERLINK("https://klasma.github.io/Logging_2581/knärot/A 13867-2020 karta knärot.png", "A 13867-2020")</f>
        <v/>
      </c>
      <c r="V124">
        <f>HYPERLINK("https://klasma.github.io/Logging_2581/klagomål/A 13867-2020 FSC-klagomål.docx", "A 13867-2020")</f>
        <v/>
      </c>
      <c r="W124">
        <f>HYPERLINK("https://klasma.github.io/Logging_2581/klagomålsmail/A 13867-2020 FSC-klagomål mail.docx", "A 13867-2020")</f>
        <v/>
      </c>
      <c r="X124">
        <f>HYPERLINK("https://klasma.github.io/Logging_2581/tillsyn/A 13867-2020 tillsynsbegäran.docx", "A 13867-2020")</f>
        <v/>
      </c>
      <c r="Y124">
        <f>HYPERLINK("https://klasma.github.io/Logging_2581/tillsynsmail/A 13867-2020 tillsynsbegäran mail.docx", "A 13867-2020")</f>
        <v/>
      </c>
      <c r="Z124">
        <f>HYPERLINK("https://klasma.github.io/Logging_2581/fåglar/A 13867-2020 prioriterade fågelarter.docx", "A 13867-2020")</f>
        <v/>
      </c>
    </row>
    <row r="125" ht="15" customHeight="1">
      <c r="A125" t="inlineStr">
        <is>
          <t>A 16233-2020</t>
        </is>
      </c>
      <c r="B125" s="1" t="n">
        <v>43917</v>
      </c>
      <c r="C125" s="1" t="n">
        <v>45798</v>
      </c>
      <c r="D125" t="inlineStr">
        <is>
          <t>NORRBOTTENS LÄN</t>
        </is>
      </c>
      <c r="E125" t="inlineStr">
        <is>
          <t>BODEN</t>
        </is>
      </c>
      <c r="F125" t="inlineStr">
        <is>
          <t>Övriga statliga verk och myndigheter</t>
        </is>
      </c>
      <c r="G125" t="n">
        <v>11.1</v>
      </c>
      <c r="H125" t="n">
        <v>4</v>
      </c>
      <c r="I125" t="n">
        <v>0</v>
      </c>
      <c r="J125" t="n">
        <v>7</v>
      </c>
      <c r="K125" t="n">
        <v>1</v>
      </c>
      <c r="L125" t="n">
        <v>0</v>
      </c>
      <c r="M125" t="n">
        <v>0</v>
      </c>
      <c r="N125" t="n">
        <v>0</v>
      </c>
      <c r="O125" t="n">
        <v>8</v>
      </c>
      <c r="P125" t="n">
        <v>1</v>
      </c>
      <c r="Q125" t="n">
        <v>11</v>
      </c>
      <c r="R125" s="2" t="inlineStr">
        <is>
          <t>Rynkskinn
Garnlav
Granticka
Lunglav
Rosenticka
Tretåig hackspett
Ullticka
Violmussling
Järnsparv
Kungsfågel
Orre</t>
        </is>
      </c>
      <c r="S125">
        <f>HYPERLINK("https://klasma.github.io/Logging_2582/artfynd/A 16233-2020 artfynd.xlsx", "A 16233-2020")</f>
        <v/>
      </c>
      <c r="T125">
        <f>HYPERLINK("https://klasma.github.io/Logging_2582/kartor/A 16233-2020 karta.png", "A 16233-2020")</f>
        <v/>
      </c>
      <c r="V125">
        <f>HYPERLINK("https://klasma.github.io/Logging_2582/klagomål/A 16233-2020 FSC-klagomål.docx", "A 16233-2020")</f>
        <v/>
      </c>
      <c r="W125">
        <f>HYPERLINK("https://klasma.github.io/Logging_2582/klagomålsmail/A 16233-2020 FSC-klagomål mail.docx", "A 16233-2020")</f>
        <v/>
      </c>
      <c r="X125">
        <f>HYPERLINK("https://klasma.github.io/Logging_2582/tillsyn/A 16233-2020 tillsynsbegäran.docx", "A 16233-2020")</f>
        <v/>
      </c>
      <c r="Y125">
        <f>HYPERLINK("https://klasma.github.io/Logging_2582/tillsynsmail/A 16233-2020 tillsynsbegäran mail.docx", "A 16233-2020")</f>
        <v/>
      </c>
      <c r="Z125">
        <f>HYPERLINK("https://klasma.github.io/Logging_2582/fåglar/A 16233-2020 prioriterade fågelarter.docx", "A 16233-2020")</f>
        <v/>
      </c>
    </row>
    <row r="126" ht="15" customHeight="1">
      <c r="A126" t="inlineStr">
        <is>
          <t>A 28162-2020</t>
        </is>
      </c>
      <c r="B126" s="1" t="n">
        <v>43997</v>
      </c>
      <c r="C126" s="1" t="n">
        <v>45798</v>
      </c>
      <c r="D126" t="inlineStr">
        <is>
          <t>NORRBOTTENS LÄN</t>
        </is>
      </c>
      <c r="E126" t="inlineStr">
        <is>
          <t>JOKKMOKK</t>
        </is>
      </c>
      <c r="F126" t="inlineStr">
        <is>
          <t>Sveaskog</t>
        </is>
      </c>
      <c r="G126" t="n">
        <v>15.9</v>
      </c>
      <c r="H126" t="n">
        <v>0</v>
      </c>
      <c r="I126" t="n">
        <v>2</v>
      </c>
      <c r="J126" t="n">
        <v>6</v>
      </c>
      <c r="K126" t="n">
        <v>3</v>
      </c>
      <c r="L126" t="n">
        <v>0</v>
      </c>
      <c r="M126" t="n">
        <v>0</v>
      </c>
      <c r="N126" t="n">
        <v>0</v>
      </c>
      <c r="O126" t="n">
        <v>9</v>
      </c>
      <c r="P126" t="n">
        <v>3</v>
      </c>
      <c r="Q126" t="n">
        <v>11</v>
      </c>
      <c r="R126" s="2" t="inlineStr">
        <is>
          <t>Gräddporing
Smalfotad taggsvamp
Tajgataggsvamp
Dvärgbägarlav
Knottrig blåslav
Kolflarnlav
Mörk kolflarnlav
Orange taggsvamp
Vedskivlav
Skarp dropptaggsvamp
Vedticka</t>
        </is>
      </c>
      <c r="S126">
        <f>HYPERLINK("https://klasma.github.io/Logging_2510/artfynd/A 28162-2020 artfynd.xlsx", "A 28162-2020")</f>
        <v/>
      </c>
      <c r="T126">
        <f>HYPERLINK("https://klasma.github.io/Logging_2510/kartor/A 28162-2020 karta.png", "A 28162-2020")</f>
        <v/>
      </c>
      <c r="V126">
        <f>HYPERLINK("https://klasma.github.io/Logging_2510/klagomål/A 28162-2020 FSC-klagomål.docx", "A 28162-2020")</f>
        <v/>
      </c>
      <c r="W126">
        <f>HYPERLINK("https://klasma.github.io/Logging_2510/klagomålsmail/A 28162-2020 FSC-klagomål mail.docx", "A 28162-2020")</f>
        <v/>
      </c>
      <c r="X126">
        <f>HYPERLINK("https://klasma.github.io/Logging_2510/tillsyn/A 28162-2020 tillsynsbegäran.docx", "A 28162-2020")</f>
        <v/>
      </c>
      <c r="Y126">
        <f>HYPERLINK("https://klasma.github.io/Logging_2510/tillsynsmail/A 28162-2020 tillsynsbegäran mail.docx", "A 28162-2020")</f>
        <v/>
      </c>
    </row>
    <row r="127" ht="15" customHeight="1">
      <c r="A127" t="inlineStr">
        <is>
          <t>A 32380-2021</t>
        </is>
      </c>
      <c r="B127" s="1" t="n">
        <v>44371</v>
      </c>
      <c r="C127" s="1" t="n">
        <v>45798</v>
      </c>
      <c r="D127" t="inlineStr">
        <is>
          <t>NORRBOTTENS LÄN</t>
        </is>
      </c>
      <c r="E127" t="inlineStr">
        <is>
          <t>BODEN</t>
        </is>
      </c>
      <c r="F127" t="inlineStr">
        <is>
          <t>Sveaskog</t>
        </is>
      </c>
      <c r="G127" t="n">
        <v>9.6</v>
      </c>
      <c r="H127" t="n">
        <v>2</v>
      </c>
      <c r="I127" t="n">
        <v>4</v>
      </c>
      <c r="J127" t="n">
        <v>6</v>
      </c>
      <c r="K127" t="n">
        <v>1</v>
      </c>
      <c r="L127" t="n">
        <v>0</v>
      </c>
      <c r="M127" t="n">
        <v>0</v>
      </c>
      <c r="N127" t="n">
        <v>0</v>
      </c>
      <c r="O127" t="n">
        <v>7</v>
      </c>
      <c r="P127" t="n">
        <v>1</v>
      </c>
      <c r="Q127" t="n">
        <v>11</v>
      </c>
      <c r="R127" s="2" t="inlineStr">
        <is>
          <t>Knärot
Blå taggsvamp
Garnlav
Kolflarnlav
Koralltaggsvamp
Lunglav
Mörk kolflarnlav
Bårdlav
Spindelblomster
Stuplav
Ögonpyrola</t>
        </is>
      </c>
      <c r="S127">
        <f>HYPERLINK("https://klasma.github.io/Logging_2582/artfynd/A 32380-2021 artfynd.xlsx", "A 32380-2021")</f>
        <v/>
      </c>
      <c r="T127">
        <f>HYPERLINK("https://klasma.github.io/Logging_2582/kartor/A 32380-2021 karta.png", "A 32380-2021")</f>
        <v/>
      </c>
      <c r="U127">
        <f>HYPERLINK("https://klasma.github.io/Logging_2582/knärot/A 32380-2021 karta knärot.png", "A 32380-2021")</f>
        <v/>
      </c>
      <c r="V127">
        <f>HYPERLINK("https://klasma.github.io/Logging_2582/klagomål/A 32380-2021 FSC-klagomål.docx", "A 32380-2021")</f>
        <v/>
      </c>
      <c r="W127">
        <f>HYPERLINK("https://klasma.github.io/Logging_2582/klagomålsmail/A 32380-2021 FSC-klagomål mail.docx", "A 32380-2021")</f>
        <v/>
      </c>
      <c r="X127">
        <f>HYPERLINK("https://klasma.github.io/Logging_2582/tillsyn/A 32380-2021 tillsynsbegäran.docx", "A 32380-2021")</f>
        <v/>
      </c>
      <c r="Y127">
        <f>HYPERLINK("https://klasma.github.io/Logging_2582/tillsynsmail/A 32380-2021 tillsynsbegäran mail.docx", "A 32380-2021")</f>
        <v/>
      </c>
    </row>
    <row r="128" ht="15" customHeight="1">
      <c r="A128" t="inlineStr">
        <is>
          <t>A 69012-2021</t>
        </is>
      </c>
      <c r="B128" s="1" t="n">
        <v>44530</v>
      </c>
      <c r="C128" s="1" t="n">
        <v>45798</v>
      </c>
      <c r="D128" t="inlineStr">
        <is>
          <t>NORRBOTTENS LÄN</t>
        </is>
      </c>
      <c r="E128" t="inlineStr">
        <is>
          <t>KALIX</t>
        </is>
      </c>
      <c r="G128" t="n">
        <v>6</v>
      </c>
      <c r="H128" t="n">
        <v>5</v>
      </c>
      <c r="I128" t="n">
        <v>1</v>
      </c>
      <c r="J128" t="n">
        <v>8</v>
      </c>
      <c r="K128" t="n">
        <v>1</v>
      </c>
      <c r="L128" t="n">
        <v>0</v>
      </c>
      <c r="M128" t="n">
        <v>0</v>
      </c>
      <c r="N128" t="n">
        <v>0</v>
      </c>
      <c r="O128" t="n">
        <v>9</v>
      </c>
      <c r="P128" t="n">
        <v>1</v>
      </c>
      <c r="Q128" t="n">
        <v>11</v>
      </c>
      <c r="R128" s="2" t="inlineStr">
        <is>
          <t>Knärot
Gammelgransskål
Garnlav
Granticka
Kråka
Spillkråka
Talltita
Ullticka
Äggvaxskivling
Rödgul trumpetsvamp
Revlummer</t>
        </is>
      </c>
      <c r="S128">
        <f>HYPERLINK("https://klasma.github.io/Logging_2514/artfynd/A 69012-2021 artfynd.xlsx", "A 69012-2021")</f>
        <v/>
      </c>
      <c r="T128">
        <f>HYPERLINK("https://klasma.github.io/Logging_2514/kartor/A 69012-2021 karta.png", "A 69012-2021")</f>
        <v/>
      </c>
      <c r="U128">
        <f>HYPERLINK("https://klasma.github.io/Logging_2514/knärot/A 69012-2021 karta knärot.png", "A 69012-2021")</f>
        <v/>
      </c>
      <c r="V128">
        <f>HYPERLINK("https://klasma.github.io/Logging_2514/klagomål/A 69012-2021 FSC-klagomål.docx", "A 69012-2021")</f>
        <v/>
      </c>
      <c r="W128">
        <f>HYPERLINK("https://klasma.github.io/Logging_2514/klagomålsmail/A 69012-2021 FSC-klagomål mail.docx", "A 69012-2021")</f>
        <v/>
      </c>
      <c r="X128">
        <f>HYPERLINK("https://klasma.github.io/Logging_2514/tillsyn/A 69012-2021 tillsynsbegäran.docx", "A 69012-2021")</f>
        <v/>
      </c>
      <c r="Y128">
        <f>HYPERLINK("https://klasma.github.io/Logging_2514/tillsynsmail/A 69012-2021 tillsynsbegäran mail.docx", "A 69012-2021")</f>
        <v/>
      </c>
      <c r="Z128">
        <f>HYPERLINK("https://klasma.github.io/Logging_2514/fåglar/A 69012-2021 prioriterade fågelarter.docx", "A 69012-2021")</f>
        <v/>
      </c>
    </row>
    <row r="129" ht="15" customHeight="1">
      <c r="A129" t="inlineStr">
        <is>
          <t>A 12004-2022</t>
        </is>
      </c>
      <c r="B129" s="1" t="n">
        <v>44635</v>
      </c>
      <c r="C129" s="1" t="n">
        <v>45798</v>
      </c>
      <c r="D129" t="inlineStr">
        <is>
          <t>NORRBOTTENS LÄN</t>
        </is>
      </c>
      <c r="E129" t="inlineStr">
        <is>
          <t>ÖVERTORNEÅ</t>
        </is>
      </c>
      <c r="G129" t="n">
        <v>17</v>
      </c>
      <c r="H129" t="n">
        <v>4</v>
      </c>
      <c r="I129" t="n">
        <v>4</v>
      </c>
      <c r="J129" t="n">
        <v>5</v>
      </c>
      <c r="K129" t="n">
        <v>1</v>
      </c>
      <c r="L129" t="n">
        <v>0</v>
      </c>
      <c r="M129" t="n">
        <v>0</v>
      </c>
      <c r="N129" t="n">
        <v>0</v>
      </c>
      <c r="O129" t="n">
        <v>6</v>
      </c>
      <c r="P129" t="n">
        <v>1</v>
      </c>
      <c r="Q129" t="n">
        <v>11</v>
      </c>
      <c r="R129" s="2" t="inlineStr">
        <is>
          <t>Knärot
Garnlav
Granticka
Motaggsvamp
Spillkråka
Tretåig hackspett
Dropptaggsvamp
Skinnlav
Stuplav
Vedticka
Tjäder</t>
        </is>
      </c>
      <c r="S129">
        <f>HYPERLINK("https://klasma.github.io/Logging_2518/artfynd/A 12004-2022 artfynd.xlsx", "A 12004-2022")</f>
        <v/>
      </c>
      <c r="T129">
        <f>HYPERLINK("https://klasma.github.io/Logging_2518/kartor/A 12004-2022 karta.png", "A 12004-2022")</f>
        <v/>
      </c>
      <c r="U129">
        <f>HYPERLINK("https://klasma.github.io/Logging_2518/knärot/A 12004-2022 karta knärot.png", "A 12004-2022")</f>
        <v/>
      </c>
      <c r="V129">
        <f>HYPERLINK("https://klasma.github.io/Logging_2518/klagomål/A 12004-2022 FSC-klagomål.docx", "A 12004-2022")</f>
        <v/>
      </c>
      <c r="W129">
        <f>HYPERLINK("https://klasma.github.io/Logging_2518/klagomålsmail/A 12004-2022 FSC-klagomål mail.docx", "A 12004-2022")</f>
        <v/>
      </c>
      <c r="X129">
        <f>HYPERLINK("https://klasma.github.io/Logging_2518/tillsyn/A 12004-2022 tillsynsbegäran.docx", "A 12004-2022")</f>
        <v/>
      </c>
      <c r="Y129">
        <f>HYPERLINK("https://klasma.github.io/Logging_2518/tillsynsmail/A 12004-2022 tillsynsbegäran mail.docx", "A 12004-2022")</f>
        <v/>
      </c>
      <c r="Z129">
        <f>HYPERLINK("https://klasma.github.io/Logging_2518/fåglar/A 12004-2022 prioriterade fågelarter.docx", "A 12004-2022")</f>
        <v/>
      </c>
    </row>
    <row r="130" ht="15" customHeight="1">
      <c r="A130" t="inlineStr">
        <is>
          <t>A 26670-2022</t>
        </is>
      </c>
      <c r="B130" s="1" t="n">
        <v>44739</v>
      </c>
      <c r="C130" s="1" t="n">
        <v>45798</v>
      </c>
      <c r="D130" t="inlineStr">
        <is>
          <t>NORRBOTTENS LÄN</t>
        </is>
      </c>
      <c r="E130" t="inlineStr">
        <is>
          <t>GÄLLIVARE</t>
        </is>
      </c>
      <c r="G130" t="n">
        <v>27.4</v>
      </c>
      <c r="H130" t="n">
        <v>2</v>
      </c>
      <c r="I130" t="n">
        <v>3</v>
      </c>
      <c r="J130" t="n">
        <v>8</v>
      </c>
      <c r="K130" t="n">
        <v>0</v>
      </c>
      <c r="L130" t="n">
        <v>0</v>
      </c>
      <c r="M130" t="n">
        <v>0</v>
      </c>
      <c r="N130" t="n">
        <v>0</v>
      </c>
      <c r="O130" t="n">
        <v>8</v>
      </c>
      <c r="P130" t="n">
        <v>0</v>
      </c>
      <c r="Q130" t="n">
        <v>11</v>
      </c>
      <c r="R130" s="2" t="inlineStr">
        <is>
          <t>Blanksvart spiklav
Blå taggsvamp
Knottrig blåslav
Lappmes
Tallticka
Tretåig hackspett
Vedtrappmossa
Vitplätt
Dropptaggsvamp
Gullgröppa
Skarp dropptaggsvamp</t>
        </is>
      </c>
      <c r="S130">
        <f>HYPERLINK("https://klasma.github.io/Logging_2523/artfynd/A 26670-2022 artfynd.xlsx", "A 26670-2022")</f>
        <v/>
      </c>
      <c r="T130">
        <f>HYPERLINK("https://klasma.github.io/Logging_2523/kartor/A 26670-2022 karta.png", "A 26670-2022")</f>
        <v/>
      </c>
      <c r="V130">
        <f>HYPERLINK("https://klasma.github.io/Logging_2523/klagomål/A 26670-2022 FSC-klagomål.docx", "A 26670-2022")</f>
        <v/>
      </c>
      <c r="W130">
        <f>HYPERLINK("https://klasma.github.io/Logging_2523/klagomålsmail/A 26670-2022 FSC-klagomål mail.docx", "A 26670-2022")</f>
        <v/>
      </c>
      <c r="X130">
        <f>HYPERLINK("https://klasma.github.io/Logging_2523/tillsyn/A 26670-2022 tillsynsbegäran.docx", "A 26670-2022")</f>
        <v/>
      </c>
      <c r="Y130">
        <f>HYPERLINK("https://klasma.github.io/Logging_2523/tillsynsmail/A 26670-2022 tillsynsbegäran mail.docx", "A 26670-2022")</f>
        <v/>
      </c>
      <c r="Z130">
        <f>HYPERLINK("https://klasma.github.io/Logging_2523/fåglar/A 26670-2022 prioriterade fågelarter.docx", "A 26670-2022")</f>
        <v/>
      </c>
    </row>
    <row r="131" ht="15" customHeight="1">
      <c r="A131" t="inlineStr">
        <is>
          <t>A 26954-2022</t>
        </is>
      </c>
      <c r="B131" s="1" t="n">
        <v>44740</v>
      </c>
      <c r="C131" s="1" t="n">
        <v>45798</v>
      </c>
      <c r="D131" t="inlineStr">
        <is>
          <t>NORRBOTTENS LÄN</t>
        </is>
      </c>
      <c r="E131" t="inlineStr">
        <is>
          <t>ARJEPLOG</t>
        </is>
      </c>
      <c r="F131" t="inlineStr">
        <is>
          <t>Allmännings- och besparingsskogar</t>
        </is>
      </c>
      <c r="G131" t="n">
        <v>10.4</v>
      </c>
      <c r="H131" t="n">
        <v>2</v>
      </c>
      <c r="I131" t="n">
        <v>0</v>
      </c>
      <c r="J131" t="n">
        <v>10</v>
      </c>
      <c r="K131" t="n">
        <v>0</v>
      </c>
      <c r="L131" t="n">
        <v>0</v>
      </c>
      <c r="M131" t="n">
        <v>0</v>
      </c>
      <c r="N131" t="n">
        <v>0</v>
      </c>
      <c r="O131" t="n">
        <v>10</v>
      </c>
      <c r="P131" t="n">
        <v>0</v>
      </c>
      <c r="Q131" t="n">
        <v>11</v>
      </c>
      <c r="R131" s="2" t="inlineStr">
        <is>
          <t>Blanksvart spiklav
Blå taggsvamp
Granticka
Gropig brunbagge
Ladlav
Nordtagging
Orange taggsvamp
Tretåig hackspett
Vedflamlav
Vedskivlav
Vanlig padda</t>
        </is>
      </c>
      <c r="S131">
        <f>HYPERLINK("https://klasma.github.io/Logging_2506/artfynd/A 26954-2022 artfynd.xlsx", "A 26954-2022")</f>
        <v/>
      </c>
      <c r="T131">
        <f>HYPERLINK("https://klasma.github.io/Logging_2506/kartor/A 26954-2022 karta.png", "A 26954-2022")</f>
        <v/>
      </c>
      <c r="V131">
        <f>HYPERLINK("https://klasma.github.io/Logging_2506/klagomål/A 26954-2022 FSC-klagomål.docx", "A 26954-2022")</f>
        <v/>
      </c>
      <c r="W131">
        <f>HYPERLINK("https://klasma.github.io/Logging_2506/klagomålsmail/A 26954-2022 FSC-klagomål mail.docx", "A 26954-2022")</f>
        <v/>
      </c>
      <c r="X131">
        <f>HYPERLINK("https://klasma.github.io/Logging_2506/tillsyn/A 26954-2022 tillsynsbegäran.docx", "A 26954-2022")</f>
        <v/>
      </c>
      <c r="Y131">
        <f>HYPERLINK("https://klasma.github.io/Logging_2506/tillsynsmail/A 26954-2022 tillsynsbegäran mail.docx", "A 26954-2022")</f>
        <v/>
      </c>
      <c r="Z131">
        <f>HYPERLINK("https://klasma.github.io/Logging_2506/fåglar/A 26954-2022 prioriterade fågelarter.docx", "A 26954-2022")</f>
        <v/>
      </c>
    </row>
    <row r="132" ht="15" customHeight="1">
      <c r="A132" t="inlineStr">
        <is>
          <t>A 7068-2023</t>
        </is>
      </c>
      <c r="B132" s="1" t="n">
        <v>44969</v>
      </c>
      <c r="C132" s="1" t="n">
        <v>45798</v>
      </c>
      <c r="D132" t="inlineStr">
        <is>
          <t>NORRBOTTENS LÄN</t>
        </is>
      </c>
      <c r="E132" t="inlineStr">
        <is>
          <t>ÄLVSBYN</t>
        </is>
      </c>
      <c r="G132" t="n">
        <v>8.300000000000001</v>
      </c>
      <c r="H132" t="n">
        <v>2</v>
      </c>
      <c r="I132" t="n">
        <v>4</v>
      </c>
      <c r="J132" t="n">
        <v>6</v>
      </c>
      <c r="K132" t="n">
        <v>1</v>
      </c>
      <c r="L132" t="n">
        <v>0</v>
      </c>
      <c r="M132" t="n">
        <v>0</v>
      </c>
      <c r="N132" t="n">
        <v>0</v>
      </c>
      <c r="O132" t="n">
        <v>7</v>
      </c>
      <c r="P132" t="n">
        <v>1</v>
      </c>
      <c r="Q132" t="n">
        <v>11</v>
      </c>
      <c r="R132" s="2" t="inlineStr">
        <is>
          <t>Knärot
Gammelgransskål
Garnlav
Lunglav
Rosenticka
Vedskivlav
Äggvaxskivling
Bollvitmossa
Plattlummer
Stuplav
Vedticka</t>
        </is>
      </c>
      <c r="S132">
        <f>HYPERLINK("https://klasma.github.io/Logging_2560/artfynd/A 7068-2023 artfynd.xlsx", "A 7068-2023")</f>
        <v/>
      </c>
      <c r="T132">
        <f>HYPERLINK("https://klasma.github.io/Logging_2560/kartor/A 7068-2023 karta.png", "A 7068-2023")</f>
        <v/>
      </c>
      <c r="U132">
        <f>HYPERLINK("https://klasma.github.io/Logging_2560/knärot/A 7068-2023 karta knärot.png", "A 7068-2023")</f>
        <v/>
      </c>
      <c r="V132">
        <f>HYPERLINK("https://klasma.github.io/Logging_2560/klagomål/A 7068-2023 FSC-klagomål.docx", "A 7068-2023")</f>
        <v/>
      </c>
      <c r="W132">
        <f>HYPERLINK("https://klasma.github.io/Logging_2560/klagomålsmail/A 7068-2023 FSC-klagomål mail.docx", "A 7068-2023")</f>
        <v/>
      </c>
      <c r="X132">
        <f>HYPERLINK("https://klasma.github.io/Logging_2560/tillsyn/A 7068-2023 tillsynsbegäran.docx", "A 7068-2023")</f>
        <v/>
      </c>
      <c r="Y132">
        <f>HYPERLINK("https://klasma.github.io/Logging_2560/tillsynsmail/A 7068-2023 tillsynsbegäran mail.docx", "A 7068-2023")</f>
        <v/>
      </c>
    </row>
    <row r="133" ht="15" customHeight="1">
      <c r="A133" t="inlineStr">
        <is>
          <t>A 47676-2023</t>
        </is>
      </c>
      <c r="B133" s="1" t="n">
        <v>45203</v>
      </c>
      <c r="C133" s="1" t="n">
        <v>45798</v>
      </c>
      <c r="D133" t="inlineStr">
        <is>
          <t>NORRBOTTENS LÄN</t>
        </is>
      </c>
      <c r="E133" t="inlineStr">
        <is>
          <t>KALIX</t>
        </is>
      </c>
      <c r="G133" t="n">
        <v>13.5</v>
      </c>
      <c r="H133" t="n">
        <v>4</v>
      </c>
      <c r="I133" t="n">
        <v>1</v>
      </c>
      <c r="J133" t="n">
        <v>9</v>
      </c>
      <c r="K133" t="n">
        <v>0</v>
      </c>
      <c r="L133" t="n">
        <v>0</v>
      </c>
      <c r="M133" t="n">
        <v>0</v>
      </c>
      <c r="N133" t="n">
        <v>0</v>
      </c>
      <c r="O133" t="n">
        <v>9</v>
      </c>
      <c r="P133" t="n">
        <v>0</v>
      </c>
      <c r="Q133" t="n">
        <v>11</v>
      </c>
      <c r="R133" s="2" t="inlineStr">
        <is>
          <t>Gammelgransskål
Garnlav
Granticka
Harticka
Järpe
Spillkråka
Talltita
Ullticka
Äggvaxskivling
Vedticka
Revlummer</t>
        </is>
      </c>
      <c r="S133">
        <f>HYPERLINK("https://klasma.github.io/Logging_2514/artfynd/A 47676-2023 artfynd.xlsx", "A 47676-2023")</f>
        <v/>
      </c>
      <c r="T133">
        <f>HYPERLINK("https://klasma.github.io/Logging_2514/kartor/A 47676-2023 karta.png", "A 47676-2023")</f>
        <v/>
      </c>
      <c r="V133">
        <f>HYPERLINK("https://klasma.github.io/Logging_2514/klagomål/A 47676-2023 FSC-klagomål.docx", "A 47676-2023")</f>
        <v/>
      </c>
      <c r="W133">
        <f>HYPERLINK("https://klasma.github.io/Logging_2514/klagomålsmail/A 47676-2023 FSC-klagomål mail.docx", "A 47676-2023")</f>
        <v/>
      </c>
      <c r="X133">
        <f>HYPERLINK("https://klasma.github.io/Logging_2514/tillsyn/A 47676-2023 tillsynsbegäran.docx", "A 47676-2023")</f>
        <v/>
      </c>
      <c r="Y133">
        <f>HYPERLINK("https://klasma.github.io/Logging_2514/tillsynsmail/A 47676-2023 tillsynsbegäran mail.docx", "A 47676-2023")</f>
        <v/>
      </c>
      <c r="Z133">
        <f>HYPERLINK("https://klasma.github.io/Logging_2514/fåglar/A 47676-2023 prioriterade fågelarter.docx", "A 47676-2023")</f>
        <v/>
      </c>
    </row>
    <row r="134" ht="15" customHeight="1">
      <c r="A134" t="inlineStr">
        <is>
          <t>A 59591-2023</t>
        </is>
      </c>
      <c r="B134" s="1" t="n">
        <v>45254</v>
      </c>
      <c r="C134" s="1" t="n">
        <v>45798</v>
      </c>
      <c r="D134" t="inlineStr">
        <is>
          <t>NORRBOTTENS LÄN</t>
        </is>
      </c>
      <c r="E134" t="inlineStr">
        <is>
          <t>ÄLVSBYN</t>
        </is>
      </c>
      <c r="F134" t="inlineStr">
        <is>
          <t>Sveaskog</t>
        </is>
      </c>
      <c r="G134" t="n">
        <v>17.4</v>
      </c>
      <c r="H134" t="n">
        <v>0</v>
      </c>
      <c r="I134" t="n">
        <v>2</v>
      </c>
      <c r="J134" t="n">
        <v>6</v>
      </c>
      <c r="K134" t="n">
        <v>3</v>
      </c>
      <c r="L134" t="n">
        <v>0</v>
      </c>
      <c r="M134" t="n">
        <v>0</v>
      </c>
      <c r="N134" t="n">
        <v>0</v>
      </c>
      <c r="O134" t="n">
        <v>9</v>
      </c>
      <c r="P134" t="n">
        <v>3</v>
      </c>
      <c r="Q134" t="n">
        <v>11</v>
      </c>
      <c r="R134" s="2" t="inlineStr">
        <is>
          <t>Goliatmusseron
Rotfingersvamp
Tallgråticka
Blå taggsvamp
Orange taggsvamp
Skrovlig taggsvamp
Svart taggsvamp
Tallriska
Talltaggsvamp
Dropptaggsvamp
Skarp dropptaggsvamp</t>
        </is>
      </c>
      <c r="S134">
        <f>HYPERLINK("https://klasma.github.io/Logging_2560/artfynd/A 59591-2023 artfynd.xlsx", "A 59591-2023")</f>
        <v/>
      </c>
      <c r="T134">
        <f>HYPERLINK("https://klasma.github.io/Logging_2560/kartor/A 59591-2023 karta.png", "A 59591-2023")</f>
        <v/>
      </c>
      <c r="V134">
        <f>HYPERLINK("https://klasma.github.io/Logging_2560/klagomål/A 59591-2023 FSC-klagomål.docx", "A 59591-2023")</f>
        <v/>
      </c>
      <c r="W134">
        <f>HYPERLINK("https://klasma.github.io/Logging_2560/klagomålsmail/A 59591-2023 FSC-klagomål mail.docx", "A 59591-2023")</f>
        <v/>
      </c>
      <c r="X134">
        <f>HYPERLINK("https://klasma.github.io/Logging_2560/tillsyn/A 59591-2023 tillsynsbegäran.docx", "A 59591-2023")</f>
        <v/>
      </c>
      <c r="Y134">
        <f>HYPERLINK("https://klasma.github.io/Logging_2560/tillsynsmail/A 59591-2023 tillsynsbegäran mail.docx", "A 59591-2023")</f>
        <v/>
      </c>
    </row>
    <row r="135" ht="15" customHeight="1">
      <c r="A135" t="inlineStr">
        <is>
          <t>A 59589-2023</t>
        </is>
      </c>
      <c r="B135" s="1" t="n">
        <v>45254</v>
      </c>
      <c r="C135" s="1" t="n">
        <v>45798</v>
      </c>
      <c r="D135" t="inlineStr">
        <is>
          <t>NORRBOTTENS LÄN</t>
        </is>
      </c>
      <c r="E135" t="inlineStr">
        <is>
          <t>ÄLVSBYN</t>
        </is>
      </c>
      <c r="F135" t="inlineStr">
        <is>
          <t>Sveaskog</t>
        </is>
      </c>
      <c r="G135" t="n">
        <v>1.8</v>
      </c>
      <c r="H135" t="n">
        <v>0</v>
      </c>
      <c r="I135" t="n">
        <v>2</v>
      </c>
      <c r="J135" t="n">
        <v>7</v>
      </c>
      <c r="K135" t="n">
        <v>2</v>
      </c>
      <c r="L135" t="n">
        <v>0</v>
      </c>
      <c r="M135" t="n">
        <v>0</v>
      </c>
      <c r="N135" t="n">
        <v>0</v>
      </c>
      <c r="O135" t="n">
        <v>9</v>
      </c>
      <c r="P135" t="n">
        <v>2</v>
      </c>
      <c r="Q135" t="n">
        <v>11</v>
      </c>
      <c r="R135" s="2" t="inlineStr">
        <is>
          <t>Goliatmusseron
Tallgråticka
Blå taggsvamp
Orange taggsvamp
Skrovlig taggsvamp
Svart taggsvamp
Svartvit taggsvamp
Tallriska
Talltaggsvamp
Dropptaggsvamp
Skarp dropptaggsvamp</t>
        </is>
      </c>
      <c r="S135">
        <f>HYPERLINK("https://klasma.github.io/Logging_2560/artfynd/A 59589-2023 artfynd.xlsx", "A 59589-2023")</f>
        <v/>
      </c>
      <c r="T135">
        <f>HYPERLINK("https://klasma.github.io/Logging_2560/kartor/A 59589-2023 karta.png", "A 59589-2023")</f>
        <v/>
      </c>
      <c r="V135">
        <f>HYPERLINK("https://klasma.github.io/Logging_2560/klagomål/A 59589-2023 FSC-klagomål.docx", "A 59589-2023")</f>
        <v/>
      </c>
      <c r="W135">
        <f>HYPERLINK("https://klasma.github.io/Logging_2560/klagomålsmail/A 59589-2023 FSC-klagomål mail.docx", "A 59589-2023")</f>
        <v/>
      </c>
      <c r="X135">
        <f>HYPERLINK("https://klasma.github.io/Logging_2560/tillsyn/A 59589-2023 tillsynsbegäran.docx", "A 59589-2023")</f>
        <v/>
      </c>
      <c r="Y135">
        <f>HYPERLINK("https://klasma.github.io/Logging_2560/tillsynsmail/A 59589-2023 tillsynsbegäran mail.docx", "A 59589-2023")</f>
        <v/>
      </c>
    </row>
    <row r="136" ht="15" customHeight="1">
      <c r="A136" t="inlineStr">
        <is>
          <t>A 62800-2023</t>
        </is>
      </c>
      <c r="B136" s="1" t="n">
        <v>45271</v>
      </c>
      <c r="C136" s="1" t="n">
        <v>45798</v>
      </c>
      <c r="D136" t="inlineStr">
        <is>
          <t>NORRBOTTENS LÄN</t>
        </is>
      </c>
      <c r="E136" t="inlineStr">
        <is>
          <t>GÄLLIVARE</t>
        </is>
      </c>
      <c r="F136" t="inlineStr">
        <is>
          <t>Sveaskog</t>
        </is>
      </c>
      <c r="G136" t="n">
        <v>26.7</v>
      </c>
      <c r="H136" t="n">
        <v>0</v>
      </c>
      <c r="I136" t="n">
        <v>2</v>
      </c>
      <c r="J136" t="n">
        <v>7</v>
      </c>
      <c r="K136" t="n">
        <v>2</v>
      </c>
      <c r="L136" t="n">
        <v>0</v>
      </c>
      <c r="M136" t="n">
        <v>0</v>
      </c>
      <c r="N136" t="n">
        <v>0</v>
      </c>
      <c r="O136" t="n">
        <v>9</v>
      </c>
      <c r="P136" t="n">
        <v>2</v>
      </c>
      <c r="Q136" t="n">
        <v>11</v>
      </c>
      <c r="R136" s="2" t="inlineStr">
        <is>
          <t>Smalfotad taggsvamp
Tallgråticka
Blå taggsvamp
Orange taggsvamp
Skrovlig taggsvamp
Svartvit taggsvamp
Tallriska
Talltaggsvamp
Vaddporing
Dropptaggsvamp
Skarp dropptaggsvamp</t>
        </is>
      </c>
      <c r="S136">
        <f>HYPERLINK("https://klasma.github.io/Logging_2523/artfynd/A 62800-2023 artfynd.xlsx", "A 62800-2023")</f>
        <v/>
      </c>
      <c r="T136">
        <f>HYPERLINK("https://klasma.github.io/Logging_2523/kartor/A 62800-2023 karta.png", "A 62800-2023")</f>
        <v/>
      </c>
      <c r="V136">
        <f>HYPERLINK("https://klasma.github.io/Logging_2523/klagomål/A 62800-2023 FSC-klagomål.docx", "A 62800-2023")</f>
        <v/>
      </c>
      <c r="W136">
        <f>HYPERLINK("https://klasma.github.io/Logging_2523/klagomålsmail/A 62800-2023 FSC-klagomål mail.docx", "A 62800-2023")</f>
        <v/>
      </c>
      <c r="X136">
        <f>HYPERLINK("https://klasma.github.io/Logging_2523/tillsyn/A 62800-2023 tillsynsbegäran.docx", "A 62800-2023")</f>
        <v/>
      </c>
      <c r="Y136">
        <f>HYPERLINK("https://klasma.github.io/Logging_2523/tillsynsmail/A 62800-2023 tillsynsbegäran mail.docx", "A 62800-2023")</f>
        <v/>
      </c>
    </row>
    <row r="137" ht="15" customHeight="1">
      <c r="A137" t="inlineStr">
        <is>
          <t>A 65181-2023</t>
        </is>
      </c>
      <c r="B137" s="1" t="n">
        <v>45288</v>
      </c>
      <c r="C137" s="1" t="n">
        <v>45798</v>
      </c>
      <c r="D137" t="inlineStr">
        <is>
          <t>NORRBOTTENS LÄN</t>
        </is>
      </c>
      <c r="E137" t="inlineStr">
        <is>
          <t>ÖVERTORNEÅ</t>
        </is>
      </c>
      <c r="G137" t="n">
        <v>3.2</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65181-2023 artfynd.xlsx", "A 65181-2023")</f>
        <v/>
      </c>
      <c r="T137">
        <f>HYPERLINK("https://klasma.github.io/Logging_2518/kartor/A 65181-2023 karta.png", "A 65181-2023")</f>
        <v/>
      </c>
      <c r="V137">
        <f>HYPERLINK("https://klasma.github.io/Logging_2518/klagomål/A 65181-2023 FSC-klagomål.docx", "A 65181-2023")</f>
        <v/>
      </c>
      <c r="W137">
        <f>HYPERLINK("https://klasma.github.io/Logging_2518/klagomålsmail/A 65181-2023 FSC-klagomål mail.docx", "A 65181-2023")</f>
        <v/>
      </c>
      <c r="X137">
        <f>HYPERLINK("https://klasma.github.io/Logging_2518/tillsyn/A 65181-2023 tillsynsbegäran.docx", "A 65181-2023")</f>
        <v/>
      </c>
      <c r="Y137">
        <f>HYPERLINK("https://klasma.github.io/Logging_2518/tillsynsmail/A 65181-2023 tillsynsbegäran mail.docx", "A 65181-2023")</f>
        <v/>
      </c>
      <c r="Z137">
        <f>HYPERLINK("https://klasma.github.io/Logging_2518/fåglar/A 65181-2023 prioriterade fågelarter.docx", "A 65181-2023")</f>
        <v/>
      </c>
    </row>
    <row r="138" ht="15" customHeight="1">
      <c r="A138" t="inlineStr">
        <is>
          <t>A 848-2024</t>
        </is>
      </c>
      <c r="B138" s="1" t="n">
        <v>45300</v>
      </c>
      <c r="C138" s="1" t="n">
        <v>45798</v>
      </c>
      <c r="D138" t="inlineStr">
        <is>
          <t>NORRBOTTENS LÄN</t>
        </is>
      </c>
      <c r="E138" t="inlineStr">
        <is>
          <t>ÖVERTORNEÅ</t>
        </is>
      </c>
      <c r="G138" t="n">
        <v>3.1</v>
      </c>
      <c r="H138" t="n">
        <v>3</v>
      </c>
      <c r="I138" t="n">
        <v>1</v>
      </c>
      <c r="J138" t="n">
        <v>7</v>
      </c>
      <c r="K138" t="n">
        <v>1</v>
      </c>
      <c r="L138" t="n">
        <v>0</v>
      </c>
      <c r="M138" t="n">
        <v>0</v>
      </c>
      <c r="N138" t="n">
        <v>0</v>
      </c>
      <c r="O138" t="n">
        <v>8</v>
      </c>
      <c r="P138" t="n">
        <v>1</v>
      </c>
      <c r="Q138" t="n">
        <v>11</v>
      </c>
      <c r="R138" s="2" t="inlineStr">
        <is>
          <t>Gräddporing
Blanksvart spiklav
Garnlav
Kolflarnlav
Mörk kolflarnlav
Spillkråka
Vedflamlav
Violmussling
Skinnlav
Orre
Tjäder</t>
        </is>
      </c>
      <c r="S138">
        <f>HYPERLINK("https://klasma.github.io/Logging_2518/artfynd/A 848-2024 artfynd.xlsx", "A 848-2024")</f>
        <v/>
      </c>
      <c r="T138">
        <f>HYPERLINK("https://klasma.github.io/Logging_2518/kartor/A 848-2024 karta.png", "A 848-2024")</f>
        <v/>
      </c>
      <c r="V138">
        <f>HYPERLINK("https://klasma.github.io/Logging_2518/klagomål/A 848-2024 FSC-klagomål.docx", "A 848-2024")</f>
        <v/>
      </c>
      <c r="W138">
        <f>HYPERLINK("https://klasma.github.io/Logging_2518/klagomålsmail/A 848-2024 FSC-klagomål mail.docx", "A 848-2024")</f>
        <v/>
      </c>
      <c r="X138">
        <f>HYPERLINK("https://klasma.github.io/Logging_2518/tillsyn/A 848-2024 tillsynsbegäran.docx", "A 848-2024")</f>
        <v/>
      </c>
      <c r="Y138">
        <f>HYPERLINK("https://klasma.github.io/Logging_2518/tillsynsmail/A 848-2024 tillsynsbegäran mail.docx", "A 848-2024")</f>
        <v/>
      </c>
      <c r="Z138">
        <f>HYPERLINK("https://klasma.github.io/Logging_2518/fåglar/A 848-2024 prioriterade fågelarter.docx", "A 848-2024")</f>
        <v/>
      </c>
    </row>
    <row r="139" ht="15" customHeight="1">
      <c r="A139" t="inlineStr">
        <is>
          <t>A 33908-2024</t>
        </is>
      </c>
      <c r="B139" s="1" t="n">
        <v>45523</v>
      </c>
      <c r="C139" s="1" t="n">
        <v>45798</v>
      </c>
      <c r="D139" t="inlineStr">
        <is>
          <t>NORRBOTTENS LÄN</t>
        </is>
      </c>
      <c r="E139" t="inlineStr">
        <is>
          <t>BODEN</t>
        </is>
      </c>
      <c r="F139" t="inlineStr">
        <is>
          <t>SCA</t>
        </is>
      </c>
      <c r="G139" t="n">
        <v>3.1</v>
      </c>
      <c r="H139" t="n">
        <v>2</v>
      </c>
      <c r="I139" t="n">
        <v>1</v>
      </c>
      <c r="J139" t="n">
        <v>8</v>
      </c>
      <c r="K139" t="n">
        <v>2</v>
      </c>
      <c r="L139" t="n">
        <v>0</v>
      </c>
      <c r="M139" t="n">
        <v>0</v>
      </c>
      <c r="N139" t="n">
        <v>0</v>
      </c>
      <c r="O139" t="n">
        <v>10</v>
      </c>
      <c r="P139" t="n">
        <v>2</v>
      </c>
      <c r="Q139" t="n">
        <v>11</v>
      </c>
      <c r="R139" s="2" t="inlineStr">
        <is>
          <t>Knärot
Rynkskinn
Brunpudrad nållav
Gammelgransskål
Garnlav
Lunglav
Rosenticka
Tretåig hackspett
Ullticka
Violmussling
Fjällig taggsvamp s.str.</t>
        </is>
      </c>
      <c r="S139">
        <f>HYPERLINK("https://klasma.github.io/Logging_2582/artfynd/A 33908-2024 artfynd.xlsx", "A 33908-2024")</f>
        <v/>
      </c>
      <c r="T139">
        <f>HYPERLINK("https://klasma.github.io/Logging_2582/kartor/A 33908-2024 karta.png", "A 33908-2024")</f>
        <v/>
      </c>
      <c r="U139">
        <f>HYPERLINK("https://klasma.github.io/Logging_2582/knärot/A 33908-2024 karta knärot.png", "A 33908-2024")</f>
        <v/>
      </c>
      <c r="V139">
        <f>HYPERLINK("https://klasma.github.io/Logging_2582/klagomål/A 33908-2024 FSC-klagomål.docx", "A 33908-2024")</f>
        <v/>
      </c>
      <c r="W139">
        <f>HYPERLINK("https://klasma.github.io/Logging_2582/klagomålsmail/A 33908-2024 FSC-klagomål mail.docx", "A 33908-2024")</f>
        <v/>
      </c>
      <c r="X139">
        <f>HYPERLINK("https://klasma.github.io/Logging_2582/tillsyn/A 33908-2024 tillsynsbegäran.docx", "A 33908-2024")</f>
        <v/>
      </c>
      <c r="Y139">
        <f>HYPERLINK("https://klasma.github.io/Logging_2582/tillsynsmail/A 33908-2024 tillsynsbegäran mail.docx", "A 33908-2024")</f>
        <v/>
      </c>
      <c r="Z139">
        <f>HYPERLINK("https://klasma.github.io/Logging_2582/fåglar/A 33908-2024 prioriterade fågelarter.docx", "A 33908-2024")</f>
        <v/>
      </c>
    </row>
    <row r="140" ht="15" customHeight="1">
      <c r="A140" t="inlineStr">
        <is>
          <t>A 41916-2024</t>
        </is>
      </c>
      <c r="B140" s="1" t="n">
        <v>45561</v>
      </c>
      <c r="C140" s="1" t="n">
        <v>45798</v>
      </c>
      <c r="D140" t="inlineStr">
        <is>
          <t>NORRBOTTENS LÄN</t>
        </is>
      </c>
      <c r="E140" t="inlineStr">
        <is>
          <t>ÖVERTORNEÅ</t>
        </is>
      </c>
      <c r="G140" t="n">
        <v>4.7</v>
      </c>
      <c r="H140" t="n">
        <v>2</v>
      </c>
      <c r="I140" t="n">
        <v>2</v>
      </c>
      <c r="J140" t="n">
        <v>8</v>
      </c>
      <c r="K140" t="n">
        <v>1</v>
      </c>
      <c r="L140" t="n">
        <v>0</v>
      </c>
      <c r="M140" t="n">
        <v>0</v>
      </c>
      <c r="N140" t="n">
        <v>0</v>
      </c>
      <c r="O140" t="n">
        <v>9</v>
      </c>
      <c r="P140" t="n">
        <v>1</v>
      </c>
      <c r="Q140" t="n">
        <v>11</v>
      </c>
      <c r="R140" s="2" t="inlineStr">
        <is>
          <t>Ulltickeporing
Garnlav
Granticka
Kolflarnlav
Nordtagging
Rosenticka
Spillkråka
Tretåig hackspett
Ullticka
Skinnlav
Vedticka</t>
        </is>
      </c>
      <c r="S140">
        <f>HYPERLINK("https://klasma.github.io/Logging_2518/artfynd/A 41916-2024 artfynd.xlsx", "A 41916-2024")</f>
        <v/>
      </c>
      <c r="T140">
        <f>HYPERLINK("https://klasma.github.io/Logging_2518/kartor/A 41916-2024 karta.png", "A 41916-2024")</f>
        <v/>
      </c>
      <c r="V140">
        <f>HYPERLINK("https://klasma.github.io/Logging_2518/klagomål/A 41916-2024 FSC-klagomål.docx", "A 41916-2024")</f>
        <v/>
      </c>
      <c r="W140">
        <f>HYPERLINK("https://klasma.github.io/Logging_2518/klagomålsmail/A 41916-2024 FSC-klagomål mail.docx", "A 41916-2024")</f>
        <v/>
      </c>
      <c r="X140">
        <f>HYPERLINK("https://klasma.github.io/Logging_2518/tillsyn/A 41916-2024 tillsynsbegäran.docx", "A 41916-2024")</f>
        <v/>
      </c>
      <c r="Y140">
        <f>HYPERLINK("https://klasma.github.io/Logging_2518/tillsynsmail/A 41916-2024 tillsynsbegäran mail.docx", "A 41916-2024")</f>
        <v/>
      </c>
      <c r="Z140">
        <f>HYPERLINK("https://klasma.github.io/Logging_2518/fåglar/A 41916-2024 prioriterade fågelarter.docx", "A 41916-2024")</f>
        <v/>
      </c>
    </row>
    <row r="141" ht="15" customHeight="1">
      <c r="A141" t="inlineStr">
        <is>
          <t>A 47048-2024</t>
        </is>
      </c>
      <c r="B141" s="1" t="n">
        <v>45586</v>
      </c>
      <c r="C141" s="1" t="n">
        <v>45798</v>
      </c>
      <c r="D141" t="inlineStr">
        <is>
          <t>NORRBOTTENS LÄN</t>
        </is>
      </c>
      <c r="E141" t="inlineStr">
        <is>
          <t>ÖVERTORNEÅ</t>
        </is>
      </c>
      <c r="G141" t="n">
        <v>7.8</v>
      </c>
      <c r="H141" t="n">
        <v>3</v>
      </c>
      <c r="I141" t="n">
        <v>4</v>
      </c>
      <c r="J141" t="n">
        <v>6</v>
      </c>
      <c r="K141" t="n">
        <v>1</v>
      </c>
      <c r="L141" t="n">
        <v>0</v>
      </c>
      <c r="M141" t="n">
        <v>0</v>
      </c>
      <c r="N141" t="n">
        <v>0</v>
      </c>
      <c r="O141" t="n">
        <v>7</v>
      </c>
      <c r="P141" t="n">
        <v>1</v>
      </c>
      <c r="Q141" t="n">
        <v>11</v>
      </c>
      <c r="R141" s="2" t="inlineStr">
        <is>
          <t>Knärot
Garnlav
Rosenticka
Spillkråka
Tretåig hackspett
Ullticka
Violmussling
Stor aspticka
Stuplav
Trådticka
Vedticka</t>
        </is>
      </c>
      <c r="S141">
        <f>HYPERLINK("https://klasma.github.io/Logging_2518/artfynd/A 47048-2024 artfynd.xlsx", "A 47048-2024")</f>
        <v/>
      </c>
      <c r="T141">
        <f>HYPERLINK("https://klasma.github.io/Logging_2518/kartor/A 47048-2024 karta.png", "A 47048-2024")</f>
        <v/>
      </c>
      <c r="U141">
        <f>HYPERLINK("https://klasma.github.io/Logging_2518/knärot/A 47048-2024 karta knärot.png", "A 47048-2024")</f>
        <v/>
      </c>
      <c r="V141">
        <f>HYPERLINK("https://klasma.github.io/Logging_2518/klagomål/A 47048-2024 FSC-klagomål.docx", "A 47048-2024")</f>
        <v/>
      </c>
      <c r="W141">
        <f>HYPERLINK("https://klasma.github.io/Logging_2518/klagomålsmail/A 47048-2024 FSC-klagomål mail.docx", "A 47048-2024")</f>
        <v/>
      </c>
      <c r="X141">
        <f>HYPERLINK("https://klasma.github.io/Logging_2518/tillsyn/A 47048-2024 tillsynsbegäran.docx", "A 47048-2024")</f>
        <v/>
      </c>
      <c r="Y141">
        <f>HYPERLINK("https://klasma.github.io/Logging_2518/tillsynsmail/A 47048-2024 tillsynsbegäran mail.docx", "A 47048-2024")</f>
        <v/>
      </c>
      <c r="Z141">
        <f>HYPERLINK("https://klasma.github.io/Logging_2518/fåglar/A 47048-2024 prioriterade fågelarter.docx", "A 47048-2024")</f>
        <v/>
      </c>
    </row>
    <row r="142" ht="15" customHeight="1">
      <c r="A142" t="inlineStr">
        <is>
          <t>A 49461-2024</t>
        </is>
      </c>
      <c r="B142" s="1" t="n">
        <v>45596</v>
      </c>
      <c r="C142" s="1" t="n">
        <v>45798</v>
      </c>
      <c r="D142" t="inlineStr">
        <is>
          <t>NORRBOTTENS LÄN</t>
        </is>
      </c>
      <c r="E142" t="inlineStr">
        <is>
          <t>PITEÅ</t>
        </is>
      </c>
      <c r="F142" t="inlineStr">
        <is>
          <t>Sveaskog</t>
        </is>
      </c>
      <c r="G142" t="n">
        <v>5.6</v>
      </c>
      <c r="H142" t="n">
        <v>3</v>
      </c>
      <c r="I142" t="n">
        <v>2</v>
      </c>
      <c r="J142" t="n">
        <v>8</v>
      </c>
      <c r="K142" t="n">
        <v>0</v>
      </c>
      <c r="L142" t="n">
        <v>0</v>
      </c>
      <c r="M142" t="n">
        <v>0</v>
      </c>
      <c r="N142" t="n">
        <v>0</v>
      </c>
      <c r="O142" t="n">
        <v>8</v>
      </c>
      <c r="P142" t="n">
        <v>0</v>
      </c>
      <c r="Q142" t="n">
        <v>11</v>
      </c>
      <c r="R142" s="2" t="inlineStr">
        <is>
          <t>Gammelgransskål
Garnlav
Granticka
Knottrig blåslav
Spillkråka
Tallriska
Talltita
Ullticka
Blodticka
Vedticka
Revlummer</t>
        </is>
      </c>
      <c r="S142">
        <f>HYPERLINK("https://klasma.github.io/Logging_2581/artfynd/A 49461-2024 artfynd.xlsx", "A 49461-2024")</f>
        <v/>
      </c>
      <c r="T142">
        <f>HYPERLINK("https://klasma.github.io/Logging_2581/kartor/A 49461-2024 karta.png", "A 49461-2024")</f>
        <v/>
      </c>
      <c r="V142">
        <f>HYPERLINK("https://klasma.github.io/Logging_2581/klagomål/A 49461-2024 FSC-klagomål.docx", "A 49461-2024")</f>
        <v/>
      </c>
      <c r="W142">
        <f>HYPERLINK("https://klasma.github.io/Logging_2581/klagomålsmail/A 49461-2024 FSC-klagomål mail.docx", "A 49461-2024")</f>
        <v/>
      </c>
      <c r="X142">
        <f>HYPERLINK("https://klasma.github.io/Logging_2581/tillsyn/A 49461-2024 tillsynsbegäran.docx", "A 49461-2024")</f>
        <v/>
      </c>
      <c r="Y142">
        <f>HYPERLINK("https://klasma.github.io/Logging_2581/tillsynsmail/A 49461-2024 tillsynsbegäran mail.docx", "A 49461-2024")</f>
        <v/>
      </c>
      <c r="Z142">
        <f>HYPERLINK("https://klasma.github.io/Logging_2581/fåglar/A 49461-2024 prioriterade fågelarter.docx", "A 49461-2024")</f>
        <v/>
      </c>
    </row>
    <row r="143" ht="15" customHeight="1">
      <c r="A143" t="inlineStr">
        <is>
          <t>A 55332-2024</t>
        </is>
      </c>
      <c r="B143" s="1" t="n">
        <v>45621</v>
      </c>
      <c r="C143" s="1" t="n">
        <v>45798</v>
      </c>
      <c r="D143" t="inlineStr">
        <is>
          <t>NORRBOTTENS LÄN</t>
        </is>
      </c>
      <c r="E143" t="inlineStr">
        <is>
          <t>GÄLLIVARE</t>
        </is>
      </c>
      <c r="F143" t="inlineStr">
        <is>
          <t>Sveaskog</t>
        </is>
      </c>
      <c r="G143" t="n">
        <v>28.2</v>
      </c>
      <c r="H143" t="n">
        <v>0</v>
      </c>
      <c r="I143" t="n">
        <v>3</v>
      </c>
      <c r="J143" t="n">
        <v>5</v>
      </c>
      <c r="K143" t="n">
        <v>3</v>
      </c>
      <c r="L143" t="n">
        <v>0</v>
      </c>
      <c r="M143" t="n">
        <v>0</v>
      </c>
      <c r="N143" t="n">
        <v>0</v>
      </c>
      <c r="O143" t="n">
        <v>8</v>
      </c>
      <c r="P143" t="n">
        <v>3</v>
      </c>
      <c r="Q143" t="n">
        <v>11</v>
      </c>
      <c r="R143" s="2" t="inlineStr">
        <is>
          <t>Goliatmusseron
Smalfotad taggsvamp
Tallgråticka
Blå taggsvamp
Motaggsvamp
Orange taggsvamp
Skrovlig taggsvamp
Talltaggsvamp
Dropptaggsvamp
Skarp dropptaggsvamp
Zontaggsvamp</t>
        </is>
      </c>
      <c r="S143">
        <f>HYPERLINK("https://klasma.github.io/Logging_2523/artfynd/A 55332-2024 artfynd.xlsx", "A 55332-2024")</f>
        <v/>
      </c>
      <c r="T143">
        <f>HYPERLINK("https://klasma.github.io/Logging_2523/kartor/A 55332-2024 karta.png", "A 55332-2024")</f>
        <v/>
      </c>
      <c r="V143">
        <f>HYPERLINK("https://klasma.github.io/Logging_2523/klagomål/A 55332-2024 FSC-klagomål.docx", "A 55332-2024")</f>
        <v/>
      </c>
      <c r="W143">
        <f>HYPERLINK("https://klasma.github.io/Logging_2523/klagomålsmail/A 55332-2024 FSC-klagomål mail.docx", "A 55332-2024")</f>
        <v/>
      </c>
      <c r="X143">
        <f>HYPERLINK("https://klasma.github.io/Logging_2523/tillsyn/A 55332-2024 tillsynsbegäran.docx", "A 55332-2024")</f>
        <v/>
      </c>
      <c r="Y143">
        <f>HYPERLINK("https://klasma.github.io/Logging_2523/tillsynsmail/A 55332-2024 tillsynsbegäran mail.docx", "A 55332-2024")</f>
        <v/>
      </c>
    </row>
    <row r="144" ht="15" customHeight="1">
      <c r="A144" t="inlineStr">
        <is>
          <t>A 22563-2025</t>
        </is>
      </c>
      <c r="B144" s="1" t="n">
        <v>45789</v>
      </c>
      <c r="C144" s="1" t="n">
        <v>45798</v>
      </c>
      <c r="D144" t="inlineStr">
        <is>
          <t>NORRBOTTENS LÄN</t>
        </is>
      </c>
      <c r="E144" t="inlineStr">
        <is>
          <t>ÄLVSBYN</t>
        </is>
      </c>
      <c r="F144" t="inlineStr">
        <is>
          <t>Sveaskog</t>
        </is>
      </c>
      <c r="G144" t="n">
        <v>21</v>
      </c>
      <c r="H144" t="n">
        <v>0</v>
      </c>
      <c r="I144" t="n">
        <v>2</v>
      </c>
      <c r="J144" t="n">
        <v>6</v>
      </c>
      <c r="K144" t="n">
        <v>3</v>
      </c>
      <c r="L144" t="n">
        <v>0</v>
      </c>
      <c r="M144" t="n">
        <v>0</v>
      </c>
      <c r="N144" t="n">
        <v>0</v>
      </c>
      <c r="O144" t="n">
        <v>9</v>
      </c>
      <c r="P144" t="n">
        <v>3</v>
      </c>
      <c r="Q144" t="n">
        <v>11</v>
      </c>
      <c r="R144" s="2" t="inlineStr">
        <is>
          <t>Goliatmusseron
Smalfotad taggsvamp
Tajgataggsvamp
Blå taggsvamp
Kolflarnlav
Orange taggsvamp
Skrovlig taggsvamp
Svart taggsvamp
Talltaggsvamp
Dropptaggsvamp
Skarp dropptaggsvamp</t>
        </is>
      </c>
      <c r="S144">
        <f>HYPERLINK("https://klasma.github.io/Logging_252560/artfynd/A 22563-2025 artfynd.xlsx", "A 22563-2025")</f>
        <v/>
      </c>
      <c r="T144">
        <f>HYPERLINK("https://klasma.github.io/Logging_252560/kartor/A 22563-2025 karta.png", "A 22563-2025")</f>
        <v/>
      </c>
      <c r="V144">
        <f>HYPERLINK("https://klasma.github.io/Logging_252560/klagomål/A 22563-2025 FSC-klagomål.docx", "A 22563-2025")</f>
        <v/>
      </c>
      <c r="W144">
        <f>HYPERLINK("https://klasma.github.io/Logging_252560/klagomålsmail/A 22563-2025 FSC-klagomål mail.docx", "A 22563-2025")</f>
        <v/>
      </c>
      <c r="X144">
        <f>HYPERLINK("https://klasma.github.io/Logging_252560/tillsyn/A 22563-2025 tillsynsbegäran.docx", "A 22563-2025")</f>
        <v/>
      </c>
      <c r="Y144">
        <f>HYPERLINK("https://klasma.github.io/Logging_252560/tillsynsmail/A 22563-2025 tillsynsbegäran mail.docx", "A 22563-2025")</f>
        <v/>
      </c>
    </row>
    <row r="145" ht="15" customHeight="1">
      <c r="A145" t="inlineStr">
        <is>
          <t>A 67604-2019</t>
        </is>
      </c>
      <c r="B145" s="1" t="n">
        <v>43808</v>
      </c>
      <c r="C145" s="1" t="n">
        <v>45798</v>
      </c>
      <c r="D145" t="inlineStr">
        <is>
          <t>NORRBOTTENS LÄN</t>
        </is>
      </c>
      <c r="E145" t="inlineStr">
        <is>
          <t>BODEN</t>
        </is>
      </c>
      <c r="G145" t="n">
        <v>30.1</v>
      </c>
      <c r="H145" t="n">
        <v>8</v>
      </c>
      <c r="I145" t="n">
        <v>1</v>
      </c>
      <c r="J145" t="n">
        <v>5</v>
      </c>
      <c r="K145" t="n">
        <v>0</v>
      </c>
      <c r="L145" t="n">
        <v>1</v>
      </c>
      <c r="M145" t="n">
        <v>0</v>
      </c>
      <c r="N145" t="n">
        <v>0</v>
      </c>
      <c r="O145" t="n">
        <v>6</v>
      </c>
      <c r="P145" t="n">
        <v>1</v>
      </c>
      <c r="Q145" t="n">
        <v>10</v>
      </c>
      <c r="R145" s="2" t="inlineStr">
        <is>
          <t>Storspov
Buskskvätta
Granticka
Gulsparv
Järpe
Talltita
Stuplav
Enkelbeckasin
Grönsiska
Orre</t>
        </is>
      </c>
      <c r="S145">
        <f>HYPERLINK("https://klasma.github.io/Logging_2582/artfynd/A 67604-2019 artfynd.xlsx", "A 67604-2019")</f>
        <v/>
      </c>
      <c r="T145">
        <f>HYPERLINK("https://klasma.github.io/Logging_2582/kartor/A 67604-2019 karta.png", "A 67604-2019")</f>
        <v/>
      </c>
      <c r="V145">
        <f>HYPERLINK("https://klasma.github.io/Logging_2582/klagomål/A 67604-2019 FSC-klagomål.docx", "A 67604-2019")</f>
        <v/>
      </c>
      <c r="W145">
        <f>HYPERLINK("https://klasma.github.io/Logging_2582/klagomålsmail/A 67604-2019 FSC-klagomål mail.docx", "A 67604-2019")</f>
        <v/>
      </c>
      <c r="X145">
        <f>HYPERLINK("https://klasma.github.io/Logging_2582/tillsyn/A 67604-2019 tillsynsbegäran.docx", "A 67604-2019")</f>
        <v/>
      </c>
      <c r="Y145">
        <f>HYPERLINK("https://klasma.github.io/Logging_2582/tillsynsmail/A 67604-2019 tillsynsbegäran mail.docx", "A 67604-2019")</f>
        <v/>
      </c>
      <c r="Z145">
        <f>HYPERLINK("https://klasma.github.io/Logging_2582/fåglar/A 67604-2019 prioriterade fågelarter.docx", "A 67604-2019")</f>
        <v/>
      </c>
    </row>
    <row r="146" ht="15" customHeight="1">
      <c r="A146" t="inlineStr">
        <is>
          <t>A 38722-2020</t>
        </is>
      </c>
      <c r="B146" s="1" t="n">
        <v>44061</v>
      </c>
      <c r="C146" s="1" t="n">
        <v>45798</v>
      </c>
      <c r="D146" t="inlineStr">
        <is>
          <t>NORRBOTTENS LÄN</t>
        </is>
      </c>
      <c r="E146" t="inlineStr">
        <is>
          <t>KIRUNA</t>
        </is>
      </c>
      <c r="G146" t="n">
        <v>43.4</v>
      </c>
      <c r="H146" t="n">
        <v>1</v>
      </c>
      <c r="I146" t="n">
        <v>2</v>
      </c>
      <c r="J146" t="n">
        <v>7</v>
      </c>
      <c r="K146" t="n">
        <v>1</v>
      </c>
      <c r="L146" t="n">
        <v>0</v>
      </c>
      <c r="M146" t="n">
        <v>0</v>
      </c>
      <c r="N146" t="n">
        <v>0</v>
      </c>
      <c r="O146" t="n">
        <v>8</v>
      </c>
      <c r="P146" t="n">
        <v>1</v>
      </c>
      <c r="Q146" t="n">
        <v>10</v>
      </c>
      <c r="R146" s="2" t="inlineStr">
        <is>
          <t>Fläckporing
Blanksvart spiklav
Blå taggsvamp
Dvärgbägarlav
Orange taggsvamp
Skrovlig taggsvamp
Vedskivlav
Vitplätt
Dropptaggsvamp
Plattlummer</t>
        </is>
      </c>
      <c r="S146">
        <f>HYPERLINK("https://klasma.github.io/Logging_2584/artfynd/A 38722-2020 artfynd.xlsx", "A 38722-2020")</f>
        <v/>
      </c>
      <c r="T146">
        <f>HYPERLINK("https://klasma.github.io/Logging_2584/kartor/A 38722-2020 karta.png", "A 38722-2020")</f>
        <v/>
      </c>
      <c r="V146">
        <f>HYPERLINK("https://klasma.github.io/Logging_2584/klagomål/A 38722-2020 FSC-klagomål.docx", "A 38722-2020")</f>
        <v/>
      </c>
      <c r="W146">
        <f>HYPERLINK("https://klasma.github.io/Logging_2584/klagomålsmail/A 38722-2020 FSC-klagomål mail.docx", "A 38722-2020")</f>
        <v/>
      </c>
      <c r="X146">
        <f>HYPERLINK("https://klasma.github.io/Logging_2584/tillsyn/A 38722-2020 tillsynsbegäran.docx", "A 38722-2020")</f>
        <v/>
      </c>
      <c r="Y146">
        <f>HYPERLINK("https://klasma.github.io/Logging_2584/tillsynsmail/A 38722-2020 tillsynsbegäran mail.docx", "A 38722-2020")</f>
        <v/>
      </c>
    </row>
    <row r="147" ht="15" customHeight="1">
      <c r="A147" t="inlineStr">
        <is>
          <t>A 64709-2020</t>
        </is>
      </c>
      <c r="B147" s="1" t="n">
        <v>44169</v>
      </c>
      <c r="C147" s="1" t="n">
        <v>45798</v>
      </c>
      <c r="D147" t="inlineStr">
        <is>
          <t>NORRBOTTENS LÄN</t>
        </is>
      </c>
      <c r="E147" t="inlineStr">
        <is>
          <t>BODEN</t>
        </is>
      </c>
      <c r="G147" t="n">
        <v>10.3</v>
      </c>
      <c r="H147" t="n">
        <v>4</v>
      </c>
      <c r="I147" t="n">
        <v>2</v>
      </c>
      <c r="J147" t="n">
        <v>3</v>
      </c>
      <c r="K147" t="n">
        <v>2</v>
      </c>
      <c r="L147" t="n">
        <v>0</v>
      </c>
      <c r="M147" t="n">
        <v>0</v>
      </c>
      <c r="N147" t="n">
        <v>0</v>
      </c>
      <c r="O147" t="n">
        <v>5</v>
      </c>
      <c r="P147" t="n">
        <v>2</v>
      </c>
      <c r="Q147" t="n">
        <v>10</v>
      </c>
      <c r="R147" s="2" t="inlineStr">
        <is>
          <t>Fläckporing
Sälgtagging
Nordtagging
Oljetagging
Talltita
Luddlav
Trådticka
Grönsiska
Järnsparv
Revlummer</t>
        </is>
      </c>
      <c r="S147">
        <f>HYPERLINK("https://klasma.github.io/Logging_2582/artfynd/A 64709-2020 artfynd.xlsx", "A 64709-2020")</f>
        <v/>
      </c>
      <c r="T147">
        <f>HYPERLINK("https://klasma.github.io/Logging_2582/kartor/A 64709-2020 karta.png", "A 64709-2020")</f>
        <v/>
      </c>
      <c r="V147">
        <f>HYPERLINK("https://klasma.github.io/Logging_2582/klagomål/A 64709-2020 FSC-klagomål.docx", "A 64709-2020")</f>
        <v/>
      </c>
      <c r="W147">
        <f>HYPERLINK("https://klasma.github.io/Logging_2582/klagomålsmail/A 64709-2020 FSC-klagomål mail.docx", "A 64709-2020")</f>
        <v/>
      </c>
      <c r="X147">
        <f>HYPERLINK("https://klasma.github.io/Logging_2582/tillsyn/A 64709-2020 tillsynsbegäran.docx", "A 64709-2020")</f>
        <v/>
      </c>
      <c r="Y147">
        <f>HYPERLINK("https://klasma.github.io/Logging_2582/tillsynsmail/A 64709-2020 tillsynsbegäran mail.docx", "A 64709-2020")</f>
        <v/>
      </c>
      <c r="Z147">
        <f>HYPERLINK("https://klasma.github.io/Logging_2582/fåglar/A 64709-2020 prioriterade fågelarter.docx", "A 64709-2020")</f>
        <v/>
      </c>
    </row>
    <row r="148" ht="15" customHeight="1">
      <c r="A148" t="inlineStr">
        <is>
          <t>A 18577-2021</t>
        </is>
      </c>
      <c r="B148" s="1" t="n">
        <v>44305</v>
      </c>
      <c r="C148" s="1" t="n">
        <v>45798</v>
      </c>
      <c r="D148" t="inlineStr">
        <is>
          <t>NORRBOTTENS LÄN</t>
        </is>
      </c>
      <c r="E148" t="inlineStr">
        <is>
          <t>ÖVERTORNEÅ</t>
        </is>
      </c>
      <c r="G148" t="n">
        <v>16.9</v>
      </c>
      <c r="H148" t="n">
        <v>5</v>
      </c>
      <c r="I148" t="n">
        <v>2</v>
      </c>
      <c r="J148" t="n">
        <v>6</v>
      </c>
      <c r="K148" t="n">
        <v>1</v>
      </c>
      <c r="L148" t="n">
        <v>0</v>
      </c>
      <c r="M148" t="n">
        <v>0</v>
      </c>
      <c r="N148" t="n">
        <v>0</v>
      </c>
      <c r="O148" t="n">
        <v>7</v>
      </c>
      <c r="P148" t="n">
        <v>1</v>
      </c>
      <c r="Q148" t="n">
        <v>10</v>
      </c>
      <c r="R148" s="2" t="inlineStr">
        <is>
          <t>Knärot
Garnlav
Järpe
Kolflarnlav
Nordtagging
Spillkråka
Tretåig hackspett
Stor aspticka
Stuplav
Tjäder</t>
        </is>
      </c>
      <c r="S148">
        <f>HYPERLINK("https://klasma.github.io/Logging_2518/artfynd/A 18577-2021 artfynd.xlsx", "A 18577-2021")</f>
        <v/>
      </c>
      <c r="T148">
        <f>HYPERLINK("https://klasma.github.io/Logging_2518/kartor/A 18577-2021 karta.png", "A 18577-2021")</f>
        <v/>
      </c>
      <c r="U148">
        <f>HYPERLINK("https://klasma.github.io/Logging_2518/knärot/A 18577-2021 karta knärot.png", "A 18577-2021")</f>
        <v/>
      </c>
      <c r="V148">
        <f>HYPERLINK("https://klasma.github.io/Logging_2518/klagomål/A 18577-2021 FSC-klagomål.docx", "A 18577-2021")</f>
        <v/>
      </c>
      <c r="W148">
        <f>HYPERLINK("https://klasma.github.io/Logging_2518/klagomålsmail/A 18577-2021 FSC-klagomål mail.docx", "A 18577-2021")</f>
        <v/>
      </c>
      <c r="X148">
        <f>HYPERLINK("https://klasma.github.io/Logging_2518/tillsyn/A 18577-2021 tillsynsbegäran.docx", "A 18577-2021")</f>
        <v/>
      </c>
      <c r="Y148">
        <f>HYPERLINK("https://klasma.github.io/Logging_2518/tillsynsmail/A 18577-2021 tillsynsbegäran mail.docx", "A 18577-2021")</f>
        <v/>
      </c>
      <c r="Z148">
        <f>HYPERLINK("https://klasma.github.io/Logging_2518/fåglar/A 18577-2021 prioriterade fågelarter.docx", "A 18577-2021")</f>
        <v/>
      </c>
    </row>
    <row r="149" ht="15" customHeight="1">
      <c r="A149" t="inlineStr">
        <is>
          <t>A 7961-2022</t>
        </is>
      </c>
      <c r="B149" s="1" t="n">
        <v>44608</v>
      </c>
      <c r="C149" s="1" t="n">
        <v>45798</v>
      </c>
      <c r="D149" t="inlineStr">
        <is>
          <t>NORRBOTTENS LÄN</t>
        </is>
      </c>
      <c r="E149" t="inlineStr">
        <is>
          <t>PAJALA</t>
        </is>
      </c>
      <c r="F149" t="inlineStr">
        <is>
          <t>SCA</t>
        </is>
      </c>
      <c r="G149" t="n">
        <v>5</v>
      </c>
      <c r="H149" t="n">
        <v>1</v>
      </c>
      <c r="I149" t="n">
        <v>3</v>
      </c>
      <c r="J149" t="n">
        <v>6</v>
      </c>
      <c r="K149" t="n">
        <v>1</v>
      </c>
      <c r="L149" t="n">
        <v>0</v>
      </c>
      <c r="M149" t="n">
        <v>0</v>
      </c>
      <c r="N149" t="n">
        <v>0</v>
      </c>
      <c r="O149" t="n">
        <v>7</v>
      </c>
      <c r="P149" t="n">
        <v>1</v>
      </c>
      <c r="Q149" t="n">
        <v>10</v>
      </c>
      <c r="R149" s="2" t="inlineStr">
        <is>
          <t>Rynkskinn
Garnlav
Granticka
Tretåig hackspett
Ullticka
Vedskivlav
Vitgrynig nållav
Dropptaggsvamp
Skarp dropptaggsvamp
Skinnlav</t>
        </is>
      </c>
      <c r="S149">
        <f>HYPERLINK("https://klasma.github.io/Logging_2521/artfynd/A 7961-2022 artfynd.xlsx", "A 7961-2022")</f>
        <v/>
      </c>
      <c r="T149">
        <f>HYPERLINK("https://klasma.github.io/Logging_2521/kartor/A 7961-2022 karta.png", "A 7961-2022")</f>
        <v/>
      </c>
      <c r="V149">
        <f>HYPERLINK("https://klasma.github.io/Logging_2521/klagomål/A 7961-2022 FSC-klagomål.docx", "A 7961-2022")</f>
        <v/>
      </c>
      <c r="W149">
        <f>HYPERLINK("https://klasma.github.io/Logging_2521/klagomålsmail/A 7961-2022 FSC-klagomål mail.docx", "A 7961-2022")</f>
        <v/>
      </c>
      <c r="X149">
        <f>HYPERLINK("https://klasma.github.io/Logging_2521/tillsyn/A 7961-2022 tillsynsbegäran.docx", "A 7961-2022")</f>
        <v/>
      </c>
      <c r="Y149">
        <f>HYPERLINK("https://klasma.github.io/Logging_2521/tillsynsmail/A 7961-2022 tillsynsbegäran mail.docx", "A 7961-2022")</f>
        <v/>
      </c>
      <c r="Z149">
        <f>HYPERLINK("https://klasma.github.io/Logging_2521/fåglar/A 7961-2022 prioriterade fågelarter.docx", "A 7961-2022")</f>
        <v/>
      </c>
    </row>
    <row r="150" ht="15" customHeight="1">
      <c r="A150" t="inlineStr">
        <is>
          <t>A 53150-2022</t>
        </is>
      </c>
      <c r="B150" s="1" t="n">
        <v>44876</v>
      </c>
      <c r="C150" s="1" t="n">
        <v>45798</v>
      </c>
      <c r="D150" t="inlineStr">
        <is>
          <t>NORRBOTTENS LÄN</t>
        </is>
      </c>
      <c r="E150" t="inlineStr">
        <is>
          <t>ARVIDSJAUR</t>
        </is>
      </c>
      <c r="F150" t="inlineStr">
        <is>
          <t>Sveaskog</t>
        </is>
      </c>
      <c r="G150" t="n">
        <v>2.5</v>
      </c>
      <c r="H150" t="n">
        <v>1</v>
      </c>
      <c r="I150" t="n">
        <v>1</v>
      </c>
      <c r="J150" t="n">
        <v>5</v>
      </c>
      <c r="K150" t="n">
        <v>3</v>
      </c>
      <c r="L150" t="n">
        <v>0</v>
      </c>
      <c r="M150" t="n">
        <v>0</v>
      </c>
      <c r="N150" t="n">
        <v>0</v>
      </c>
      <c r="O150" t="n">
        <v>8</v>
      </c>
      <c r="P150" t="n">
        <v>3</v>
      </c>
      <c r="Q150" t="n">
        <v>10</v>
      </c>
      <c r="R150" s="2" t="inlineStr">
        <is>
          <t>Smalfotad taggsvamp
Spadskinn
Tajgataggsvamp
Garnlav
Gränsticka
Talltaggsvamp
Tallticka
Vedskivlav
Nästlav
Revlummer</t>
        </is>
      </c>
      <c r="S150">
        <f>HYPERLINK("https://klasma.github.io/Logging_2505/artfynd/A 53150-2022 artfynd.xlsx", "A 53150-2022")</f>
        <v/>
      </c>
      <c r="T150">
        <f>HYPERLINK("https://klasma.github.io/Logging_2505/kartor/A 53150-2022 karta.png", "A 53150-2022")</f>
        <v/>
      </c>
      <c r="V150">
        <f>HYPERLINK("https://klasma.github.io/Logging_2505/klagomål/A 53150-2022 FSC-klagomål.docx", "A 53150-2022")</f>
        <v/>
      </c>
      <c r="W150">
        <f>HYPERLINK("https://klasma.github.io/Logging_2505/klagomålsmail/A 53150-2022 FSC-klagomål mail.docx", "A 53150-2022")</f>
        <v/>
      </c>
      <c r="X150">
        <f>HYPERLINK("https://klasma.github.io/Logging_2505/tillsyn/A 53150-2022 tillsynsbegäran.docx", "A 53150-2022")</f>
        <v/>
      </c>
      <c r="Y150">
        <f>HYPERLINK("https://klasma.github.io/Logging_2505/tillsynsmail/A 53150-2022 tillsynsbegäran mail.docx", "A 53150-2022")</f>
        <v/>
      </c>
    </row>
    <row r="151" ht="15" customHeight="1">
      <c r="A151" t="inlineStr">
        <is>
          <t>A 6243-2023</t>
        </is>
      </c>
      <c r="B151" s="1" t="n">
        <v>44964</v>
      </c>
      <c r="C151" s="1" t="n">
        <v>45798</v>
      </c>
      <c r="D151" t="inlineStr">
        <is>
          <t>NORRBOTTENS LÄN</t>
        </is>
      </c>
      <c r="E151" t="inlineStr">
        <is>
          <t>BODEN</t>
        </is>
      </c>
      <c r="F151" t="inlineStr">
        <is>
          <t>SCA</t>
        </is>
      </c>
      <c r="G151" t="n">
        <v>3.2</v>
      </c>
      <c r="H151" t="n">
        <v>3</v>
      </c>
      <c r="I151" t="n">
        <v>6</v>
      </c>
      <c r="J151" t="n">
        <v>2</v>
      </c>
      <c r="K151" t="n">
        <v>0</v>
      </c>
      <c r="L151" t="n">
        <v>0</v>
      </c>
      <c r="M151" t="n">
        <v>0</v>
      </c>
      <c r="N151" t="n">
        <v>0</v>
      </c>
      <c r="O151" t="n">
        <v>2</v>
      </c>
      <c r="P151" t="n">
        <v>0</v>
      </c>
      <c r="Q151" t="n">
        <v>10</v>
      </c>
      <c r="R151" s="2" t="inlineStr">
        <is>
          <t>Garnlav
Lunglav
Bårdlav
Källpraktmossa
Luddlav
Skinnlav
Spindelblomster
Stuplav
Tjäder
Fläcknycklar</t>
        </is>
      </c>
      <c r="S151">
        <f>HYPERLINK("https://klasma.github.io/Logging_2582/artfynd/A 6243-2023 artfynd.xlsx", "A 6243-2023")</f>
        <v/>
      </c>
      <c r="T151">
        <f>HYPERLINK("https://klasma.github.io/Logging_2582/kartor/A 6243-2023 karta.png", "A 6243-2023")</f>
        <v/>
      </c>
      <c r="V151">
        <f>HYPERLINK("https://klasma.github.io/Logging_2582/klagomål/A 6243-2023 FSC-klagomål.docx", "A 6243-2023")</f>
        <v/>
      </c>
      <c r="W151">
        <f>HYPERLINK("https://klasma.github.io/Logging_2582/klagomålsmail/A 6243-2023 FSC-klagomål mail.docx", "A 6243-2023")</f>
        <v/>
      </c>
      <c r="X151">
        <f>HYPERLINK("https://klasma.github.io/Logging_2582/tillsyn/A 6243-2023 tillsynsbegäran.docx", "A 6243-2023")</f>
        <v/>
      </c>
      <c r="Y151">
        <f>HYPERLINK("https://klasma.github.io/Logging_2582/tillsynsmail/A 6243-2023 tillsynsbegäran mail.docx", "A 6243-2023")</f>
        <v/>
      </c>
      <c r="Z151">
        <f>HYPERLINK("https://klasma.github.io/Logging_2582/fåglar/A 6243-2023 prioriterade fågelarter.docx", "A 6243-2023")</f>
        <v/>
      </c>
    </row>
    <row r="152" ht="15" customHeight="1">
      <c r="A152" t="inlineStr">
        <is>
          <t>A 24318-2023</t>
        </is>
      </c>
      <c r="B152" s="1" t="n">
        <v>45080</v>
      </c>
      <c r="C152" s="1" t="n">
        <v>45798</v>
      </c>
      <c r="D152" t="inlineStr">
        <is>
          <t>NORRBOTTENS LÄN</t>
        </is>
      </c>
      <c r="E152" t="inlineStr">
        <is>
          <t>GÄLLIVARE</t>
        </is>
      </c>
      <c r="F152" t="inlineStr">
        <is>
          <t>Sveaskog</t>
        </is>
      </c>
      <c r="G152" t="n">
        <v>22.1</v>
      </c>
      <c r="H152" t="n">
        <v>3</v>
      </c>
      <c r="I152" t="n">
        <v>2</v>
      </c>
      <c r="J152" t="n">
        <v>7</v>
      </c>
      <c r="K152" t="n">
        <v>1</v>
      </c>
      <c r="L152" t="n">
        <v>0</v>
      </c>
      <c r="M152" t="n">
        <v>0</v>
      </c>
      <c r="N152" t="n">
        <v>0</v>
      </c>
      <c r="O152" t="n">
        <v>8</v>
      </c>
      <c r="P152" t="n">
        <v>1</v>
      </c>
      <c r="Q152" t="n">
        <v>10</v>
      </c>
      <c r="R152" s="2" t="inlineStr">
        <is>
          <t>Doftticka
Gammelgransskål
Garnlav
Knottrig blåslav
Skrovellav
Spillkråka
Tretåig hackspett
Vaddporing
Stuplav
Vedticka</t>
        </is>
      </c>
      <c r="S152">
        <f>HYPERLINK("https://klasma.github.io/Logging_2523/artfynd/A 24318-2023 artfynd.xlsx", "A 24318-2023")</f>
        <v/>
      </c>
      <c r="T152">
        <f>HYPERLINK("https://klasma.github.io/Logging_2523/kartor/A 24318-2023 karta.png", "A 24318-2023")</f>
        <v/>
      </c>
      <c r="V152">
        <f>HYPERLINK("https://klasma.github.io/Logging_2523/klagomål/A 24318-2023 FSC-klagomål.docx", "A 24318-2023")</f>
        <v/>
      </c>
      <c r="W152">
        <f>HYPERLINK("https://klasma.github.io/Logging_2523/klagomålsmail/A 24318-2023 FSC-klagomål mail.docx", "A 24318-2023")</f>
        <v/>
      </c>
      <c r="X152">
        <f>HYPERLINK("https://klasma.github.io/Logging_2523/tillsyn/A 24318-2023 tillsynsbegäran.docx", "A 24318-2023")</f>
        <v/>
      </c>
      <c r="Y152">
        <f>HYPERLINK("https://klasma.github.io/Logging_2523/tillsynsmail/A 24318-2023 tillsynsbegäran mail.docx", "A 24318-2023")</f>
        <v/>
      </c>
      <c r="Z152">
        <f>HYPERLINK("https://klasma.github.io/Logging_2523/fåglar/A 24318-2023 prioriterade fågelarter.docx", "A 24318-2023")</f>
        <v/>
      </c>
    </row>
    <row r="153" ht="15" customHeight="1">
      <c r="A153" t="inlineStr">
        <is>
          <t>A 28793-2023</t>
        </is>
      </c>
      <c r="B153" s="1" t="n">
        <v>45104</v>
      </c>
      <c r="C153" s="1" t="n">
        <v>45798</v>
      </c>
      <c r="D153" t="inlineStr">
        <is>
          <t>NORRBOTTENS LÄN</t>
        </is>
      </c>
      <c r="E153" t="inlineStr">
        <is>
          <t>ARVIDSJAUR</t>
        </is>
      </c>
      <c r="F153" t="inlineStr">
        <is>
          <t>Övriga Aktiebolag</t>
        </is>
      </c>
      <c r="G153" t="n">
        <v>19</v>
      </c>
      <c r="H153" t="n">
        <v>1</v>
      </c>
      <c r="I153" t="n">
        <v>2</v>
      </c>
      <c r="J153" t="n">
        <v>8</v>
      </c>
      <c r="K153" t="n">
        <v>0</v>
      </c>
      <c r="L153" t="n">
        <v>0</v>
      </c>
      <c r="M153" t="n">
        <v>0</v>
      </c>
      <c r="N153" t="n">
        <v>0</v>
      </c>
      <c r="O153" t="n">
        <v>8</v>
      </c>
      <c r="P153" t="n">
        <v>0</v>
      </c>
      <c r="Q153" t="n">
        <v>10</v>
      </c>
      <c r="R153" s="2" t="inlineStr">
        <is>
          <t>Blå taggsvamp
Kolflarnlav
Motaggsvamp
Nordtagging
Orange taggsvamp
Skrovlig taggsvamp
Talltaggsvamp
Vedskivlav
Plattlummer
Skarp dropptaggsvamp</t>
        </is>
      </c>
      <c r="S153">
        <f>HYPERLINK("https://klasma.github.io/Logging_2505/artfynd/A 28793-2023 artfynd.xlsx", "A 28793-2023")</f>
        <v/>
      </c>
      <c r="T153">
        <f>HYPERLINK("https://klasma.github.io/Logging_2505/kartor/A 28793-2023 karta.png", "A 28793-2023")</f>
        <v/>
      </c>
      <c r="V153">
        <f>HYPERLINK("https://klasma.github.io/Logging_2505/klagomål/A 28793-2023 FSC-klagomål.docx", "A 28793-2023")</f>
        <v/>
      </c>
      <c r="W153">
        <f>HYPERLINK("https://klasma.github.io/Logging_2505/klagomålsmail/A 28793-2023 FSC-klagomål mail.docx", "A 28793-2023")</f>
        <v/>
      </c>
      <c r="X153">
        <f>HYPERLINK("https://klasma.github.io/Logging_2505/tillsyn/A 28793-2023 tillsynsbegäran.docx", "A 28793-2023")</f>
        <v/>
      </c>
      <c r="Y153">
        <f>HYPERLINK("https://klasma.github.io/Logging_2505/tillsynsmail/A 28793-2023 tillsynsbegäran mail.docx", "A 28793-2023")</f>
        <v/>
      </c>
    </row>
    <row r="154" ht="15" customHeight="1">
      <c r="A154" t="inlineStr">
        <is>
          <t>A 39719-2023</t>
        </is>
      </c>
      <c r="B154" s="1" t="n">
        <v>45167</v>
      </c>
      <c r="C154" s="1" t="n">
        <v>45798</v>
      </c>
      <c r="D154" t="inlineStr">
        <is>
          <t>NORRBOTTENS LÄN</t>
        </is>
      </c>
      <c r="E154" t="inlineStr">
        <is>
          <t>KALIX</t>
        </is>
      </c>
      <c r="G154" t="n">
        <v>3.1</v>
      </c>
      <c r="H154" t="n">
        <v>4</v>
      </c>
      <c r="I154" t="n">
        <v>4</v>
      </c>
      <c r="J154" t="n">
        <v>5</v>
      </c>
      <c r="K154" t="n">
        <v>0</v>
      </c>
      <c r="L154" t="n">
        <v>0</v>
      </c>
      <c r="M154" t="n">
        <v>0</v>
      </c>
      <c r="N154" t="n">
        <v>0</v>
      </c>
      <c r="O154" t="n">
        <v>5</v>
      </c>
      <c r="P154" t="n">
        <v>0</v>
      </c>
      <c r="Q154" t="n">
        <v>10</v>
      </c>
      <c r="R154" s="2" t="inlineStr">
        <is>
          <t>Garnlav
Motaggsvamp
Spillkråka
Svart taggsvamp
Talltita
Plattlummer
Skarp dropptaggsvamp
Tallfingersvamp
Zontaggsvamp
Revlummer</t>
        </is>
      </c>
      <c r="S154">
        <f>HYPERLINK("https://klasma.github.io/Logging_2514/artfynd/A 39719-2023 artfynd.xlsx", "A 39719-2023")</f>
        <v/>
      </c>
      <c r="T154">
        <f>HYPERLINK("https://klasma.github.io/Logging_2514/kartor/A 39719-2023 karta.png", "A 39719-2023")</f>
        <v/>
      </c>
      <c r="V154">
        <f>HYPERLINK("https://klasma.github.io/Logging_2514/klagomål/A 39719-2023 FSC-klagomål.docx", "A 39719-2023")</f>
        <v/>
      </c>
      <c r="W154">
        <f>HYPERLINK("https://klasma.github.io/Logging_2514/klagomålsmail/A 39719-2023 FSC-klagomål mail.docx", "A 39719-2023")</f>
        <v/>
      </c>
      <c r="X154">
        <f>HYPERLINK("https://klasma.github.io/Logging_2514/tillsyn/A 39719-2023 tillsynsbegäran.docx", "A 39719-2023")</f>
        <v/>
      </c>
      <c r="Y154">
        <f>HYPERLINK("https://klasma.github.io/Logging_2514/tillsynsmail/A 39719-2023 tillsynsbegäran mail.docx", "A 39719-2023")</f>
        <v/>
      </c>
      <c r="Z154">
        <f>HYPERLINK("https://klasma.github.io/Logging_2514/fåglar/A 39719-2023 prioriterade fågelarter.docx", "A 39719-2023")</f>
        <v/>
      </c>
    </row>
    <row r="155" ht="15" customHeight="1">
      <c r="A155" t="inlineStr">
        <is>
          <t>A 43544-2023</t>
        </is>
      </c>
      <c r="B155" s="1" t="n">
        <v>45184</v>
      </c>
      <c r="C155" s="1" t="n">
        <v>45798</v>
      </c>
      <c r="D155" t="inlineStr">
        <is>
          <t>NORRBOTTENS LÄN</t>
        </is>
      </c>
      <c r="E155" t="inlineStr">
        <is>
          <t>JOKKMOKK</t>
        </is>
      </c>
      <c r="F155" t="inlineStr">
        <is>
          <t>Sveaskog</t>
        </is>
      </c>
      <c r="G155" t="n">
        <v>3.7</v>
      </c>
      <c r="H155" t="n">
        <v>0</v>
      </c>
      <c r="I155" t="n">
        <v>1</v>
      </c>
      <c r="J155" t="n">
        <v>5</v>
      </c>
      <c r="K155" t="n">
        <v>4</v>
      </c>
      <c r="L155" t="n">
        <v>0</v>
      </c>
      <c r="M155" t="n">
        <v>0</v>
      </c>
      <c r="N155" t="n">
        <v>0</v>
      </c>
      <c r="O155" t="n">
        <v>9</v>
      </c>
      <c r="P155" t="n">
        <v>4</v>
      </c>
      <c r="Q155" t="n">
        <v>10</v>
      </c>
      <c r="R155" s="2" t="inlineStr">
        <is>
          <t>Goliatmusseron
Smalfotad taggsvamp
Tajgataggsvamp
Tallgråticka
Blå taggsvamp
Orange taggsvamp
Svart taggsvamp
Tallriska
Talltaggsvamp
Skarp dropptaggsvamp</t>
        </is>
      </c>
      <c r="S155">
        <f>HYPERLINK("https://klasma.github.io/Logging_2510/artfynd/A 43544-2023 artfynd.xlsx", "A 43544-2023")</f>
        <v/>
      </c>
      <c r="T155">
        <f>HYPERLINK("https://klasma.github.io/Logging_2510/kartor/A 43544-2023 karta.png", "A 43544-2023")</f>
        <v/>
      </c>
      <c r="V155">
        <f>HYPERLINK("https://klasma.github.io/Logging_2510/klagomål/A 43544-2023 FSC-klagomål.docx", "A 43544-2023")</f>
        <v/>
      </c>
      <c r="W155">
        <f>HYPERLINK("https://klasma.github.io/Logging_2510/klagomålsmail/A 43544-2023 FSC-klagomål mail.docx", "A 43544-2023")</f>
        <v/>
      </c>
      <c r="X155">
        <f>HYPERLINK("https://klasma.github.io/Logging_2510/tillsyn/A 43544-2023 tillsynsbegäran.docx", "A 43544-2023")</f>
        <v/>
      </c>
      <c r="Y155">
        <f>HYPERLINK("https://klasma.github.io/Logging_2510/tillsynsmail/A 43544-2023 tillsynsbegäran mail.docx", "A 43544-2023")</f>
        <v/>
      </c>
    </row>
    <row r="156" ht="15" customHeight="1">
      <c r="A156" t="inlineStr">
        <is>
          <t>A 53227-2023</t>
        </is>
      </c>
      <c r="B156" s="1" t="n">
        <v>45222</v>
      </c>
      <c r="C156" s="1" t="n">
        <v>45798</v>
      </c>
      <c r="D156" t="inlineStr">
        <is>
          <t>NORRBOTTENS LÄN</t>
        </is>
      </c>
      <c r="E156" t="inlineStr">
        <is>
          <t>JOKKMOKK</t>
        </is>
      </c>
      <c r="F156" t="inlineStr">
        <is>
          <t>Övriga statliga verk och myndigheter</t>
        </is>
      </c>
      <c r="G156" t="n">
        <v>61.5</v>
      </c>
      <c r="H156" t="n">
        <v>0</v>
      </c>
      <c r="I156" t="n">
        <v>2</v>
      </c>
      <c r="J156" t="n">
        <v>6</v>
      </c>
      <c r="K156" t="n">
        <v>2</v>
      </c>
      <c r="L156" t="n">
        <v>0</v>
      </c>
      <c r="M156" t="n">
        <v>0</v>
      </c>
      <c r="N156" t="n">
        <v>0</v>
      </c>
      <c r="O156" t="n">
        <v>8</v>
      </c>
      <c r="P156" t="n">
        <v>2</v>
      </c>
      <c r="Q156" t="n">
        <v>10</v>
      </c>
      <c r="R156" s="2" t="inlineStr">
        <is>
          <t>Smalfotad taggsvamp
Tajgataggsvamp
Blå taggsvamp
Motaggsvamp
Orange taggsvamp
Skrovlig taggsvamp
Talltaggsvamp
Vaddporing
Dropptaggsvamp
Skarp dropptaggsvamp</t>
        </is>
      </c>
      <c r="S156">
        <f>HYPERLINK("https://klasma.github.io/Logging_2510/artfynd/A 53227-2023 artfynd.xlsx", "A 53227-2023")</f>
        <v/>
      </c>
      <c r="T156">
        <f>HYPERLINK("https://klasma.github.io/Logging_2510/kartor/A 53227-2023 karta.png", "A 53227-2023")</f>
        <v/>
      </c>
      <c r="V156">
        <f>HYPERLINK("https://klasma.github.io/Logging_2510/klagomål/A 53227-2023 FSC-klagomål.docx", "A 53227-2023")</f>
        <v/>
      </c>
      <c r="W156">
        <f>HYPERLINK("https://klasma.github.io/Logging_2510/klagomålsmail/A 53227-2023 FSC-klagomål mail.docx", "A 53227-2023")</f>
        <v/>
      </c>
      <c r="X156">
        <f>HYPERLINK("https://klasma.github.io/Logging_2510/tillsyn/A 53227-2023 tillsynsbegäran.docx", "A 53227-2023")</f>
        <v/>
      </c>
      <c r="Y156">
        <f>HYPERLINK("https://klasma.github.io/Logging_2510/tillsynsmail/A 53227-2023 tillsynsbegäran mail.docx", "A 53227-2023")</f>
        <v/>
      </c>
    </row>
    <row r="157" ht="15" customHeight="1">
      <c r="A157" t="inlineStr">
        <is>
          <t>A 55913-2023</t>
        </is>
      </c>
      <c r="B157" s="1" t="n">
        <v>45239</v>
      </c>
      <c r="C157" s="1" t="n">
        <v>45798</v>
      </c>
      <c r="D157" t="inlineStr">
        <is>
          <t>NORRBOTTENS LÄN</t>
        </is>
      </c>
      <c r="E157" t="inlineStr">
        <is>
          <t>LULEÅ</t>
        </is>
      </c>
      <c r="G157" t="n">
        <v>23.6</v>
      </c>
      <c r="H157" t="n">
        <v>7</v>
      </c>
      <c r="I157" t="n">
        <v>5</v>
      </c>
      <c r="J157" t="n">
        <v>0</v>
      </c>
      <c r="K157" t="n">
        <v>2</v>
      </c>
      <c r="L157" t="n">
        <v>0</v>
      </c>
      <c r="M157" t="n">
        <v>0</v>
      </c>
      <c r="N157" t="n">
        <v>0</v>
      </c>
      <c r="O157" t="n">
        <v>2</v>
      </c>
      <c r="P157" t="n">
        <v>2</v>
      </c>
      <c r="Q157" t="n">
        <v>10</v>
      </c>
      <c r="R157" s="2" t="inlineStr">
        <is>
          <t>Doftticka
Knärot
Grönpyrola
Plattlummer
Spindelblomster
Trådfräken
Ögonpyrola
Fläcknycklar
Nattviol
Revlummer</t>
        </is>
      </c>
      <c r="S157">
        <f>HYPERLINK("https://klasma.github.io/Logging_2580/artfynd/A 55913-2023 artfynd.xlsx", "A 55913-2023")</f>
        <v/>
      </c>
      <c r="T157">
        <f>HYPERLINK("https://klasma.github.io/Logging_2580/kartor/A 55913-2023 karta.png", "A 55913-2023")</f>
        <v/>
      </c>
      <c r="U157">
        <f>HYPERLINK("https://klasma.github.io/Logging_2580/knärot/A 55913-2023 karta knärot.png", "A 55913-2023")</f>
        <v/>
      </c>
      <c r="V157">
        <f>HYPERLINK("https://klasma.github.io/Logging_2580/klagomål/A 55913-2023 FSC-klagomål.docx", "A 55913-2023")</f>
        <v/>
      </c>
      <c r="W157">
        <f>HYPERLINK("https://klasma.github.io/Logging_2580/klagomålsmail/A 55913-2023 FSC-klagomål mail.docx", "A 55913-2023")</f>
        <v/>
      </c>
      <c r="X157">
        <f>HYPERLINK("https://klasma.github.io/Logging_2580/tillsyn/A 55913-2023 tillsynsbegäran.docx", "A 55913-2023")</f>
        <v/>
      </c>
      <c r="Y157">
        <f>HYPERLINK("https://klasma.github.io/Logging_2580/tillsynsmail/A 55913-2023 tillsynsbegäran mail.docx", "A 55913-2023")</f>
        <v/>
      </c>
    </row>
    <row r="158" ht="15" customHeight="1">
      <c r="A158" t="inlineStr">
        <is>
          <t>A 57936-2023</t>
        </is>
      </c>
      <c r="B158" s="1" t="n">
        <v>45247</v>
      </c>
      <c r="C158" s="1" t="n">
        <v>45798</v>
      </c>
      <c r="D158" t="inlineStr">
        <is>
          <t>NORRBOTTENS LÄN</t>
        </is>
      </c>
      <c r="E158" t="inlineStr">
        <is>
          <t>GÄLLIVARE</t>
        </is>
      </c>
      <c r="F158" t="inlineStr">
        <is>
          <t>Sveaskog</t>
        </is>
      </c>
      <c r="G158" t="n">
        <v>15.6</v>
      </c>
      <c r="H158" t="n">
        <v>0</v>
      </c>
      <c r="I158" t="n">
        <v>1</v>
      </c>
      <c r="J158" t="n">
        <v>6</v>
      </c>
      <c r="K158" t="n">
        <v>3</v>
      </c>
      <c r="L158" t="n">
        <v>0</v>
      </c>
      <c r="M158" t="n">
        <v>0</v>
      </c>
      <c r="N158" t="n">
        <v>0</v>
      </c>
      <c r="O158" t="n">
        <v>9</v>
      </c>
      <c r="P158" t="n">
        <v>3</v>
      </c>
      <c r="Q158" t="n">
        <v>10</v>
      </c>
      <c r="R158" s="2" t="inlineStr">
        <is>
          <t>Goliatmusseron
Spadskinn
Tallgråticka
Blå taggsvamp
Orange taggsvamp
Skrovlig taggsvamp
Svartvit taggsvamp
Talltaggsvamp
Vaddporing
Skarp dropptaggsvamp</t>
        </is>
      </c>
      <c r="S158">
        <f>HYPERLINK("https://klasma.github.io/Logging_2523/artfynd/A 57936-2023 artfynd.xlsx", "A 57936-2023")</f>
        <v/>
      </c>
      <c r="T158">
        <f>HYPERLINK("https://klasma.github.io/Logging_2523/kartor/A 57936-2023 karta.png", "A 57936-2023")</f>
        <v/>
      </c>
      <c r="V158">
        <f>HYPERLINK("https://klasma.github.io/Logging_2523/klagomål/A 57936-2023 FSC-klagomål.docx", "A 57936-2023")</f>
        <v/>
      </c>
      <c r="W158">
        <f>HYPERLINK("https://klasma.github.io/Logging_2523/klagomålsmail/A 57936-2023 FSC-klagomål mail.docx", "A 57936-2023")</f>
        <v/>
      </c>
      <c r="X158">
        <f>HYPERLINK("https://klasma.github.io/Logging_2523/tillsyn/A 57936-2023 tillsynsbegäran.docx", "A 57936-2023")</f>
        <v/>
      </c>
      <c r="Y158">
        <f>HYPERLINK("https://klasma.github.io/Logging_2523/tillsynsmail/A 57936-2023 tillsynsbegäran mail.docx", "A 57936-2023")</f>
        <v/>
      </c>
    </row>
    <row r="159" ht="15" customHeight="1">
      <c r="A159" t="inlineStr">
        <is>
          <t>A 61865-2023</t>
        </is>
      </c>
      <c r="B159" s="1" t="n">
        <v>45266</v>
      </c>
      <c r="C159" s="1" t="n">
        <v>45798</v>
      </c>
      <c r="D159" t="inlineStr">
        <is>
          <t>NORRBOTTENS LÄN</t>
        </is>
      </c>
      <c r="E159" t="inlineStr">
        <is>
          <t>ÖVERTORNEÅ</t>
        </is>
      </c>
      <c r="G159" t="n">
        <v>18.8</v>
      </c>
      <c r="H159" t="n">
        <v>3</v>
      </c>
      <c r="I159" t="n">
        <v>2</v>
      </c>
      <c r="J159" t="n">
        <v>5</v>
      </c>
      <c r="K159" t="n">
        <v>1</v>
      </c>
      <c r="L159" t="n">
        <v>0</v>
      </c>
      <c r="M159" t="n">
        <v>0</v>
      </c>
      <c r="N159" t="n">
        <v>0</v>
      </c>
      <c r="O159" t="n">
        <v>6</v>
      </c>
      <c r="P159" t="n">
        <v>1</v>
      </c>
      <c r="Q159" t="n">
        <v>10</v>
      </c>
      <c r="R159" s="2" t="inlineStr">
        <is>
          <t>Vågticka
Gammelgransskål
Garnlav
Lunglav
Mörk kolflarnlav
Spillkråka
Skinnlav
Stuplav
Orre
Tjäder</t>
        </is>
      </c>
      <c r="S159">
        <f>HYPERLINK("https://klasma.github.io/Logging_2518/artfynd/A 61865-2023 artfynd.xlsx", "A 61865-2023")</f>
        <v/>
      </c>
      <c r="T159">
        <f>HYPERLINK("https://klasma.github.io/Logging_2518/kartor/A 61865-2023 karta.png", "A 61865-2023")</f>
        <v/>
      </c>
      <c r="V159">
        <f>HYPERLINK("https://klasma.github.io/Logging_2518/klagomål/A 61865-2023 FSC-klagomål.docx", "A 61865-2023")</f>
        <v/>
      </c>
      <c r="W159">
        <f>HYPERLINK("https://klasma.github.io/Logging_2518/klagomålsmail/A 61865-2023 FSC-klagomål mail.docx", "A 61865-2023")</f>
        <v/>
      </c>
      <c r="X159">
        <f>HYPERLINK("https://klasma.github.io/Logging_2518/tillsyn/A 61865-2023 tillsynsbegäran.docx", "A 61865-2023")</f>
        <v/>
      </c>
      <c r="Y159">
        <f>HYPERLINK("https://klasma.github.io/Logging_2518/tillsynsmail/A 61865-2023 tillsynsbegäran mail.docx", "A 61865-2023")</f>
        <v/>
      </c>
      <c r="Z159">
        <f>HYPERLINK("https://klasma.github.io/Logging_2518/fåglar/A 61865-2023 prioriterade fågelarter.docx", "A 61865-2023")</f>
        <v/>
      </c>
    </row>
    <row r="160" ht="15" customHeight="1">
      <c r="A160" t="inlineStr">
        <is>
          <t>A 64127-2023</t>
        </is>
      </c>
      <c r="B160" s="1" t="n">
        <v>45279</v>
      </c>
      <c r="C160" s="1" t="n">
        <v>45798</v>
      </c>
      <c r="D160" t="inlineStr">
        <is>
          <t>NORRBOTTENS LÄN</t>
        </is>
      </c>
      <c r="E160" t="inlineStr">
        <is>
          <t>BODEN</t>
        </is>
      </c>
      <c r="F160" t="inlineStr">
        <is>
          <t>Kyrkan</t>
        </is>
      </c>
      <c r="G160" t="n">
        <v>33.4</v>
      </c>
      <c r="H160" t="n">
        <v>3</v>
      </c>
      <c r="I160" t="n">
        <v>2</v>
      </c>
      <c r="J160" t="n">
        <v>7</v>
      </c>
      <c r="K160" t="n">
        <v>1</v>
      </c>
      <c r="L160" t="n">
        <v>0</v>
      </c>
      <c r="M160" t="n">
        <v>0</v>
      </c>
      <c r="N160" t="n">
        <v>0</v>
      </c>
      <c r="O160" t="n">
        <v>8</v>
      </c>
      <c r="P160" t="n">
        <v>1</v>
      </c>
      <c r="Q160" t="n">
        <v>10</v>
      </c>
      <c r="R160" s="2" t="inlineStr">
        <is>
          <t>Knärot
Blå taggsvamp
Orange taggsvamp
Spillkråka
Svart taggsvamp
Tallriska
Tallticka
Talltita
Dropptaggsvamp
Skarp dropptaggsvamp</t>
        </is>
      </c>
      <c r="S160">
        <f>HYPERLINK("https://klasma.github.io/Logging_2582/artfynd/A 64127-2023 artfynd.xlsx", "A 64127-2023")</f>
        <v/>
      </c>
      <c r="T160">
        <f>HYPERLINK("https://klasma.github.io/Logging_2582/kartor/A 64127-2023 karta.png", "A 64127-2023")</f>
        <v/>
      </c>
      <c r="U160">
        <f>HYPERLINK("https://klasma.github.io/Logging_2582/knärot/A 64127-2023 karta knärot.png", "A 64127-2023")</f>
        <v/>
      </c>
      <c r="V160">
        <f>HYPERLINK("https://klasma.github.io/Logging_2582/klagomål/A 64127-2023 FSC-klagomål.docx", "A 64127-2023")</f>
        <v/>
      </c>
      <c r="W160">
        <f>HYPERLINK("https://klasma.github.io/Logging_2582/klagomålsmail/A 64127-2023 FSC-klagomål mail.docx", "A 64127-2023")</f>
        <v/>
      </c>
      <c r="X160">
        <f>HYPERLINK("https://klasma.github.io/Logging_2582/tillsyn/A 64127-2023 tillsynsbegäran.docx", "A 64127-2023")</f>
        <v/>
      </c>
      <c r="Y160">
        <f>HYPERLINK("https://klasma.github.io/Logging_2582/tillsynsmail/A 64127-2023 tillsynsbegäran mail.docx", "A 64127-2023")</f>
        <v/>
      </c>
      <c r="Z160">
        <f>HYPERLINK("https://klasma.github.io/Logging_2582/fåglar/A 64127-2023 prioriterade fågelarter.docx", "A 64127-2023")</f>
        <v/>
      </c>
    </row>
    <row r="161" ht="15" customHeight="1">
      <c r="A161" t="inlineStr">
        <is>
          <t>A 27408-2024</t>
        </is>
      </c>
      <c r="B161" s="1" t="n">
        <v>45474</v>
      </c>
      <c r="C161" s="1" t="n">
        <v>45798</v>
      </c>
      <c r="D161" t="inlineStr">
        <is>
          <t>NORRBOTTENS LÄN</t>
        </is>
      </c>
      <c r="E161" t="inlineStr">
        <is>
          <t>GÄLLIVARE</t>
        </is>
      </c>
      <c r="F161" t="inlineStr">
        <is>
          <t>Sveaskog</t>
        </is>
      </c>
      <c r="G161" t="n">
        <v>7.6</v>
      </c>
      <c r="H161" t="n">
        <v>1</v>
      </c>
      <c r="I161" t="n">
        <v>2</v>
      </c>
      <c r="J161" t="n">
        <v>7</v>
      </c>
      <c r="K161" t="n">
        <v>1</v>
      </c>
      <c r="L161" t="n">
        <v>0</v>
      </c>
      <c r="M161" t="n">
        <v>0</v>
      </c>
      <c r="N161" t="n">
        <v>0</v>
      </c>
      <c r="O161" t="n">
        <v>8</v>
      </c>
      <c r="P161" t="n">
        <v>1</v>
      </c>
      <c r="Q161" t="n">
        <v>10</v>
      </c>
      <c r="R161" s="2" t="inlineStr">
        <is>
          <t>Doftticka
Brunpudrad nållav
Doftskinn
Gammelgransskål
Garnlav
Lunglav
Ullticka
Vitgrynig nållav
Luddlav
Stuplav</t>
        </is>
      </c>
      <c r="S161">
        <f>HYPERLINK("https://klasma.github.io/Logging_2523/artfynd/A 27408-2024 artfynd.xlsx", "A 27408-2024")</f>
        <v/>
      </c>
      <c r="T161">
        <f>HYPERLINK("https://klasma.github.io/Logging_2523/kartor/A 27408-2024 karta.png", "A 27408-2024")</f>
        <v/>
      </c>
      <c r="V161">
        <f>HYPERLINK("https://klasma.github.io/Logging_2523/klagomål/A 27408-2024 FSC-klagomål.docx", "A 27408-2024")</f>
        <v/>
      </c>
      <c r="W161">
        <f>HYPERLINK("https://klasma.github.io/Logging_2523/klagomålsmail/A 27408-2024 FSC-klagomål mail.docx", "A 27408-2024")</f>
        <v/>
      </c>
      <c r="X161">
        <f>HYPERLINK("https://klasma.github.io/Logging_2523/tillsyn/A 27408-2024 tillsynsbegäran.docx", "A 27408-2024")</f>
        <v/>
      </c>
      <c r="Y161">
        <f>HYPERLINK("https://klasma.github.io/Logging_2523/tillsynsmail/A 27408-2024 tillsynsbegäran mail.docx", "A 27408-2024")</f>
        <v/>
      </c>
    </row>
    <row r="162" ht="15" customHeight="1">
      <c r="A162" t="inlineStr">
        <is>
          <t>A 40109-2024</t>
        </is>
      </c>
      <c r="B162" s="1" t="n">
        <v>45554</v>
      </c>
      <c r="C162" s="1" t="n">
        <v>45798</v>
      </c>
      <c r="D162" t="inlineStr">
        <is>
          <t>NORRBOTTENS LÄN</t>
        </is>
      </c>
      <c r="E162" t="inlineStr">
        <is>
          <t>ÄLVSBYN</t>
        </is>
      </c>
      <c r="G162" t="n">
        <v>7.7</v>
      </c>
      <c r="H162" t="n">
        <v>4</v>
      </c>
      <c r="I162" t="n">
        <v>2</v>
      </c>
      <c r="J162" t="n">
        <v>6</v>
      </c>
      <c r="K162" t="n">
        <v>1</v>
      </c>
      <c r="L162" t="n">
        <v>0</v>
      </c>
      <c r="M162" t="n">
        <v>0</v>
      </c>
      <c r="N162" t="n">
        <v>0</v>
      </c>
      <c r="O162" t="n">
        <v>7</v>
      </c>
      <c r="P162" t="n">
        <v>1</v>
      </c>
      <c r="Q162" t="n">
        <v>10</v>
      </c>
      <c r="R162" s="2" t="inlineStr">
        <is>
          <t>Knärot
Blanksvart spiklav
Gammelgransskål
Garnlav
Talltita
Tretåig hackspett
Violmussling
Bollvitmossa
Stuplav
Tjäder</t>
        </is>
      </c>
      <c r="S162">
        <f>HYPERLINK("https://klasma.github.io/Logging_2560/artfynd/A 40109-2024 artfynd.xlsx", "A 40109-2024")</f>
        <v/>
      </c>
      <c r="T162">
        <f>HYPERLINK("https://klasma.github.io/Logging_2560/kartor/A 40109-2024 karta.png", "A 40109-2024")</f>
        <v/>
      </c>
      <c r="U162">
        <f>HYPERLINK("https://klasma.github.io/Logging_2560/knärot/A 40109-2024 karta knärot.png", "A 40109-2024")</f>
        <v/>
      </c>
      <c r="V162">
        <f>HYPERLINK("https://klasma.github.io/Logging_2560/klagomål/A 40109-2024 FSC-klagomål.docx", "A 40109-2024")</f>
        <v/>
      </c>
      <c r="W162">
        <f>HYPERLINK("https://klasma.github.io/Logging_2560/klagomålsmail/A 40109-2024 FSC-klagomål mail.docx", "A 40109-2024")</f>
        <v/>
      </c>
      <c r="X162">
        <f>HYPERLINK("https://klasma.github.io/Logging_2560/tillsyn/A 40109-2024 tillsynsbegäran.docx", "A 40109-2024")</f>
        <v/>
      </c>
      <c r="Y162">
        <f>HYPERLINK("https://klasma.github.io/Logging_2560/tillsynsmail/A 40109-2024 tillsynsbegäran mail.docx", "A 40109-2024")</f>
        <v/>
      </c>
      <c r="Z162">
        <f>HYPERLINK("https://klasma.github.io/Logging_2560/fåglar/A 40109-2024 prioriterade fågelarter.docx", "A 40109-2024")</f>
        <v/>
      </c>
    </row>
    <row r="163" ht="15" customHeight="1">
      <c r="A163" t="inlineStr">
        <is>
          <t>A 45320-2024</t>
        </is>
      </c>
      <c r="B163" s="1" t="n">
        <v>45576</v>
      </c>
      <c r="C163" s="1" t="n">
        <v>45798</v>
      </c>
      <c r="D163" t="inlineStr">
        <is>
          <t>NORRBOTTENS LÄN</t>
        </is>
      </c>
      <c r="E163" t="inlineStr">
        <is>
          <t>ÄLVSBYN</t>
        </is>
      </c>
      <c r="F163" t="inlineStr">
        <is>
          <t>Sveaskog</t>
        </is>
      </c>
      <c r="G163" t="n">
        <v>7.8</v>
      </c>
      <c r="H163" t="n">
        <v>1</v>
      </c>
      <c r="I163" t="n">
        <v>2</v>
      </c>
      <c r="J163" t="n">
        <v>8</v>
      </c>
      <c r="K163" t="n">
        <v>0</v>
      </c>
      <c r="L163" t="n">
        <v>0</v>
      </c>
      <c r="M163" t="n">
        <v>0</v>
      </c>
      <c r="N163" t="n">
        <v>0</v>
      </c>
      <c r="O163" t="n">
        <v>8</v>
      </c>
      <c r="P163" t="n">
        <v>0</v>
      </c>
      <c r="Q163" t="n">
        <v>10</v>
      </c>
      <c r="R163" s="2" t="inlineStr">
        <is>
          <t>Dvärgbägarlav
Garnlav
Kolflarnlav
Motaggsvamp
Talltita
Vaddporing
Vedflamlav
Vedskivlav
Dropptaggsvamp
Skarp dropptaggsvamp</t>
        </is>
      </c>
      <c r="S163">
        <f>HYPERLINK("https://klasma.github.io/Logging_2560/artfynd/A 45320-2024 artfynd.xlsx", "A 45320-2024")</f>
        <v/>
      </c>
      <c r="T163">
        <f>HYPERLINK("https://klasma.github.io/Logging_2560/kartor/A 45320-2024 karta.png", "A 45320-2024")</f>
        <v/>
      </c>
      <c r="V163">
        <f>HYPERLINK("https://klasma.github.io/Logging_2560/klagomål/A 45320-2024 FSC-klagomål.docx", "A 45320-2024")</f>
        <v/>
      </c>
      <c r="W163">
        <f>HYPERLINK("https://klasma.github.io/Logging_2560/klagomålsmail/A 45320-2024 FSC-klagomål mail.docx", "A 45320-2024")</f>
        <v/>
      </c>
      <c r="X163">
        <f>HYPERLINK("https://klasma.github.io/Logging_2560/tillsyn/A 45320-2024 tillsynsbegäran.docx", "A 45320-2024")</f>
        <v/>
      </c>
      <c r="Y163">
        <f>HYPERLINK("https://klasma.github.io/Logging_2560/tillsynsmail/A 45320-2024 tillsynsbegäran mail.docx", "A 45320-2024")</f>
        <v/>
      </c>
      <c r="Z163">
        <f>HYPERLINK("https://klasma.github.io/Logging_2560/fåglar/A 45320-2024 prioriterade fågelarter.docx", "A 45320-2024")</f>
        <v/>
      </c>
    </row>
    <row r="164" ht="15" customHeight="1">
      <c r="A164" t="inlineStr">
        <is>
          <t>A 49168-2024</t>
        </is>
      </c>
      <c r="B164" s="1" t="n">
        <v>45595</v>
      </c>
      <c r="C164" s="1" t="n">
        <v>45798</v>
      </c>
      <c r="D164" t="inlineStr">
        <is>
          <t>NORRBOTTENS LÄN</t>
        </is>
      </c>
      <c r="E164" t="inlineStr">
        <is>
          <t>ARVIDSJAUR</t>
        </is>
      </c>
      <c r="F164" t="inlineStr">
        <is>
          <t>Sveaskog</t>
        </is>
      </c>
      <c r="G164" t="n">
        <v>25.4</v>
      </c>
      <c r="H164" t="n">
        <v>1</v>
      </c>
      <c r="I164" t="n">
        <v>1</v>
      </c>
      <c r="J164" t="n">
        <v>9</v>
      </c>
      <c r="K164" t="n">
        <v>0</v>
      </c>
      <c r="L164" t="n">
        <v>0</v>
      </c>
      <c r="M164" t="n">
        <v>0</v>
      </c>
      <c r="N164" t="n">
        <v>0</v>
      </c>
      <c r="O164" t="n">
        <v>9</v>
      </c>
      <c r="P164" t="n">
        <v>0</v>
      </c>
      <c r="Q164" t="n">
        <v>10</v>
      </c>
      <c r="R164" s="2" t="inlineStr">
        <is>
          <t>Gammelgransskål
Garnlav
Granticka
Harticka
Motaggsvamp
Rosenticka
Tallticka
Tretåig hackspett
Ullticka
Dropptaggsvamp</t>
        </is>
      </c>
      <c r="S164">
        <f>HYPERLINK("https://klasma.github.io/Logging_2505/artfynd/A 49168-2024 artfynd.xlsx", "A 49168-2024")</f>
        <v/>
      </c>
      <c r="T164">
        <f>HYPERLINK("https://klasma.github.io/Logging_2505/kartor/A 49168-2024 karta.png", "A 49168-2024")</f>
        <v/>
      </c>
      <c r="V164">
        <f>HYPERLINK("https://klasma.github.io/Logging_2505/klagomål/A 49168-2024 FSC-klagomål.docx", "A 49168-2024")</f>
        <v/>
      </c>
      <c r="W164">
        <f>HYPERLINK("https://klasma.github.io/Logging_2505/klagomålsmail/A 49168-2024 FSC-klagomål mail.docx", "A 49168-2024")</f>
        <v/>
      </c>
      <c r="X164">
        <f>HYPERLINK("https://klasma.github.io/Logging_2505/tillsyn/A 49168-2024 tillsynsbegäran.docx", "A 49168-2024")</f>
        <v/>
      </c>
      <c r="Y164">
        <f>HYPERLINK("https://klasma.github.io/Logging_2505/tillsynsmail/A 49168-2024 tillsynsbegäran mail.docx", "A 49168-2024")</f>
        <v/>
      </c>
      <c r="Z164">
        <f>HYPERLINK("https://klasma.github.io/Logging_2505/fåglar/A 49168-2024 prioriterade fågelarter.docx", "A 49168-2024")</f>
        <v/>
      </c>
    </row>
    <row r="165" ht="15" customHeight="1">
      <c r="A165" t="inlineStr">
        <is>
          <t>A 49479-2024</t>
        </is>
      </c>
      <c r="B165" s="1" t="n">
        <v>45596</v>
      </c>
      <c r="C165" s="1" t="n">
        <v>45798</v>
      </c>
      <c r="D165" t="inlineStr">
        <is>
          <t>NORRBOTTENS LÄN</t>
        </is>
      </c>
      <c r="E165" t="inlineStr">
        <is>
          <t>JOKKMOKK</t>
        </is>
      </c>
      <c r="F165" t="inlineStr">
        <is>
          <t>SCA</t>
        </is>
      </c>
      <c r="G165" t="n">
        <v>21.1</v>
      </c>
      <c r="H165" t="n">
        <v>6</v>
      </c>
      <c r="I165" t="n">
        <v>0</v>
      </c>
      <c r="J165" t="n">
        <v>8</v>
      </c>
      <c r="K165" t="n">
        <v>0</v>
      </c>
      <c r="L165" t="n">
        <v>0</v>
      </c>
      <c r="M165" t="n">
        <v>0</v>
      </c>
      <c r="N165" t="n">
        <v>0</v>
      </c>
      <c r="O165" t="n">
        <v>8</v>
      </c>
      <c r="P165" t="n">
        <v>0</v>
      </c>
      <c r="Q165" t="n">
        <v>10</v>
      </c>
      <c r="R165" s="2" t="inlineStr">
        <is>
          <t>Gammelgransskål
Garnlav
Kolflarnlav
Lappmes
Mörk kolflarnlav
Spillkråka
Talltita
Tretåig hackspett
Lavskrika
Tjäder</t>
        </is>
      </c>
      <c r="S165">
        <f>HYPERLINK("https://klasma.github.io/Logging_2510/artfynd/A 49479-2024 artfynd.xlsx", "A 49479-2024")</f>
        <v/>
      </c>
      <c r="T165">
        <f>HYPERLINK("https://klasma.github.io/Logging_2510/kartor/A 49479-2024 karta.png", "A 49479-2024")</f>
        <v/>
      </c>
      <c r="V165">
        <f>HYPERLINK("https://klasma.github.io/Logging_2510/klagomål/A 49479-2024 FSC-klagomål.docx", "A 49479-2024")</f>
        <v/>
      </c>
      <c r="W165">
        <f>HYPERLINK("https://klasma.github.io/Logging_2510/klagomålsmail/A 49479-2024 FSC-klagomål mail.docx", "A 49479-2024")</f>
        <v/>
      </c>
      <c r="X165">
        <f>HYPERLINK("https://klasma.github.io/Logging_2510/tillsyn/A 49479-2024 tillsynsbegäran.docx", "A 49479-2024")</f>
        <v/>
      </c>
      <c r="Y165">
        <f>HYPERLINK("https://klasma.github.io/Logging_2510/tillsynsmail/A 49479-2024 tillsynsbegäran mail.docx", "A 49479-2024")</f>
        <v/>
      </c>
      <c r="Z165">
        <f>HYPERLINK("https://klasma.github.io/Logging_2510/fåglar/A 49479-2024 prioriterade fågelarter.docx", "A 49479-2024")</f>
        <v/>
      </c>
    </row>
    <row r="166" ht="15" customHeight="1">
      <c r="A166" t="inlineStr">
        <is>
          <t>A 41920-2019</t>
        </is>
      </c>
      <c r="B166" s="1" t="n">
        <v>43700</v>
      </c>
      <c r="C166" s="1" t="n">
        <v>45798</v>
      </c>
      <c r="D166" t="inlineStr">
        <is>
          <t>NORRBOTTENS LÄN</t>
        </is>
      </c>
      <c r="E166" t="inlineStr">
        <is>
          <t>KIRUNA</t>
        </is>
      </c>
      <c r="G166" t="n">
        <v>200.7</v>
      </c>
      <c r="H166" t="n">
        <v>2</v>
      </c>
      <c r="I166" t="n">
        <v>0</v>
      </c>
      <c r="J166" t="n">
        <v>8</v>
      </c>
      <c r="K166" t="n">
        <v>1</v>
      </c>
      <c r="L166" t="n">
        <v>0</v>
      </c>
      <c r="M166" t="n">
        <v>0</v>
      </c>
      <c r="N166" t="n">
        <v>0</v>
      </c>
      <c r="O166" t="n">
        <v>9</v>
      </c>
      <c r="P166" t="n">
        <v>1</v>
      </c>
      <c r="Q166" t="n">
        <v>9</v>
      </c>
      <c r="R166" s="2" t="inlineStr">
        <is>
          <t>Mörk blåslav
Fjällvråk
Granticka
Harticka
Knottrig blåslav
Rosenticka
Tretåig hackspett
Ullticka
Violmussling</t>
        </is>
      </c>
      <c r="S166">
        <f>HYPERLINK("https://klasma.github.io/Logging_2584/artfynd/A 41920-2019 artfynd.xlsx", "A 41920-2019")</f>
        <v/>
      </c>
      <c r="T166">
        <f>HYPERLINK("https://klasma.github.io/Logging_2584/kartor/A 41920-2019 karta.png", "A 41920-2019")</f>
        <v/>
      </c>
      <c r="V166">
        <f>HYPERLINK("https://klasma.github.io/Logging_2584/klagomål/A 41920-2019 FSC-klagomål.docx", "A 41920-2019")</f>
        <v/>
      </c>
      <c r="W166">
        <f>HYPERLINK("https://klasma.github.io/Logging_2584/klagomålsmail/A 41920-2019 FSC-klagomål mail.docx", "A 41920-2019")</f>
        <v/>
      </c>
      <c r="X166">
        <f>HYPERLINK("https://klasma.github.io/Logging_2584/tillsyn/A 41920-2019 tillsynsbegäran.docx", "A 41920-2019")</f>
        <v/>
      </c>
      <c r="Y166">
        <f>HYPERLINK("https://klasma.github.io/Logging_2584/tillsynsmail/A 41920-2019 tillsynsbegäran mail.docx", "A 41920-2019")</f>
        <v/>
      </c>
      <c r="Z166">
        <f>HYPERLINK("https://klasma.github.io/Logging_2584/fåglar/A 41920-2019 prioriterade fågelarter.docx", "A 41920-2019")</f>
        <v/>
      </c>
    </row>
    <row r="167" ht="15" customHeight="1">
      <c r="A167" t="inlineStr">
        <is>
          <t>A 52582-2019</t>
        </is>
      </c>
      <c r="B167" s="1" t="n">
        <v>43745</v>
      </c>
      <c r="C167" s="1" t="n">
        <v>45798</v>
      </c>
      <c r="D167" t="inlineStr">
        <is>
          <t>NORRBOTTENS LÄN</t>
        </is>
      </c>
      <c r="E167" t="inlineStr">
        <is>
          <t>BODEN</t>
        </is>
      </c>
      <c r="F167" t="inlineStr">
        <is>
          <t>SCA</t>
        </is>
      </c>
      <c r="G167" t="n">
        <v>5.2</v>
      </c>
      <c r="H167" t="n">
        <v>1</v>
      </c>
      <c r="I167" t="n">
        <v>4</v>
      </c>
      <c r="J167" t="n">
        <v>5</v>
      </c>
      <c r="K167" t="n">
        <v>0</v>
      </c>
      <c r="L167" t="n">
        <v>0</v>
      </c>
      <c r="M167" t="n">
        <v>0</v>
      </c>
      <c r="N167" t="n">
        <v>0</v>
      </c>
      <c r="O167" t="n">
        <v>5</v>
      </c>
      <c r="P167" t="n">
        <v>0</v>
      </c>
      <c r="Q167" t="n">
        <v>9</v>
      </c>
      <c r="R167" s="2" t="inlineStr">
        <is>
          <t>Garnlav
Lunglav
Mörk kolflarnlav
Vedskivlav
Äggvaxskivling
Bårdlav
Dropptaggsvamp
Luddlav
Plattlummer</t>
        </is>
      </c>
      <c r="S167">
        <f>HYPERLINK("https://klasma.github.io/Logging_2582/artfynd/A 52582-2019 artfynd.xlsx", "A 52582-2019")</f>
        <v/>
      </c>
      <c r="T167">
        <f>HYPERLINK("https://klasma.github.io/Logging_2582/kartor/A 52582-2019 karta.png", "A 52582-2019")</f>
        <v/>
      </c>
      <c r="V167">
        <f>HYPERLINK("https://klasma.github.io/Logging_2582/klagomål/A 52582-2019 FSC-klagomål.docx", "A 52582-2019")</f>
        <v/>
      </c>
      <c r="W167">
        <f>HYPERLINK("https://klasma.github.io/Logging_2582/klagomålsmail/A 52582-2019 FSC-klagomål mail.docx", "A 52582-2019")</f>
        <v/>
      </c>
      <c r="X167">
        <f>HYPERLINK("https://klasma.github.io/Logging_2582/tillsyn/A 52582-2019 tillsynsbegäran.docx", "A 52582-2019")</f>
        <v/>
      </c>
      <c r="Y167">
        <f>HYPERLINK("https://klasma.github.io/Logging_2582/tillsynsmail/A 52582-2019 tillsynsbegäran mail.docx", "A 52582-2019")</f>
        <v/>
      </c>
    </row>
    <row r="168" ht="15" customHeight="1">
      <c r="A168" t="inlineStr">
        <is>
          <t>A 8614-2020</t>
        </is>
      </c>
      <c r="B168" s="1" t="n">
        <v>43875</v>
      </c>
      <c r="C168" s="1" t="n">
        <v>45798</v>
      </c>
      <c r="D168" t="inlineStr">
        <is>
          <t>NORRBOTTENS LÄN</t>
        </is>
      </c>
      <c r="E168" t="inlineStr">
        <is>
          <t>LULEÅ</t>
        </is>
      </c>
      <c r="G168" t="n">
        <v>13.9</v>
      </c>
      <c r="H168" t="n">
        <v>4</v>
      </c>
      <c r="I168" t="n">
        <v>2</v>
      </c>
      <c r="J168" t="n">
        <v>6</v>
      </c>
      <c r="K168" t="n">
        <v>1</v>
      </c>
      <c r="L168" t="n">
        <v>0</v>
      </c>
      <c r="M168" t="n">
        <v>0</v>
      </c>
      <c r="N168" t="n">
        <v>0</v>
      </c>
      <c r="O168" t="n">
        <v>7</v>
      </c>
      <c r="P168" t="n">
        <v>1</v>
      </c>
      <c r="Q168" t="n">
        <v>9</v>
      </c>
      <c r="R168" s="2" t="inlineStr">
        <is>
          <t>Knärot
Garnlav
Spillkråka
Stiftgelélav
Tretåig hackspett
Ullticka
Violettgrå tagellav
Skinnlav
Spindelblomster</t>
        </is>
      </c>
      <c r="S168">
        <f>HYPERLINK("https://klasma.github.io/Logging_2580/artfynd/A 8614-2020 artfynd.xlsx", "A 8614-2020")</f>
        <v/>
      </c>
      <c r="T168">
        <f>HYPERLINK("https://klasma.github.io/Logging_2580/kartor/A 8614-2020 karta.png", "A 8614-2020")</f>
        <v/>
      </c>
      <c r="U168">
        <f>HYPERLINK("https://klasma.github.io/Logging_2580/knärot/A 8614-2020 karta knärot.png", "A 8614-2020")</f>
        <v/>
      </c>
      <c r="V168">
        <f>HYPERLINK("https://klasma.github.io/Logging_2580/klagomål/A 8614-2020 FSC-klagomål.docx", "A 8614-2020")</f>
        <v/>
      </c>
      <c r="W168">
        <f>HYPERLINK("https://klasma.github.io/Logging_2580/klagomålsmail/A 8614-2020 FSC-klagomål mail.docx", "A 8614-2020")</f>
        <v/>
      </c>
      <c r="X168">
        <f>HYPERLINK("https://klasma.github.io/Logging_2580/tillsyn/A 8614-2020 tillsynsbegäran.docx", "A 8614-2020")</f>
        <v/>
      </c>
      <c r="Y168">
        <f>HYPERLINK("https://klasma.github.io/Logging_2580/tillsynsmail/A 8614-2020 tillsynsbegäran mail.docx", "A 8614-2020")</f>
        <v/>
      </c>
      <c r="Z168">
        <f>HYPERLINK("https://klasma.github.io/Logging_2580/fåglar/A 8614-2020 prioriterade fågelarter.docx", "A 8614-2020")</f>
        <v/>
      </c>
    </row>
    <row r="169" ht="15" customHeight="1">
      <c r="A169" t="inlineStr">
        <is>
          <t>A 34648-2020</t>
        </is>
      </c>
      <c r="B169" s="1" t="n">
        <v>44034</v>
      </c>
      <c r="C169" s="1" t="n">
        <v>45798</v>
      </c>
      <c r="D169" t="inlineStr">
        <is>
          <t>NORRBOTTENS LÄN</t>
        </is>
      </c>
      <c r="E169" t="inlineStr">
        <is>
          <t>PAJALA</t>
        </is>
      </c>
      <c r="F169" t="inlineStr">
        <is>
          <t>Allmännings- och besparingsskogar</t>
        </is>
      </c>
      <c r="G169" t="n">
        <v>49.3</v>
      </c>
      <c r="H169" t="n">
        <v>0</v>
      </c>
      <c r="I169" t="n">
        <v>4</v>
      </c>
      <c r="J169" t="n">
        <v>5</v>
      </c>
      <c r="K169" t="n">
        <v>0</v>
      </c>
      <c r="L169" t="n">
        <v>0</v>
      </c>
      <c r="M169" t="n">
        <v>0</v>
      </c>
      <c r="N169" t="n">
        <v>0</v>
      </c>
      <c r="O169" t="n">
        <v>5</v>
      </c>
      <c r="P169" t="n">
        <v>0</v>
      </c>
      <c r="Q169" t="n">
        <v>9</v>
      </c>
      <c r="R169" s="2" t="inlineStr">
        <is>
          <t>Blågrå svartspik
Gammelgransskål
Garnlav
Granticka
Vitplätt
Bårdlav
Luddlav
Skinnlav
Stuplav</t>
        </is>
      </c>
      <c r="S169">
        <f>HYPERLINK("https://klasma.github.io/Logging_2521/artfynd/A 34648-2020 artfynd.xlsx", "A 34648-2020")</f>
        <v/>
      </c>
      <c r="T169">
        <f>HYPERLINK("https://klasma.github.io/Logging_2521/kartor/A 34648-2020 karta.png", "A 34648-2020")</f>
        <v/>
      </c>
      <c r="V169">
        <f>HYPERLINK("https://klasma.github.io/Logging_2521/klagomål/A 34648-2020 FSC-klagomål.docx", "A 34648-2020")</f>
        <v/>
      </c>
      <c r="W169">
        <f>HYPERLINK("https://klasma.github.io/Logging_2521/klagomålsmail/A 34648-2020 FSC-klagomål mail.docx", "A 34648-2020")</f>
        <v/>
      </c>
      <c r="X169">
        <f>HYPERLINK("https://klasma.github.io/Logging_2521/tillsyn/A 34648-2020 tillsynsbegäran.docx", "A 34648-2020")</f>
        <v/>
      </c>
      <c r="Y169">
        <f>HYPERLINK("https://klasma.github.io/Logging_2521/tillsynsmail/A 34648-2020 tillsynsbegäran mail.docx", "A 34648-2020")</f>
        <v/>
      </c>
    </row>
    <row r="170" ht="15" customHeight="1">
      <c r="A170" t="inlineStr">
        <is>
          <t>A 58473-2020</t>
        </is>
      </c>
      <c r="B170" s="1" t="n">
        <v>44144</v>
      </c>
      <c r="C170" s="1" t="n">
        <v>45798</v>
      </c>
      <c r="D170" t="inlineStr">
        <is>
          <t>NORRBOTTENS LÄN</t>
        </is>
      </c>
      <c r="E170" t="inlineStr">
        <is>
          <t>JOKKMOKK</t>
        </is>
      </c>
      <c r="F170" t="inlineStr">
        <is>
          <t>Övriga statliga verk och myndigheter</t>
        </is>
      </c>
      <c r="G170" t="n">
        <v>51</v>
      </c>
      <c r="H170" t="n">
        <v>0</v>
      </c>
      <c r="I170" t="n">
        <v>2</v>
      </c>
      <c r="J170" t="n">
        <v>6</v>
      </c>
      <c r="K170" t="n">
        <v>1</v>
      </c>
      <c r="L170" t="n">
        <v>0</v>
      </c>
      <c r="M170" t="n">
        <v>0</v>
      </c>
      <c r="N170" t="n">
        <v>0</v>
      </c>
      <c r="O170" t="n">
        <v>7</v>
      </c>
      <c r="P170" t="n">
        <v>1</v>
      </c>
      <c r="Q170" t="n">
        <v>9</v>
      </c>
      <c r="R170" s="2" t="inlineStr">
        <is>
          <t>Gräddporing
Blanksvart spiklav
Dvärgbägarlav
Gammelgransskål
Ullticka
Vedflamlav
Vedskivlav
Skarp dropptaggsvamp
Skinnlav</t>
        </is>
      </c>
      <c r="S170">
        <f>HYPERLINK("https://klasma.github.io/Logging_2510/artfynd/A 58473-2020 artfynd.xlsx", "A 58473-2020")</f>
        <v/>
      </c>
      <c r="T170">
        <f>HYPERLINK("https://klasma.github.io/Logging_2510/kartor/A 58473-2020 karta.png", "A 58473-2020")</f>
        <v/>
      </c>
      <c r="V170">
        <f>HYPERLINK("https://klasma.github.io/Logging_2510/klagomål/A 58473-2020 FSC-klagomål.docx", "A 58473-2020")</f>
        <v/>
      </c>
      <c r="W170">
        <f>HYPERLINK("https://klasma.github.io/Logging_2510/klagomålsmail/A 58473-2020 FSC-klagomål mail.docx", "A 58473-2020")</f>
        <v/>
      </c>
      <c r="X170">
        <f>HYPERLINK("https://klasma.github.io/Logging_2510/tillsyn/A 58473-2020 tillsynsbegäran.docx", "A 58473-2020")</f>
        <v/>
      </c>
      <c r="Y170">
        <f>HYPERLINK("https://klasma.github.io/Logging_2510/tillsynsmail/A 58473-2020 tillsynsbegäran mail.docx", "A 58473-2020")</f>
        <v/>
      </c>
    </row>
    <row r="171" ht="15" customHeight="1">
      <c r="A171" t="inlineStr">
        <is>
          <t>A 4896-2021</t>
        </is>
      </c>
      <c r="B171" s="1" t="n">
        <v>44225</v>
      </c>
      <c r="C171" s="1" t="n">
        <v>45798</v>
      </c>
      <c r="D171" t="inlineStr">
        <is>
          <t>NORRBOTTENS LÄN</t>
        </is>
      </c>
      <c r="E171" t="inlineStr">
        <is>
          <t>JOKKMOKK</t>
        </is>
      </c>
      <c r="F171" t="inlineStr">
        <is>
          <t>Sveaskog</t>
        </is>
      </c>
      <c r="G171" t="n">
        <v>7.1</v>
      </c>
      <c r="H171" t="n">
        <v>1</v>
      </c>
      <c r="I171" t="n">
        <v>1</v>
      </c>
      <c r="J171" t="n">
        <v>8</v>
      </c>
      <c r="K171" t="n">
        <v>0</v>
      </c>
      <c r="L171" t="n">
        <v>0</v>
      </c>
      <c r="M171" t="n">
        <v>0</v>
      </c>
      <c r="N171" t="n">
        <v>0</v>
      </c>
      <c r="O171" t="n">
        <v>8</v>
      </c>
      <c r="P171" t="n">
        <v>0</v>
      </c>
      <c r="Q171" t="n">
        <v>9</v>
      </c>
      <c r="R171" s="2" t="inlineStr">
        <is>
          <t>Blanksvart spiklav
Dvärgbägarlav
Gammelgransskål
Kolflarnlav
Mörk kolflarnlav
Tretåig hackspett
Vedflamlav
Vedskivlav
Luddlav</t>
        </is>
      </c>
      <c r="S171">
        <f>HYPERLINK("https://klasma.github.io/Logging_2510/artfynd/A 4896-2021 artfynd.xlsx", "A 4896-2021")</f>
        <v/>
      </c>
      <c r="T171">
        <f>HYPERLINK("https://klasma.github.io/Logging_2510/kartor/A 4896-2021 karta.png", "A 4896-2021")</f>
        <v/>
      </c>
      <c r="V171">
        <f>HYPERLINK("https://klasma.github.io/Logging_2510/klagomål/A 4896-2021 FSC-klagomål.docx", "A 4896-2021")</f>
        <v/>
      </c>
      <c r="W171">
        <f>HYPERLINK("https://klasma.github.io/Logging_2510/klagomålsmail/A 4896-2021 FSC-klagomål mail.docx", "A 4896-2021")</f>
        <v/>
      </c>
      <c r="X171">
        <f>HYPERLINK("https://klasma.github.io/Logging_2510/tillsyn/A 4896-2021 tillsynsbegäran.docx", "A 4896-2021")</f>
        <v/>
      </c>
      <c r="Y171">
        <f>HYPERLINK("https://klasma.github.io/Logging_2510/tillsynsmail/A 4896-2021 tillsynsbegäran mail.docx", "A 4896-2021")</f>
        <v/>
      </c>
      <c r="Z171">
        <f>HYPERLINK("https://klasma.github.io/Logging_2510/fåglar/A 4896-2021 prioriterade fågelarter.docx", "A 4896-2021")</f>
        <v/>
      </c>
    </row>
    <row r="172" ht="15" customHeight="1">
      <c r="A172" t="inlineStr">
        <is>
          <t>A 58129-2021</t>
        </is>
      </c>
      <c r="B172" s="1" t="n">
        <v>44487</v>
      </c>
      <c r="C172" s="1" t="n">
        <v>45798</v>
      </c>
      <c r="D172" t="inlineStr">
        <is>
          <t>NORRBOTTENS LÄN</t>
        </is>
      </c>
      <c r="E172" t="inlineStr">
        <is>
          <t>PAJALA</t>
        </is>
      </c>
      <c r="F172" t="inlineStr">
        <is>
          <t>Sveaskog</t>
        </is>
      </c>
      <c r="G172" t="n">
        <v>9.800000000000001</v>
      </c>
      <c r="H172" t="n">
        <v>0</v>
      </c>
      <c r="I172" t="n">
        <v>2</v>
      </c>
      <c r="J172" t="n">
        <v>6</v>
      </c>
      <c r="K172" t="n">
        <v>1</v>
      </c>
      <c r="L172" t="n">
        <v>0</v>
      </c>
      <c r="M172" t="n">
        <v>0</v>
      </c>
      <c r="N172" t="n">
        <v>0</v>
      </c>
      <c r="O172" t="n">
        <v>7</v>
      </c>
      <c r="P172" t="n">
        <v>1</v>
      </c>
      <c r="Q172" t="n">
        <v>9</v>
      </c>
      <c r="R172" s="2" t="inlineStr">
        <is>
          <t>Gräddporing
Blågrå svartspik
Mörk kolflarnlav
Vedflamlav
Vedskivlav
Vitgrynig nållav
Vitplätt
Bårdlav
Luddlav</t>
        </is>
      </c>
      <c r="S172">
        <f>HYPERLINK("https://klasma.github.io/Logging_2521/artfynd/A 58129-2021 artfynd.xlsx", "A 58129-2021")</f>
        <v/>
      </c>
      <c r="T172">
        <f>HYPERLINK("https://klasma.github.io/Logging_2521/kartor/A 58129-2021 karta.png", "A 58129-2021")</f>
        <v/>
      </c>
      <c r="V172">
        <f>HYPERLINK("https://klasma.github.io/Logging_2521/klagomål/A 58129-2021 FSC-klagomål.docx", "A 58129-2021")</f>
        <v/>
      </c>
      <c r="W172">
        <f>HYPERLINK("https://klasma.github.io/Logging_2521/klagomålsmail/A 58129-2021 FSC-klagomål mail.docx", "A 58129-2021")</f>
        <v/>
      </c>
      <c r="X172">
        <f>HYPERLINK("https://klasma.github.io/Logging_2521/tillsyn/A 58129-2021 tillsynsbegäran.docx", "A 58129-2021")</f>
        <v/>
      </c>
      <c r="Y172">
        <f>HYPERLINK("https://klasma.github.io/Logging_2521/tillsynsmail/A 58129-2021 tillsynsbegäran mail.docx", "A 58129-2021")</f>
        <v/>
      </c>
    </row>
    <row r="173" ht="15" customHeight="1">
      <c r="A173" t="inlineStr">
        <is>
          <t>A 73873-2021</t>
        </is>
      </c>
      <c r="B173" s="1" t="n">
        <v>44552</v>
      </c>
      <c r="C173" s="1" t="n">
        <v>45798</v>
      </c>
      <c r="D173" t="inlineStr">
        <is>
          <t>NORRBOTTENS LÄN</t>
        </is>
      </c>
      <c r="E173" t="inlineStr">
        <is>
          <t>JOKKMOKK</t>
        </is>
      </c>
      <c r="G173" t="n">
        <v>27.9</v>
      </c>
      <c r="H173" t="n">
        <v>3</v>
      </c>
      <c r="I173" t="n">
        <v>1</v>
      </c>
      <c r="J173" t="n">
        <v>6</v>
      </c>
      <c r="K173" t="n">
        <v>0</v>
      </c>
      <c r="L173" t="n">
        <v>0</v>
      </c>
      <c r="M173" t="n">
        <v>0</v>
      </c>
      <c r="N173" t="n">
        <v>0</v>
      </c>
      <c r="O173" t="n">
        <v>6</v>
      </c>
      <c r="P173" t="n">
        <v>0</v>
      </c>
      <c r="Q173" t="n">
        <v>9</v>
      </c>
      <c r="R173" s="2" t="inlineStr">
        <is>
          <t>Blanksvart spiklav
Blågrå svartspik
Dvärgbägarlav
Gammelgransskål
Garnlav
Nordlig nållav
Plattlummer
Skogsödla
Revlummer</t>
        </is>
      </c>
      <c r="S173">
        <f>HYPERLINK("https://klasma.github.io/Logging_2510/artfynd/A 73873-2021 artfynd.xlsx", "A 73873-2021")</f>
        <v/>
      </c>
      <c r="T173">
        <f>HYPERLINK("https://klasma.github.io/Logging_2510/kartor/A 73873-2021 karta.png", "A 73873-2021")</f>
        <v/>
      </c>
      <c r="V173">
        <f>HYPERLINK("https://klasma.github.io/Logging_2510/klagomål/A 73873-2021 FSC-klagomål.docx", "A 73873-2021")</f>
        <v/>
      </c>
      <c r="W173">
        <f>HYPERLINK("https://klasma.github.io/Logging_2510/klagomålsmail/A 73873-2021 FSC-klagomål mail.docx", "A 73873-2021")</f>
        <v/>
      </c>
      <c r="X173">
        <f>HYPERLINK("https://klasma.github.io/Logging_2510/tillsyn/A 73873-2021 tillsynsbegäran.docx", "A 73873-2021")</f>
        <v/>
      </c>
      <c r="Y173">
        <f>HYPERLINK("https://klasma.github.io/Logging_2510/tillsynsmail/A 73873-2021 tillsynsbegäran mail.docx", "A 73873-2021")</f>
        <v/>
      </c>
    </row>
    <row r="174" ht="15" customHeight="1">
      <c r="A174" t="inlineStr">
        <is>
          <t>A 35247-2022</t>
        </is>
      </c>
      <c r="B174" s="1" t="n">
        <v>44797</v>
      </c>
      <c r="C174" s="1" t="n">
        <v>45798</v>
      </c>
      <c r="D174" t="inlineStr">
        <is>
          <t>NORRBOTTENS LÄN</t>
        </is>
      </c>
      <c r="E174" t="inlineStr">
        <is>
          <t>ARVIDSJAUR</t>
        </is>
      </c>
      <c r="G174" t="n">
        <v>27.6</v>
      </c>
      <c r="H174" t="n">
        <v>0</v>
      </c>
      <c r="I174" t="n">
        <v>1</v>
      </c>
      <c r="J174" t="n">
        <v>7</v>
      </c>
      <c r="K174" t="n">
        <v>1</v>
      </c>
      <c r="L174" t="n">
        <v>0</v>
      </c>
      <c r="M174" t="n">
        <v>0</v>
      </c>
      <c r="N174" t="n">
        <v>0</v>
      </c>
      <c r="O174" t="n">
        <v>8</v>
      </c>
      <c r="P174" t="n">
        <v>1</v>
      </c>
      <c r="Q174" t="n">
        <v>9</v>
      </c>
      <c r="R174" s="2" t="inlineStr">
        <is>
          <t>Rynkskinn
Gammelgransskål
Garnlav
Granticka
Gränsticka
Lunglav
Rosenticka
Ullticka
Trådticka</t>
        </is>
      </c>
      <c r="S174">
        <f>HYPERLINK("https://klasma.github.io/Logging_2505/artfynd/A 35247-2022 artfynd.xlsx", "A 35247-2022")</f>
        <v/>
      </c>
      <c r="T174">
        <f>HYPERLINK("https://klasma.github.io/Logging_2505/kartor/A 35247-2022 karta.png", "A 35247-2022")</f>
        <v/>
      </c>
      <c r="V174">
        <f>HYPERLINK("https://klasma.github.io/Logging_2505/klagomål/A 35247-2022 FSC-klagomål.docx", "A 35247-2022")</f>
        <v/>
      </c>
      <c r="W174">
        <f>HYPERLINK("https://klasma.github.io/Logging_2505/klagomålsmail/A 35247-2022 FSC-klagomål mail.docx", "A 35247-2022")</f>
        <v/>
      </c>
      <c r="X174">
        <f>HYPERLINK("https://klasma.github.io/Logging_2505/tillsyn/A 35247-2022 tillsynsbegäran.docx", "A 35247-2022")</f>
        <v/>
      </c>
      <c r="Y174">
        <f>HYPERLINK("https://klasma.github.io/Logging_2505/tillsynsmail/A 35247-2022 tillsynsbegäran mail.docx", "A 35247-2022")</f>
        <v/>
      </c>
    </row>
    <row r="175" ht="15" customHeight="1">
      <c r="A175" t="inlineStr">
        <is>
          <t>A 3368-2023</t>
        </is>
      </c>
      <c r="B175" s="1" t="n">
        <v>44945</v>
      </c>
      <c r="C175" s="1" t="n">
        <v>45798</v>
      </c>
      <c r="D175" t="inlineStr">
        <is>
          <t>NORRBOTTENS LÄN</t>
        </is>
      </c>
      <c r="E175" t="inlineStr">
        <is>
          <t>KALIX</t>
        </is>
      </c>
      <c r="G175" t="n">
        <v>18.3</v>
      </c>
      <c r="H175" t="n">
        <v>3</v>
      </c>
      <c r="I175" t="n">
        <v>2</v>
      </c>
      <c r="J175" t="n">
        <v>7</v>
      </c>
      <c r="K175" t="n">
        <v>0</v>
      </c>
      <c r="L175" t="n">
        <v>0</v>
      </c>
      <c r="M175" t="n">
        <v>0</v>
      </c>
      <c r="N175" t="n">
        <v>0</v>
      </c>
      <c r="O175" t="n">
        <v>7</v>
      </c>
      <c r="P175" t="n">
        <v>0</v>
      </c>
      <c r="Q175" t="n">
        <v>9</v>
      </c>
      <c r="R175" s="2" t="inlineStr">
        <is>
          <t>Blå taggsvamp
Järpe
Motaggsvamp
Orange taggsvamp
Tallriska
Talltita
Vaxspindling
Dropptaggsvamp
Plattlummer</t>
        </is>
      </c>
      <c r="S175">
        <f>HYPERLINK("https://klasma.github.io/Logging_2514/artfynd/A 3368-2023 artfynd.xlsx", "A 3368-2023")</f>
        <v/>
      </c>
      <c r="T175">
        <f>HYPERLINK("https://klasma.github.io/Logging_2514/kartor/A 3368-2023 karta.png", "A 3368-2023")</f>
        <v/>
      </c>
      <c r="V175">
        <f>HYPERLINK("https://klasma.github.io/Logging_2514/klagomål/A 3368-2023 FSC-klagomål.docx", "A 3368-2023")</f>
        <v/>
      </c>
      <c r="W175">
        <f>HYPERLINK("https://klasma.github.io/Logging_2514/klagomålsmail/A 3368-2023 FSC-klagomål mail.docx", "A 3368-2023")</f>
        <v/>
      </c>
      <c r="X175">
        <f>HYPERLINK("https://klasma.github.io/Logging_2514/tillsyn/A 3368-2023 tillsynsbegäran.docx", "A 3368-2023")</f>
        <v/>
      </c>
      <c r="Y175">
        <f>HYPERLINK("https://klasma.github.io/Logging_2514/tillsynsmail/A 3368-2023 tillsynsbegäran mail.docx", "A 3368-2023")</f>
        <v/>
      </c>
      <c r="Z175">
        <f>HYPERLINK("https://klasma.github.io/Logging_2514/fåglar/A 3368-2023 prioriterade fågelarter.docx", "A 3368-2023")</f>
        <v/>
      </c>
    </row>
    <row r="176" ht="15" customHeight="1">
      <c r="A176" t="inlineStr">
        <is>
          <t>A 20583-2023</t>
        </is>
      </c>
      <c r="B176" s="1" t="n">
        <v>45057</v>
      </c>
      <c r="C176" s="1" t="n">
        <v>45798</v>
      </c>
      <c r="D176" t="inlineStr">
        <is>
          <t>NORRBOTTENS LÄN</t>
        </is>
      </c>
      <c r="E176" t="inlineStr">
        <is>
          <t>JOKKMOKK</t>
        </is>
      </c>
      <c r="G176" t="n">
        <v>4.1</v>
      </c>
      <c r="H176" t="n">
        <v>2</v>
      </c>
      <c r="I176" t="n">
        <v>4</v>
      </c>
      <c r="J176" t="n">
        <v>4</v>
      </c>
      <c r="K176" t="n">
        <v>1</v>
      </c>
      <c r="L176" t="n">
        <v>0</v>
      </c>
      <c r="M176" t="n">
        <v>0</v>
      </c>
      <c r="N176" t="n">
        <v>0</v>
      </c>
      <c r="O176" t="n">
        <v>5</v>
      </c>
      <c r="P176" t="n">
        <v>1</v>
      </c>
      <c r="Q176" t="n">
        <v>9</v>
      </c>
      <c r="R176" s="2" t="inlineStr">
        <is>
          <t>Knärot
Gammelgransskål
Garnlav
Lunglav
Tretåig hackspett
Bårdlav
Luddlav
Norrlandslav
Stuplav</t>
        </is>
      </c>
      <c r="S176">
        <f>HYPERLINK("https://klasma.github.io/Logging_2510/artfynd/A 20583-2023 artfynd.xlsx", "A 20583-2023")</f>
        <v/>
      </c>
      <c r="T176">
        <f>HYPERLINK("https://klasma.github.io/Logging_2510/kartor/A 20583-2023 karta.png", "A 20583-2023")</f>
        <v/>
      </c>
      <c r="U176">
        <f>HYPERLINK("https://klasma.github.io/Logging_2510/knärot/A 20583-2023 karta knärot.png", "A 20583-2023")</f>
        <v/>
      </c>
      <c r="V176">
        <f>HYPERLINK("https://klasma.github.io/Logging_2510/klagomål/A 20583-2023 FSC-klagomål.docx", "A 20583-2023")</f>
        <v/>
      </c>
      <c r="W176">
        <f>HYPERLINK("https://klasma.github.io/Logging_2510/klagomålsmail/A 20583-2023 FSC-klagomål mail.docx", "A 20583-2023")</f>
        <v/>
      </c>
      <c r="X176">
        <f>HYPERLINK("https://klasma.github.io/Logging_2510/tillsyn/A 20583-2023 tillsynsbegäran.docx", "A 20583-2023")</f>
        <v/>
      </c>
      <c r="Y176">
        <f>HYPERLINK("https://klasma.github.io/Logging_2510/tillsynsmail/A 20583-2023 tillsynsbegäran mail.docx", "A 20583-2023")</f>
        <v/>
      </c>
      <c r="Z176">
        <f>HYPERLINK("https://klasma.github.io/Logging_2510/fåglar/A 20583-2023 prioriterade fågelarter.docx", "A 20583-2023")</f>
        <v/>
      </c>
    </row>
    <row r="177" ht="15" customHeight="1">
      <c r="A177" t="inlineStr">
        <is>
          <t>A 36135-2023</t>
        </is>
      </c>
      <c r="B177" s="1" t="n">
        <v>45149</v>
      </c>
      <c r="C177" s="1" t="n">
        <v>45798</v>
      </c>
      <c r="D177" t="inlineStr">
        <is>
          <t>NORRBOTTENS LÄN</t>
        </is>
      </c>
      <c r="E177" t="inlineStr">
        <is>
          <t>ARVIDSJAUR</t>
        </is>
      </c>
      <c r="F177" t="inlineStr">
        <is>
          <t>Sveaskog</t>
        </is>
      </c>
      <c r="G177" t="n">
        <v>11.4</v>
      </c>
      <c r="H177" t="n">
        <v>0</v>
      </c>
      <c r="I177" t="n">
        <v>2</v>
      </c>
      <c r="J177" t="n">
        <v>6</v>
      </c>
      <c r="K177" t="n">
        <v>1</v>
      </c>
      <c r="L177" t="n">
        <v>0</v>
      </c>
      <c r="M177" t="n">
        <v>0</v>
      </c>
      <c r="N177" t="n">
        <v>0</v>
      </c>
      <c r="O177" t="n">
        <v>7</v>
      </c>
      <c r="P177" t="n">
        <v>1</v>
      </c>
      <c r="Q177" t="n">
        <v>9</v>
      </c>
      <c r="R177" s="2" t="inlineStr">
        <is>
          <t>Smalfotad taggsvamp
Blå taggsvamp
Kolflarnlav
Motaggsvamp
Svartvit taggsvamp
Vaddporing
Vitplätt
Gullgröppa
Skarp dropptaggsvamp</t>
        </is>
      </c>
      <c r="S177">
        <f>HYPERLINK("https://klasma.github.io/Logging_2505/artfynd/A 36135-2023 artfynd.xlsx", "A 36135-2023")</f>
        <v/>
      </c>
      <c r="T177">
        <f>HYPERLINK("https://klasma.github.io/Logging_2505/kartor/A 36135-2023 karta.png", "A 36135-2023")</f>
        <v/>
      </c>
      <c r="V177">
        <f>HYPERLINK("https://klasma.github.io/Logging_2505/klagomål/A 36135-2023 FSC-klagomål.docx", "A 36135-2023")</f>
        <v/>
      </c>
      <c r="W177">
        <f>HYPERLINK("https://klasma.github.io/Logging_2505/klagomålsmail/A 36135-2023 FSC-klagomål mail.docx", "A 36135-2023")</f>
        <v/>
      </c>
      <c r="X177">
        <f>HYPERLINK("https://klasma.github.io/Logging_2505/tillsyn/A 36135-2023 tillsynsbegäran.docx", "A 36135-2023")</f>
        <v/>
      </c>
      <c r="Y177">
        <f>HYPERLINK("https://klasma.github.io/Logging_2505/tillsynsmail/A 36135-2023 tillsynsbegäran mail.docx", "A 36135-2023")</f>
        <v/>
      </c>
    </row>
    <row r="178" ht="15" customHeight="1">
      <c r="A178" t="inlineStr">
        <is>
          <t>A 36982-2023</t>
        </is>
      </c>
      <c r="B178" s="1" t="n">
        <v>45154</v>
      </c>
      <c r="C178" s="1" t="n">
        <v>45798</v>
      </c>
      <c r="D178" t="inlineStr">
        <is>
          <t>NORRBOTTENS LÄN</t>
        </is>
      </c>
      <c r="E178" t="inlineStr">
        <is>
          <t>GÄLLIVARE</t>
        </is>
      </c>
      <c r="F178" t="inlineStr">
        <is>
          <t>SCA</t>
        </is>
      </c>
      <c r="G178" t="n">
        <v>5.7</v>
      </c>
      <c r="H178" t="n">
        <v>1</v>
      </c>
      <c r="I178" t="n">
        <v>2</v>
      </c>
      <c r="J178" t="n">
        <v>2</v>
      </c>
      <c r="K178" t="n">
        <v>5</v>
      </c>
      <c r="L178" t="n">
        <v>0</v>
      </c>
      <c r="M178" t="n">
        <v>0</v>
      </c>
      <c r="N178" t="n">
        <v>0</v>
      </c>
      <c r="O178" t="n">
        <v>7</v>
      </c>
      <c r="P178" t="n">
        <v>5</v>
      </c>
      <c r="Q178" t="n">
        <v>9</v>
      </c>
      <c r="R178" s="2" t="inlineStr">
        <is>
          <t>Fläckporing
Lateritticka
Smalfotad taggsvamp
Tajgataggsvamp
Tallgråticka
Järpe
Mjölsvärting
Gullgröppa
Skarp dropptaggsvamp</t>
        </is>
      </c>
      <c r="S178">
        <f>HYPERLINK("https://klasma.github.io/Logging_2523/artfynd/A 36982-2023 artfynd.xlsx", "A 36982-2023")</f>
        <v/>
      </c>
      <c r="T178">
        <f>HYPERLINK("https://klasma.github.io/Logging_2523/kartor/A 36982-2023 karta.png", "A 36982-2023")</f>
        <v/>
      </c>
      <c r="V178">
        <f>HYPERLINK("https://klasma.github.io/Logging_2523/klagomål/A 36982-2023 FSC-klagomål.docx", "A 36982-2023")</f>
        <v/>
      </c>
      <c r="W178">
        <f>HYPERLINK("https://klasma.github.io/Logging_2523/klagomålsmail/A 36982-2023 FSC-klagomål mail.docx", "A 36982-2023")</f>
        <v/>
      </c>
      <c r="X178">
        <f>HYPERLINK("https://klasma.github.io/Logging_2523/tillsyn/A 36982-2023 tillsynsbegäran.docx", "A 36982-2023")</f>
        <v/>
      </c>
      <c r="Y178">
        <f>HYPERLINK("https://klasma.github.io/Logging_2523/tillsynsmail/A 36982-2023 tillsynsbegäran mail.docx", "A 36982-2023")</f>
        <v/>
      </c>
      <c r="Z178">
        <f>HYPERLINK("https://klasma.github.io/Logging_2523/fåglar/A 36982-2023 prioriterade fågelarter.docx", "A 36982-2023")</f>
        <v/>
      </c>
    </row>
    <row r="179" ht="15" customHeight="1">
      <c r="A179" t="inlineStr">
        <is>
          <t>A 44944-2023</t>
        </is>
      </c>
      <c r="B179" s="1" t="n">
        <v>45190</v>
      </c>
      <c r="C179" s="1" t="n">
        <v>45798</v>
      </c>
      <c r="D179" t="inlineStr">
        <is>
          <t>NORRBOTTENS LÄN</t>
        </is>
      </c>
      <c r="E179" t="inlineStr">
        <is>
          <t>BODEN</t>
        </is>
      </c>
      <c r="G179" t="n">
        <v>6.5</v>
      </c>
      <c r="H179" t="n">
        <v>3</v>
      </c>
      <c r="I179" t="n">
        <v>4</v>
      </c>
      <c r="J179" t="n">
        <v>3</v>
      </c>
      <c r="K179" t="n">
        <v>0</v>
      </c>
      <c r="L179" t="n">
        <v>0</v>
      </c>
      <c r="M179" t="n">
        <v>0</v>
      </c>
      <c r="N179" t="n">
        <v>0</v>
      </c>
      <c r="O179" t="n">
        <v>3</v>
      </c>
      <c r="P179" t="n">
        <v>0</v>
      </c>
      <c r="Q179" t="n">
        <v>9</v>
      </c>
      <c r="R179" s="2" t="inlineStr">
        <is>
          <t>Lunglav
Svart taggsvamp
Tretåig hackspett
Fjällig taggsvamp s.str.
Källpraktmossa
Strutbräken
Stuplav
Fläcknycklar
Revlummer</t>
        </is>
      </c>
      <c r="S179">
        <f>HYPERLINK("https://klasma.github.io/Logging_2582/artfynd/A 44944-2023 artfynd.xlsx", "A 44944-2023")</f>
        <v/>
      </c>
      <c r="T179">
        <f>HYPERLINK("https://klasma.github.io/Logging_2582/kartor/A 44944-2023 karta.png", "A 44944-2023")</f>
        <v/>
      </c>
      <c r="V179">
        <f>HYPERLINK("https://klasma.github.io/Logging_2582/klagomål/A 44944-2023 FSC-klagomål.docx", "A 44944-2023")</f>
        <v/>
      </c>
      <c r="W179">
        <f>HYPERLINK("https://klasma.github.io/Logging_2582/klagomålsmail/A 44944-2023 FSC-klagomål mail.docx", "A 44944-2023")</f>
        <v/>
      </c>
      <c r="X179">
        <f>HYPERLINK("https://klasma.github.io/Logging_2582/tillsyn/A 44944-2023 tillsynsbegäran.docx", "A 44944-2023")</f>
        <v/>
      </c>
      <c r="Y179">
        <f>HYPERLINK("https://klasma.github.io/Logging_2582/tillsynsmail/A 44944-2023 tillsynsbegäran mail.docx", "A 44944-2023")</f>
        <v/>
      </c>
      <c r="Z179">
        <f>HYPERLINK("https://klasma.github.io/Logging_2582/fåglar/A 44944-2023 prioriterade fågelarter.docx", "A 44944-2023")</f>
        <v/>
      </c>
    </row>
    <row r="180" ht="15" customHeight="1">
      <c r="A180" t="inlineStr">
        <is>
          <t>A 55316-2023</t>
        </is>
      </c>
      <c r="B180" s="1" t="n">
        <v>45237</v>
      </c>
      <c r="C180" s="1" t="n">
        <v>45798</v>
      </c>
      <c r="D180" t="inlineStr">
        <is>
          <t>NORRBOTTENS LÄN</t>
        </is>
      </c>
      <c r="E180" t="inlineStr">
        <is>
          <t>BODEN</t>
        </is>
      </c>
      <c r="G180" t="n">
        <v>17.6</v>
      </c>
      <c r="H180" t="n">
        <v>4</v>
      </c>
      <c r="I180" t="n">
        <v>1</v>
      </c>
      <c r="J180" t="n">
        <v>7</v>
      </c>
      <c r="K180" t="n">
        <v>0</v>
      </c>
      <c r="L180" t="n">
        <v>0</v>
      </c>
      <c r="M180" t="n">
        <v>0</v>
      </c>
      <c r="N180" t="n">
        <v>0</v>
      </c>
      <c r="O180" t="n">
        <v>7</v>
      </c>
      <c r="P180" t="n">
        <v>0</v>
      </c>
      <c r="Q180" t="n">
        <v>9</v>
      </c>
      <c r="R180" s="2" t="inlineStr">
        <is>
          <t>Buskskvätta
Gammelgransskål
Granticka
Lunglav
Svartvit flugsnappare
Ullticka
Videsparv
Bollvitmossa
Revlummer</t>
        </is>
      </c>
      <c r="S180">
        <f>HYPERLINK("https://klasma.github.io/Logging_2582/artfynd/A 55316-2023 artfynd.xlsx", "A 55316-2023")</f>
        <v/>
      </c>
      <c r="T180">
        <f>HYPERLINK("https://klasma.github.io/Logging_2582/kartor/A 55316-2023 karta.png", "A 55316-2023")</f>
        <v/>
      </c>
      <c r="V180">
        <f>HYPERLINK("https://klasma.github.io/Logging_2582/klagomål/A 55316-2023 FSC-klagomål.docx", "A 55316-2023")</f>
        <v/>
      </c>
      <c r="W180">
        <f>HYPERLINK("https://klasma.github.io/Logging_2582/klagomålsmail/A 55316-2023 FSC-klagomål mail.docx", "A 55316-2023")</f>
        <v/>
      </c>
      <c r="X180">
        <f>HYPERLINK("https://klasma.github.io/Logging_2582/tillsyn/A 55316-2023 tillsynsbegäran.docx", "A 55316-2023")</f>
        <v/>
      </c>
      <c r="Y180">
        <f>HYPERLINK("https://klasma.github.io/Logging_2582/tillsynsmail/A 55316-2023 tillsynsbegäran mail.docx", "A 55316-2023")</f>
        <v/>
      </c>
      <c r="Z180">
        <f>HYPERLINK("https://klasma.github.io/Logging_2582/fåglar/A 55316-2023 prioriterade fågelarter.docx", "A 55316-2023")</f>
        <v/>
      </c>
    </row>
    <row r="181" ht="15" customHeight="1">
      <c r="A181" t="inlineStr">
        <is>
          <t>A 23043-2024</t>
        </is>
      </c>
      <c r="B181" s="1" t="n">
        <v>45449</v>
      </c>
      <c r="C181" s="1" t="n">
        <v>45798</v>
      </c>
      <c r="D181" t="inlineStr">
        <is>
          <t>NORRBOTTENS LÄN</t>
        </is>
      </c>
      <c r="E181" t="inlineStr">
        <is>
          <t>ÖVERTORNEÅ</t>
        </is>
      </c>
      <c r="G181" t="n">
        <v>14.9</v>
      </c>
      <c r="H181" t="n">
        <v>5</v>
      </c>
      <c r="I181" t="n">
        <v>1</v>
      </c>
      <c r="J181" t="n">
        <v>5</v>
      </c>
      <c r="K181" t="n">
        <v>0</v>
      </c>
      <c r="L181" t="n">
        <v>0</v>
      </c>
      <c r="M181" t="n">
        <v>0</v>
      </c>
      <c r="N181" t="n">
        <v>0</v>
      </c>
      <c r="O181" t="n">
        <v>5</v>
      </c>
      <c r="P181" t="n">
        <v>0</v>
      </c>
      <c r="Q181" t="n">
        <v>9</v>
      </c>
      <c r="R181" s="2" t="inlineStr">
        <is>
          <t>Garnlav
Mörk kolflarnlav
Spillkråka
Tretåig hackspett
Violmussling
Bronshjon
Tjäder
Fläcknycklar
Revlummer</t>
        </is>
      </c>
      <c r="S181">
        <f>HYPERLINK("https://klasma.github.io/Logging_2518/artfynd/A 23043-2024 artfynd.xlsx", "A 23043-2024")</f>
        <v/>
      </c>
      <c r="T181">
        <f>HYPERLINK("https://klasma.github.io/Logging_2518/kartor/A 23043-2024 karta.png", "A 23043-2024")</f>
        <v/>
      </c>
      <c r="V181">
        <f>HYPERLINK("https://klasma.github.io/Logging_2518/klagomål/A 23043-2024 FSC-klagomål.docx", "A 23043-2024")</f>
        <v/>
      </c>
      <c r="W181">
        <f>HYPERLINK("https://klasma.github.io/Logging_2518/klagomålsmail/A 23043-2024 FSC-klagomål mail.docx", "A 23043-2024")</f>
        <v/>
      </c>
      <c r="X181">
        <f>HYPERLINK("https://klasma.github.io/Logging_2518/tillsyn/A 23043-2024 tillsynsbegäran.docx", "A 23043-2024")</f>
        <v/>
      </c>
      <c r="Y181">
        <f>HYPERLINK("https://klasma.github.io/Logging_2518/tillsynsmail/A 23043-2024 tillsynsbegäran mail.docx", "A 23043-2024")</f>
        <v/>
      </c>
      <c r="Z181">
        <f>HYPERLINK("https://klasma.github.io/Logging_2518/fåglar/A 23043-2024 prioriterade fågelarter.docx", "A 23043-2024")</f>
        <v/>
      </c>
    </row>
    <row r="182" ht="15" customHeight="1">
      <c r="A182" t="inlineStr">
        <is>
          <t>A 28052-2024</t>
        </is>
      </c>
      <c r="B182" s="1" t="n">
        <v>45476</v>
      </c>
      <c r="C182" s="1" t="n">
        <v>45798</v>
      </c>
      <c r="D182" t="inlineStr">
        <is>
          <t>NORRBOTTENS LÄN</t>
        </is>
      </c>
      <c r="E182" t="inlineStr">
        <is>
          <t>JOKKMOKK</t>
        </is>
      </c>
      <c r="G182" t="n">
        <v>10.6</v>
      </c>
      <c r="H182" t="n">
        <v>2</v>
      </c>
      <c r="I182" t="n">
        <v>2</v>
      </c>
      <c r="J182" t="n">
        <v>7</v>
      </c>
      <c r="K182" t="n">
        <v>0</v>
      </c>
      <c r="L182" t="n">
        <v>0</v>
      </c>
      <c r="M182" t="n">
        <v>0</v>
      </c>
      <c r="N182" t="n">
        <v>0</v>
      </c>
      <c r="O182" t="n">
        <v>7</v>
      </c>
      <c r="P182" t="n">
        <v>0</v>
      </c>
      <c r="Q182" t="n">
        <v>9</v>
      </c>
      <c r="R182" s="2" t="inlineStr">
        <is>
          <t>Blanksvart spiklav
Gammelgransskål
Garnlav
Stjärntagging
Tretåig hackspett
Vaddporing
Vedflamlav
Dropptaggsvamp
Spindelblomster</t>
        </is>
      </c>
      <c r="S182">
        <f>HYPERLINK("https://klasma.github.io/Logging_2510/artfynd/A 28052-2024 artfynd.xlsx", "A 28052-2024")</f>
        <v/>
      </c>
      <c r="T182">
        <f>HYPERLINK("https://klasma.github.io/Logging_2510/kartor/A 28052-2024 karta.png", "A 28052-2024")</f>
        <v/>
      </c>
      <c r="V182">
        <f>HYPERLINK("https://klasma.github.io/Logging_2510/klagomål/A 28052-2024 FSC-klagomål.docx", "A 28052-2024")</f>
        <v/>
      </c>
      <c r="W182">
        <f>HYPERLINK("https://klasma.github.io/Logging_2510/klagomålsmail/A 28052-2024 FSC-klagomål mail.docx", "A 28052-2024")</f>
        <v/>
      </c>
      <c r="X182">
        <f>HYPERLINK("https://klasma.github.io/Logging_2510/tillsyn/A 28052-2024 tillsynsbegäran.docx", "A 28052-2024")</f>
        <v/>
      </c>
      <c r="Y182">
        <f>HYPERLINK("https://klasma.github.io/Logging_2510/tillsynsmail/A 28052-2024 tillsynsbegäran mail.docx", "A 28052-2024")</f>
        <v/>
      </c>
      <c r="Z182">
        <f>HYPERLINK("https://klasma.github.io/Logging_2510/fåglar/A 28052-2024 prioriterade fågelarter.docx", "A 28052-2024")</f>
        <v/>
      </c>
    </row>
    <row r="183" ht="15" customHeight="1">
      <c r="A183" t="inlineStr">
        <is>
          <t>A 61455-2019</t>
        </is>
      </c>
      <c r="B183" s="1" t="n">
        <v>43783</v>
      </c>
      <c r="C183" s="1" t="n">
        <v>45798</v>
      </c>
      <c r="D183" t="inlineStr">
        <is>
          <t>NORRBOTTENS LÄN</t>
        </is>
      </c>
      <c r="E183" t="inlineStr">
        <is>
          <t>LULEÅ</t>
        </is>
      </c>
      <c r="G183" t="n">
        <v>9.4</v>
      </c>
      <c r="H183" t="n">
        <v>1</v>
      </c>
      <c r="I183" t="n">
        <v>1</v>
      </c>
      <c r="J183" t="n">
        <v>5</v>
      </c>
      <c r="K183" t="n">
        <v>2</v>
      </c>
      <c r="L183" t="n">
        <v>0</v>
      </c>
      <c r="M183" t="n">
        <v>0</v>
      </c>
      <c r="N183" t="n">
        <v>0</v>
      </c>
      <c r="O183" t="n">
        <v>7</v>
      </c>
      <c r="P183" t="n">
        <v>2</v>
      </c>
      <c r="Q183" t="n">
        <v>8</v>
      </c>
      <c r="R183" s="2" t="inlineStr">
        <is>
          <t>Liten aspgelélav
Sprickporing
Garnlav
Granticka
Stiftgelélav
Tretåig hackspett
Ullticka
Skinnlav</t>
        </is>
      </c>
      <c r="S183">
        <f>HYPERLINK("https://klasma.github.io/Logging_2580/artfynd/A 61455-2019 artfynd.xlsx", "A 61455-2019")</f>
        <v/>
      </c>
      <c r="T183">
        <f>HYPERLINK("https://klasma.github.io/Logging_2580/kartor/A 61455-2019 karta.png", "A 61455-2019")</f>
        <v/>
      </c>
      <c r="V183">
        <f>HYPERLINK("https://klasma.github.io/Logging_2580/klagomål/A 61455-2019 FSC-klagomål.docx", "A 61455-2019")</f>
        <v/>
      </c>
      <c r="W183">
        <f>HYPERLINK("https://klasma.github.io/Logging_2580/klagomålsmail/A 61455-2019 FSC-klagomål mail.docx", "A 61455-2019")</f>
        <v/>
      </c>
      <c r="X183">
        <f>HYPERLINK("https://klasma.github.io/Logging_2580/tillsyn/A 61455-2019 tillsynsbegäran.docx", "A 61455-2019")</f>
        <v/>
      </c>
      <c r="Y183">
        <f>HYPERLINK("https://klasma.github.io/Logging_2580/tillsynsmail/A 61455-2019 tillsynsbegäran mail.docx", "A 61455-2019")</f>
        <v/>
      </c>
      <c r="Z183">
        <f>HYPERLINK("https://klasma.github.io/Logging_2580/fåglar/A 61455-2019 prioriterade fågelarter.docx", "A 61455-2019")</f>
        <v/>
      </c>
    </row>
    <row r="184" ht="15" customHeight="1">
      <c r="A184" t="inlineStr">
        <is>
          <t>A 62068-2019</t>
        </is>
      </c>
      <c r="B184" s="1" t="n">
        <v>43787</v>
      </c>
      <c r="C184" s="1" t="n">
        <v>45798</v>
      </c>
      <c r="D184" t="inlineStr">
        <is>
          <t>NORRBOTTENS LÄN</t>
        </is>
      </c>
      <c r="E184" t="inlineStr">
        <is>
          <t>ARJEPLOG</t>
        </is>
      </c>
      <c r="F184" t="inlineStr">
        <is>
          <t>Övriga statliga verk och myndigheter</t>
        </is>
      </c>
      <c r="G184" t="n">
        <v>35</v>
      </c>
      <c r="H184" t="n">
        <v>1</v>
      </c>
      <c r="I184" t="n">
        <v>1</v>
      </c>
      <c r="J184" t="n">
        <v>6</v>
      </c>
      <c r="K184" t="n">
        <v>1</v>
      </c>
      <c r="L184" t="n">
        <v>0</v>
      </c>
      <c r="M184" t="n">
        <v>0</v>
      </c>
      <c r="N184" t="n">
        <v>0</v>
      </c>
      <c r="O184" t="n">
        <v>7</v>
      </c>
      <c r="P184" t="n">
        <v>1</v>
      </c>
      <c r="Q184" t="n">
        <v>8</v>
      </c>
      <c r="R184" s="2" t="inlineStr">
        <is>
          <t>Ostticka
Garnlav
Granticka
Gränsticka
Harticka
Rosenticka
Tretåig hackspett
Tibast</t>
        </is>
      </c>
      <c r="S184">
        <f>HYPERLINK("https://klasma.github.io/Logging_2506/artfynd/A 62068-2019 artfynd.xlsx", "A 62068-2019")</f>
        <v/>
      </c>
      <c r="T184">
        <f>HYPERLINK("https://klasma.github.io/Logging_2506/kartor/A 62068-2019 karta.png", "A 62068-2019")</f>
        <v/>
      </c>
      <c r="V184">
        <f>HYPERLINK("https://klasma.github.io/Logging_2506/klagomål/A 62068-2019 FSC-klagomål.docx", "A 62068-2019")</f>
        <v/>
      </c>
      <c r="W184">
        <f>HYPERLINK("https://klasma.github.io/Logging_2506/klagomålsmail/A 62068-2019 FSC-klagomål mail.docx", "A 62068-2019")</f>
        <v/>
      </c>
      <c r="X184">
        <f>HYPERLINK("https://klasma.github.io/Logging_2506/tillsyn/A 62068-2019 tillsynsbegäran.docx", "A 62068-2019")</f>
        <v/>
      </c>
      <c r="Y184">
        <f>HYPERLINK("https://klasma.github.io/Logging_2506/tillsynsmail/A 62068-2019 tillsynsbegäran mail.docx", "A 62068-2019")</f>
        <v/>
      </c>
      <c r="Z184">
        <f>HYPERLINK("https://klasma.github.io/Logging_2506/fåglar/A 62068-2019 prioriterade fågelarter.docx", "A 62068-2019")</f>
        <v/>
      </c>
    </row>
    <row r="185" ht="15" customHeight="1">
      <c r="A185" t="inlineStr">
        <is>
          <t>A 65265-2019</t>
        </is>
      </c>
      <c r="B185" s="1" t="n">
        <v>43802</v>
      </c>
      <c r="C185" s="1" t="n">
        <v>45798</v>
      </c>
      <c r="D185" t="inlineStr">
        <is>
          <t>NORRBOTTENS LÄN</t>
        </is>
      </c>
      <c r="E185" t="inlineStr">
        <is>
          <t>ÖVERKALIX</t>
        </is>
      </c>
      <c r="G185" t="n">
        <v>9.1</v>
      </c>
      <c r="H185" t="n">
        <v>8</v>
      </c>
      <c r="I185" t="n">
        <v>1</v>
      </c>
      <c r="J185" t="n">
        <v>5</v>
      </c>
      <c r="K185" t="n">
        <v>0</v>
      </c>
      <c r="L185" t="n">
        <v>0</v>
      </c>
      <c r="M185" t="n">
        <v>0</v>
      </c>
      <c r="N185" t="n">
        <v>0</v>
      </c>
      <c r="O185" t="n">
        <v>5</v>
      </c>
      <c r="P185" t="n">
        <v>0</v>
      </c>
      <c r="Q185" t="n">
        <v>8</v>
      </c>
      <c r="R185" s="2" t="inlineStr">
        <is>
          <t>Buskskvätta
Kråka
Svartvit flugsnappare
Sävsparv
Ärtsångare
Plattlummer
Mattlummer
Revlummer</t>
        </is>
      </c>
      <c r="S185">
        <f>HYPERLINK("https://klasma.github.io/Logging_2513/artfynd/A 65265-2019 artfynd.xlsx", "A 65265-2019")</f>
        <v/>
      </c>
      <c r="T185">
        <f>HYPERLINK("https://klasma.github.io/Logging_2513/kartor/A 65265-2019 karta.png", "A 65265-2019")</f>
        <v/>
      </c>
      <c r="V185">
        <f>HYPERLINK("https://klasma.github.io/Logging_2513/klagomål/A 65265-2019 FSC-klagomål.docx", "A 65265-2019")</f>
        <v/>
      </c>
      <c r="W185">
        <f>HYPERLINK("https://klasma.github.io/Logging_2513/klagomålsmail/A 65265-2019 FSC-klagomål mail.docx", "A 65265-2019")</f>
        <v/>
      </c>
      <c r="X185">
        <f>HYPERLINK("https://klasma.github.io/Logging_2513/tillsyn/A 65265-2019 tillsynsbegäran.docx", "A 65265-2019")</f>
        <v/>
      </c>
      <c r="Y185">
        <f>HYPERLINK("https://klasma.github.io/Logging_2513/tillsynsmail/A 65265-2019 tillsynsbegäran mail.docx", "A 65265-2019")</f>
        <v/>
      </c>
      <c r="Z185">
        <f>HYPERLINK("https://klasma.github.io/Logging_2513/fåglar/A 65265-2019 prioriterade fågelarter.docx", "A 65265-2019")</f>
        <v/>
      </c>
    </row>
    <row r="186" ht="15" customHeight="1">
      <c r="A186" t="inlineStr">
        <is>
          <t>A 12522-2020</t>
        </is>
      </c>
      <c r="B186" s="1" t="n">
        <v>43896</v>
      </c>
      <c r="C186" s="1" t="n">
        <v>45798</v>
      </c>
      <c r="D186" t="inlineStr">
        <is>
          <t>NORRBOTTENS LÄN</t>
        </is>
      </c>
      <c r="E186" t="inlineStr">
        <is>
          <t>BODEN</t>
        </is>
      </c>
      <c r="F186" t="inlineStr">
        <is>
          <t>SCA</t>
        </is>
      </c>
      <c r="G186" t="n">
        <v>11.3</v>
      </c>
      <c r="H186" t="n">
        <v>0</v>
      </c>
      <c r="I186" t="n">
        <v>3</v>
      </c>
      <c r="J186" t="n">
        <v>5</v>
      </c>
      <c r="K186" t="n">
        <v>0</v>
      </c>
      <c r="L186" t="n">
        <v>0</v>
      </c>
      <c r="M186" t="n">
        <v>0</v>
      </c>
      <c r="N186" t="n">
        <v>0</v>
      </c>
      <c r="O186" t="n">
        <v>5</v>
      </c>
      <c r="P186" t="n">
        <v>0</v>
      </c>
      <c r="Q186" t="n">
        <v>8</v>
      </c>
      <c r="R186" s="2" t="inlineStr">
        <is>
          <t>Garnlav
Granticka
Lunglav
Stiftgelélav
Violettgrå tagellav
Luddlav
Skinnlav
Stuplav</t>
        </is>
      </c>
      <c r="S186">
        <f>HYPERLINK("https://klasma.github.io/Logging_2582/artfynd/A 12522-2020 artfynd.xlsx", "A 12522-2020")</f>
        <v/>
      </c>
      <c r="T186">
        <f>HYPERLINK("https://klasma.github.io/Logging_2582/kartor/A 12522-2020 karta.png", "A 12522-2020")</f>
        <v/>
      </c>
      <c r="V186">
        <f>HYPERLINK("https://klasma.github.io/Logging_2582/klagomål/A 12522-2020 FSC-klagomål.docx", "A 12522-2020")</f>
        <v/>
      </c>
      <c r="W186">
        <f>HYPERLINK("https://klasma.github.io/Logging_2582/klagomålsmail/A 12522-2020 FSC-klagomål mail.docx", "A 12522-2020")</f>
        <v/>
      </c>
      <c r="X186">
        <f>HYPERLINK("https://klasma.github.io/Logging_2582/tillsyn/A 12522-2020 tillsynsbegäran.docx", "A 12522-2020")</f>
        <v/>
      </c>
      <c r="Y186">
        <f>HYPERLINK("https://klasma.github.io/Logging_2582/tillsynsmail/A 12522-2020 tillsynsbegäran mail.docx", "A 12522-2020")</f>
        <v/>
      </c>
    </row>
    <row r="187" ht="15" customHeight="1">
      <c r="A187" t="inlineStr">
        <is>
          <t>A 42793-2020</t>
        </is>
      </c>
      <c r="B187" s="1" t="n">
        <v>44076</v>
      </c>
      <c r="C187" s="1" t="n">
        <v>45798</v>
      </c>
      <c r="D187" t="inlineStr">
        <is>
          <t>NORRBOTTENS LÄN</t>
        </is>
      </c>
      <c r="E187" t="inlineStr">
        <is>
          <t>JOKKMOKK</t>
        </is>
      </c>
      <c r="F187" t="inlineStr">
        <is>
          <t>Övriga statliga verk och myndigheter</t>
        </is>
      </c>
      <c r="G187" t="n">
        <v>13.2</v>
      </c>
      <c r="H187" t="n">
        <v>0</v>
      </c>
      <c r="I187" t="n">
        <v>1</v>
      </c>
      <c r="J187" t="n">
        <v>7</v>
      </c>
      <c r="K187" t="n">
        <v>0</v>
      </c>
      <c r="L187" t="n">
        <v>0</v>
      </c>
      <c r="M187" t="n">
        <v>0</v>
      </c>
      <c r="N187" t="n">
        <v>0</v>
      </c>
      <c r="O187" t="n">
        <v>7</v>
      </c>
      <c r="P187" t="n">
        <v>0</v>
      </c>
      <c r="Q187" t="n">
        <v>8</v>
      </c>
      <c r="R187" s="2" t="inlineStr">
        <is>
          <t>Dvärgbägarlav
Gammelgransskål
Granticka
Harticka
Knottrig blåslav
Rosenticka
Ullticka
Ögonpyrola</t>
        </is>
      </c>
      <c r="S187">
        <f>HYPERLINK("https://klasma.github.io/Logging_2510/artfynd/A 42793-2020 artfynd.xlsx", "A 42793-2020")</f>
        <v/>
      </c>
      <c r="T187">
        <f>HYPERLINK("https://klasma.github.io/Logging_2510/kartor/A 42793-2020 karta.png", "A 42793-2020")</f>
        <v/>
      </c>
      <c r="V187">
        <f>HYPERLINK("https://klasma.github.io/Logging_2510/klagomål/A 42793-2020 FSC-klagomål.docx", "A 42793-2020")</f>
        <v/>
      </c>
      <c r="W187">
        <f>HYPERLINK("https://klasma.github.io/Logging_2510/klagomålsmail/A 42793-2020 FSC-klagomål mail.docx", "A 42793-2020")</f>
        <v/>
      </c>
      <c r="X187">
        <f>HYPERLINK("https://klasma.github.io/Logging_2510/tillsyn/A 42793-2020 tillsynsbegäran.docx", "A 42793-2020")</f>
        <v/>
      </c>
      <c r="Y187">
        <f>HYPERLINK("https://klasma.github.io/Logging_2510/tillsynsmail/A 42793-2020 tillsynsbegäran mail.docx", "A 42793-2020")</f>
        <v/>
      </c>
    </row>
    <row r="188" ht="15" customHeight="1">
      <c r="A188" t="inlineStr">
        <is>
          <t>A 54297-2020</t>
        </is>
      </c>
      <c r="B188" s="1" t="n">
        <v>44124</v>
      </c>
      <c r="C188" s="1" t="n">
        <v>45798</v>
      </c>
      <c r="D188" t="inlineStr">
        <is>
          <t>NORRBOTTENS LÄN</t>
        </is>
      </c>
      <c r="E188" t="inlineStr">
        <is>
          <t>BODEN</t>
        </is>
      </c>
      <c r="G188" t="n">
        <v>15</v>
      </c>
      <c r="H188" t="n">
        <v>7</v>
      </c>
      <c r="I188" t="n">
        <v>0</v>
      </c>
      <c r="J188" t="n">
        <v>5</v>
      </c>
      <c r="K188" t="n">
        <v>0</v>
      </c>
      <c r="L188" t="n">
        <v>0</v>
      </c>
      <c r="M188" t="n">
        <v>0</v>
      </c>
      <c r="N188" t="n">
        <v>0</v>
      </c>
      <c r="O188" t="n">
        <v>5</v>
      </c>
      <c r="P188" t="n">
        <v>0</v>
      </c>
      <c r="Q188" t="n">
        <v>8</v>
      </c>
      <c r="R188" s="2" t="inlineStr">
        <is>
          <t>Järpe
Spillkråka
Svartvit taggsvamp
Talltita
Videsparv
Lavskrika
Orre
Revlummer</t>
        </is>
      </c>
      <c r="S188">
        <f>HYPERLINK("https://klasma.github.io/Logging_2582/artfynd/A 54297-2020 artfynd.xlsx", "A 54297-2020")</f>
        <v/>
      </c>
      <c r="T188">
        <f>HYPERLINK("https://klasma.github.io/Logging_2582/kartor/A 54297-2020 karta.png", "A 54297-2020")</f>
        <v/>
      </c>
      <c r="V188">
        <f>HYPERLINK("https://klasma.github.io/Logging_2582/klagomål/A 54297-2020 FSC-klagomål.docx", "A 54297-2020")</f>
        <v/>
      </c>
      <c r="W188">
        <f>HYPERLINK("https://klasma.github.io/Logging_2582/klagomålsmail/A 54297-2020 FSC-klagomål mail.docx", "A 54297-2020")</f>
        <v/>
      </c>
      <c r="X188">
        <f>HYPERLINK("https://klasma.github.io/Logging_2582/tillsyn/A 54297-2020 tillsynsbegäran.docx", "A 54297-2020")</f>
        <v/>
      </c>
      <c r="Y188">
        <f>HYPERLINK("https://klasma.github.io/Logging_2582/tillsynsmail/A 54297-2020 tillsynsbegäran mail.docx", "A 54297-2020")</f>
        <v/>
      </c>
      <c r="Z188">
        <f>HYPERLINK("https://klasma.github.io/Logging_2582/fåglar/A 54297-2020 prioriterade fågelarter.docx", "A 54297-2020")</f>
        <v/>
      </c>
    </row>
    <row r="189" ht="15" customHeight="1">
      <c r="A189" t="inlineStr">
        <is>
          <t>A 60734-2020</t>
        </is>
      </c>
      <c r="B189" s="1" t="n">
        <v>44153</v>
      </c>
      <c r="C189" s="1" t="n">
        <v>45798</v>
      </c>
      <c r="D189" t="inlineStr">
        <is>
          <t>NORRBOTTENS LÄN</t>
        </is>
      </c>
      <c r="E189" t="inlineStr">
        <is>
          <t>ARJEPLOG</t>
        </is>
      </c>
      <c r="F189" t="inlineStr">
        <is>
          <t>Övriga statliga verk och myndigheter</t>
        </is>
      </c>
      <c r="G189" t="n">
        <v>30.4</v>
      </c>
      <c r="H189" t="n">
        <v>1</v>
      </c>
      <c r="I189" t="n">
        <v>0</v>
      </c>
      <c r="J189" t="n">
        <v>7</v>
      </c>
      <c r="K189" t="n">
        <v>1</v>
      </c>
      <c r="L189" t="n">
        <v>0</v>
      </c>
      <c r="M189" t="n">
        <v>0</v>
      </c>
      <c r="N189" t="n">
        <v>0</v>
      </c>
      <c r="O189" t="n">
        <v>8</v>
      </c>
      <c r="P189" t="n">
        <v>1</v>
      </c>
      <c r="Q189" t="n">
        <v>8</v>
      </c>
      <c r="R189" s="2" t="inlineStr">
        <is>
          <t>Ostticka
Garnlav
Granticka
Gränsticka
Harticka
Rosenticka
Tretåig hackspett
Ullticka</t>
        </is>
      </c>
      <c r="S189">
        <f>HYPERLINK("https://klasma.github.io/Logging_2506/artfynd/A 60734-2020 artfynd.xlsx", "A 60734-2020")</f>
        <v/>
      </c>
      <c r="T189">
        <f>HYPERLINK("https://klasma.github.io/Logging_2506/kartor/A 60734-2020 karta.png", "A 60734-2020")</f>
        <v/>
      </c>
      <c r="V189">
        <f>HYPERLINK("https://klasma.github.io/Logging_2506/klagomål/A 60734-2020 FSC-klagomål.docx", "A 60734-2020")</f>
        <v/>
      </c>
      <c r="W189">
        <f>HYPERLINK("https://klasma.github.io/Logging_2506/klagomålsmail/A 60734-2020 FSC-klagomål mail.docx", "A 60734-2020")</f>
        <v/>
      </c>
      <c r="X189">
        <f>HYPERLINK("https://klasma.github.io/Logging_2506/tillsyn/A 60734-2020 tillsynsbegäran.docx", "A 60734-2020")</f>
        <v/>
      </c>
      <c r="Y189">
        <f>HYPERLINK("https://klasma.github.io/Logging_2506/tillsynsmail/A 60734-2020 tillsynsbegäran mail.docx", "A 60734-2020")</f>
        <v/>
      </c>
      <c r="Z189">
        <f>HYPERLINK("https://klasma.github.io/Logging_2506/fåglar/A 60734-2020 prioriterade fågelarter.docx", "A 60734-2020")</f>
        <v/>
      </c>
    </row>
    <row r="190" ht="15" customHeight="1">
      <c r="A190" t="inlineStr">
        <is>
          <t>A 25145-2021</t>
        </is>
      </c>
      <c r="B190" s="1" t="n">
        <v>44341</v>
      </c>
      <c r="C190" s="1" t="n">
        <v>45798</v>
      </c>
      <c r="D190" t="inlineStr">
        <is>
          <t>NORRBOTTENS LÄN</t>
        </is>
      </c>
      <c r="E190" t="inlineStr">
        <is>
          <t>LULEÅ</t>
        </is>
      </c>
      <c r="G190" t="n">
        <v>5.4</v>
      </c>
      <c r="H190" t="n">
        <v>2</v>
      </c>
      <c r="I190" t="n">
        <v>1</v>
      </c>
      <c r="J190" t="n">
        <v>6</v>
      </c>
      <c r="K190" t="n">
        <v>1</v>
      </c>
      <c r="L190" t="n">
        <v>0</v>
      </c>
      <c r="M190" t="n">
        <v>0</v>
      </c>
      <c r="N190" t="n">
        <v>0</v>
      </c>
      <c r="O190" t="n">
        <v>7</v>
      </c>
      <c r="P190" t="n">
        <v>1</v>
      </c>
      <c r="Q190" t="n">
        <v>8</v>
      </c>
      <c r="R190" s="2" t="inlineStr">
        <is>
          <t>Liten aspgelélav
Garnlav
Lunglav
Spillkråka
Stiftgelélav
Tretåig hackspett
Ullticka
Skinnlav</t>
        </is>
      </c>
      <c r="S190">
        <f>HYPERLINK("https://klasma.github.io/Logging_2580/artfynd/A 25145-2021 artfynd.xlsx", "A 25145-2021")</f>
        <v/>
      </c>
      <c r="T190">
        <f>HYPERLINK("https://klasma.github.io/Logging_2580/kartor/A 25145-2021 karta.png", "A 25145-2021")</f>
        <v/>
      </c>
      <c r="V190">
        <f>HYPERLINK("https://klasma.github.io/Logging_2580/klagomål/A 25145-2021 FSC-klagomål.docx", "A 25145-2021")</f>
        <v/>
      </c>
      <c r="W190">
        <f>HYPERLINK("https://klasma.github.io/Logging_2580/klagomålsmail/A 25145-2021 FSC-klagomål mail.docx", "A 25145-2021")</f>
        <v/>
      </c>
      <c r="X190">
        <f>HYPERLINK("https://klasma.github.io/Logging_2580/tillsyn/A 25145-2021 tillsynsbegäran.docx", "A 25145-2021")</f>
        <v/>
      </c>
      <c r="Y190">
        <f>HYPERLINK("https://klasma.github.io/Logging_2580/tillsynsmail/A 25145-2021 tillsynsbegäran mail.docx", "A 25145-2021")</f>
        <v/>
      </c>
      <c r="Z190">
        <f>HYPERLINK("https://klasma.github.io/Logging_2580/fåglar/A 25145-2021 prioriterade fågelarter.docx", "A 25145-2021")</f>
        <v/>
      </c>
    </row>
    <row r="191" ht="15" customHeight="1">
      <c r="A191" t="inlineStr">
        <is>
          <t>A 1408-2022</t>
        </is>
      </c>
      <c r="B191" s="1" t="n">
        <v>44573</v>
      </c>
      <c r="C191" s="1" t="n">
        <v>45798</v>
      </c>
      <c r="D191" t="inlineStr">
        <is>
          <t>NORRBOTTENS LÄN</t>
        </is>
      </c>
      <c r="E191" t="inlineStr">
        <is>
          <t>BODEN</t>
        </is>
      </c>
      <c r="F191" t="inlineStr">
        <is>
          <t>Övriga statliga verk och myndigheter</t>
        </is>
      </c>
      <c r="G191" t="n">
        <v>21.5</v>
      </c>
      <c r="H191" t="n">
        <v>6</v>
      </c>
      <c r="I191" t="n">
        <v>1</v>
      </c>
      <c r="J191" t="n">
        <v>4</v>
      </c>
      <c r="K191" t="n">
        <v>0</v>
      </c>
      <c r="L191" t="n">
        <v>0</v>
      </c>
      <c r="M191" t="n">
        <v>0</v>
      </c>
      <c r="N191" t="n">
        <v>0</v>
      </c>
      <c r="O191" t="n">
        <v>4</v>
      </c>
      <c r="P191" t="n">
        <v>0</v>
      </c>
      <c r="Q191" t="n">
        <v>8</v>
      </c>
      <c r="R191" s="2" t="inlineStr">
        <is>
          <t>Järpe
Lunglav
Talltita
Tretåig hackspett
Stuplav
Gråspett
Sparvuggla
Tjäder</t>
        </is>
      </c>
      <c r="S191">
        <f>HYPERLINK("https://klasma.github.io/Logging_2582/artfynd/A 1408-2022 artfynd.xlsx", "A 1408-2022")</f>
        <v/>
      </c>
      <c r="T191">
        <f>HYPERLINK("https://klasma.github.io/Logging_2582/kartor/A 1408-2022 karta.png", "A 1408-2022")</f>
        <v/>
      </c>
      <c r="V191">
        <f>HYPERLINK("https://klasma.github.io/Logging_2582/klagomål/A 1408-2022 FSC-klagomål.docx", "A 1408-2022")</f>
        <v/>
      </c>
      <c r="W191">
        <f>HYPERLINK("https://klasma.github.io/Logging_2582/klagomålsmail/A 1408-2022 FSC-klagomål mail.docx", "A 1408-2022")</f>
        <v/>
      </c>
      <c r="X191">
        <f>HYPERLINK("https://klasma.github.io/Logging_2582/tillsyn/A 1408-2022 tillsynsbegäran.docx", "A 1408-2022")</f>
        <v/>
      </c>
      <c r="Y191">
        <f>HYPERLINK("https://klasma.github.io/Logging_2582/tillsynsmail/A 1408-2022 tillsynsbegäran mail.docx", "A 1408-2022")</f>
        <v/>
      </c>
      <c r="Z191">
        <f>HYPERLINK("https://klasma.github.io/Logging_2582/fåglar/A 1408-2022 prioriterade fågelarter.docx", "A 1408-2022")</f>
        <v/>
      </c>
    </row>
    <row r="192" ht="15" customHeight="1">
      <c r="A192" t="inlineStr">
        <is>
          <t>A 44418-2022</t>
        </is>
      </c>
      <c r="B192" s="1" t="n">
        <v>44839</v>
      </c>
      <c r="C192" s="1" t="n">
        <v>45798</v>
      </c>
      <c r="D192" t="inlineStr">
        <is>
          <t>NORRBOTTENS LÄN</t>
        </is>
      </c>
      <c r="E192" t="inlineStr">
        <is>
          <t>PITEÅ</t>
        </is>
      </c>
      <c r="G192" t="n">
        <v>12.9</v>
      </c>
      <c r="H192" t="n">
        <v>6</v>
      </c>
      <c r="I192" t="n">
        <v>0</v>
      </c>
      <c r="J192" t="n">
        <v>7</v>
      </c>
      <c r="K192" t="n">
        <v>0</v>
      </c>
      <c r="L192" t="n">
        <v>1</v>
      </c>
      <c r="M192" t="n">
        <v>0</v>
      </c>
      <c r="N192" t="n">
        <v>0</v>
      </c>
      <c r="O192" t="n">
        <v>8</v>
      </c>
      <c r="P192" t="n">
        <v>1</v>
      </c>
      <c r="Q192" t="n">
        <v>8</v>
      </c>
      <c r="R192" s="2" t="inlineStr">
        <is>
          <t>Grönfink
Garnlav
Granticka
Järpe
Mindre hackspett
Spillkråka
Talltita
Tretåig hackspett</t>
        </is>
      </c>
      <c r="S192">
        <f>HYPERLINK("https://klasma.github.io/Logging_2581/artfynd/A 44418-2022 artfynd.xlsx", "A 44418-2022")</f>
        <v/>
      </c>
      <c r="T192">
        <f>HYPERLINK("https://klasma.github.io/Logging_2581/kartor/A 44418-2022 karta.png", "A 44418-2022")</f>
        <v/>
      </c>
      <c r="V192">
        <f>HYPERLINK("https://klasma.github.io/Logging_2581/klagomål/A 44418-2022 FSC-klagomål.docx", "A 44418-2022")</f>
        <v/>
      </c>
      <c r="W192">
        <f>HYPERLINK("https://klasma.github.io/Logging_2581/klagomålsmail/A 44418-2022 FSC-klagomål mail.docx", "A 44418-2022")</f>
        <v/>
      </c>
      <c r="X192">
        <f>HYPERLINK("https://klasma.github.io/Logging_2581/tillsyn/A 44418-2022 tillsynsbegäran.docx", "A 44418-2022")</f>
        <v/>
      </c>
      <c r="Y192">
        <f>HYPERLINK("https://klasma.github.io/Logging_2581/tillsynsmail/A 44418-2022 tillsynsbegäran mail.docx", "A 44418-2022")</f>
        <v/>
      </c>
      <c r="Z192">
        <f>HYPERLINK("https://klasma.github.io/Logging_2581/fåglar/A 44418-2022 prioriterade fågelarter.docx", "A 44418-2022")</f>
        <v/>
      </c>
    </row>
    <row r="193" ht="15" customHeight="1">
      <c r="A193" t="inlineStr">
        <is>
          <t>A 49753-2022</t>
        </is>
      </c>
      <c r="B193" s="1" t="n">
        <v>44859</v>
      </c>
      <c r="C193" s="1" t="n">
        <v>45798</v>
      </c>
      <c r="D193" t="inlineStr">
        <is>
          <t>NORRBOTTENS LÄN</t>
        </is>
      </c>
      <c r="E193" t="inlineStr">
        <is>
          <t>BODEN</t>
        </is>
      </c>
      <c r="F193" t="inlineStr">
        <is>
          <t>Övriga statliga verk och myndigheter</t>
        </is>
      </c>
      <c r="G193" t="n">
        <v>21.2</v>
      </c>
      <c r="H193" t="n">
        <v>4</v>
      </c>
      <c r="I193" t="n">
        <v>2</v>
      </c>
      <c r="J193" t="n">
        <v>4</v>
      </c>
      <c r="K193" t="n">
        <v>0</v>
      </c>
      <c r="L193" t="n">
        <v>0</v>
      </c>
      <c r="M193" t="n">
        <v>0</v>
      </c>
      <c r="N193" t="n">
        <v>0</v>
      </c>
      <c r="O193" t="n">
        <v>5</v>
      </c>
      <c r="P193" t="n">
        <v>0</v>
      </c>
      <c r="Q193" t="n">
        <v>8</v>
      </c>
      <c r="R193" s="2" t="inlineStr">
        <is>
          <t>Garnlav
Järpe
Motaggsvamp
Talltita
Mandarinfingersvamp
Norrlandslav
Plattlummer
Revlummer</t>
        </is>
      </c>
      <c r="S193">
        <f>HYPERLINK("https://klasma.github.io/Logging_2582/artfynd/A 49753-2022 artfynd.xlsx", "A 49753-2022")</f>
        <v/>
      </c>
      <c r="T193">
        <f>HYPERLINK("https://klasma.github.io/Logging_2582/kartor/A 49753-2022 karta.png", "A 49753-2022")</f>
        <v/>
      </c>
      <c r="V193">
        <f>HYPERLINK("https://klasma.github.io/Logging_2582/klagomål/A 49753-2022 FSC-klagomål.docx", "A 49753-2022")</f>
        <v/>
      </c>
      <c r="W193">
        <f>HYPERLINK("https://klasma.github.io/Logging_2582/klagomålsmail/A 49753-2022 FSC-klagomål mail.docx", "A 49753-2022")</f>
        <v/>
      </c>
      <c r="X193">
        <f>HYPERLINK("https://klasma.github.io/Logging_2582/tillsyn/A 49753-2022 tillsynsbegäran.docx", "A 49753-2022")</f>
        <v/>
      </c>
      <c r="Y193">
        <f>HYPERLINK("https://klasma.github.io/Logging_2582/tillsynsmail/A 49753-2022 tillsynsbegäran mail.docx", "A 49753-2022")</f>
        <v/>
      </c>
      <c r="Z193">
        <f>HYPERLINK("https://klasma.github.io/Logging_2582/fåglar/A 49753-2022 prioriterade fågelarter.docx", "A 49753-2022")</f>
        <v/>
      </c>
    </row>
    <row r="194" ht="15" customHeight="1">
      <c r="A194" t="inlineStr">
        <is>
          <t>A 56172-2022</t>
        </is>
      </c>
      <c r="B194" s="1" t="n">
        <v>44889</v>
      </c>
      <c r="C194" s="1" t="n">
        <v>45798</v>
      </c>
      <c r="D194" t="inlineStr">
        <is>
          <t>NORRBOTTENS LÄN</t>
        </is>
      </c>
      <c r="E194" t="inlineStr">
        <is>
          <t>BODEN</t>
        </is>
      </c>
      <c r="F194" t="inlineStr">
        <is>
          <t>SCA</t>
        </is>
      </c>
      <c r="G194" t="n">
        <v>4</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56172-2022 artfynd.xlsx", "A 56172-2022")</f>
        <v/>
      </c>
      <c r="T194">
        <f>HYPERLINK("https://klasma.github.io/Logging_2582/kartor/A 56172-2022 karta.png", "A 56172-2022")</f>
        <v/>
      </c>
      <c r="V194">
        <f>HYPERLINK("https://klasma.github.io/Logging_2582/klagomål/A 56172-2022 FSC-klagomål.docx", "A 56172-2022")</f>
        <v/>
      </c>
      <c r="W194">
        <f>HYPERLINK("https://klasma.github.io/Logging_2582/klagomålsmail/A 56172-2022 FSC-klagomål mail.docx", "A 56172-2022")</f>
        <v/>
      </c>
      <c r="X194">
        <f>HYPERLINK("https://klasma.github.io/Logging_2582/tillsyn/A 56172-2022 tillsynsbegäran.docx", "A 56172-2022")</f>
        <v/>
      </c>
      <c r="Y194">
        <f>HYPERLINK("https://klasma.github.io/Logging_2582/tillsynsmail/A 56172-2022 tillsynsbegäran mail.docx", "A 56172-2022")</f>
        <v/>
      </c>
    </row>
    <row r="195" ht="15" customHeight="1">
      <c r="A195" t="inlineStr">
        <is>
          <t>A 23018-2023</t>
        </is>
      </c>
      <c r="B195" s="1" t="n">
        <v>45073</v>
      </c>
      <c r="C195" s="1" t="n">
        <v>45798</v>
      </c>
      <c r="D195" t="inlineStr">
        <is>
          <t>NORRBOTTENS LÄN</t>
        </is>
      </c>
      <c r="E195" t="inlineStr">
        <is>
          <t>JOKKMOKK</t>
        </is>
      </c>
      <c r="F195" t="inlineStr">
        <is>
          <t>SCA</t>
        </is>
      </c>
      <c r="G195" t="n">
        <v>2.9</v>
      </c>
      <c r="H195" t="n">
        <v>3</v>
      </c>
      <c r="I195" t="n">
        <v>1</v>
      </c>
      <c r="J195" t="n">
        <v>6</v>
      </c>
      <c r="K195" t="n">
        <v>0</v>
      </c>
      <c r="L195" t="n">
        <v>0</v>
      </c>
      <c r="M195" t="n">
        <v>0</v>
      </c>
      <c r="N195" t="n">
        <v>0</v>
      </c>
      <c r="O195" t="n">
        <v>6</v>
      </c>
      <c r="P195" t="n">
        <v>0</v>
      </c>
      <c r="Q195" t="n">
        <v>8</v>
      </c>
      <c r="R195" s="2" t="inlineStr">
        <is>
          <t>Järpe
Knottrig blåslav
Motaggsvamp
Orange taggsvamp
Talltita
Vedskivlav
Norrlandslav
Revlummer</t>
        </is>
      </c>
      <c r="S195">
        <f>HYPERLINK("https://klasma.github.io/Logging_2510/artfynd/A 23018-2023 artfynd.xlsx", "A 23018-2023")</f>
        <v/>
      </c>
      <c r="T195">
        <f>HYPERLINK("https://klasma.github.io/Logging_2510/kartor/A 23018-2023 karta.png", "A 23018-2023")</f>
        <v/>
      </c>
      <c r="V195">
        <f>HYPERLINK("https://klasma.github.io/Logging_2510/klagomål/A 23018-2023 FSC-klagomål.docx", "A 23018-2023")</f>
        <v/>
      </c>
      <c r="W195">
        <f>HYPERLINK("https://klasma.github.io/Logging_2510/klagomålsmail/A 23018-2023 FSC-klagomål mail.docx", "A 23018-2023")</f>
        <v/>
      </c>
      <c r="X195">
        <f>HYPERLINK("https://klasma.github.io/Logging_2510/tillsyn/A 23018-2023 tillsynsbegäran.docx", "A 23018-2023")</f>
        <v/>
      </c>
      <c r="Y195">
        <f>HYPERLINK("https://klasma.github.io/Logging_2510/tillsynsmail/A 23018-2023 tillsynsbegäran mail.docx", "A 23018-2023")</f>
        <v/>
      </c>
      <c r="Z195">
        <f>HYPERLINK("https://klasma.github.io/Logging_2510/fåglar/A 23018-2023 prioriterade fågelarter.docx", "A 23018-2023")</f>
        <v/>
      </c>
    </row>
    <row r="196" ht="15" customHeight="1">
      <c r="A196" t="inlineStr">
        <is>
          <t>A 34146-2023</t>
        </is>
      </c>
      <c r="B196" s="1" t="n">
        <v>45136</v>
      </c>
      <c r="C196" s="1" t="n">
        <v>45798</v>
      </c>
      <c r="D196" t="inlineStr">
        <is>
          <t>NORRBOTTENS LÄN</t>
        </is>
      </c>
      <c r="E196" t="inlineStr">
        <is>
          <t>ÖVERTORNEÅ</t>
        </is>
      </c>
      <c r="G196" t="n">
        <v>7.9</v>
      </c>
      <c r="H196" t="n">
        <v>1</v>
      </c>
      <c r="I196" t="n">
        <v>3</v>
      </c>
      <c r="J196" t="n">
        <v>4</v>
      </c>
      <c r="K196" t="n">
        <v>1</v>
      </c>
      <c r="L196" t="n">
        <v>0</v>
      </c>
      <c r="M196" t="n">
        <v>0</v>
      </c>
      <c r="N196" t="n">
        <v>0</v>
      </c>
      <c r="O196" t="n">
        <v>5</v>
      </c>
      <c r="P196" t="n">
        <v>1</v>
      </c>
      <c r="Q196" t="n">
        <v>8</v>
      </c>
      <c r="R196" s="2" t="inlineStr">
        <is>
          <t>Knärot
Gammelgransskål
Garnlav
Granticka
Ullticka
Skinnlav
Stuplav
Vedticka</t>
        </is>
      </c>
      <c r="S196">
        <f>HYPERLINK("https://klasma.github.io/Logging_2518/artfynd/A 34146-2023 artfynd.xlsx", "A 34146-2023")</f>
        <v/>
      </c>
      <c r="T196">
        <f>HYPERLINK("https://klasma.github.io/Logging_2518/kartor/A 34146-2023 karta.png", "A 34146-2023")</f>
        <v/>
      </c>
      <c r="U196">
        <f>HYPERLINK("https://klasma.github.io/Logging_2518/knärot/A 34146-2023 karta knärot.png", "A 34146-2023")</f>
        <v/>
      </c>
      <c r="V196">
        <f>HYPERLINK("https://klasma.github.io/Logging_2518/klagomål/A 34146-2023 FSC-klagomål.docx", "A 34146-2023")</f>
        <v/>
      </c>
      <c r="W196">
        <f>HYPERLINK("https://klasma.github.io/Logging_2518/klagomålsmail/A 34146-2023 FSC-klagomål mail.docx", "A 34146-2023")</f>
        <v/>
      </c>
      <c r="X196">
        <f>HYPERLINK("https://klasma.github.io/Logging_2518/tillsyn/A 34146-2023 tillsynsbegäran.docx", "A 34146-2023")</f>
        <v/>
      </c>
      <c r="Y196">
        <f>HYPERLINK("https://klasma.github.io/Logging_2518/tillsynsmail/A 34146-2023 tillsynsbegäran mail.docx", "A 34146-2023")</f>
        <v/>
      </c>
    </row>
    <row r="197" ht="15" customHeight="1">
      <c r="A197" t="inlineStr">
        <is>
          <t>A 44130-2023</t>
        </is>
      </c>
      <c r="B197" s="1" t="n">
        <v>45182</v>
      </c>
      <c r="C197" s="1" t="n">
        <v>45798</v>
      </c>
      <c r="D197" t="inlineStr">
        <is>
          <t>NORRBOTTENS LÄN</t>
        </is>
      </c>
      <c r="E197" t="inlineStr">
        <is>
          <t>BODEN</t>
        </is>
      </c>
      <c r="G197" t="n">
        <v>11.8</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44130-2023 artfynd.xlsx", "A 44130-2023")</f>
        <v/>
      </c>
      <c r="T197">
        <f>HYPERLINK("https://klasma.github.io/Logging_2582/kartor/A 44130-2023 karta.png", "A 44130-2023")</f>
        <v/>
      </c>
      <c r="V197">
        <f>HYPERLINK("https://klasma.github.io/Logging_2582/klagomål/A 44130-2023 FSC-klagomål.docx", "A 44130-2023")</f>
        <v/>
      </c>
      <c r="W197">
        <f>HYPERLINK("https://klasma.github.io/Logging_2582/klagomålsmail/A 44130-2023 FSC-klagomål mail.docx", "A 44130-2023")</f>
        <v/>
      </c>
      <c r="X197">
        <f>HYPERLINK("https://klasma.github.io/Logging_2582/tillsyn/A 44130-2023 tillsynsbegäran.docx", "A 44130-2023")</f>
        <v/>
      </c>
      <c r="Y197">
        <f>HYPERLINK("https://klasma.github.io/Logging_2582/tillsynsmail/A 44130-2023 tillsynsbegäran mail.docx", "A 44130-2023")</f>
        <v/>
      </c>
      <c r="Z197">
        <f>HYPERLINK("https://klasma.github.io/Logging_2582/fåglar/A 44130-2023 prioriterade fågelarter.docx", "A 44130-2023")</f>
        <v/>
      </c>
    </row>
    <row r="198" ht="15" customHeight="1">
      <c r="A198" t="inlineStr">
        <is>
          <t>A 49809-2023</t>
        </is>
      </c>
      <c r="B198" s="1" t="n">
        <v>45212</v>
      </c>
      <c r="C198" s="1" t="n">
        <v>45798</v>
      </c>
      <c r="D198" t="inlineStr">
        <is>
          <t>NORRBOTTENS LÄN</t>
        </is>
      </c>
      <c r="E198" t="inlineStr">
        <is>
          <t>BODEN</t>
        </is>
      </c>
      <c r="F198" t="inlineStr">
        <is>
          <t>Sveaskog</t>
        </is>
      </c>
      <c r="G198" t="n">
        <v>5.7</v>
      </c>
      <c r="H198" t="n">
        <v>1</v>
      </c>
      <c r="I198" t="n">
        <v>2</v>
      </c>
      <c r="J198" t="n">
        <v>5</v>
      </c>
      <c r="K198" t="n">
        <v>1</v>
      </c>
      <c r="L198" t="n">
        <v>0</v>
      </c>
      <c r="M198" t="n">
        <v>0</v>
      </c>
      <c r="N198" t="n">
        <v>0</v>
      </c>
      <c r="O198" t="n">
        <v>6</v>
      </c>
      <c r="P198" t="n">
        <v>1</v>
      </c>
      <c r="Q198" t="n">
        <v>8</v>
      </c>
      <c r="R198" s="2" t="inlineStr">
        <is>
          <t>Goliatmusseron
Blå taggsvamp
Gammelgransskål
Orange taggsvamp
Svartvit taggsvamp
Talltaggsvamp
Skarp dropptaggsvamp
Spindelblomster</t>
        </is>
      </c>
      <c r="S198">
        <f>HYPERLINK("https://klasma.github.io/Logging_2582/artfynd/A 49809-2023 artfynd.xlsx", "A 49809-2023")</f>
        <v/>
      </c>
      <c r="T198">
        <f>HYPERLINK("https://klasma.github.io/Logging_2582/kartor/A 49809-2023 karta.png", "A 49809-2023")</f>
        <v/>
      </c>
      <c r="U198">
        <f>HYPERLINK("https://klasma.github.io/Logging_2582/knärot/A 49809-2023 karta knärot.png", "A 49809-2023")</f>
        <v/>
      </c>
      <c r="V198">
        <f>HYPERLINK("https://klasma.github.io/Logging_2582/klagomål/A 49809-2023 FSC-klagomål.docx", "A 49809-2023")</f>
        <v/>
      </c>
      <c r="W198">
        <f>HYPERLINK("https://klasma.github.io/Logging_2582/klagomålsmail/A 49809-2023 FSC-klagomål mail.docx", "A 49809-2023")</f>
        <v/>
      </c>
      <c r="X198">
        <f>HYPERLINK("https://klasma.github.io/Logging_2582/tillsyn/A 49809-2023 tillsynsbegäran.docx", "A 49809-2023")</f>
        <v/>
      </c>
      <c r="Y198">
        <f>HYPERLINK("https://klasma.github.io/Logging_2582/tillsynsmail/A 49809-2023 tillsynsbegäran mail.docx", "A 49809-2023")</f>
        <v/>
      </c>
    </row>
    <row r="199" ht="15" customHeight="1">
      <c r="A199" t="inlineStr">
        <is>
          <t>A 65184-2023</t>
        </is>
      </c>
      <c r="B199" s="1" t="n">
        <v>45288</v>
      </c>
      <c r="C199" s="1" t="n">
        <v>45798</v>
      </c>
      <c r="D199" t="inlineStr">
        <is>
          <t>NORRBOTTENS LÄN</t>
        </is>
      </c>
      <c r="E199" t="inlineStr">
        <is>
          <t>ÖVERTORNEÅ</t>
        </is>
      </c>
      <c r="G199" t="n">
        <v>4.2</v>
      </c>
      <c r="H199" t="n">
        <v>3</v>
      </c>
      <c r="I199" t="n">
        <v>1</v>
      </c>
      <c r="J199" t="n">
        <v>5</v>
      </c>
      <c r="K199" t="n">
        <v>1</v>
      </c>
      <c r="L199" t="n">
        <v>0</v>
      </c>
      <c r="M199" t="n">
        <v>0</v>
      </c>
      <c r="N199" t="n">
        <v>0</v>
      </c>
      <c r="O199" t="n">
        <v>6</v>
      </c>
      <c r="P199" t="n">
        <v>1</v>
      </c>
      <c r="Q199" t="n">
        <v>8</v>
      </c>
      <c r="R199" s="2" t="inlineStr">
        <is>
          <t>Knärot
Garnlav
Kolflarnlav
Mörk kolflarnlav
Orange taggsvamp
Spillkråka
Dropptaggsvamp
Orre</t>
        </is>
      </c>
      <c r="S199">
        <f>HYPERLINK("https://klasma.github.io/Logging_2518/artfynd/A 65184-2023 artfynd.xlsx", "A 65184-2023")</f>
        <v/>
      </c>
      <c r="T199">
        <f>HYPERLINK("https://klasma.github.io/Logging_2518/kartor/A 65184-2023 karta.png", "A 65184-2023")</f>
        <v/>
      </c>
      <c r="U199">
        <f>HYPERLINK("https://klasma.github.io/Logging_2518/knärot/A 65184-2023 karta knärot.png", "A 65184-2023")</f>
        <v/>
      </c>
      <c r="V199">
        <f>HYPERLINK("https://klasma.github.io/Logging_2518/klagomål/A 65184-2023 FSC-klagomål.docx", "A 65184-2023")</f>
        <v/>
      </c>
      <c r="W199">
        <f>HYPERLINK("https://klasma.github.io/Logging_2518/klagomålsmail/A 65184-2023 FSC-klagomål mail.docx", "A 65184-2023")</f>
        <v/>
      </c>
      <c r="X199">
        <f>HYPERLINK("https://klasma.github.io/Logging_2518/tillsyn/A 65184-2023 tillsynsbegäran.docx", "A 65184-2023")</f>
        <v/>
      </c>
      <c r="Y199">
        <f>HYPERLINK("https://klasma.github.io/Logging_2518/tillsynsmail/A 65184-2023 tillsynsbegäran mail.docx", "A 65184-2023")</f>
        <v/>
      </c>
      <c r="Z199">
        <f>HYPERLINK("https://klasma.github.io/Logging_2518/fåglar/A 65184-2023 prioriterade fågelarter.docx", "A 65184-2023")</f>
        <v/>
      </c>
    </row>
    <row r="200" ht="15" customHeight="1">
      <c r="A200" t="inlineStr">
        <is>
          <t>A 857-2024</t>
        </is>
      </c>
      <c r="B200" s="1" t="n">
        <v>45300</v>
      </c>
      <c r="C200" s="1" t="n">
        <v>45798</v>
      </c>
      <c r="D200" t="inlineStr">
        <is>
          <t>NORRBOTTENS LÄN</t>
        </is>
      </c>
      <c r="E200" t="inlineStr">
        <is>
          <t>ÖVERTORNEÅ</t>
        </is>
      </c>
      <c r="G200" t="n">
        <v>4.2</v>
      </c>
      <c r="H200" t="n">
        <v>3</v>
      </c>
      <c r="I200" t="n">
        <v>1</v>
      </c>
      <c r="J200" t="n">
        <v>5</v>
      </c>
      <c r="K200" t="n">
        <v>1</v>
      </c>
      <c r="L200" t="n">
        <v>0</v>
      </c>
      <c r="M200" t="n">
        <v>0</v>
      </c>
      <c r="N200" t="n">
        <v>0</v>
      </c>
      <c r="O200" t="n">
        <v>6</v>
      </c>
      <c r="P200" t="n">
        <v>1</v>
      </c>
      <c r="Q200" t="n">
        <v>8</v>
      </c>
      <c r="R200" s="2" t="inlineStr">
        <is>
          <t>Knärot
Garnlav
Kolflarnlav
Mörk kolflarnlav
Orange taggsvamp
Spillkråka
Dropptaggsvamp
Orre</t>
        </is>
      </c>
      <c r="S200">
        <f>HYPERLINK("https://klasma.github.io/Logging_2518/artfynd/A 857-2024 artfynd.xlsx", "A 857-2024")</f>
        <v/>
      </c>
      <c r="T200">
        <f>HYPERLINK("https://klasma.github.io/Logging_2518/kartor/A 857-2024 karta.png", "A 857-2024")</f>
        <v/>
      </c>
      <c r="U200">
        <f>HYPERLINK("https://klasma.github.io/Logging_2518/knärot/A 857-2024 karta knärot.png", "A 857-2024")</f>
        <v/>
      </c>
      <c r="V200">
        <f>HYPERLINK("https://klasma.github.io/Logging_2518/klagomål/A 857-2024 FSC-klagomål.docx", "A 857-2024")</f>
        <v/>
      </c>
      <c r="W200">
        <f>HYPERLINK("https://klasma.github.io/Logging_2518/klagomålsmail/A 857-2024 FSC-klagomål mail.docx", "A 857-2024")</f>
        <v/>
      </c>
      <c r="X200">
        <f>HYPERLINK("https://klasma.github.io/Logging_2518/tillsyn/A 857-2024 tillsynsbegäran.docx", "A 857-2024")</f>
        <v/>
      </c>
      <c r="Y200">
        <f>HYPERLINK("https://klasma.github.io/Logging_2518/tillsynsmail/A 857-2024 tillsynsbegäran mail.docx", "A 857-2024")</f>
        <v/>
      </c>
      <c r="Z200">
        <f>HYPERLINK("https://klasma.github.io/Logging_2518/fåglar/A 857-2024 prioriterade fågelarter.docx", "A 857-2024")</f>
        <v/>
      </c>
    </row>
    <row r="201" ht="15" customHeight="1">
      <c r="A201" t="inlineStr">
        <is>
          <t>A 14328-2024</t>
        </is>
      </c>
      <c r="B201" s="1" t="n">
        <v>45393</v>
      </c>
      <c r="C201" s="1" t="n">
        <v>45798</v>
      </c>
      <c r="D201" t="inlineStr">
        <is>
          <t>NORRBOTTENS LÄN</t>
        </is>
      </c>
      <c r="E201" t="inlineStr">
        <is>
          <t>LULEÅ</t>
        </is>
      </c>
      <c r="G201" t="n">
        <v>4.3</v>
      </c>
      <c r="H201" t="n">
        <v>4</v>
      </c>
      <c r="I201" t="n">
        <v>2</v>
      </c>
      <c r="J201" t="n">
        <v>3</v>
      </c>
      <c r="K201" t="n">
        <v>1</v>
      </c>
      <c r="L201" t="n">
        <v>0</v>
      </c>
      <c r="M201" t="n">
        <v>0</v>
      </c>
      <c r="N201" t="n">
        <v>0</v>
      </c>
      <c r="O201" t="n">
        <v>4</v>
      </c>
      <c r="P201" t="n">
        <v>1</v>
      </c>
      <c r="Q201" t="n">
        <v>8</v>
      </c>
      <c r="R201" s="2" t="inlineStr">
        <is>
          <t>Knärot
Garnlav
Skogshare
Spillkråka
Dropptaggsvamp
Vedticka
Kungsfågel
Revlummer</t>
        </is>
      </c>
      <c r="S201">
        <f>HYPERLINK("https://klasma.github.io/Logging_2580/artfynd/A 14328-2024 artfynd.xlsx", "A 14328-2024")</f>
        <v/>
      </c>
      <c r="T201">
        <f>HYPERLINK("https://klasma.github.io/Logging_2580/kartor/A 14328-2024 karta.png", "A 14328-2024")</f>
        <v/>
      </c>
      <c r="U201">
        <f>HYPERLINK("https://klasma.github.io/Logging_2580/knärot/A 14328-2024 karta knärot.png", "A 14328-2024")</f>
        <v/>
      </c>
      <c r="V201">
        <f>HYPERLINK("https://klasma.github.io/Logging_2580/klagomål/A 14328-2024 FSC-klagomål.docx", "A 14328-2024")</f>
        <v/>
      </c>
      <c r="W201">
        <f>HYPERLINK("https://klasma.github.io/Logging_2580/klagomålsmail/A 14328-2024 FSC-klagomål mail.docx", "A 14328-2024")</f>
        <v/>
      </c>
      <c r="X201">
        <f>HYPERLINK("https://klasma.github.io/Logging_2580/tillsyn/A 14328-2024 tillsynsbegäran.docx", "A 14328-2024")</f>
        <v/>
      </c>
      <c r="Y201">
        <f>HYPERLINK("https://klasma.github.io/Logging_2580/tillsynsmail/A 14328-2024 tillsynsbegäran mail.docx", "A 14328-2024")</f>
        <v/>
      </c>
      <c r="Z201">
        <f>HYPERLINK("https://klasma.github.io/Logging_2580/fåglar/A 14328-2024 prioriterade fågelarter.docx", "A 14328-2024")</f>
        <v/>
      </c>
    </row>
    <row r="202" ht="15" customHeight="1">
      <c r="A202" t="inlineStr">
        <is>
          <t>A 15688-2024</t>
        </is>
      </c>
      <c r="B202" s="1" t="n">
        <v>45404</v>
      </c>
      <c r="C202" s="1" t="n">
        <v>45798</v>
      </c>
      <c r="D202" t="inlineStr">
        <is>
          <t>NORRBOTTENS LÄN</t>
        </is>
      </c>
      <c r="E202" t="inlineStr">
        <is>
          <t>ARJEPLOG</t>
        </is>
      </c>
      <c r="G202" t="n">
        <v>4.1</v>
      </c>
      <c r="H202" t="n">
        <v>0</v>
      </c>
      <c r="I202" t="n">
        <v>3</v>
      </c>
      <c r="J202" t="n">
        <v>4</v>
      </c>
      <c r="K202" t="n">
        <v>1</v>
      </c>
      <c r="L202" t="n">
        <v>0</v>
      </c>
      <c r="M202" t="n">
        <v>0</v>
      </c>
      <c r="N202" t="n">
        <v>0</v>
      </c>
      <c r="O202" t="n">
        <v>5</v>
      </c>
      <c r="P202" t="n">
        <v>1</v>
      </c>
      <c r="Q202" t="n">
        <v>8</v>
      </c>
      <c r="R202" s="2" t="inlineStr">
        <is>
          <t>Gräddporing
Blågrå svartspik
Knottrig blåslav
Skrovellav
Stjärntagging
Bårdlav
Luddlav
Stuplav</t>
        </is>
      </c>
      <c r="S202">
        <f>HYPERLINK("https://klasma.github.io/Logging_2506/artfynd/A 15688-2024 artfynd.xlsx", "A 15688-2024")</f>
        <v/>
      </c>
      <c r="T202">
        <f>HYPERLINK("https://klasma.github.io/Logging_2506/kartor/A 15688-2024 karta.png", "A 15688-2024")</f>
        <v/>
      </c>
      <c r="V202">
        <f>HYPERLINK("https://klasma.github.io/Logging_2506/klagomål/A 15688-2024 FSC-klagomål.docx", "A 15688-2024")</f>
        <v/>
      </c>
      <c r="W202">
        <f>HYPERLINK("https://klasma.github.io/Logging_2506/klagomålsmail/A 15688-2024 FSC-klagomål mail.docx", "A 15688-2024")</f>
        <v/>
      </c>
      <c r="X202">
        <f>HYPERLINK("https://klasma.github.io/Logging_2506/tillsyn/A 15688-2024 tillsynsbegäran.docx", "A 15688-2024")</f>
        <v/>
      </c>
      <c r="Y202">
        <f>HYPERLINK("https://klasma.github.io/Logging_2506/tillsynsmail/A 15688-2024 tillsynsbegäran mail.docx", "A 15688-2024")</f>
        <v/>
      </c>
    </row>
    <row r="203" ht="15" customHeight="1">
      <c r="A203" t="inlineStr">
        <is>
          <t>A 25530-2024</t>
        </is>
      </c>
      <c r="B203" s="1" t="n">
        <v>45463</v>
      </c>
      <c r="C203" s="1" t="n">
        <v>45798</v>
      </c>
      <c r="D203" t="inlineStr">
        <is>
          <t>NORRBOTTENS LÄN</t>
        </is>
      </c>
      <c r="E203" t="inlineStr">
        <is>
          <t>ARVIDSJAUR</t>
        </is>
      </c>
      <c r="F203" t="inlineStr">
        <is>
          <t>Sveaskog</t>
        </is>
      </c>
      <c r="G203" t="n">
        <v>6.1</v>
      </c>
      <c r="H203" t="n">
        <v>1</v>
      </c>
      <c r="I203" t="n">
        <v>1</v>
      </c>
      <c r="J203" t="n">
        <v>7</v>
      </c>
      <c r="K203" t="n">
        <v>0</v>
      </c>
      <c r="L203" t="n">
        <v>0</v>
      </c>
      <c r="M203" t="n">
        <v>0</v>
      </c>
      <c r="N203" t="n">
        <v>0</v>
      </c>
      <c r="O203" t="n">
        <v>7</v>
      </c>
      <c r="P203" t="n">
        <v>0</v>
      </c>
      <c r="Q203" t="n">
        <v>8</v>
      </c>
      <c r="R203" s="2" t="inlineStr">
        <is>
          <t>Blågrå svartspik
Dvärgbägarlav
Garnlav
Kolflarnlav
Vedflamlav
Vedtrappmossa
Vitgrynig nållav
Plattlummer</t>
        </is>
      </c>
      <c r="S203">
        <f>HYPERLINK("https://klasma.github.io/Logging_2505/artfynd/A 25530-2024 artfynd.xlsx", "A 25530-2024")</f>
        <v/>
      </c>
      <c r="T203">
        <f>HYPERLINK("https://klasma.github.io/Logging_2505/kartor/A 25530-2024 karta.png", "A 25530-2024")</f>
        <v/>
      </c>
      <c r="V203">
        <f>HYPERLINK("https://klasma.github.io/Logging_2505/klagomål/A 25530-2024 FSC-klagomål.docx", "A 25530-2024")</f>
        <v/>
      </c>
      <c r="W203">
        <f>HYPERLINK("https://klasma.github.io/Logging_2505/klagomålsmail/A 25530-2024 FSC-klagomål mail.docx", "A 25530-2024")</f>
        <v/>
      </c>
      <c r="X203">
        <f>HYPERLINK("https://klasma.github.io/Logging_2505/tillsyn/A 25530-2024 tillsynsbegäran.docx", "A 25530-2024")</f>
        <v/>
      </c>
      <c r="Y203">
        <f>HYPERLINK("https://klasma.github.io/Logging_2505/tillsynsmail/A 25530-2024 tillsynsbegäran mail.docx", "A 25530-2024")</f>
        <v/>
      </c>
    </row>
    <row r="204" ht="15" customHeight="1">
      <c r="A204" t="inlineStr">
        <is>
          <t>A 40056-2024</t>
        </is>
      </c>
      <c r="B204" s="1" t="n">
        <v>45553</v>
      </c>
      <c r="C204" s="1" t="n">
        <v>45798</v>
      </c>
      <c r="D204" t="inlineStr">
        <is>
          <t>NORRBOTTENS LÄN</t>
        </is>
      </c>
      <c r="E204" t="inlineStr">
        <is>
          <t>PITEÅ</t>
        </is>
      </c>
      <c r="F204" t="inlineStr">
        <is>
          <t>Sveaskog</t>
        </is>
      </c>
      <c r="G204" t="n">
        <v>6.5</v>
      </c>
      <c r="H204" t="n">
        <v>2</v>
      </c>
      <c r="I204" t="n">
        <v>2</v>
      </c>
      <c r="J204" t="n">
        <v>5</v>
      </c>
      <c r="K204" t="n">
        <v>0</v>
      </c>
      <c r="L204" t="n">
        <v>0</v>
      </c>
      <c r="M204" t="n">
        <v>0</v>
      </c>
      <c r="N204" t="n">
        <v>0</v>
      </c>
      <c r="O204" t="n">
        <v>5</v>
      </c>
      <c r="P204" t="n">
        <v>0</v>
      </c>
      <c r="Q204" t="n">
        <v>8</v>
      </c>
      <c r="R204" s="2" t="inlineStr">
        <is>
          <t>Blanksvart spiklav
Dvärgbägarlav
Garnlav
Talltita
Vedflamlav
Stuplav
Vedticka
Lavskrika</t>
        </is>
      </c>
      <c r="S204">
        <f>HYPERLINK("https://klasma.github.io/Logging_2581/artfynd/A 40056-2024 artfynd.xlsx", "A 40056-2024")</f>
        <v/>
      </c>
      <c r="T204">
        <f>HYPERLINK("https://klasma.github.io/Logging_2581/kartor/A 40056-2024 karta.png", "A 40056-2024")</f>
        <v/>
      </c>
      <c r="V204">
        <f>HYPERLINK("https://klasma.github.io/Logging_2581/klagomål/A 40056-2024 FSC-klagomål.docx", "A 40056-2024")</f>
        <v/>
      </c>
      <c r="W204">
        <f>HYPERLINK("https://klasma.github.io/Logging_2581/klagomålsmail/A 40056-2024 FSC-klagomål mail.docx", "A 40056-2024")</f>
        <v/>
      </c>
      <c r="X204">
        <f>HYPERLINK("https://klasma.github.io/Logging_2581/tillsyn/A 40056-2024 tillsynsbegäran.docx", "A 40056-2024")</f>
        <v/>
      </c>
      <c r="Y204">
        <f>HYPERLINK("https://klasma.github.io/Logging_2581/tillsynsmail/A 40056-2024 tillsynsbegäran mail.docx", "A 40056-2024")</f>
        <v/>
      </c>
      <c r="Z204">
        <f>HYPERLINK("https://klasma.github.io/Logging_2581/fåglar/A 40056-2024 prioriterade fågelarter.docx", "A 40056-2024")</f>
        <v/>
      </c>
    </row>
    <row r="205" ht="15" customHeight="1">
      <c r="A205" t="inlineStr">
        <is>
          <t>A 40107-2024</t>
        </is>
      </c>
      <c r="B205" s="1" t="n">
        <v>45554</v>
      </c>
      <c r="C205" s="1" t="n">
        <v>45798</v>
      </c>
      <c r="D205" t="inlineStr">
        <is>
          <t>NORRBOTTENS LÄN</t>
        </is>
      </c>
      <c r="E205" t="inlineStr">
        <is>
          <t>ÄLVSBYN</t>
        </is>
      </c>
      <c r="G205" t="n">
        <v>6.4</v>
      </c>
      <c r="H205" t="n">
        <v>3</v>
      </c>
      <c r="I205" t="n">
        <v>1</v>
      </c>
      <c r="J205" t="n">
        <v>6</v>
      </c>
      <c r="K205" t="n">
        <v>1</v>
      </c>
      <c r="L205" t="n">
        <v>0</v>
      </c>
      <c r="M205" t="n">
        <v>0</v>
      </c>
      <c r="N205" t="n">
        <v>0</v>
      </c>
      <c r="O205" t="n">
        <v>7</v>
      </c>
      <c r="P205" t="n">
        <v>1</v>
      </c>
      <c r="Q205" t="n">
        <v>8</v>
      </c>
      <c r="R205" s="2" t="inlineStr">
        <is>
          <t>Knärot
Fjällvråk
Gammelgransskål
Garnlav
Knottrig blåslav
Spillkråka
Vitgrynig nållav
Källpraktmossa</t>
        </is>
      </c>
      <c r="S205">
        <f>HYPERLINK("https://klasma.github.io/Logging_2560/artfynd/A 40107-2024 artfynd.xlsx", "A 40107-2024")</f>
        <v/>
      </c>
      <c r="T205">
        <f>HYPERLINK("https://klasma.github.io/Logging_2560/kartor/A 40107-2024 karta.png", "A 40107-2024")</f>
        <v/>
      </c>
      <c r="U205">
        <f>HYPERLINK("https://klasma.github.io/Logging_2560/knärot/A 40107-2024 karta knärot.png", "A 40107-2024")</f>
        <v/>
      </c>
      <c r="V205">
        <f>HYPERLINK("https://klasma.github.io/Logging_2560/klagomål/A 40107-2024 FSC-klagomål.docx", "A 40107-2024")</f>
        <v/>
      </c>
      <c r="W205">
        <f>HYPERLINK("https://klasma.github.io/Logging_2560/klagomålsmail/A 40107-2024 FSC-klagomål mail.docx", "A 40107-2024")</f>
        <v/>
      </c>
      <c r="X205">
        <f>HYPERLINK("https://klasma.github.io/Logging_2560/tillsyn/A 40107-2024 tillsynsbegäran.docx", "A 40107-2024")</f>
        <v/>
      </c>
      <c r="Y205">
        <f>HYPERLINK("https://klasma.github.io/Logging_2560/tillsynsmail/A 40107-2024 tillsynsbegäran mail.docx", "A 40107-2024")</f>
        <v/>
      </c>
      <c r="Z205">
        <f>HYPERLINK("https://klasma.github.io/Logging_2560/fåglar/A 40107-2024 prioriterade fågelarter.docx", "A 40107-2024")</f>
        <v/>
      </c>
    </row>
    <row r="206" ht="15" customHeight="1">
      <c r="A206" t="inlineStr">
        <is>
          <t>A 47921-2024</t>
        </is>
      </c>
      <c r="B206" s="1" t="n">
        <v>45589</v>
      </c>
      <c r="C206" s="1" t="n">
        <v>45798</v>
      </c>
      <c r="D206" t="inlineStr">
        <is>
          <t>NORRBOTTENS LÄN</t>
        </is>
      </c>
      <c r="E206" t="inlineStr">
        <is>
          <t>BODEN</t>
        </is>
      </c>
      <c r="F206" t="inlineStr">
        <is>
          <t>Naturvårdsverket</t>
        </is>
      </c>
      <c r="G206" t="n">
        <v>16.8</v>
      </c>
      <c r="H206" t="n">
        <v>5</v>
      </c>
      <c r="I206" t="n">
        <v>3</v>
      </c>
      <c r="J206" t="n">
        <v>3</v>
      </c>
      <c r="K206" t="n">
        <v>1</v>
      </c>
      <c r="L206" t="n">
        <v>0</v>
      </c>
      <c r="M206" t="n">
        <v>0</v>
      </c>
      <c r="N206" t="n">
        <v>0</v>
      </c>
      <c r="O206" t="n">
        <v>4</v>
      </c>
      <c r="P206" t="n">
        <v>1</v>
      </c>
      <c r="Q206" t="n">
        <v>8</v>
      </c>
      <c r="R206" s="2" t="inlineStr">
        <is>
          <t>Doftticka
Gammelgransskål
Garnlav
Spillkråka
Plattlummer
Spindelblomster
Stuplav
Fläcknycklar</t>
        </is>
      </c>
      <c r="S206">
        <f>HYPERLINK("https://klasma.github.io/Logging_2582/artfynd/A 47921-2024 artfynd.xlsx", "A 47921-2024")</f>
        <v/>
      </c>
      <c r="T206">
        <f>HYPERLINK("https://klasma.github.io/Logging_2582/kartor/A 47921-2024 karta.png", "A 47921-2024")</f>
        <v/>
      </c>
      <c r="V206">
        <f>HYPERLINK("https://klasma.github.io/Logging_2582/klagomål/A 47921-2024 FSC-klagomål.docx", "A 47921-2024")</f>
        <v/>
      </c>
      <c r="W206">
        <f>HYPERLINK("https://klasma.github.io/Logging_2582/klagomålsmail/A 47921-2024 FSC-klagomål mail.docx", "A 47921-2024")</f>
        <v/>
      </c>
      <c r="X206">
        <f>HYPERLINK("https://klasma.github.io/Logging_2582/tillsyn/A 47921-2024 tillsynsbegäran.docx", "A 47921-2024")</f>
        <v/>
      </c>
      <c r="Y206">
        <f>HYPERLINK("https://klasma.github.io/Logging_2582/tillsynsmail/A 47921-2024 tillsynsbegäran mail.docx", "A 47921-2024")</f>
        <v/>
      </c>
      <c r="Z206">
        <f>HYPERLINK("https://klasma.github.io/Logging_2582/fåglar/A 47921-2024 prioriterade fågelarter.docx", "A 47921-2024")</f>
        <v/>
      </c>
    </row>
    <row r="207" ht="15" customHeight="1">
      <c r="A207" t="inlineStr">
        <is>
          <t>A 60484-2024</t>
        </is>
      </c>
      <c r="B207" s="1" t="n">
        <v>45643</v>
      </c>
      <c r="C207" s="1" t="n">
        <v>45798</v>
      </c>
      <c r="D207" t="inlineStr">
        <is>
          <t>NORRBOTTENS LÄN</t>
        </is>
      </c>
      <c r="E207" t="inlineStr">
        <is>
          <t>ÖVERTORNEÅ</t>
        </is>
      </c>
      <c r="G207" t="n">
        <v>12.7</v>
      </c>
      <c r="H207" t="n">
        <v>0</v>
      </c>
      <c r="I207" t="n">
        <v>2</v>
      </c>
      <c r="J207" t="n">
        <v>5</v>
      </c>
      <c r="K207" t="n">
        <v>1</v>
      </c>
      <c r="L207" t="n">
        <v>0</v>
      </c>
      <c r="M207" t="n">
        <v>0</v>
      </c>
      <c r="N207" t="n">
        <v>0</v>
      </c>
      <c r="O207" t="n">
        <v>6</v>
      </c>
      <c r="P207" t="n">
        <v>1</v>
      </c>
      <c r="Q207" t="n">
        <v>8</v>
      </c>
      <c r="R207" s="2" t="inlineStr">
        <is>
          <t>Gräddporing
Garnlav
Kolflarnlav
Mörk kolflarnlav
Nordtagging
Vitplätt
Dropptaggsvamp
Skinnlav</t>
        </is>
      </c>
      <c r="S207">
        <f>HYPERLINK("https://klasma.github.io/Logging_2518/artfynd/A 60484-2024 artfynd.xlsx", "A 60484-2024")</f>
        <v/>
      </c>
      <c r="T207">
        <f>HYPERLINK("https://klasma.github.io/Logging_2518/kartor/A 60484-2024 karta.png", "A 60484-2024")</f>
        <v/>
      </c>
      <c r="U207">
        <f>HYPERLINK("https://klasma.github.io/Logging_2518/knärot/A 60484-2024 karta knärot.png", "A 60484-2024")</f>
        <v/>
      </c>
      <c r="V207">
        <f>HYPERLINK("https://klasma.github.io/Logging_2518/klagomål/A 60484-2024 FSC-klagomål.docx", "A 60484-2024")</f>
        <v/>
      </c>
      <c r="W207">
        <f>HYPERLINK("https://klasma.github.io/Logging_2518/klagomålsmail/A 60484-2024 FSC-klagomål mail.docx", "A 60484-2024")</f>
        <v/>
      </c>
      <c r="X207">
        <f>HYPERLINK("https://klasma.github.io/Logging_2518/tillsyn/A 60484-2024 tillsynsbegäran.docx", "A 60484-2024")</f>
        <v/>
      </c>
      <c r="Y207">
        <f>HYPERLINK("https://klasma.github.io/Logging_2518/tillsynsmail/A 60484-2024 tillsynsbegäran mail.docx", "A 60484-2024")</f>
        <v/>
      </c>
    </row>
    <row r="208" ht="15" customHeight="1">
      <c r="A208" t="inlineStr">
        <is>
          <t>A 2930-2025</t>
        </is>
      </c>
      <c r="B208" s="1" t="n">
        <v>45678</v>
      </c>
      <c r="C208" s="1" t="n">
        <v>45798</v>
      </c>
      <c r="D208" t="inlineStr">
        <is>
          <t>NORRBOTTENS LÄN</t>
        </is>
      </c>
      <c r="E208" t="inlineStr">
        <is>
          <t>BODEN</t>
        </is>
      </c>
      <c r="F208" t="inlineStr">
        <is>
          <t>SCA</t>
        </is>
      </c>
      <c r="G208" t="n">
        <v>5.6</v>
      </c>
      <c r="H208" t="n">
        <v>2</v>
      </c>
      <c r="I208" t="n">
        <v>1</v>
      </c>
      <c r="J208" t="n">
        <v>7</v>
      </c>
      <c r="K208" t="n">
        <v>0</v>
      </c>
      <c r="L208" t="n">
        <v>0</v>
      </c>
      <c r="M208" t="n">
        <v>0</v>
      </c>
      <c r="N208" t="n">
        <v>0</v>
      </c>
      <c r="O208" t="n">
        <v>7</v>
      </c>
      <c r="P208" t="n">
        <v>0</v>
      </c>
      <c r="Q208" t="n">
        <v>8</v>
      </c>
      <c r="R208" s="2" t="inlineStr">
        <is>
          <t>Garnlav
Granticka
Harticka
Järpe
Skrovlig taggsvamp
Tretåig hackspett
Ullticka
Dropptaggsvamp</t>
        </is>
      </c>
      <c r="S208">
        <f>HYPERLINK("https://klasma.github.io/Logging_2582/artfynd/A 2930-2025 artfynd.xlsx", "A 2930-2025")</f>
        <v/>
      </c>
      <c r="T208">
        <f>HYPERLINK("https://klasma.github.io/Logging_2582/kartor/A 2930-2025 karta.png", "A 2930-2025")</f>
        <v/>
      </c>
      <c r="V208">
        <f>HYPERLINK("https://klasma.github.io/Logging_2582/klagomål/A 2930-2025 FSC-klagomål.docx", "A 2930-2025")</f>
        <v/>
      </c>
      <c r="W208">
        <f>HYPERLINK("https://klasma.github.io/Logging_2582/klagomålsmail/A 2930-2025 FSC-klagomål mail.docx", "A 2930-2025")</f>
        <v/>
      </c>
      <c r="X208">
        <f>HYPERLINK("https://klasma.github.io/Logging_2582/tillsyn/A 2930-2025 tillsynsbegäran.docx", "A 2930-2025")</f>
        <v/>
      </c>
      <c r="Y208">
        <f>HYPERLINK("https://klasma.github.io/Logging_2582/tillsynsmail/A 2930-2025 tillsynsbegäran mail.docx", "A 2930-2025")</f>
        <v/>
      </c>
      <c r="Z208">
        <f>HYPERLINK("https://klasma.github.io/Logging_2582/fåglar/A 2930-2025 prioriterade fågelarter.docx", "A 2930-2025")</f>
        <v/>
      </c>
    </row>
    <row r="209" ht="15" customHeight="1">
      <c r="A209" t="inlineStr">
        <is>
          <t>A 9923-2025</t>
        </is>
      </c>
      <c r="B209" s="1" t="n">
        <v>45717</v>
      </c>
      <c r="C209" s="1" t="n">
        <v>45798</v>
      </c>
      <c r="D209" t="inlineStr">
        <is>
          <t>NORRBOTTENS LÄN</t>
        </is>
      </c>
      <c r="E209" t="inlineStr">
        <is>
          <t>ÖVERTORNEÅ</t>
        </is>
      </c>
      <c r="G209" t="n">
        <v>18.6</v>
      </c>
      <c r="H209" t="n">
        <v>2</v>
      </c>
      <c r="I209" t="n">
        <v>3</v>
      </c>
      <c r="J209" t="n">
        <v>5</v>
      </c>
      <c r="K209" t="n">
        <v>0</v>
      </c>
      <c r="L209" t="n">
        <v>0</v>
      </c>
      <c r="M209" t="n">
        <v>0</v>
      </c>
      <c r="N209" t="n">
        <v>0</v>
      </c>
      <c r="O209" t="n">
        <v>5</v>
      </c>
      <c r="P209" t="n">
        <v>0</v>
      </c>
      <c r="Q209" t="n">
        <v>8</v>
      </c>
      <c r="R209" s="2" t="inlineStr">
        <is>
          <t>Garnlav
Kolflarnlav
Spillkråka
Tallticka
Tretåig hackspett
Skinnlav
Stor aspticka
Stuplav</t>
        </is>
      </c>
      <c r="S209">
        <f>HYPERLINK("https://klasma.github.io/Logging_252518/artfynd/A 9923-2025 artfynd.xlsx", "A 9923-2025")</f>
        <v/>
      </c>
      <c r="T209">
        <f>HYPERLINK("https://klasma.github.io/Logging_252518/kartor/A 9923-2025 karta.png", "A 9923-2025")</f>
        <v/>
      </c>
      <c r="V209">
        <f>HYPERLINK("https://klasma.github.io/Logging_252518/klagomål/A 9923-2025 FSC-klagomål.docx", "A 9923-2025")</f>
        <v/>
      </c>
      <c r="W209">
        <f>HYPERLINK("https://klasma.github.io/Logging_252518/klagomålsmail/A 9923-2025 FSC-klagomål mail.docx", "A 9923-2025")</f>
        <v/>
      </c>
      <c r="X209">
        <f>HYPERLINK("https://klasma.github.io/Logging_252518/tillsyn/A 9923-2025 tillsynsbegäran.docx", "A 9923-2025")</f>
        <v/>
      </c>
      <c r="Y209">
        <f>HYPERLINK("https://klasma.github.io/Logging_252518/tillsynsmail/A 9923-2025 tillsynsbegäran mail.docx", "A 9923-2025")</f>
        <v/>
      </c>
      <c r="Z209">
        <f>HYPERLINK("https://klasma.github.io/Logging_252518/fåglar/A 9923-2025 prioriterade fågelarter.docx", "A 9923-2025")</f>
        <v/>
      </c>
    </row>
    <row r="210" ht="15" customHeight="1">
      <c r="A210" t="inlineStr">
        <is>
          <t>A 18548-2025</t>
        </is>
      </c>
      <c r="B210" s="1" t="n">
        <v>45763</v>
      </c>
      <c r="C210" s="1" t="n">
        <v>45798</v>
      </c>
      <c r="D210" t="inlineStr">
        <is>
          <t>NORRBOTTENS LÄN</t>
        </is>
      </c>
      <c r="E210" t="inlineStr">
        <is>
          <t>BODEN</t>
        </is>
      </c>
      <c r="F210" t="inlineStr">
        <is>
          <t>Sveaskog</t>
        </is>
      </c>
      <c r="G210" t="n">
        <v>24.6</v>
      </c>
      <c r="H210" t="n">
        <v>0</v>
      </c>
      <c r="I210" t="n">
        <v>2</v>
      </c>
      <c r="J210" t="n">
        <v>5</v>
      </c>
      <c r="K210" t="n">
        <v>1</v>
      </c>
      <c r="L210" t="n">
        <v>0</v>
      </c>
      <c r="M210" t="n">
        <v>0</v>
      </c>
      <c r="N210" t="n">
        <v>0</v>
      </c>
      <c r="O210" t="n">
        <v>6</v>
      </c>
      <c r="P210" t="n">
        <v>1</v>
      </c>
      <c r="Q210" t="n">
        <v>8</v>
      </c>
      <c r="R210" s="2" t="inlineStr">
        <is>
          <t>Gräddporing
Dvärgbägarlav
Kolflarnlav
Rosenticka
Ullticka
Vedskivlav
Bronshjon
Dropptaggsvamp</t>
        </is>
      </c>
      <c r="S210">
        <f>HYPERLINK("https://klasma.github.io/Logging_252582/artfynd/A 18548-2025 artfynd.xlsx", "A 18548-2025")</f>
        <v/>
      </c>
      <c r="T210">
        <f>HYPERLINK("https://klasma.github.io/Logging_252582/kartor/A 18548-2025 karta.png", "A 18548-2025")</f>
        <v/>
      </c>
      <c r="V210">
        <f>HYPERLINK("https://klasma.github.io/Logging_252582/klagomål/A 18548-2025 FSC-klagomål.docx", "A 18548-2025")</f>
        <v/>
      </c>
      <c r="W210">
        <f>HYPERLINK("https://klasma.github.io/Logging_252582/klagomålsmail/A 18548-2025 FSC-klagomål mail.docx", "A 18548-2025")</f>
        <v/>
      </c>
      <c r="X210">
        <f>HYPERLINK("https://klasma.github.io/Logging_252582/tillsyn/A 18548-2025 tillsynsbegäran.docx", "A 18548-2025")</f>
        <v/>
      </c>
      <c r="Y210">
        <f>HYPERLINK("https://klasma.github.io/Logging_252582/tillsynsmail/A 18548-2025 tillsynsbegäran mail.docx", "A 18548-2025")</f>
        <v/>
      </c>
    </row>
    <row r="211" ht="15" customHeight="1">
      <c r="A211" t="inlineStr">
        <is>
          <t>A 19496-2025</t>
        </is>
      </c>
      <c r="B211" s="1" t="n">
        <v>45770</v>
      </c>
      <c r="C211" s="1" t="n">
        <v>45798</v>
      </c>
      <c r="D211" t="inlineStr">
        <is>
          <t>NORRBOTTENS LÄN</t>
        </is>
      </c>
      <c r="E211" t="inlineStr">
        <is>
          <t>LULEÅ</t>
        </is>
      </c>
      <c r="G211" t="n">
        <v>5.6</v>
      </c>
      <c r="H211" t="n">
        <v>0</v>
      </c>
      <c r="I211" t="n">
        <v>2</v>
      </c>
      <c r="J211" t="n">
        <v>4</v>
      </c>
      <c r="K211" t="n">
        <v>2</v>
      </c>
      <c r="L211" t="n">
        <v>0</v>
      </c>
      <c r="M211" t="n">
        <v>0</v>
      </c>
      <c r="N211" t="n">
        <v>0</v>
      </c>
      <c r="O211" t="n">
        <v>6</v>
      </c>
      <c r="P211" t="n">
        <v>2</v>
      </c>
      <c r="Q211" t="n">
        <v>8</v>
      </c>
      <c r="R211" s="2" t="inlineStr">
        <is>
          <t>Goliatmusseron
Lakritsmusseron
Blå taggsvamp
Mospindling
Orange taggsvamp
Vaxspindling
Dropptaggsvamp
Skarp dropptaggsvamp</t>
        </is>
      </c>
      <c r="S211">
        <f>HYPERLINK("https://klasma.github.io/Logging_252580/artfynd/A 19496-2025 artfynd.xlsx", "A 19496-2025")</f>
        <v/>
      </c>
      <c r="T211">
        <f>HYPERLINK("https://klasma.github.io/Logging_252580/kartor/A 19496-2025 karta.png", "A 19496-2025")</f>
        <v/>
      </c>
      <c r="V211">
        <f>HYPERLINK("https://klasma.github.io/Logging_252580/klagomål/A 19496-2025 FSC-klagomål.docx", "A 19496-2025")</f>
        <v/>
      </c>
      <c r="W211">
        <f>HYPERLINK("https://klasma.github.io/Logging_252580/klagomålsmail/A 19496-2025 FSC-klagomål mail.docx", "A 19496-2025")</f>
        <v/>
      </c>
      <c r="X211">
        <f>HYPERLINK("https://klasma.github.io/Logging_252580/tillsyn/A 19496-2025 tillsynsbegäran.docx", "A 19496-2025")</f>
        <v/>
      </c>
      <c r="Y211">
        <f>HYPERLINK("https://klasma.github.io/Logging_252580/tillsynsmail/A 19496-2025 tillsynsbegäran mail.docx", "A 19496-2025")</f>
        <v/>
      </c>
    </row>
    <row r="212" ht="15" customHeight="1">
      <c r="A212" t="inlineStr">
        <is>
          <t>A 52664-2019</t>
        </is>
      </c>
      <c r="B212" s="1" t="n">
        <v>43738</v>
      </c>
      <c r="C212" s="1" t="n">
        <v>45798</v>
      </c>
      <c r="D212" t="inlineStr">
        <is>
          <t>NORRBOTTENS LÄN</t>
        </is>
      </c>
      <c r="E212" t="inlineStr">
        <is>
          <t>KIRUNA</t>
        </is>
      </c>
      <c r="G212" t="n">
        <v>20.8</v>
      </c>
      <c r="H212" t="n">
        <v>1</v>
      </c>
      <c r="I212" t="n">
        <v>0</v>
      </c>
      <c r="J212" t="n">
        <v>3</v>
      </c>
      <c r="K212" t="n">
        <v>4</v>
      </c>
      <c r="L212" t="n">
        <v>0</v>
      </c>
      <c r="M212" t="n">
        <v>0</v>
      </c>
      <c r="N212" t="n">
        <v>0</v>
      </c>
      <c r="O212" t="n">
        <v>7</v>
      </c>
      <c r="P212" t="n">
        <v>4</v>
      </c>
      <c r="Q212" t="n">
        <v>7</v>
      </c>
      <c r="R212" s="2" t="inlineStr">
        <is>
          <t>Gräddporing
Lateritticka
Liten sotlav
Smalfotad taggsvamp
Dvärgbägarlav
Nordtagging
Tretåig hackspett</t>
        </is>
      </c>
      <c r="S212">
        <f>HYPERLINK("https://klasma.github.io/Logging_2584/artfynd/A 52664-2019 artfynd.xlsx", "A 52664-2019")</f>
        <v/>
      </c>
      <c r="T212">
        <f>HYPERLINK("https://klasma.github.io/Logging_2584/kartor/A 52664-2019 karta.png", "A 52664-2019")</f>
        <v/>
      </c>
      <c r="V212">
        <f>HYPERLINK("https://klasma.github.io/Logging_2584/klagomål/A 52664-2019 FSC-klagomål.docx", "A 52664-2019")</f>
        <v/>
      </c>
      <c r="W212">
        <f>HYPERLINK("https://klasma.github.io/Logging_2584/klagomålsmail/A 52664-2019 FSC-klagomål mail.docx", "A 52664-2019")</f>
        <v/>
      </c>
      <c r="X212">
        <f>HYPERLINK("https://klasma.github.io/Logging_2584/tillsyn/A 52664-2019 tillsynsbegäran.docx", "A 52664-2019")</f>
        <v/>
      </c>
      <c r="Y212">
        <f>HYPERLINK("https://klasma.github.io/Logging_2584/tillsynsmail/A 52664-2019 tillsynsbegäran mail.docx", "A 52664-2019")</f>
        <v/>
      </c>
      <c r="Z212">
        <f>HYPERLINK("https://klasma.github.io/Logging_2584/fåglar/A 52664-2019 prioriterade fågelarter.docx", "A 52664-2019")</f>
        <v/>
      </c>
    </row>
    <row r="213" ht="15" customHeight="1">
      <c r="A213" t="inlineStr">
        <is>
          <t>A 6934-2020</t>
        </is>
      </c>
      <c r="B213" s="1" t="n">
        <v>43867</v>
      </c>
      <c r="C213" s="1" t="n">
        <v>45798</v>
      </c>
      <c r="D213" t="inlineStr">
        <is>
          <t>NORRBOTTENS LÄN</t>
        </is>
      </c>
      <c r="E213" t="inlineStr">
        <is>
          <t>KIRUNA</t>
        </is>
      </c>
      <c r="F213" t="inlineStr">
        <is>
          <t>Sveaskog</t>
        </is>
      </c>
      <c r="G213" t="n">
        <v>17.1</v>
      </c>
      <c r="H213" t="n">
        <v>0</v>
      </c>
      <c r="I213" t="n">
        <v>0</v>
      </c>
      <c r="J213" t="n">
        <v>5</v>
      </c>
      <c r="K213" t="n">
        <v>2</v>
      </c>
      <c r="L213" t="n">
        <v>0</v>
      </c>
      <c r="M213" t="n">
        <v>0</v>
      </c>
      <c r="N213" t="n">
        <v>0</v>
      </c>
      <c r="O213" t="n">
        <v>7</v>
      </c>
      <c r="P213" t="n">
        <v>2</v>
      </c>
      <c r="Q213" t="n">
        <v>7</v>
      </c>
      <c r="R213" s="2" t="inlineStr">
        <is>
          <t>Ostticka
Rynkskinn
Granticka
Harticka
Knottrig blåslav
Rosenticka
Ullticka</t>
        </is>
      </c>
      <c r="S213">
        <f>HYPERLINK("https://klasma.github.io/Logging_2584/artfynd/A 6934-2020 artfynd.xlsx", "A 6934-2020")</f>
        <v/>
      </c>
      <c r="T213">
        <f>HYPERLINK("https://klasma.github.io/Logging_2584/kartor/A 6934-2020 karta.png", "A 6934-2020")</f>
        <v/>
      </c>
      <c r="V213">
        <f>HYPERLINK("https://klasma.github.io/Logging_2584/klagomål/A 6934-2020 FSC-klagomål.docx", "A 6934-2020")</f>
        <v/>
      </c>
      <c r="W213">
        <f>HYPERLINK("https://klasma.github.io/Logging_2584/klagomålsmail/A 6934-2020 FSC-klagomål mail.docx", "A 6934-2020")</f>
        <v/>
      </c>
      <c r="X213">
        <f>HYPERLINK("https://klasma.github.io/Logging_2584/tillsyn/A 6934-2020 tillsynsbegäran.docx", "A 6934-2020")</f>
        <v/>
      </c>
      <c r="Y213">
        <f>HYPERLINK("https://klasma.github.io/Logging_2584/tillsynsmail/A 6934-2020 tillsynsbegäran mail.docx", "A 6934-2020")</f>
        <v/>
      </c>
    </row>
    <row r="214" ht="15" customHeight="1">
      <c r="A214" t="inlineStr">
        <is>
          <t>A 43738-2020</t>
        </is>
      </c>
      <c r="B214" s="1" t="n">
        <v>44082</v>
      </c>
      <c r="C214" s="1" t="n">
        <v>45798</v>
      </c>
      <c r="D214" t="inlineStr">
        <is>
          <t>NORRBOTTENS LÄN</t>
        </is>
      </c>
      <c r="E214" t="inlineStr">
        <is>
          <t>BODEN</t>
        </is>
      </c>
      <c r="F214" t="inlineStr">
        <is>
          <t>Sveaskog</t>
        </is>
      </c>
      <c r="G214" t="n">
        <v>4.7</v>
      </c>
      <c r="H214" t="n">
        <v>0</v>
      </c>
      <c r="I214" t="n">
        <v>4</v>
      </c>
      <c r="J214" t="n">
        <v>3</v>
      </c>
      <c r="K214" t="n">
        <v>0</v>
      </c>
      <c r="L214" t="n">
        <v>0</v>
      </c>
      <c r="M214" t="n">
        <v>0</v>
      </c>
      <c r="N214" t="n">
        <v>0</v>
      </c>
      <c r="O214" t="n">
        <v>3</v>
      </c>
      <c r="P214" t="n">
        <v>0</v>
      </c>
      <c r="Q214" t="n">
        <v>7</v>
      </c>
      <c r="R214" s="2" t="inlineStr">
        <is>
          <t>Gammelgransskål
Garnlav
Lunglav
Luddlav
Skinnlav
Stor revmossa
Stuplav</t>
        </is>
      </c>
      <c r="S214">
        <f>HYPERLINK("https://klasma.github.io/Logging_2582/artfynd/A 43738-2020 artfynd.xlsx", "A 43738-2020")</f>
        <v/>
      </c>
      <c r="T214">
        <f>HYPERLINK("https://klasma.github.io/Logging_2582/kartor/A 43738-2020 karta.png", "A 43738-2020")</f>
        <v/>
      </c>
      <c r="V214">
        <f>HYPERLINK("https://klasma.github.io/Logging_2582/klagomål/A 43738-2020 FSC-klagomål.docx", "A 43738-2020")</f>
        <v/>
      </c>
      <c r="W214">
        <f>HYPERLINK("https://klasma.github.io/Logging_2582/klagomålsmail/A 43738-2020 FSC-klagomål mail.docx", "A 43738-2020")</f>
        <v/>
      </c>
      <c r="X214">
        <f>HYPERLINK("https://klasma.github.io/Logging_2582/tillsyn/A 43738-2020 tillsynsbegäran.docx", "A 43738-2020")</f>
        <v/>
      </c>
      <c r="Y214">
        <f>HYPERLINK("https://klasma.github.io/Logging_2582/tillsynsmail/A 43738-2020 tillsynsbegäran mail.docx", "A 43738-2020")</f>
        <v/>
      </c>
    </row>
    <row r="215" ht="15" customHeight="1">
      <c r="A215" t="inlineStr">
        <is>
          <t>A 51520-2020</t>
        </is>
      </c>
      <c r="B215" s="1" t="n">
        <v>44109</v>
      </c>
      <c r="C215" s="1" t="n">
        <v>45798</v>
      </c>
      <c r="D215" t="inlineStr">
        <is>
          <t>NORRBOTTENS LÄN</t>
        </is>
      </c>
      <c r="E215" t="inlineStr">
        <is>
          <t>JOKKMOKK</t>
        </is>
      </c>
      <c r="F215" t="inlineStr">
        <is>
          <t>Allmännings- och besparingsskogar</t>
        </is>
      </c>
      <c r="G215" t="n">
        <v>30.5</v>
      </c>
      <c r="H215" t="n">
        <v>1</v>
      </c>
      <c r="I215" t="n">
        <v>1</v>
      </c>
      <c r="J215" t="n">
        <v>5</v>
      </c>
      <c r="K215" t="n">
        <v>1</v>
      </c>
      <c r="L215" t="n">
        <v>0</v>
      </c>
      <c r="M215" t="n">
        <v>0</v>
      </c>
      <c r="N215" t="n">
        <v>0</v>
      </c>
      <c r="O215" t="n">
        <v>6</v>
      </c>
      <c r="P215" t="n">
        <v>1</v>
      </c>
      <c r="Q215" t="n">
        <v>7</v>
      </c>
      <c r="R215" s="2" t="inlineStr">
        <is>
          <t>Mörk blåslav
Dvärgbägarlav
Gammelgransskål
Granticka
Tretåig hackspett
Ullticka
Skinnlav</t>
        </is>
      </c>
      <c r="S215">
        <f>HYPERLINK("https://klasma.github.io/Logging_2510/artfynd/A 51520-2020 artfynd.xlsx", "A 51520-2020")</f>
        <v/>
      </c>
      <c r="T215">
        <f>HYPERLINK("https://klasma.github.io/Logging_2510/kartor/A 51520-2020 karta.png", "A 51520-2020")</f>
        <v/>
      </c>
      <c r="V215">
        <f>HYPERLINK("https://klasma.github.io/Logging_2510/klagomål/A 51520-2020 FSC-klagomål.docx", "A 51520-2020")</f>
        <v/>
      </c>
      <c r="W215">
        <f>HYPERLINK("https://klasma.github.io/Logging_2510/klagomålsmail/A 51520-2020 FSC-klagomål mail.docx", "A 51520-2020")</f>
        <v/>
      </c>
      <c r="X215">
        <f>HYPERLINK("https://klasma.github.io/Logging_2510/tillsyn/A 51520-2020 tillsynsbegäran.docx", "A 51520-2020")</f>
        <v/>
      </c>
      <c r="Y215">
        <f>HYPERLINK("https://klasma.github.io/Logging_2510/tillsynsmail/A 51520-2020 tillsynsbegäran mail.docx", "A 51520-2020")</f>
        <v/>
      </c>
      <c r="Z215">
        <f>HYPERLINK("https://klasma.github.io/Logging_2510/fåglar/A 51520-2020 prioriterade fågelarter.docx", "A 51520-2020")</f>
        <v/>
      </c>
    </row>
    <row r="216" ht="15" customHeight="1">
      <c r="A216" t="inlineStr">
        <is>
          <t>A 65342-2020</t>
        </is>
      </c>
      <c r="B216" s="1" t="n">
        <v>44173</v>
      </c>
      <c r="C216" s="1" t="n">
        <v>45798</v>
      </c>
      <c r="D216" t="inlineStr">
        <is>
          <t>NORRBOTTENS LÄN</t>
        </is>
      </c>
      <c r="E216" t="inlineStr">
        <is>
          <t>JOKKMOKK</t>
        </is>
      </c>
      <c r="F216" t="inlineStr">
        <is>
          <t>Sveaskog</t>
        </is>
      </c>
      <c r="G216" t="n">
        <v>6.5</v>
      </c>
      <c r="H216" t="n">
        <v>2</v>
      </c>
      <c r="I216" t="n">
        <v>1</v>
      </c>
      <c r="J216" t="n">
        <v>6</v>
      </c>
      <c r="K216" t="n">
        <v>0</v>
      </c>
      <c r="L216" t="n">
        <v>0</v>
      </c>
      <c r="M216" t="n">
        <v>0</v>
      </c>
      <c r="N216" t="n">
        <v>0</v>
      </c>
      <c r="O216" t="n">
        <v>6</v>
      </c>
      <c r="P216" t="n">
        <v>0</v>
      </c>
      <c r="Q216" t="n">
        <v>7</v>
      </c>
      <c r="R216" s="2" t="inlineStr">
        <is>
          <t>Blågrå svartspik
Dvärgbägarlav
Gränsticka
Mörk kolflarnlav
Spillkråka
Vedskivlav
Plattlummer</t>
        </is>
      </c>
      <c r="S216">
        <f>HYPERLINK("https://klasma.github.io/Logging_2510/artfynd/A 65342-2020 artfynd.xlsx", "A 65342-2020")</f>
        <v/>
      </c>
      <c r="T216">
        <f>HYPERLINK("https://klasma.github.io/Logging_2510/kartor/A 65342-2020 karta.png", "A 65342-2020")</f>
        <v/>
      </c>
      <c r="V216">
        <f>HYPERLINK("https://klasma.github.io/Logging_2510/klagomål/A 65342-2020 FSC-klagomål.docx", "A 65342-2020")</f>
        <v/>
      </c>
      <c r="W216">
        <f>HYPERLINK("https://klasma.github.io/Logging_2510/klagomålsmail/A 65342-2020 FSC-klagomål mail.docx", "A 65342-2020")</f>
        <v/>
      </c>
      <c r="X216">
        <f>HYPERLINK("https://klasma.github.io/Logging_2510/tillsyn/A 65342-2020 tillsynsbegäran.docx", "A 65342-2020")</f>
        <v/>
      </c>
      <c r="Y216">
        <f>HYPERLINK("https://klasma.github.io/Logging_2510/tillsynsmail/A 65342-2020 tillsynsbegäran mail.docx", "A 65342-2020")</f>
        <v/>
      </c>
      <c r="Z216">
        <f>HYPERLINK("https://klasma.github.io/Logging_2510/fåglar/A 65342-2020 prioriterade fågelarter.docx", "A 65342-2020")</f>
        <v/>
      </c>
    </row>
    <row r="217" ht="15" customHeight="1">
      <c r="A217" t="inlineStr">
        <is>
          <t>A 14706-2021</t>
        </is>
      </c>
      <c r="B217" s="1" t="n">
        <v>44280</v>
      </c>
      <c r="C217" s="1" t="n">
        <v>45798</v>
      </c>
      <c r="D217" t="inlineStr">
        <is>
          <t>NORRBOTTENS LÄN</t>
        </is>
      </c>
      <c r="E217" t="inlineStr">
        <is>
          <t>LULEÅ</t>
        </is>
      </c>
      <c r="G217" t="n">
        <v>6.6</v>
      </c>
      <c r="H217" t="n">
        <v>1</v>
      </c>
      <c r="I217" t="n">
        <v>2</v>
      </c>
      <c r="J217" t="n">
        <v>4</v>
      </c>
      <c r="K217" t="n">
        <v>1</v>
      </c>
      <c r="L217" t="n">
        <v>0</v>
      </c>
      <c r="M217" t="n">
        <v>0</v>
      </c>
      <c r="N217" t="n">
        <v>0</v>
      </c>
      <c r="O217" t="n">
        <v>5</v>
      </c>
      <c r="P217" t="n">
        <v>1</v>
      </c>
      <c r="Q217" t="n">
        <v>7</v>
      </c>
      <c r="R217" s="2" t="inlineStr">
        <is>
          <t>Tallgråticka
Havsörn
Motaggsvamp
Skrovlig taggsvamp
Talltaggsvamp
Dropptaggsvamp
Skarp dropptaggsvamp</t>
        </is>
      </c>
      <c r="S217">
        <f>HYPERLINK("https://klasma.github.io/Logging_2580/artfynd/A 14706-2021 artfynd.xlsx", "A 14706-2021")</f>
        <v/>
      </c>
      <c r="T217">
        <f>HYPERLINK("https://klasma.github.io/Logging_2580/kartor/A 14706-2021 karta.png", "A 14706-2021")</f>
        <v/>
      </c>
      <c r="V217">
        <f>HYPERLINK("https://klasma.github.io/Logging_2580/klagomål/A 14706-2021 FSC-klagomål.docx", "A 14706-2021")</f>
        <v/>
      </c>
      <c r="W217">
        <f>HYPERLINK("https://klasma.github.io/Logging_2580/klagomålsmail/A 14706-2021 FSC-klagomål mail.docx", "A 14706-2021")</f>
        <v/>
      </c>
      <c r="X217">
        <f>HYPERLINK("https://klasma.github.io/Logging_2580/tillsyn/A 14706-2021 tillsynsbegäran.docx", "A 14706-2021")</f>
        <v/>
      </c>
      <c r="Y217">
        <f>HYPERLINK("https://klasma.github.io/Logging_2580/tillsynsmail/A 14706-2021 tillsynsbegäran mail.docx", "A 14706-2021")</f>
        <v/>
      </c>
      <c r="Z217">
        <f>HYPERLINK("https://klasma.github.io/Logging_2580/fåglar/A 14706-2021 prioriterade fågelarter.docx", "A 14706-2021")</f>
        <v/>
      </c>
    </row>
    <row r="218" ht="15" customHeight="1">
      <c r="A218" t="inlineStr">
        <is>
          <t>A 50444-2021</t>
        </is>
      </c>
      <c r="B218" s="1" t="n">
        <v>44459</v>
      </c>
      <c r="C218" s="1" t="n">
        <v>45798</v>
      </c>
      <c r="D218" t="inlineStr">
        <is>
          <t>NORRBOTTENS LÄN</t>
        </is>
      </c>
      <c r="E218" t="inlineStr">
        <is>
          <t>PITEÅ</t>
        </is>
      </c>
      <c r="G218" t="n">
        <v>13</v>
      </c>
      <c r="H218" t="n">
        <v>2</v>
      </c>
      <c r="I218" t="n">
        <v>1</v>
      </c>
      <c r="J218" t="n">
        <v>5</v>
      </c>
      <c r="K218" t="n">
        <v>0</v>
      </c>
      <c r="L218" t="n">
        <v>0</v>
      </c>
      <c r="M218" t="n">
        <v>0</v>
      </c>
      <c r="N218" t="n">
        <v>0</v>
      </c>
      <c r="O218" t="n">
        <v>5</v>
      </c>
      <c r="P218" t="n">
        <v>0</v>
      </c>
      <c r="Q218" t="n">
        <v>7</v>
      </c>
      <c r="R218" s="2" t="inlineStr">
        <is>
          <t>Brunpudrad nållav
Lunglav
Tretåig hackspett
Ullticka
Violettgrå tagellav
Rödgul trumpetsvamp
Nattviol</t>
        </is>
      </c>
      <c r="S218">
        <f>HYPERLINK("https://klasma.github.io/Logging_2581/artfynd/A 50444-2021 artfynd.xlsx", "A 50444-2021")</f>
        <v/>
      </c>
      <c r="T218">
        <f>HYPERLINK("https://klasma.github.io/Logging_2581/kartor/A 50444-2021 karta.png", "A 50444-2021")</f>
        <v/>
      </c>
      <c r="V218">
        <f>HYPERLINK("https://klasma.github.io/Logging_2581/klagomål/A 50444-2021 FSC-klagomål.docx", "A 50444-2021")</f>
        <v/>
      </c>
      <c r="W218">
        <f>HYPERLINK("https://klasma.github.io/Logging_2581/klagomålsmail/A 50444-2021 FSC-klagomål mail.docx", "A 50444-2021")</f>
        <v/>
      </c>
      <c r="X218">
        <f>HYPERLINK("https://klasma.github.io/Logging_2581/tillsyn/A 50444-2021 tillsynsbegäran.docx", "A 50444-2021")</f>
        <v/>
      </c>
      <c r="Y218">
        <f>HYPERLINK("https://klasma.github.io/Logging_2581/tillsynsmail/A 50444-2021 tillsynsbegäran mail.docx", "A 50444-2021")</f>
        <v/>
      </c>
      <c r="Z218">
        <f>HYPERLINK("https://klasma.github.io/Logging_2581/fåglar/A 50444-2021 prioriterade fågelarter.docx", "A 50444-2021")</f>
        <v/>
      </c>
    </row>
    <row r="219" ht="15" customHeight="1">
      <c r="A219" t="inlineStr">
        <is>
          <t>A 9724-2022</t>
        </is>
      </c>
      <c r="B219" s="1" t="n">
        <v>44617</v>
      </c>
      <c r="C219" s="1" t="n">
        <v>45798</v>
      </c>
      <c r="D219" t="inlineStr">
        <is>
          <t>NORRBOTTENS LÄN</t>
        </is>
      </c>
      <c r="E219" t="inlineStr">
        <is>
          <t>PITEÅ</t>
        </is>
      </c>
      <c r="G219" t="n">
        <v>13.6</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9724-2022 artfynd.xlsx", "A 9724-2022")</f>
        <v/>
      </c>
      <c r="T219">
        <f>HYPERLINK("https://klasma.github.io/Logging_2581/kartor/A 9724-2022 karta.png", "A 9724-2022")</f>
        <v/>
      </c>
      <c r="V219">
        <f>HYPERLINK("https://klasma.github.io/Logging_2581/klagomål/A 9724-2022 FSC-klagomål.docx", "A 9724-2022")</f>
        <v/>
      </c>
      <c r="W219">
        <f>HYPERLINK("https://klasma.github.io/Logging_2581/klagomålsmail/A 9724-2022 FSC-klagomål mail.docx", "A 9724-2022")</f>
        <v/>
      </c>
      <c r="X219">
        <f>HYPERLINK("https://klasma.github.io/Logging_2581/tillsyn/A 9724-2022 tillsynsbegäran.docx", "A 9724-2022")</f>
        <v/>
      </c>
      <c r="Y219">
        <f>HYPERLINK("https://klasma.github.io/Logging_2581/tillsynsmail/A 9724-2022 tillsynsbegäran mail.docx", "A 9724-2022")</f>
        <v/>
      </c>
      <c r="Z219">
        <f>HYPERLINK("https://klasma.github.io/Logging_2581/fåglar/A 9724-2022 prioriterade fågelarter.docx", "A 9724-2022")</f>
        <v/>
      </c>
    </row>
    <row r="220" ht="15" customHeight="1">
      <c r="A220" t="inlineStr">
        <is>
          <t>A 9725-2022</t>
        </is>
      </c>
      <c r="B220" s="1" t="n">
        <v>44617</v>
      </c>
      <c r="C220" s="1" t="n">
        <v>45798</v>
      </c>
      <c r="D220" t="inlineStr">
        <is>
          <t>NORRBOTTENS LÄN</t>
        </is>
      </c>
      <c r="E220" t="inlineStr">
        <is>
          <t>PITEÅ</t>
        </is>
      </c>
      <c r="G220" t="n">
        <v>12.8</v>
      </c>
      <c r="H220" t="n">
        <v>5</v>
      </c>
      <c r="I220" t="n">
        <v>0</v>
      </c>
      <c r="J220" t="n">
        <v>6</v>
      </c>
      <c r="K220" t="n">
        <v>0</v>
      </c>
      <c r="L220" t="n">
        <v>1</v>
      </c>
      <c r="M220" t="n">
        <v>0</v>
      </c>
      <c r="N220" t="n">
        <v>0</v>
      </c>
      <c r="O220" t="n">
        <v>7</v>
      </c>
      <c r="P220" t="n">
        <v>1</v>
      </c>
      <c r="Q220" t="n">
        <v>7</v>
      </c>
      <c r="R220" s="2" t="inlineStr">
        <is>
          <t>Grönfink
Garnlav
Granticka
Mindre hackspett
Spillkråka
Talltita
Tretåig hackspett</t>
        </is>
      </c>
      <c r="S220">
        <f>HYPERLINK("https://klasma.github.io/Logging_2581/artfynd/A 9725-2022 artfynd.xlsx", "A 9725-2022")</f>
        <v/>
      </c>
      <c r="T220">
        <f>HYPERLINK("https://klasma.github.io/Logging_2581/kartor/A 9725-2022 karta.png", "A 9725-2022")</f>
        <v/>
      </c>
      <c r="V220">
        <f>HYPERLINK("https://klasma.github.io/Logging_2581/klagomål/A 9725-2022 FSC-klagomål.docx", "A 9725-2022")</f>
        <v/>
      </c>
      <c r="W220">
        <f>HYPERLINK("https://klasma.github.io/Logging_2581/klagomålsmail/A 9725-2022 FSC-klagomål mail.docx", "A 9725-2022")</f>
        <v/>
      </c>
      <c r="X220">
        <f>HYPERLINK("https://klasma.github.io/Logging_2581/tillsyn/A 9725-2022 tillsynsbegäran.docx", "A 9725-2022")</f>
        <v/>
      </c>
      <c r="Y220">
        <f>HYPERLINK("https://klasma.github.io/Logging_2581/tillsynsmail/A 9725-2022 tillsynsbegäran mail.docx", "A 9725-2022")</f>
        <v/>
      </c>
      <c r="Z220">
        <f>HYPERLINK("https://klasma.github.io/Logging_2581/fåglar/A 9725-2022 prioriterade fågelarter.docx", "A 9725-2022")</f>
        <v/>
      </c>
    </row>
    <row r="221" ht="15" customHeight="1">
      <c r="A221" t="inlineStr">
        <is>
          <t>A 15495-2022</t>
        </is>
      </c>
      <c r="B221" s="1" t="n">
        <v>44662</v>
      </c>
      <c r="C221" s="1" t="n">
        <v>45798</v>
      </c>
      <c r="D221" t="inlineStr">
        <is>
          <t>NORRBOTTENS LÄN</t>
        </is>
      </c>
      <c r="E221" t="inlineStr">
        <is>
          <t>ÖVERTORNEÅ</t>
        </is>
      </c>
      <c r="G221" t="n">
        <v>5.8</v>
      </c>
      <c r="H221" t="n">
        <v>4</v>
      </c>
      <c r="I221" t="n">
        <v>3</v>
      </c>
      <c r="J221" t="n">
        <v>3</v>
      </c>
      <c r="K221" t="n">
        <v>1</v>
      </c>
      <c r="L221" t="n">
        <v>0</v>
      </c>
      <c r="M221" t="n">
        <v>0</v>
      </c>
      <c r="N221" t="n">
        <v>0</v>
      </c>
      <c r="O221" t="n">
        <v>4</v>
      </c>
      <c r="P221" t="n">
        <v>1</v>
      </c>
      <c r="Q221" t="n">
        <v>7</v>
      </c>
      <c r="R221" s="2" t="inlineStr">
        <is>
          <t>Knärot
Järpe
Spillkråka
Tretåig hackspett
Norrlandslav
Skinnlav
Vedticka</t>
        </is>
      </c>
      <c r="S221">
        <f>HYPERLINK("https://klasma.github.io/Logging_2518/artfynd/A 15495-2022 artfynd.xlsx", "A 15495-2022")</f>
        <v/>
      </c>
      <c r="T221">
        <f>HYPERLINK("https://klasma.github.io/Logging_2518/kartor/A 15495-2022 karta.png", "A 15495-2022")</f>
        <v/>
      </c>
      <c r="U221">
        <f>HYPERLINK("https://klasma.github.io/Logging_2518/knärot/A 15495-2022 karta knärot.png", "A 15495-2022")</f>
        <v/>
      </c>
      <c r="V221">
        <f>HYPERLINK("https://klasma.github.io/Logging_2518/klagomål/A 15495-2022 FSC-klagomål.docx", "A 15495-2022")</f>
        <v/>
      </c>
      <c r="W221">
        <f>HYPERLINK("https://klasma.github.io/Logging_2518/klagomålsmail/A 15495-2022 FSC-klagomål mail.docx", "A 15495-2022")</f>
        <v/>
      </c>
      <c r="X221">
        <f>HYPERLINK("https://klasma.github.io/Logging_2518/tillsyn/A 15495-2022 tillsynsbegäran.docx", "A 15495-2022")</f>
        <v/>
      </c>
      <c r="Y221">
        <f>HYPERLINK("https://klasma.github.io/Logging_2518/tillsynsmail/A 15495-2022 tillsynsbegäran mail.docx", "A 15495-2022")</f>
        <v/>
      </c>
      <c r="Z221">
        <f>HYPERLINK("https://klasma.github.io/Logging_2518/fåglar/A 15495-2022 prioriterade fågelarter.docx", "A 15495-2022")</f>
        <v/>
      </c>
    </row>
    <row r="222" ht="15" customHeight="1">
      <c r="A222" t="inlineStr">
        <is>
          <t>A 44420-2022</t>
        </is>
      </c>
      <c r="B222" s="1" t="n">
        <v>44839</v>
      </c>
      <c r="C222" s="1" t="n">
        <v>45798</v>
      </c>
      <c r="D222" t="inlineStr">
        <is>
          <t>NORRBOTTENS LÄN</t>
        </is>
      </c>
      <c r="E222" t="inlineStr">
        <is>
          <t>PITEÅ</t>
        </is>
      </c>
      <c r="G222" t="n">
        <v>13.2</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44420-2022 artfynd.xlsx", "A 44420-2022")</f>
        <v/>
      </c>
      <c r="T222">
        <f>HYPERLINK("https://klasma.github.io/Logging_2581/kartor/A 44420-2022 karta.png", "A 44420-2022")</f>
        <v/>
      </c>
      <c r="V222">
        <f>HYPERLINK("https://klasma.github.io/Logging_2581/klagomål/A 44420-2022 FSC-klagomål.docx", "A 44420-2022")</f>
        <v/>
      </c>
      <c r="W222">
        <f>HYPERLINK("https://klasma.github.io/Logging_2581/klagomålsmail/A 44420-2022 FSC-klagomål mail.docx", "A 44420-2022")</f>
        <v/>
      </c>
      <c r="X222">
        <f>HYPERLINK("https://klasma.github.io/Logging_2581/tillsyn/A 44420-2022 tillsynsbegäran.docx", "A 44420-2022")</f>
        <v/>
      </c>
      <c r="Y222">
        <f>HYPERLINK("https://klasma.github.io/Logging_2581/tillsynsmail/A 44420-2022 tillsynsbegäran mail.docx", "A 44420-2022")</f>
        <v/>
      </c>
      <c r="Z222">
        <f>HYPERLINK("https://klasma.github.io/Logging_2581/fåglar/A 44420-2022 prioriterade fågelarter.docx", "A 44420-2022")</f>
        <v/>
      </c>
    </row>
    <row r="223" ht="15" customHeight="1">
      <c r="A223" t="inlineStr">
        <is>
          <t>A 50300-2022</t>
        </is>
      </c>
      <c r="B223" s="1" t="n">
        <v>44865</v>
      </c>
      <c r="C223" s="1" t="n">
        <v>45798</v>
      </c>
      <c r="D223" t="inlineStr">
        <is>
          <t>NORRBOTTENS LÄN</t>
        </is>
      </c>
      <c r="E223" t="inlineStr">
        <is>
          <t>ÖVERTORNEÅ</t>
        </is>
      </c>
      <c r="G223" t="n">
        <v>17.3</v>
      </c>
      <c r="H223" t="n">
        <v>1</v>
      </c>
      <c r="I223" t="n">
        <v>3</v>
      </c>
      <c r="J223" t="n">
        <v>4</v>
      </c>
      <c r="K223" t="n">
        <v>0</v>
      </c>
      <c r="L223" t="n">
        <v>0</v>
      </c>
      <c r="M223" t="n">
        <v>0</v>
      </c>
      <c r="N223" t="n">
        <v>0</v>
      </c>
      <c r="O223" t="n">
        <v>4</v>
      </c>
      <c r="P223" t="n">
        <v>0</v>
      </c>
      <c r="Q223" t="n">
        <v>7</v>
      </c>
      <c r="R223" s="2" t="inlineStr">
        <is>
          <t>Blanksvart spiklav
Garnlav
Spillkråka
Vitplätt
Dropptaggsvamp
Nästlav
Vedticka</t>
        </is>
      </c>
      <c r="S223">
        <f>HYPERLINK("https://klasma.github.io/Logging_2518/artfynd/A 50300-2022 artfynd.xlsx", "A 50300-2022")</f>
        <v/>
      </c>
      <c r="T223">
        <f>HYPERLINK("https://klasma.github.io/Logging_2518/kartor/A 50300-2022 karta.png", "A 50300-2022")</f>
        <v/>
      </c>
      <c r="V223">
        <f>HYPERLINK("https://klasma.github.io/Logging_2518/klagomål/A 50300-2022 FSC-klagomål.docx", "A 50300-2022")</f>
        <v/>
      </c>
      <c r="W223">
        <f>HYPERLINK("https://klasma.github.io/Logging_2518/klagomålsmail/A 50300-2022 FSC-klagomål mail.docx", "A 50300-2022")</f>
        <v/>
      </c>
      <c r="X223">
        <f>HYPERLINK("https://klasma.github.io/Logging_2518/tillsyn/A 50300-2022 tillsynsbegäran.docx", "A 50300-2022")</f>
        <v/>
      </c>
      <c r="Y223">
        <f>HYPERLINK("https://klasma.github.io/Logging_2518/tillsynsmail/A 50300-2022 tillsynsbegäran mail.docx", "A 50300-2022")</f>
        <v/>
      </c>
      <c r="Z223">
        <f>HYPERLINK("https://klasma.github.io/Logging_2518/fåglar/A 50300-2022 prioriterade fågelarter.docx", "A 50300-2022")</f>
        <v/>
      </c>
    </row>
    <row r="224" ht="15" customHeight="1">
      <c r="A224" t="inlineStr">
        <is>
          <t>A 53440-2022</t>
        </is>
      </c>
      <c r="B224" s="1" t="n">
        <v>44874</v>
      </c>
      <c r="C224" s="1" t="n">
        <v>45798</v>
      </c>
      <c r="D224" t="inlineStr">
        <is>
          <t>NORRBOTTENS LÄN</t>
        </is>
      </c>
      <c r="E224" t="inlineStr">
        <is>
          <t>PAJALA</t>
        </is>
      </c>
      <c r="F224" t="inlineStr">
        <is>
          <t>Allmännings- och besparingsskogar</t>
        </is>
      </c>
      <c r="G224" t="n">
        <v>7.2</v>
      </c>
      <c r="H224" t="n">
        <v>2</v>
      </c>
      <c r="I224" t="n">
        <v>2</v>
      </c>
      <c r="J224" t="n">
        <v>3</v>
      </c>
      <c r="K224" t="n">
        <v>0</v>
      </c>
      <c r="L224" t="n">
        <v>0</v>
      </c>
      <c r="M224" t="n">
        <v>0</v>
      </c>
      <c r="N224" t="n">
        <v>0</v>
      </c>
      <c r="O224" t="n">
        <v>3</v>
      </c>
      <c r="P224" t="n">
        <v>0</v>
      </c>
      <c r="Q224" t="n">
        <v>7</v>
      </c>
      <c r="R224" s="2" t="inlineStr">
        <is>
          <t>Brunpudrad nållav
Gammelgransskål
Vitgrynig nållav
Skör kvastmossa
Vedticka
Tjäder
Revlummer</t>
        </is>
      </c>
      <c r="S224">
        <f>HYPERLINK("https://klasma.github.io/Logging_2521/artfynd/A 53440-2022 artfynd.xlsx", "A 53440-2022")</f>
        <v/>
      </c>
      <c r="T224">
        <f>HYPERLINK("https://klasma.github.io/Logging_2521/kartor/A 53440-2022 karta.png", "A 53440-2022")</f>
        <v/>
      </c>
      <c r="V224">
        <f>HYPERLINK("https://klasma.github.io/Logging_2521/klagomål/A 53440-2022 FSC-klagomål.docx", "A 53440-2022")</f>
        <v/>
      </c>
      <c r="W224">
        <f>HYPERLINK("https://klasma.github.io/Logging_2521/klagomålsmail/A 53440-2022 FSC-klagomål mail.docx", "A 53440-2022")</f>
        <v/>
      </c>
      <c r="X224">
        <f>HYPERLINK("https://klasma.github.io/Logging_2521/tillsyn/A 53440-2022 tillsynsbegäran.docx", "A 53440-2022")</f>
        <v/>
      </c>
      <c r="Y224">
        <f>HYPERLINK("https://klasma.github.io/Logging_2521/tillsynsmail/A 53440-2022 tillsynsbegäran mail.docx", "A 53440-2022")</f>
        <v/>
      </c>
      <c r="Z224">
        <f>HYPERLINK("https://klasma.github.io/Logging_2521/fåglar/A 53440-2022 prioriterade fågelarter.docx", "A 53440-2022")</f>
        <v/>
      </c>
    </row>
    <row r="225" ht="15" customHeight="1">
      <c r="A225" t="inlineStr">
        <is>
          <t>A 54090-2022</t>
        </is>
      </c>
      <c r="B225" s="1" t="n">
        <v>44879</v>
      </c>
      <c r="C225" s="1" t="n">
        <v>45798</v>
      </c>
      <c r="D225" t="inlineStr">
        <is>
          <t>NORRBOTTENS LÄN</t>
        </is>
      </c>
      <c r="E225" t="inlineStr">
        <is>
          <t>ÖVERTORNEÅ</t>
        </is>
      </c>
      <c r="G225" t="n">
        <v>38.8</v>
      </c>
      <c r="H225" t="n">
        <v>1</v>
      </c>
      <c r="I225" t="n">
        <v>0</v>
      </c>
      <c r="J225" t="n">
        <v>6</v>
      </c>
      <c r="K225" t="n">
        <v>1</v>
      </c>
      <c r="L225" t="n">
        <v>0</v>
      </c>
      <c r="M225" t="n">
        <v>0</v>
      </c>
      <c r="N225" t="n">
        <v>0</v>
      </c>
      <c r="O225" t="n">
        <v>7</v>
      </c>
      <c r="P225" t="n">
        <v>1</v>
      </c>
      <c r="Q225" t="n">
        <v>7</v>
      </c>
      <c r="R225" s="2" t="inlineStr">
        <is>
          <t>Ostticka
Granticka
Lunglav
Rosenticka
Tretåig hackspett
Ullticka
Violmussling</t>
        </is>
      </c>
      <c r="S225">
        <f>HYPERLINK("https://klasma.github.io/Logging_2518/artfynd/A 54090-2022 artfynd.xlsx", "A 54090-2022")</f>
        <v/>
      </c>
      <c r="T225">
        <f>HYPERLINK("https://klasma.github.io/Logging_2518/kartor/A 54090-2022 karta.png", "A 54090-2022")</f>
        <v/>
      </c>
      <c r="V225">
        <f>HYPERLINK("https://klasma.github.io/Logging_2518/klagomål/A 54090-2022 FSC-klagomål.docx", "A 54090-2022")</f>
        <v/>
      </c>
      <c r="W225">
        <f>HYPERLINK("https://klasma.github.io/Logging_2518/klagomålsmail/A 54090-2022 FSC-klagomål mail.docx", "A 54090-2022")</f>
        <v/>
      </c>
      <c r="X225">
        <f>HYPERLINK("https://klasma.github.io/Logging_2518/tillsyn/A 54090-2022 tillsynsbegäran.docx", "A 54090-2022")</f>
        <v/>
      </c>
      <c r="Y225">
        <f>HYPERLINK("https://klasma.github.io/Logging_2518/tillsynsmail/A 54090-2022 tillsynsbegäran mail.docx", "A 54090-2022")</f>
        <v/>
      </c>
      <c r="Z225">
        <f>HYPERLINK("https://klasma.github.io/Logging_2518/fåglar/A 54090-2022 prioriterade fågelarter.docx", "A 54090-2022")</f>
        <v/>
      </c>
    </row>
    <row r="226" ht="15" customHeight="1">
      <c r="A226" t="inlineStr">
        <is>
          <t>A 27058-2023</t>
        </is>
      </c>
      <c r="B226" s="1" t="n">
        <v>45096</v>
      </c>
      <c r="C226" s="1" t="n">
        <v>45798</v>
      </c>
      <c r="D226" t="inlineStr">
        <is>
          <t>NORRBOTTENS LÄN</t>
        </is>
      </c>
      <c r="E226" t="inlineStr">
        <is>
          <t>ÖVERTORNEÅ</t>
        </is>
      </c>
      <c r="G226" t="n">
        <v>5.3</v>
      </c>
      <c r="H226" t="n">
        <v>0</v>
      </c>
      <c r="I226" t="n">
        <v>2</v>
      </c>
      <c r="J226" t="n">
        <v>5</v>
      </c>
      <c r="K226" t="n">
        <v>0</v>
      </c>
      <c r="L226" t="n">
        <v>0</v>
      </c>
      <c r="M226" t="n">
        <v>0</v>
      </c>
      <c r="N226" t="n">
        <v>0</v>
      </c>
      <c r="O226" t="n">
        <v>5</v>
      </c>
      <c r="P226" t="n">
        <v>0</v>
      </c>
      <c r="Q226" t="n">
        <v>7</v>
      </c>
      <c r="R226" s="2" t="inlineStr">
        <is>
          <t>Doftskinn
Gammelgransskål
Garnlav
Ullticka
Violmussling
Stor aspticka
Stuplav</t>
        </is>
      </c>
      <c r="S226">
        <f>HYPERLINK("https://klasma.github.io/Logging_2518/artfynd/A 27058-2023 artfynd.xlsx", "A 27058-2023")</f>
        <v/>
      </c>
      <c r="T226">
        <f>HYPERLINK("https://klasma.github.io/Logging_2518/kartor/A 27058-2023 karta.png", "A 27058-2023")</f>
        <v/>
      </c>
      <c r="V226">
        <f>HYPERLINK("https://klasma.github.io/Logging_2518/klagomål/A 27058-2023 FSC-klagomål.docx", "A 27058-2023")</f>
        <v/>
      </c>
      <c r="W226">
        <f>HYPERLINK("https://klasma.github.io/Logging_2518/klagomålsmail/A 27058-2023 FSC-klagomål mail.docx", "A 27058-2023")</f>
        <v/>
      </c>
      <c r="X226">
        <f>HYPERLINK("https://klasma.github.io/Logging_2518/tillsyn/A 27058-2023 tillsynsbegäran.docx", "A 27058-2023")</f>
        <v/>
      </c>
      <c r="Y226">
        <f>HYPERLINK("https://klasma.github.io/Logging_2518/tillsynsmail/A 27058-2023 tillsynsbegäran mail.docx", "A 27058-2023")</f>
        <v/>
      </c>
    </row>
    <row r="227" ht="15" customHeight="1">
      <c r="A227" t="inlineStr">
        <is>
          <t>A 29315-2023</t>
        </is>
      </c>
      <c r="B227" s="1" t="n">
        <v>45105</v>
      </c>
      <c r="C227" s="1" t="n">
        <v>45798</v>
      </c>
      <c r="D227" t="inlineStr">
        <is>
          <t>NORRBOTTENS LÄN</t>
        </is>
      </c>
      <c r="E227" t="inlineStr">
        <is>
          <t>ARVIDSJAUR</t>
        </is>
      </c>
      <c r="G227" t="n">
        <v>9.800000000000001</v>
      </c>
      <c r="H227" t="n">
        <v>2</v>
      </c>
      <c r="I227" t="n">
        <v>0</v>
      </c>
      <c r="J227" t="n">
        <v>7</v>
      </c>
      <c r="K227" t="n">
        <v>0</v>
      </c>
      <c r="L227" t="n">
        <v>0</v>
      </c>
      <c r="M227" t="n">
        <v>0</v>
      </c>
      <c r="N227" t="n">
        <v>0</v>
      </c>
      <c r="O227" t="n">
        <v>7</v>
      </c>
      <c r="P227" t="n">
        <v>0</v>
      </c>
      <c r="Q227" t="n">
        <v>7</v>
      </c>
      <c r="R227" s="2" t="inlineStr">
        <is>
          <t>Gammelgransskål
Garnlav
Granticka
Harticka
Spillkråka
Tretåig hackspett
Ullticka</t>
        </is>
      </c>
      <c r="S227">
        <f>HYPERLINK("https://klasma.github.io/Logging_2505/artfynd/A 29315-2023 artfynd.xlsx", "A 29315-2023")</f>
        <v/>
      </c>
      <c r="T227">
        <f>HYPERLINK("https://klasma.github.io/Logging_2505/kartor/A 29315-2023 karta.png", "A 29315-2023")</f>
        <v/>
      </c>
      <c r="V227">
        <f>HYPERLINK("https://klasma.github.io/Logging_2505/klagomål/A 29315-2023 FSC-klagomål.docx", "A 29315-2023")</f>
        <v/>
      </c>
      <c r="W227">
        <f>HYPERLINK("https://klasma.github.io/Logging_2505/klagomålsmail/A 29315-2023 FSC-klagomål mail.docx", "A 29315-2023")</f>
        <v/>
      </c>
      <c r="X227">
        <f>HYPERLINK("https://klasma.github.io/Logging_2505/tillsyn/A 29315-2023 tillsynsbegäran.docx", "A 29315-2023")</f>
        <v/>
      </c>
      <c r="Y227">
        <f>HYPERLINK("https://klasma.github.io/Logging_2505/tillsynsmail/A 29315-2023 tillsynsbegäran mail.docx", "A 29315-2023")</f>
        <v/>
      </c>
      <c r="Z227">
        <f>HYPERLINK("https://klasma.github.io/Logging_2505/fåglar/A 29315-2023 prioriterade fågelarter.docx", "A 29315-2023")</f>
        <v/>
      </c>
    </row>
    <row r="228" ht="15" customHeight="1">
      <c r="A228" t="inlineStr">
        <is>
          <t>A 33324-2023</t>
        </is>
      </c>
      <c r="B228" s="1" t="n">
        <v>45128</v>
      </c>
      <c r="C228" s="1" t="n">
        <v>45798</v>
      </c>
      <c r="D228" t="inlineStr">
        <is>
          <t>NORRBOTTENS LÄN</t>
        </is>
      </c>
      <c r="E228" t="inlineStr">
        <is>
          <t>ÖVERTORNEÅ</t>
        </is>
      </c>
      <c r="G228" t="n">
        <v>9.6</v>
      </c>
      <c r="H228" t="n">
        <v>2</v>
      </c>
      <c r="I228" t="n">
        <v>5</v>
      </c>
      <c r="J228" t="n">
        <v>2</v>
      </c>
      <c r="K228" t="n">
        <v>0</v>
      </c>
      <c r="L228" t="n">
        <v>0</v>
      </c>
      <c r="M228" t="n">
        <v>0</v>
      </c>
      <c r="N228" t="n">
        <v>0</v>
      </c>
      <c r="O228" t="n">
        <v>2</v>
      </c>
      <c r="P228" t="n">
        <v>0</v>
      </c>
      <c r="Q228" t="n">
        <v>7</v>
      </c>
      <c r="R228" s="2" t="inlineStr">
        <is>
          <t>Spillkråka
Vitplätt
Norrlandslav
Plattlummer
Skinnlav
Stor aspticka
Vedticka</t>
        </is>
      </c>
      <c r="S228">
        <f>HYPERLINK("https://klasma.github.io/Logging_2518/artfynd/A 33324-2023 artfynd.xlsx", "A 33324-2023")</f>
        <v/>
      </c>
      <c r="T228">
        <f>HYPERLINK("https://klasma.github.io/Logging_2518/kartor/A 33324-2023 karta.png", "A 33324-2023")</f>
        <v/>
      </c>
      <c r="V228">
        <f>HYPERLINK("https://klasma.github.io/Logging_2518/klagomål/A 33324-2023 FSC-klagomål.docx", "A 33324-2023")</f>
        <v/>
      </c>
      <c r="W228">
        <f>HYPERLINK("https://klasma.github.io/Logging_2518/klagomålsmail/A 33324-2023 FSC-klagomål mail.docx", "A 33324-2023")</f>
        <v/>
      </c>
      <c r="X228">
        <f>HYPERLINK("https://klasma.github.io/Logging_2518/tillsyn/A 33324-2023 tillsynsbegäran.docx", "A 33324-2023")</f>
        <v/>
      </c>
      <c r="Y228">
        <f>HYPERLINK("https://klasma.github.io/Logging_2518/tillsynsmail/A 33324-2023 tillsynsbegäran mail.docx", "A 33324-2023")</f>
        <v/>
      </c>
      <c r="Z228">
        <f>HYPERLINK("https://klasma.github.io/Logging_2518/fåglar/A 33324-2023 prioriterade fågelarter.docx", "A 33324-2023")</f>
        <v/>
      </c>
    </row>
    <row r="229" ht="15" customHeight="1">
      <c r="A229" t="inlineStr">
        <is>
          <t>A 45121-2023</t>
        </is>
      </c>
      <c r="B229" s="1" t="n">
        <v>45191</v>
      </c>
      <c r="C229" s="1" t="n">
        <v>45798</v>
      </c>
      <c r="D229" t="inlineStr">
        <is>
          <t>NORRBOTTENS LÄN</t>
        </is>
      </c>
      <c r="E229" t="inlineStr">
        <is>
          <t>PITEÅ</t>
        </is>
      </c>
      <c r="F229" t="inlineStr">
        <is>
          <t>Sveaskog</t>
        </is>
      </c>
      <c r="G229" t="n">
        <v>15.2</v>
      </c>
      <c r="H229" t="n">
        <v>1</v>
      </c>
      <c r="I229" t="n">
        <v>1</v>
      </c>
      <c r="J229" t="n">
        <v>4</v>
      </c>
      <c r="K229" t="n">
        <v>1</v>
      </c>
      <c r="L229" t="n">
        <v>0</v>
      </c>
      <c r="M229" t="n">
        <v>0</v>
      </c>
      <c r="N229" t="n">
        <v>0</v>
      </c>
      <c r="O229" t="n">
        <v>5</v>
      </c>
      <c r="P229" t="n">
        <v>1</v>
      </c>
      <c r="Q229" t="n">
        <v>7</v>
      </c>
      <c r="R229" s="2" t="inlineStr">
        <is>
          <t>Goliatmusseron
Blå taggsvamp
Orange taggsvamp
Skrovlig taggsvamp
Talltaggsvamp
Dropptaggsvamp
Tjäder</t>
        </is>
      </c>
      <c r="S229">
        <f>HYPERLINK("https://klasma.github.io/Logging_2581/artfynd/A 45121-2023 artfynd.xlsx", "A 45121-2023")</f>
        <v/>
      </c>
      <c r="T229">
        <f>HYPERLINK("https://klasma.github.io/Logging_2581/kartor/A 45121-2023 karta.png", "A 45121-2023")</f>
        <v/>
      </c>
      <c r="V229">
        <f>HYPERLINK("https://klasma.github.io/Logging_2581/klagomål/A 45121-2023 FSC-klagomål.docx", "A 45121-2023")</f>
        <v/>
      </c>
      <c r="W229">
        <f>HYPERLINK("https://klasma.github.io/Logging_2581/klagomålsmail/A 45121-2023 FSC-klagomål mail.docx", "A 45121-2023")</f>
        <v/>
      </c>
      <c r="X229">
        <f>HYPERLINK("https://klasma.github.io/Logging_2581/tillsyn/A 45121-2023 tillsynsbegäran.docx", "A 45121-2023")</f>
        <v/>
      </c>
      <c r="Y229">
        <f>HYPERLINK("https://klasma.github.io/Logging_2581/tillsynsmail/A 45121-2023 tillsynsbegäran mail.docx", "A 45121-2023")</f>
        <v/>
      </c>
      <c r="Z229">
        <f>HYPERLINK("https://klasma.github.io/Logging_2581/fåglar/A 45121-2023 prioriterade fågelarter.docx", "A 45121-2023")</f>
        <v/>
      </c>
    </row>
    <row r="230" ht="15" customHeight="1">
      <c r="A230" t="inlineStr">
        <is>
          <t>A 52515-2023</t>
        </is>
      </c>
      <c r="B230" s="1" t="n">
        <v>45218</v>
      </c>
      <c r="C230" s="1" t="n">
        <v>45798</v>
      </c>
      <c r="D230" t="inlineStr">
        <is>
          <t>NORRBOTTENS LÄN</t>
        </is>
      </c>
      <c r="E230" t="inlineStr">
        <is>
          <t>JOKKMOKK</t>
        </is>
      </c>
      <c r="F230" t="inlineStr">
        <is>
          <t>Övriga statliga verk och myndigheter</t>
        </is>
      </c>
      <c r="G230" t="n">
        <v>31.3</v>
      </c>
      <c r="H230" t="n">
        <v>0</v>
      </c>
      <c r="I230" t="n">
        <v>1</v>
      </c>
      <c r="J230" t="n">
        <v>5</v>
      </c>
      <c r="K230" t="n">
        <v>1</v>
      </c>
      <c r="L230" t="n">
        <v>0</v>
      </c>
      <c r="M230" t="n">
        <v>0</v>
      </c>
      <c r="N230" t="n">
        <v>0</v>
      </c>
      <c r="O230" t="n">
        <v>6</v>
      </c>
      <c r="P230" t="n">
        <v>1</v>
      </c>
      <c r="Q230" t="n">
        <v>7</v>
      </c>
      <c r="R230" s="2" t="inlineStr">
        <is>
          <t>Tallgråticka
Blå taggsvamp
Motaggsvamp
Orange taggsvamp
Skrovlig taggsvamp
Vedflamlav
Dropptaggsvamp</t>
        </is>
      </c>
      <c r="S230">
        <f>HYPERLINK("https://klasma.github.io/Logging_2510/artfynd/A 52515-2023 artfynd.xlsx", "A 52515-2023")</f>
        <v/>
      </c>
      <c r="T230">
        <f>HYPERLINK("https://klasma.github.io/Logging_2510/kartor/A 52515-2023 karta.png", "A 52515-2023")</f>
        <v/>
      </c>
      <c r="V230">
        <f>HYPERLINK("https://klasma.github.io/Logging_2510/klagomål/A 52515-2023 FSC-klagomål.docx", "A 52515-2023")</f>
        <v/>
      </c>
      <c r="W230">
        <f>HYPERLINK("https://klasma.github.io/Logging_2510/klagomålsmail/A 52515-2023 FSC-klagomål mail.docx", "A 52515-2023")</f>
        <v/>
      </c>
      <c r="X230">
        <f>HYPERLINK("https://klasma.github.io/Logging_2510/tillsyn/A 52515-2023 tillsynsbegäran.docx", "A 52515-2023")</f>
        <v/>
      </c>
      <c r="Y230">
        <f>HYPERLINK("https://klasma.github.io/Logging_2510/tillsynsmail/A 52515-2023 tillsynsbegäran mail.docx", "A 52515-2023")</f>
        <v/>
      </c>
    </row>
    <row r="231" ht="15" customHeight="1">
      <c r="A231" t="inlineStr">
        <is>
          <t>A 61965-2023</t>
        </is>
      </c>
      <c r="B231" s="1" t="n">
        <v>45266</v>
      </c>
      <c r="C231" s="1" t="n">
        <v>45798</v>
      </c>
      <c r="D231" t="inlineStr">
        <is>
          <t>NORRBOTTENS LÄN</t>
        </is>
      </c>
      <c r="E231" t="inlineStr">
        <is>
          <t>JOKKMOKK</t>
        </is>
      </c>
      <c r="F231" t="inlineStr">
        <is>
          <t>Allmännings- och besparingsskogar</t>
        </is>
      </c>
      <c r="G231" t="n">
        <v>13.6</v>
      </c>
      <c r="H231" t="n">
        <v>1</v>
      </c>
      <c r="I231" t="n">
        <v>2</v>
      </c>
      <c r="J231" t="n">
        <v>4</v>
      </c>
      <c r="K231" t="n">
        <v>1</v>
      </c>
      <c r="L231" t="n">
        <v>0</v>
      </c>
      <c r="M231" t="n">
        <v>0</v>
      </c>
      <c r="N231" t="n">
        <v>0</v>
      </c>
      <c r="O231" t="n">
        <v>5</v>
      </c>
      <c r="P231" t="n">
        <v>1</v>
      </c>
      <c r="Q231" t="n">
        <v>7</v>
      </c>
      <c r="R231" s="2" t="inlineStr">
        <is>
          <t>Lammticka
Blå taggsvamp
Skrovlig taggsvamp
Tretåig hackspett
Vedskivlav
Dropptaggsvamp
Skarp dropptaggsvamp</t>
        </is>
      </c>
      <c r="S231">
        <f>HYPERLINK("https://klasma.github.io/Logging_2510/artfynd/A 61965-2023 artfynd.xlsx", "A 61965-2023")</f>
        <v/>
      </c>
      <c r="T231">
        <f>HYPERLINK("https://klasma.github.io/Logging_2510/kartor/A 61965-2023 karta.png", "A 61965-2023")</f>
        <v/>
      </c>
      <c r="V231">
        <f>HYPERLINK("https://klasma.github.io/Logging_2510/klagomål/A 61965-2023 FSC-klagomål.docx", "A 61965-2023")</f>
        <v/>
      </c>
      <c r="W231">
        <f>HYPERLINK("https://klasma.github.io/Logging_2510/klagomålsmail/A 61965-2023 FSC-klagomål mail.docx", "A 61965-2023")</f>
        <v/>
      </c>
      <c r="X231">
        <f>HYPERLINK("https://klasma.github.io/Logging_2510/tillsyn/A 61965-2023 tillsynsbegäran.docx", "A 61965-2023")</f>
        <v/>
      </c>
      <c r="Y231">
        <f>HYPERLINK("https://klasma.github.io/Logging_2510/tillsynsmail/A 61965-2023 tillsynsbegäran mail.docx", "A 61965-2023")</f>
        <v/>
      </c>
      <c r="Z231">
        <f>HYPERLINK("https://klasma.github.io/Logging_2510/fåglar/A 61965-2023 prioriterade fågelarter.docx", "A 61965-2023")</f>
        <v/>
      </c>
    </row>
    <row r="232" ht="15" customHeight="1">
      <c r="A232" t="inlineStr">
        <is>
          <t>A 4544-2024</t>
        </is>
      </c>
      <c r="B232" s="1" t="n">
        <v>45327</v>
      </c>
      <c r="C232" s="1" t="n">
        <v>45798</v>
      </c>
      <c r="D232" t="inlineStr">
        <is>
          <t>NORRBOTTENS LÄN</t>
        </is>
      </c>
      <c r="E232" t="inlineStr">
        <is>
          <t>ARJEPLOG</t>
        </is>
      </c>
      <c r="G232" t="n">
        <v>6</v>
      </c>
      <c r="H232" t="n">
        <v>0</v>
      </c>
      <c r="I232" t="n">
        <v>1</v>
      </c>
      <c r="J232" t="n">
        <v>5</v>
      </c>
      <c r="K232" t="n">
        <v>1</v>
      </c>
      <c r="L232" t="n">
        <v>0</v>
      </c>
      <c r="M232" t="n">
        <v>0</v>
      </c>
      <c r="N232" t="n">
        <v>0</v>
      </c>
      <c r="O232" t="n">
        <v>6</v>
      </c>
      <c r="P232" t="n">
        <v>1</v>
      </c>
      <c r="Q232" t="n">
        <v>7</v>
      </c>
      <c r="R232" s="2" t="inlineStr">
        <is>
          <t>Rynkskinn
Garnlav
Granticka
Knottrig blåslav
Rosenticka
Ullticka
Blodticka</t>
        </is>
      </c>
      <c r="S232">
        <f>HYPERLINK("https://klasma.github.io/Logging_2506/artfynd/A 4544-2024 artfynd.xlsx", "A 4544-2024")</f>
        <v/>
      </c>
      <c r="T232">
        <f>HYPERLINK("https://klasma.github.io/Logging_2506/kartor/A 4544-2024 karta.png", "A 4544-2024")</f>
        <v/>
      </c>
      <c r="V232">
        <f>HYPERLINK("https://klasma.github.io/Logging_2506/klagomål/A 4544-2024 FSC-klagomål.docx", "A 4544-2024")</f>
        <v/>
      </c>
      <c r="W232">
        <f>HYPERLINK("https://klasma.github.io/Logging_2506/klagomålsmail/A 4544-2024 FSC-klagomål mail.docx", "A 4544-2024")</f>
        <v/>
      </c>
      <c r="X232">
        <f>HYPERLINK("https://klasma.github.io/Logging_2506/tillsyn/A 4544-2024 tillsynsbegäran.docx", "A 4544-2024")</f>
        <v/>
      </c>
      <c r="Y232">
        <f>HYPERLINK("https://klasma.github.io/Logging_2506/tillsynsmail/A 4544-2024 tillsynsbegäran mail.docx", "A 4544-2024")</f>
        <v/>
      </c>
    </row>
    <row r="233" ht="15" customHeight="1">
      <c r="A233" t="inlineStr">
        <is>
          <t>A 8507-2024</t>
        </is>
      </c>
      <c r="B233" s="1" t="n">
        <v>45351</v>
      </c>
      <c r="C233" s="1" t="n">
        <v>45798</v>
      </c>
      <c r="D233" t="inlineStr">
        <is>
          <t>NORRBOTTENS LÄN</t>
        </is>
      </c>
      <c r="E233" t="inlineStr">
        <is>
          <t>ÖVERTORNEÅ</t>
        </is>
      </c>
      <c r="G233" t="n">
        <v>15.8</v>
      </c>
      <c r="H233" t="n">
        <v>4</v>
      </c>
      <c r="I233" t="n">
        <v>0</v>
      </c>
      <c r="J233" t="n">
        <v>7</v>
      </c>
      <c r="K233" t="n">
        <v>0</v>
      </c>
      <c r="L233" t="n">
        <v>0</v>
      </c>
      <c r="M233" t="n">
        <v>0</v>
      </c>
      <c r="N233" t="n">
        <v>0</v>
      </c>
      <c r="O233" t="n">
        <v>7</v>
      </c>
      <c r="P233" t="n">
        <v>0</v>
      </c>
      <c r="Q233" t="n">
        <v>7</v>
      </c>
      <c r="R233" s="2" t="inlineStr">
        <is>
          <t>Gammelgransskål
Garnlav
Järpe
Skogshare
Spillkråka
Talltita
Utter</t>
        </is>
      </c>
      <c r="S233">
        <f>HYPERLINK("https://klasma.github.io/Logging_2518/artfynd/A 8507-2024 artfynd.xlsx", "A 8507-2024")</f>
        <v/>
      </c>
      <c r="T233">
        <f>HYPERLINK("https://klasma.github.io/Logging_2518/kartor/A 8507-2024 karta.png", "A 8507-2024")</f>
        <v/>
      </c>
      <c r="V233">
        <f>HYPERLINK("https://klasma.github.io/Logging_2518/klagomål/A 8507-2024 FSC-klagomål.docx", "A 8507-2024")</f>
        <v/>
      </c>
      <c r="W233">
        <f>HYPERLINK("https://klasma.github.io/Logging_2518/klagomålsmail/A 8507-2024 FSC-klagomål mail.docx", "A 8507-2024")</f>
        <v/>
      </c>
      <c r="X233">
        <f>HYPERLINK("https://klasma.github.io/Logging_2518/tillsyn/A 8507-2024 tillsynsbegäran.docx", "A 8507-2024")</f>
        <v/>
      </c>
      <c r="Y233">
        <f>HYPERLINK("https://klasma.github.io/Logging_2518/tillsynsmail/A 8507-2024 tillsynsbegäran mail.docx", "A 8507-2024")</f>
        <v/>
      </c>
      <c r="Z233">
        <f>HYPERLINK("https://klasma.github.io/Logging_2518/fåglar/A 8507-2024 prioriterade fågelarter.docx", "A 8507-2024")</f>
        <v/>
      </c>
    </row>
    <row r="234" ht="15" customHeight="1">
      <c r="A234" t="inlineStr">
        <is>
          <t>A 26731-2024</t>
        </is>
      </c>
      <c r="B234" s="1" t="n">
        <v>45470</v>
      </c>
      <c r="C234" s="1" t="n">
        <v>45798</v>
      </c>
      <c r="D234" t="inlineStr">
        <is>
          <t>NORRBOTTENS LÄN</t>
        </is>
      </c>
      <c r="E234" t="inlineStr">
        <is>
          <t>ÄLVSBYN</t>
        </is>
      </c>
      <c r="F234" t="inlineStr">
        <is>
          <t>Sveaskog</t>
        </is>
      </c>
      <c r="G234" t="n">
        <v>1.4</v>
      </c>
      <c r="H234" t="n">
        <v>0</v>
      </c>
      <c r="I234" t="n">
        <v>2</v>
      </c>
      <c r="J234" t="n">
        <v>3</v>
      </c>
      <c r="K234" t="n">
        <v>2</v>
      </c>
      <c r="L234" t="n">
        <v>0</v>
      </c>
      <c r="M234" t="n">
        <v>0</v>
      </c>
      <c r="N234" t="n">
        <v>0</v>
      </c>
      <c r="O234" t="n">
        <v>5</v>
      </c>
      <c r="P234" t="n">
        <v>2</v>
      </c>
      <c r="Q234" t="n">
        <v>7</v>
      </c>
      <c r="R234" s="2" t="inlineStr">
        <is>
          <t>Lakritsmusseron
Tajgataggsvamp
Orange taggsvamp
Svartvit taggsvamp
Tallriska
Dropptaggsvamp
Skarp dropptaggsvamp</t>
        </is>
      </c>
      <c r="S234">
        <f>HYPERLINK("https://klasma.github.io/Logging_2560/artfynd/A 26731-2024 artfynd.xlsx", "A 26731-2024")</f>
        <v/>
      </c>
      <c r="T234">
        <f>HYPERLINK("https://klasma.github.io/Logging_2560/kartor/A 26731-2024 karta.png", "A 26731-2024")</f>
        <v/>
      </c>
      <c r="V234">
        <f>HYPERLINK("https://klasma.github.io/Logging_2560/klagomål/A 26731-2024 FSC-klagomål.docx", "A 26731-2024")</f>
        <v/>
      </c>
      <c r="W234">
        <f>HYPERLINK("https://klasma.github.io/Logging_2560/klagomålsmail/A 26731-2024 FSC-klagomål mail.docx", "A 26731-2024")</f>
        <v/>
      </c>
      <c r="X234">
        <f>HYPERLINK("https://klasma.github.io/Logging_2560/tillsyn/A 26731-2024 tillsynsbegäran.docx", "A 26731-2024")</f>
        <v/>
      </c>
      <c r="Y234">
        <f>HYPERLINK("https://klasma.github.io/Logging_2560/tillsynsmail/A 26731-2024 tillsynsbegäran mail.docx", "A 26731-2024")</f>
        <v/>
      </c>
    </row>
    <row r="235" ht="15" customHeight="1">
      <c r="A235" t="inlineStr">
        <is>
          <t>A 37507-2024</t>
        </is>
      </c>
      <c r="B235" s="1" t="n">
        <v>45541</v>
      </c>
      <c r="C235" s="1" t="n">
        <v>45798</v>
      </c>
      <c r="D235" t="inlineStr">
        <is>
          <t>NORRBOTTENS LÄN</t>
        </is>
      </c>
      <c r="E235" t="inlineStr">
        <is>
          <t>ARVIDSJAUR</t>
        </is>
      </c>
      <c r="F235" t="inlineStr">
        <is>
          <t>Sveaskog</t>
        </is>
      </c>
      <c r="G235" t="n">
        <v>17.5</v>
      </c>
      <c r="H235" t="n">
        <v>0</v>
      </c>
      <c r="I235" t="n">
        <v>1</v>
      </c>
      <c r="J235" t="n">
        <v>5</v>
      </c>
      <c r="K235" t="n">
        <v>1</v>
      </c>
      <c r="L235" t="n">
        <v>0</v>
      </c>
      <c r="M235" t="n">
        <v>0</v>
      </c>
      <c r="N235" t="n">
        <v>0</v>
      </c>
      <c r="O235" t="n">
        <v>6</v>
      </c>
      <c r="P235" t="n">
        <v>1</v>
      </c>
      <c r="Q235" t="n">
        <v>7</v>
      </c>
      <c r="R235" s="2" t="inlineStr">
        <is>
          <t>Goliatmusseron
Gammelgransskål
Kolflarnlav
Mörk kolflarnlav
Skrovlig taggsvamp
Svart taggsvamp
Dropptaggsvamp</t>
        </is>
      </c>
      <c r="S235">
        <f>HYPERLINK("https://klasma.github.io/Logging_2505/artfynd/A 37507-2024 artfynd.xlsx", "A 37507-2024")</f>
        <v/>
      </c>
      <c r="T235">
        <f>HYPERLINK("https://klasma.github.io/Logging_2505/kartor/A 37507-2024 karta.png", "A 37507-2024")</f>
        <v/>
      </c>
      <c r="V235">
        <f>HYPERLINK("https://klasma.github.io/Logging_2505/klagomål/A 37507-2024 FSC-klagomål.docx", "A 37507-2024")</f>
        <v/>
      </c>
      <c r="W235">
        <f>HYPERLINK("https://klasma.github.io/Logging_2505/klagomålsmail/A 37507-2024 FSC-klagomål mail.docx", "A 37507-2024")</f>
        <v/>
      </c>
      <c r="X235">
        <f>HYPERLINK("https://klasma.github.io/Logging_2505/tillsyn/A 37507-2024 tillsynsbegäran.docx", "A 37507-2024")</f>
        <v/>
      </c>
      <c r="Y235">
        <f>HYPERLINK("https://klasma.github.io/Logging_2505/tillsynsmail/A 37507-2024 tillsynsbegäran mail.docx", "A 37507-2024")</f>
        <v/>
      </c>
    </row>
    <row r="236" ht="15" customHeight="1">
      <c r="A236" t="inlineStr">
        <is>
          <t>A 41915-2024</t>
        </is>
      </c>
      <c r="B236" s="1" t="n">
        <v>45561</v>
      </c>
      <c r="C236" s="1" t="n">
        <v>45798</v>
      </c>
      <c r="D236" t="inlineStr">
        <is>
          <t>NORRBOTTENS LÄN</t>
        </is>
      </c>
      <c r="E236" t="inlineStr">
        <is>
          <t>ÖVERTORNEÅ</t>
        </is>
      </c>
      <c r="G236" t="n">
        <v>5.5</v>
      </c>
      <c r="H236" t="n">
        <v>4</v>
      </c>
      <c r="I236" t="n">
        <v>1</v>
      </c>
      <c r="J236" t="n">
        <v>5</v>
      </c>
      <c r="K236" t="n">
        <v>1</v>
      </c>
      <c r="L236" t="n">
        <v>0</v>
      </c>
      <c r="M236" t="n">
        <v>0</v>
      </c>
      <c r="N236" t="n">
        <v>0</v>
      </c>
      <c r="O236" t="n">
        <v>6</v>
      </c>
      <c r="P236" t="n">
        <v>1</v>
      </c>
      <c r="Q236" t="n">
        <v>7</v>
      </c>
      <c r="R236" s="2" t="inlineStr">
        <is>
          <t>Knärot
Garnlav
Gränsticka
Spillkråka
Talltita
Ullticka
Plattlummer</t>
        </is>
      </c>
      <c r="S236">
        <f>HYPERLINK("https://klasma.github.io/Logging_2518/artfynd/A 41915-2024 artfynd.xlsx", "A 41915-2024")</f>
        <v/>
      </c>
      <c r="T236">
        <f>HYPERLINK("https://klasma.github.io/Logging_2518/kartor/A 41915-2024 karta.png", "A 41915-2024")</f>
        <v/>
      </c>
      <c r="U236">
        <f>HYPERLINK("https://klasma.github.io/Logging_2518/knärot/A 41915-2024 karta knärot.png", "A 41915-2024")</f>
        <v/>
      </c>
      <c r="V236">
        <f>HYPERLINK("https://klasma.github.io/Logging_2518/klagomål/A 41915-2024 FSC-klagomål.docx", "A 41915-2024")</f>
        <v/>
      </c>
      <c r="W236">
        <f>HYPERLINK("https://klasma.github.io/Logging_2518/klagomålsmail/A 41915-2024 FSC-klagomål mail.docx", "A 41915-2024")</f>
        <v/>
      </c>
      <c r="X236">
        <f>HYPERLINK("https://klasma.github.io/Logging_2518/tillsyn/A 41915-2024 tillsynsbegäran.docx", "A 41915-2024")</f>
        <v/>
      </c>
      <c r="Y236">
        <f>HYPERLINK("https://klasma.github.io/Logging_2518/tillsynsmail/A 41915-2024 tillsynsbegäran mail.docx", "A 41915-2024")</f>
        <v/>
      </c>
      <c r="Z236">
        <f>HYPERLINK("https://klasma.github.io/Logging_2518/fåglar/A 41915-2024 prioriterade fågelarter.docx", "A 41915-2024")</f>
        <v/>
      </c>
    </row>
    <row r="237" ht="15" customHeight="1">
      <c r="A237" t="inlineStr">
        <is>
          <t>A 4703-2025</t>
        </is>
      </c>
      <c r="B237" s="1" t="n">
        <v>45688</v>
      </c>
      <c r="C237" s="1" t="n">
        <v>45798</v>
      </c>
      <c r="D237" t="inlineStr">
        <is>
          <t>NORRBOTTENS LÄN</t>
        </is>
      </c>
      <c r="E237" t="inlineStr">
        <is>
          <t>PAJALA</t>
        </is>
      </c>
      <c r="F237" t="inlineStr">
        <is>
          <t>Sveaskog</t>
        </is>
      </c>
      <c r="G237" t="n">
        <v>19.1</v>
      </c>
      <c r="H237" t="n">
        <v>0</v>
      </c>
      <c r="I237" t="n">
        <v>2</v>
      </c>
      <c r="J237" t="n">
        <v>5</v>
      </c>
      <c r="K237" t="n">
        <v>0</v>
      </c>
      <c r="L237" t="n">
        <v>0</v>
      </c>
      <c r="M237" t="n">
        <v>0</v>
      </c>
      <c r="N237" t="n">
        <v>0</v>
      </c>
      <c r="O237" t="n">
        <v>5</v>
      </c>
      <c r="P237" t="n">
        <v>0</v>
      </c>
      <c r="Q237" t="n">
        <v>7</v>
      </c>
      <c r="R237" s="2" t="inlineStr">
        <is>
          <t>Blå taggsvamp
Motaggsvamp
Orange taggsvamp
Skrovlig taggsvamp
Talltaggsvamp
Dropptaggsvamp
Skarp dropptaggsvamp</t>
        </is>
      </c>
      <c r="S237">
        <f>HYPERLINK("https://klasma.github.io/Logging_2521/artfynd/A 4703-2025 artfynd.xlsx", "A 4703-2025")</f>
        <v/>
      </c>
      <c r="T237">
        <f>HYPERLINK("https://klasma.github.io/Logging_2521/kartor/A 4703-2025 karta.png", "A 4703-2025")</f>
        <v/>
      </c>
      <c r="V237">
        <f>HYPERLINK("https://klasma.github.io/Logging_2521/klagomål/A 4703-2025 FSC-klagomål.docx", "A 4703-2025")</f>
        <v/>
      </c>
      <c r="W237">
        <f>HYPERLINK("https://klasma.github.io/Logging_2521/klagomålsmail/A 4703-2025 FSC-klagomål mail.docx", "A 4703-2025")</f>
        <v/>
      </c>
      <c r="X237">
        <f>HYPERLINK("https://klasma.github.io/Logging_2521/tillsyn/A 4703-2025 tillsynsbegäran.docx", "A 4703-2025")</f>
        <v/>
      </c>
      <c r="Y237">
        <f>HYPERLINK("https://klasma.github.io/Logging_2521/tillsynsmail/A 4703-2025 tillsynsbegäran mail.docx", "A 4703-2025")</f>
        <v/>
      </c>
    </row>
    <row r="238" ht="15" customHeight="1">
      <c r="A238" t="inlineStr">
        <is>
          <t>A 22335-2025</t>
        </is>
      </c>
      <c r="B238" s="1" t="n">
        <v>45786</v>
      </c>
      <c r="C238" s="1" t="n">
        <v>45798</v>
      </c>
      <c r="D238" t="inlineStr">
        <is>
          <t>NORRBOTTENS LÄN</t>
        </is>
      </c>
      <c r="E238" t="inlineStr">
        <is>
          <t>JOKKMOKK</t>
        </is>
      </c>
      <c r="F238" t="inlineStr">
        <is>
          <t>Sveaskog</t>
        </is>
      </c>
      <c r="G238" t="n">
        <v>5.6</v>
      </c>
      <c r="H238" t="n">
        <v>0</v>
      </c>
      <c r="I238" t="n">
        <v>2</v>
      </c>
      <c r="J238" t="n">
        <v>4</v>
      </c>
      <c r="K238" t="n">
        <v>1</v>
      </c>
      <c r="L238" t="n">
        <v>0</v>
      </c>
      <c r="M238" t="n">
        <v>0</v>
      </c>
      <c r="N238" t="n">
        <v>0</v>
      </c>
      <c r="O238" t="n">
        <v>5</v>
      </c>
      <c r="P238" t="n">
        <v>1</v>
      </c>
      <c r="Q238" t="n">
        <v>7</v>
      </c>
      <c r="R238" s="2" t="inlineStr">
        <is>
          <t>Smalfotad taggsvamp
Kolflarnlav
Motaggsvamp
Orange taggsvamp
Svart taggsvamp
Dropptaggsvamp
Skarp dropptaggsvamp</t>
        </is>
      </c>
      <c r="S238">
        <f>HYPERLINK("https://klasma.github.io/Logging_252510/artfynd/A 22335-2025 artfynd.xlsx", "A 22335-2025")</f>
        <v/>
      </c>
      <c r="T238">
        <f>HYPERLINK("https://klasma.github.io/Logging_252510/kartor/A 22335-2025 karta.png", "A 22335-2025")</f>
        <v/>
      </c>
      <c r="V238">
        <f>HYPERLINK("https://klasma.github.io/Logging_252510/klagomål/A 22335-2025 FSC-klagomål.docx", "A 22335-2025")</f>
        <v/>
      </c>
      <c r="W238">
        <f>HYPERLINK("https://klasma.github.io/Logging_252510/klagomålsmail/A 22335-2025 FSC-klagomål mail.docx", "A 22335-2025")</f>
        <v/>
      </c>
      <c r="X238">
        <f>HYPERLINK("https://klasma.github.io/Logging_252510/tillsyn/A 22335-2025 tillsynsbegäran.docx", "A 22335-2025")</f>
        <v/>
      </c>
      <c r="Y238">
        <f>HYPERLINK("https://klasma.github.io/Logging_252510/tillsynsmail/A 22335-2025 tillsynsbegäran mail.docx", "A 22335-2025")</f>
        <v/>
      </c>
    </row>
    <row r="239" ht="15" customHeight="1">
      <c r="A239" t="inlineStr">
        <is>
          <t>A 35672-2019</t>
        </is>
      </c>
      <c r="B239" s="1" t="n">
        <v>43655</v>
      </c>
      <c r="C239" s="1" t="n">
        <v>45798</v>
      </c>
      <c r="D239" t="inlineStr">
        <is>
          <t>NORRBOTTENS LÄN</t>
        </is>
      </c>
      <c r="E239" t="inlineStr">
        <is>
          <t>LULEÅ</t>
        </is>
      </c>
      <c r="G239" t="n">
        <v>6.2</v>
      </c>
      <c r="H239" t="n">
        <v>1</v>
      </c>
      <c r="I239" t="n">
        <v>5</v>
      </c>
      <c r="J239" t="n">
        <v>1</v>
      </c>
      <c r="K239" t="n">
        <v>0</v>
      </c>
      <c r="L239" t="n">
        <v>0</v>
      </c>
      <c r="M239" t="n">
        <v>0</v>
      </c>
      <c r="N239" t="n">
        <v>0</v>
      </c>
      <c r="O239" t="n">
        <v>1</v>
      </c>
      <c r="P239" t="n">
        <v>0</v>
      </c>
      <c r="Q239" t="n">
        <v>6</v>
      </c>
      <c r="R239" s="2" t="inlineStr">
        <is>
          <t>Lunglav
Bronshjon
Skinnlav
Spindelblomster
Stuplav
Trådticka</t>
        </is>
      </c>
      <c r="S239">
        <f>HYPERLINK("https://klasma.github.io/Logging_2580/artfynd/A 35672-2019 artfynd.xlsx", "A 35672-2019")</f>
        <v/>
      </c>
      <c r="T239">
        <f>HYPERLINK("https://klasma.github.io/Logging_2580/kartor/A 35672-2019 karta.png", "A 35672-2019")</f>
        <v/>
      </c>
      <c r="V239">
        <f>HYPERLINK("https://klasma.github.io/Logging_2580/klagomål/A 35672-2019 FSC-klagomål.docx", "A 35672-2019")</f>
        <v/>
      </c>
      <c r="W239">
        <f>HYPERLINK("https://klasma.github.io/Logging_2580/klagomålsmail/A 35672-2019 FSC-klagomål mail.docx", "A 35672-2019")</f>
        <v/>
      </c>
      <c r="X239">
        <f>HYPERLINK("https://klasma.github.io/Logging_2580/tillsyn/A 35672-2019 tillsynsbegäran.docx", "A 35672-2019")</f>
        <v/>
      </c>
      <c r="Y239">
        <f>HYPERLINK("https://klasma.github.io/Logging_2580/tillsynsmail/A 35672-2019 tillsynsbegäran mail.docx", "A 35672-2019")</f>
        <v/>
      </c>
    </row>
    <row r="240" ht="15" customHeight="1">
      <c r="A240" t="inlineStr">
        <is>
          <t>A 36552-2019</t>
        </is>
      </c>
      <c r="B240" s="1" t="n">
        <v>43669</v>
      </c>
      <c r="C240" s="1" t="n">
        <v>45798</v>
      </c>
      <c r="D240" t="inlineStr">
        <is>
          <t>NORRBOTTENS LÄN</t>
        </is>
      </c>
      <c r="E240" t="inlineStr">
        <is>
          <t>JOKKMOKK</t>
        </is>
      </c>
      <c r="F240" t="inlineStr">
        <is>
          <t>Övriga statliga verk och myndigheter</t>
        </is>
      </c>
      <c r="G240" t="n">
        <v>38</v>
      </c>
      <c r="H240" t="n">
        <v>0</v>
      </c>
      <c r="I240" t="n">
        <v>2</v>
      </c>
      <c r="J240" t="n">
        <v>4</v>
      </c>
      <c r="K240" t="n">
        <v>0</v>
      </c>
      <c r="L240" t="n">
        <v>0</v>
      </c>
      <c r="M240" t="n">
        <v>0</v>
      </c>
      <c r="N240" t="n">
        <v>0</v>
      </c>
      <c r="O240" t="n">
        <v>4</v>
      </c>
      <c r="P240" t="n">
        <v>0</v>
      </c>
      <c r="Q240" t="n">
        <v>6</v>
      </c>
      <c r="R240" s="2" t="inlineStr">
        <is>
          <t>Granticka
Kolflarnlav
Ullticka
Vedskivlav
Skarp dropptaggsvamp
Skinnlav</t>
        </is>
      </c>
      <c r="S240">
        <f>HYPERLINK("https://klasma.github.io/Logging_2510/artfynd/A 36552-2019 artfynd.xlsx", "A 36552-2019")</f>
        <v/>
      </c>
      <c r="T240">
        <f>HYPERLINK("https://klasma.github.io/Logging_2510/kartor/A 36552-2019 karta.png", "A 36552-2019")</f>
        <v/>
      </c>
      <c r="V240">
        <f>HYPERLINK("https://klasma.github.io/Logging_2510/klagomål/A 36552-2019 FSC-klagomål.docx", "A 36552-2019")</f>
        <v/>
      </c>
      <c r="W240">
        <f>HYPERLINK("https://klasma.github.io/Logging_2510/klagomålsmail/A 36552-2019 FSC-klagomål mail.docx", "A 36552-2019")</f>
        <v/>
      </c>
      <c r="X240">
        <f>HYPERLINK("https://klasma.github.io/Logging_2510/tillsyn/A 36552-2019 tillsynsbegäran.docx", "A 36552-2019")</f>
        <v/>
      </c>
      <c r="Y240">
        <f>HYPERLINK("https://klasma.github.io/Logging_2510/tillsynsmail/A 36552-2019 tillsynsbegäran mail.docx", "A 36552-2019")</f>
        <v/>
      </c>
    </row>
    <row r="241" ht="15" customHeight="1">
      <c r="A241" t="inlineStr">
        <is>
          <t>A 38323-2019</t>
        </is>
      </c>
      <c r="B241" s="1" t="n">
        <v>43684</v>
      </c>
      <c r="C241" s="1" t="n">
        <v>45798</v>
      </c>
      <c r="D241" t="inlineStr">
        <is>
          <t>NORRBOTTENS LÄN</t>
        </is>
      </c>
      <c r="E241" t="inlineStr">
        <is>
          <t>GÄLLIVARE</t>
        </is>
      </c>
      <c r="F241" t="inlineStr">
        <is>
          <t>SCA</t>
        </is>
      </c>
      <c r="G241" t="n">
        <v>16.5</v>
      </c>
      <c r="H241" t="n">
        <v>2</v>
      </c>
      <c r="I241" t="n">
        <v>1</v>
      </c>
      <c r="J241" t="n">
        <v>4</v>
      </c>
      <c r="K241" t="n">
        <v>0</v>
      </c>
      <c r="L241" t="n">
        <v>0</v>
      </c>
      <c r="M241" t="n">
        <v>0</v>
      </c>
      <c r="N241" t="n">
        <v>0</v>
      </c>
      <c r="O241" t="n">
        <v>4</v>
      </c>
      <c r="P241" t="n">
        <v>0</v>
      </c>
      <c r="Q241" t="n">
        <v>6</v>
      </c>
      <c r="R241" s="2" t="inlineStr">
        <is>
          <t>Garnlav
Tallticka
Tretåig hackspett
Ullticka
Skinnlav
Fläcknycklar</t>
        </is>
      </c>
      <c r="S241">
        <f>HYPERLINK("https://klasma.github.io/Logging_2523/artfynd/A 38323-2019 artfynd.xlsx", "A 38323-2019")</f>
        <v/>
      </c>
      <c r="T241">
        <f>HYPERLINK("https://klasma.github.io/Logging_2523/kartor/A 38323-2019 karta.png", "A 38323-2019")</f>
        <v/>
      </c>
      <c r="V241">
        <f>HYPERLINK("https://klasma.github.io/Logging_2523/klagomål/A 38323-2019 FSC-klagomål.docx", "A 38323-2019")</f>
        <v/>
      </c>
      <c r="W241">
        <f>HYPERLINK("https://klasma.github.io/Logging_2523/klagomålsmail/A 38323-2019 FSC-klagomål mail.docx", "A 38323-2019")</f>
        <v/>
      </c>
      <c r="X241">
        <f>HYPERLINK("https://klasma.github.io/Logging_2523/tillsyn/A 38323-2019 tillsynsbegäran.docx", "A 38323-2019")</f>
        <v/>
      </c>
      <c r="Y241">
        <f>HYPERLINK("https://klasma.github.io/Logging_2523/tillsynsmail/A 38323-2019 tillsynsbegäran mail.docx", "A 38323-2019")</f>
        <v/>
      </c>
      <c r="Z241">
        <f>HYPERLINK("https://klasma.github.io/Logging_2523/fåglar/A 38323-2019 prioriterade fågelarter.docx", "A 38323-2019")</f>
        <v/>
      </c>
    </row>
    <row r="242" ht="15" customHeight="1">
      <c r="A242" t="inlineStr">
        <is>
          <t>A 34560-2020</t>
        </is>
      </c>
      <c r="B242" s="1" t="n">
        <v>44033</v>
      </c>
      <c r="C242" s="1" t="n">
        <v>45798</v>
      </c>
      <c r="D242" t="inlineStr">
        <is>
          <t>NORRBOTTENS LÄN</t>
        </is>
      </c>
      <c r="E242" t="inlineStr">
        <is>
          <t>JOKKMOKK</t>
        </is>
      </c>
      <c r="G242" t="n">
        <v>21.8</v>
      </c>
      <c r="H242" t="n">
        <v>0</v>
      </c>
      <c r="I242" t="n">
        <v>0</v>
      </c>
      <c r="J242" t="n">
        <v>4</v>
      </c>
      <c r="K242" t="n">
        <v>2</v>
      </c>
      <c r="L242" t="n">
        <v>0</v>
      </c>
      <c r="M242" t="n">
        <v>0</v>
      </c>
      <c r="N242" t="n">
        <v>0</v>
      </c>
      <c r="O242" t="n">
        <v>6</v>
      </c>
      <c r="P242" t="n">
        <v>2</v>
      </c>
      <c r="Q242" t="n">
        <v>6</v>
      </c>
      <c r="R242" s="2" t="inlineStr">
        <is>
          <t>Goliatmusseron
Tajgataggsvamp
Blå taggsvamp
Dvärgbägarlav
Talltaggsvamp
Vaddporing</t>
        </is>
      </c>
      <c r="S242">
        <f>HYPERLINK("https://klasma.github.io/Logging_2510/artfynd/A 34560-2020 artfynd.xlsx", "A 34560-2020")</f>
        <v/>
      </c>
      <c r="T242">
        <f>HYPERLINK("https://klasma.github.io/Logging_2510/kartor/A 34560-2020 karta.png", "A 34560-2020")</f>
        <v/>
      </c>
      <c r="V242">
        <f>HYPERLINK("https://klasma.github.io/Logging_2510/klagomål/A 34560-2020 FSC-klagomål.docx", "A 34560-2020")</f>
        <v/>
      </c>
      <c r="W242">
        <f>HYPERLINK("https://klasma.github.io/Logging_2510/klagomålsmail/A 34560-2020 FSC-klagomål mail.docx", "A 34560-2020")</f>
        <v/>
      </c>
      <c r="X242">
        <f>HYPERLINK("https://klasma.github.io/Logging_2510/tillsyn/A 34560-2020 tillsynsbegäran.docx", "A 34560-2020")</f>
        <v/>
      </c>
      <c r="Y242">
        <f>HYPERLINK("https://klasma.github.io/Logging_2510/tillsynsmail/A 34560-2020 tillsynsbegäran mail.docx", "A 34560-2020")</f>
        <v/>
      </c>
    </row>
    <row r="243" ht="15" customHeight="1">
      <c r="A243" t="inlineStr">
        <is>
          <t>A 8835-2021</t>
        </is>
      </c>
      <c r="B243" s="1" t="n">
        <v>44245</v>
      </c>
      <c r="C243" s="1" t="n">
        <v>45798</v>
      </c>
      <c r="D243" t="inlineStr">
        <is>
          <t>NORRBOTTENS LÄN</t>
        </is>
      </c>
      <c r="E243" t="inlineStr">
        <is>
          <t>LULEÅ</t>
        </is>
      </c>
      <c r="G243" t="n">
        <v>13.9</v>
      </c>
      <c r="H243" t="n">
        <v>2</v>
      </c>
      <c r="I243" t="n">
        <v>3</v>
      </c>
      <c r="J243" t="n">
        <v>3</v>
      </c>
      <c r="K243" t="n">
        <v>0</v>
      </c>
      <c r="L243" t="n">
        <v>0</v>
      </c>
      <c r="M243" t="n">
        <v>0</v>
      </c>
      <c r="N243" t="n">
        <v>0</v>
      </c>
      <c r="O243" t="n">
        <v>3</v>
      </c>
      <c r="P243" t="n">
        <v>0</v>
      </c>
      <c r="Q243" t="n">
        <v>6</v>
      </c>
      <c r="R243" s="2" t="inlineStr">
        <is>
          <t>Garnlav
Havsörn
Spillkråka
Barkticka
Dropptaggsvamp
Rävticka</t>
        </is>
      </c>
      <c r="S243">
        <f>HYPERLINK("https://klasma.github.io/Logging_2580/artfynd/A 8835-2021 artfynd.xlsx", "A 8835-2021")</f>
        <v/>
      </c>
      <c r="T243">
        <f>HYPERLINK("https://klasma.github.io/Logging_2580/kartor/A 8835-2021 karta.png", "A 8835-2021")</f>
        <v/>
      </c>
      <c r="V243">
        <f>HYPERLINK("https://klasma.github.io/Logging_2580/klagomål/A 8835-2021 FSC-klagomål.docx", "A 8835-2021")</f>
        <v/>
      </c>
      <c r="W243">
        <f>HYPERLINK("https://klasma.github.io/Logging_2580/klagomålsmail/A 8835-2021 FSC-klagomål mail.docx", "A 8835-2021")</f>
        <v/>
      </c>
      <c r="X243">
        <f>HYPERLINK("https://klasma.github.io/Logging_2580/tillsyn/A 8835-2021 tillsynsbegäran.docx", "A 8835-2021")</f>
        <v/>
      </c>
      <c r="Y243">
        <f>HYPERLINK("https://klasma.github.io/Logging_2580/tillsynsmail/A 8835-2021 tillsynsbegäran mail.docx", "A 8835-2021")</f>
        <v/>
      </c>
      <c r="Z243">
        <f>HYPERLINK("https://klasma.github.io/Logging_2580/fåglar/A 8835-2021 prioriterade fågelarter.docx", "A 8835-2021")</f>
        <v/>
      </c>
    </row>
    <row r="244" ht="15" customHeight="1">
      <c r="A244" t="inlineStr">
        <is>
          <t>A 31667-2021</t>
        </is>
      </c>
      <c r="B244" s="1" t="n">
        <v>44369</v>
      </c>
      <c r="C244" s="1" t="n">
        <v>45798</v>
      </c>
      <c r="D244" t="inlineStr">
        <is>
          <t>NORRBOTTENS LÄN</t>
        </is>
      </c>
      <c r="E244" t="inlineStr">
        <is>
          <t>HAPARANDA</t>
        </is>
      </c>
      <c r="G244" t="n">
        <v>16.3</v>
      </c>
      <c r="H244" t="n">
        <v>0</v>
      </c>
      <c r="I244" t="n">
        <v>0</v>
      </c>
      <c r="J244" t="n">
        <v>4</v>
      </c>
      <c r="K244" t="n">
        <v>2</v>
      </c>
      <c r="L244" t="n">
        <v>0</v>
      </c>
      <c r="M244" t="n">
        <v>0</v>
      </c>
      <c r="N244" t="n">
        <v>0</v>
      </c>
      <c r="O244" t="n">
        <v>6</v>
      </c>
      <c r="P244" t="n">
        <v>2</v>
      </c>
      <c r="Q244" t="n">
        <v>6</v>
      </c>
      <c r="R244" s="2" t="inlineStr">
        <is>
          <t>Goliatmusseron
Lakritsmusseron
Orange taggsvamp
Skrovlig taggsvamp
Tallriska
Talltaggsvamp</t>
        </is>
      </c>
      <c r="S244">
        <f>HYPERLINK("https://klasma.github.io/Logging_2583/artfynd/A 31667-2021 artfynd.xlsx", "A 31667-2021")</f>
        <v/>
      </c>
      <c r="T244">
        <f>HYPERLINK("https://klasma.github.io/Logging_2583/kartor/A 31667-2021 karta.png", "A 31667-2021")</f>
        <v/>
      </c>
      <c r="V244">
        <f>HYPERLINK("https://klasma.github.io/Logging_2583/klagomål/A 31667-2021 FSC-klagomål.docx", "A 31667-2021")</f>
        <v/>
      </c>
      <c r="W244">
        <f>HYPERLINK("https://klasma.github.io/Logging_2583/klagomålsmail/A 31667-2021 FSC-klagomål mail.docx", "A 31667-2021")</f>
        <v/>
      </c>
      <c r="X244">
        <f>HYPERLINK("https://klasma.github.io/Logging_2583/tillsyn/A 31667-2021 tillsynsbegäran.docx", "A 31667-2021")</f>
        <v/>
      </c>
      <c r="Y244">
        <f>HYPERLINK("https://klasma.github.io/Logging_2583/tillsynsmail/A 31667-2021 tillsynsbegäran mail.docx", "A 31667-2021")</f>
        <v/>
      </c>
    </row>
    <row r="245" ht="15" customHeight="1">
      <c r="A245" t="inlineStr">
        <is>
          <t>A 59199-2021</t>
        </is>
      </c>
      <c r="B245" s="1" t="n">
        <v>44490</v>
      </c>
      <c r="C245" s="1" t="n">
        <v>45798</v>
      </c>
      <c r="D245" t="inlineStr">
        <is>
          <t>NORRBOTTENS LÄN</t>
        </is>
      </c>
      <c r="E245" t="inlineStr">
        <is>
          <t>ARJEPLOG</t>
        </is>
      </c>
      <c r="G245" t="n">
        <v>16.2</v>
      </c>
      <c r="H245" t="n">
        <v>0</v>
      </c>
      <c r="I245" t="n">
        <v>0</v>
      </c>
      <c r="J245" t="n">
        <v>5</v>
      </c>
      <c r="K245" t="n">
        <v>1</v>
      </c>
      <c r="L245" t="n">
        <v>0</v>
      </c>
      <c r="M245" t="n">
        <v>0</v>
      </c>
      <c r="N245" t="n">
        <v>0</v>
      </c>
      <c r="O245" t="n">
        <v>6</v>
      </c>
      <c r="P245" t="n">
        <v>1</v>
      </c>
      <c r="Q245" t="n">
        <v>6</v>
      </c>
      <c r="R245" s="2" t="inlineStr">
        <is>
          <t>Rynkskinn
Gammelgransskål
Granticka
Gränsticka
Rosenticka
Ullticka</t>
        </is>
      </c>
      <c r="S245">
        <f>HYPERLINK("https://klasma.github.io/Logging_2506/artfynd/A 59199-2021 artfynd.xlsx", "A 59199-2021")</f>
        <v/>
      </c>
      <c r="T245">
        <f>HYPERLINK("https://klasma.github.io/Logging_2506/kartor/A 59199-2021 karta.png", "A 59199-2021")</f>
        <v/>
      </c>
      <c r="V245">
        <f>HYPERLINK("https://klasma.github.io/Logging_2506/klagomål/A 59199-2021 FSC-klagomål.docx", "A 59199-2021")</f>
        <v/>
      </c>
      <c r="W245">
        <f>HYPERLINK("https://klasma.github.io/Logging_2506/klagomålsmail/A 59199-2021 FSC-klagomål mail.docx", "A 59199-2021")</f>
        <v/>
      </c>
      <c r="X245">
        <f>HYPERLINK("https://klasma.github.io/Logging_2506/tillsyn/A 59199-2021 tillsynsbegäran.docx", "A 59199-2021")</f>
        <v/>
      </c>
      <c r="Y245">
        <f>HYPERLINK("https://klasma.github.io/Logging_2506/tillsynsmail/A 59199-2021 tillsynsbegäran mail.docx", "A 59199-2021")</f>
        <v/>
      </c>
    </row>
    <row r="246" ht="15" customHeight="1">
      <c r="A246" t="inlineStr">
        <is>
          <t>A 7958-2022</t>
        </is>
      </c>
      <c r="B246" s="1" t="n">
        <v>44608</v>
      </c>
      <c r="C246" s="1" t="n">
        <v>45798</v>
      </c>
      <c r="D246" t="inlineStr">
        <is>
          <t>NORRBOTTENS LÄN</t>
        </is>
      </c>
      <c r="E246" t="inlineStr">
        <is>
          <t>PAJALA</t>
        </is>
      </c>
      <c r="F246" t="inlineStr">
        <is>
          <t>SCA</t>
        </is>
      </c>
      <c r="G246" t="n">
        <v>30.7</v>
      </c>
      <c r="H246" t="n">
        <v>1</v>
      </c>
      <c r="I246" t="n">
        <v>2</v>
      </c>
      <c r="J246" t="n">
        <v>4</v>
      </c>
      <c r="K246" t="n">
        <v>0</v>
      </c>
      <c r="L246" t="n">
        <v>0</v>
      </c>
      <c r="M246" t="n">
        <v>0</v>
      </c>
      <c r="N246" t="n">
        <v>0</v>
      </c>
      <c r="O246" t="n">
        <v>4</v>
      </c>
      <c r="P246" t="n">
        <v>0</v>
      </c>
      <c r="Q246" t="n">
        <v>6</v>
      </c>
      <c r="R246" s="2" t="inlineStr">
        <is>
          <t>Garnlav
Granticka
Rosenticka
Ullticka
Plattlummer
Trådticka</t>
        </is>
      </c>
      <c r="S246">
        <f>HYPERLINK("https://klasma.github.io/Logging_2521/artfynd/A 7958-2022 artfynd.xlsx", "A 7958-2022")</f>
        <v/>
      </c>
      <c r="T246">
        <f>HYPERLINK("https://klasma.github.io/Logging_2521/kartor/A 7958-2022 karta.png", "A 7958-2022")</f>
        <v/>
      </c>
      <c r="V246">
        <f>HYPERLINK("https://klasma.github.io/Logging_2521/klagomål/A 7958-2022 FSC-klagomål.docx", "A 7958-2022")</f>
        <v/>
      </c>
      <c r="W246">
        <f>HYPERLINK("https://klasma.github.io/Logging_2521/klagomålsmail/A 7958-2022 FSC-klagomål mail.docx", "A 7958-2022")</f>
        <v/>
      </c>
      <c r="X246">
        <f>HYPERLINK("https://klasma.github.io/Logging_2521/tillsyn/A 7958-2022 tillsynsbegäran.docx", "A 7958-2022")</f>
        <v/>
      </c>
      <c r="Y246">
        <f>HYPERLINK("https://klasma.github.io/Logging_2521/tillsynsmail/A 7958-2022 tillsynsbegäran mail.docx", "A 7958-2022")</f>
        <v/>
      </c>
    </row>
    <row r="247" ht="15" customHeight="1">
      <c r="A247" t="inlineStr">
        <is>
          <t>A 24068-2022</t>
        </is>
      </c>
      <c r="B247" s="1" t="n">
        <v>44722</v>
      </c>
      <c r="C247" s="1" t="n">
        <v>45798</v>
      </c>
      <c r="D247" t="inlineStr">
        <is>
          <t>NORRBOTTENS LÄN</t>
        </is>
      </c>
      <c r="E247" t="inlineStr">
        <is>
          <t>JOKKMOKK</t>
        </is>
      </c>
      <c r="F247" t="inlineStr">
        <is>
          <t>Övriga statliga verk och myndigheter</t>
        </is>
      </c>
      <c r="G247" t="n">
        <v>5</v>
      </c>
      <c r="H247" t="n">
        <v>0</v>
      </c>
      <c r="I247" t="n">
        <v>3</v>
      </c>
      <c r="J247" t="n">
        <v>3</v>
      </c>
      <c r="K247" t="n">
        <v>0</v>
      </c>
      <c r="L247" t="n">
        <v>0</v>
      </c>
      <c r="M247" t="n">
        <v>0</v>
      </c>
      <c r="N247" t="n">
        <v>0</v>
      </c>
      <c r="O247" t="n">
        <v>3</v>
      </c>
      <c r="P247" t="n">
        <v>0</v>
      </c>
      <c r="Q247" t="n">
        <v>6</v>
      </c>
      <c r="R247" s="2" t="inlineStr">
        <is>
          <t>Blanksvart spiklav
Blå taggsvamp
Talltaggsvamp
Dropptaggsvamp
Skarp dropptaggsvamp
Stuplav</t>
        </is>
      </c>
      <c r="S247">
        <f>HYPERLINK("https://klasma.github.io/Logging_2510/artfynd/A 24068-2022 artfynd.xlsx", "A 24068-2022")</f>
        <v/>
      </c>
      <c r="T247">
        <f>HYPERLINK("https://klasma.github.io/Logging_2510/kartor/A 24068-2022 karta.png", "A 24068-2022")</f>
        <v/>
      </c>
      <c r="V247">
        <f>HYPERLINK("https://klasma.github.io/Logging_2510/klagomål/A 24068-2022 FSC-klagomål.docx", "A 24068-2022")</f>
        <v/>
      </c>
      <c r="W247">
        <f>HYPERLINK("https://klasma.github.io/Logging_2510/klagomålsmail/A 24068-2022 FSC-klagomål mail.docx", "A 24068-2022")</f>
        <v/>
      </c>
      <c r="X247">
        <f>HYPERLINK("https://klasma.github.io/Logging_2510/tillsyn/A 24068-2022 tillsynsbegäran.docx", "A 24068-2022")</f>
        <v/>
      </c>
      <c r="Y247">
        <f>HYPERLINK("https://klasma.github.io/Logging_2510/tillsynsmail/A 24068-2022 tillsynsbegäran mail.docx", "A 24068-2022")</f>
        <v/>
      </c>
    </row>
    <row r="248" ht="15" customHeight="1">
      <c r="A248" t="inlineStr">
        <is>
          <t>A 27740-2022</t>
        </is>
      </c>
      <c r="B248" s="1" t="n">
        <v>44743</v>
      </c>
      <c r="C248" s="1" t="n">
        <v>45798</v>
      </c>
      <c r="D248" t="inlineStr">
        <is>
          <t>NORRBOTTENS LÄN</t>
        </is>
      </c>
      <c r="E248" t="inlineStr">
        <is>
          <t>ARVIDSJAUR</t>
        </is>
      </c>
      <c r="F248" t="inlineStr">
        <is>
          <t>Sveaskog</t>
        </is>
      </c>
      <c r="G248" t="n">
        <v>17.1</v>
      </c>
      <c r="H248" t="n">
        <v>0</v>
      </c>
      <c r="I248" t="n">
        <v>0</v>
      </c>
      <c r="J248" t="n">
        <v>3</v>
      </c>
      <c r="K248" t="n">
        <v>3</v>
      </c>
      <c r="L248" t="n">
        <v>0</v>
      </c>
      <c r="M248" t="n">
        <v>0</v>
      </c>
      <c r="N248" t="n">
        <v>0</v>
      </c>
      <c r="O248" t="n">
        <v>6</v>
      </c>
      <c r="P248" t="n">
        <v>3</v>
      </c>
      <c r="Q248" t="n">
        <v>6</v>
      </c>
      <c r="R248" s="2" t="inlineStr">
        <is>
          <t>Fläckporing
Spadskinn
Tajgataggsvamp
Skrovlig taggsvamp
Talltaggsvamp
Vaddporing</t>
        </is>
      </c>
      <c r="S248">
        <f>HYPERLINK("https://klasma.github.io/Logging_2505/artfynd/A 27740-2022 artfynd.xlsx", "A 27740-2022")</f>
        <v/>
      </c>
      <c r="T248">
        <f>HYPERLINK("https://klasma.github.io/Logging_2505/kartor/A 27740-2022 karta.png", "A 27740-2022")</f>
        <v/>
      </c>
      <c r="V248">
        <f>HYPERLINK("https://klasma.github.io/Logging_2505/klagomål/A 27740-2022 FSC-klagomål.docx", "A 27740-2022")</f>
        <v/>
      </c>
      <c r="W248">
        <f>HYPERLINK("https://klasma.github.io/Logging_2505/klagomålsmail/A 27740-2022 FSC-klagomål mail.docx", "A 27740-2022")</f>
        <v/>
      </c>
      <c r="X248">
        <f>HYPERLINK("https://klasma.github.io/Logging_2505/tillsyn/A 27740-2022 tillsynsbegäran.docx", "A 27740-2022")</f>
        <v/>
      </c>
      <c r="Y248">
        <f>HYPERLINK("https://klasma.github.io/Logging_2505/tillsynsmail/A 27740-2022 tillsynsbegäran mail.docx", "A 27740-2022")</f>
        <v/>
      </c>
    </row>
    <row r="249" ht="15" customHeight="1">
      <c r="A249" t="inlineStr">
        <is>
          <t>A 47549-2022</t>
        </is>
      </c>
      <c r="B249" s="1" t="n">
        <v>44853</v>
      </c>
      <c r="C249" s="1" t="n">
        <v>45798</v>
      </c>
      <c r="D249" t="inlineStr">
        <is>
          <t>NORRBOTTENS LÄN</t>
        </is>
      </c>
      <c r="E249" t="inlineStr">
        <is>
          <t>BODEN</t>
        </is>
      </c>
      <c r="G249" t="n">
        <v>9</v>
      </c>
      <c r="H249" t="n">
        <v>1</v>
      </c>
      <c r="I249" t="n">
        <v>1</v>
      </c>
      <c r="J249" t="n">
        <v>5</v>
      </c>
      <c r="K249" t="n">
        <v>0</v>
      </c>
      <c r="L249" t="n">
        <v>0</v>
      </c>
      <c r="M249" t="n">
        <v>0</v>
      </c>
      <c r="N249" t="n">
        <v>0</v>
      </c>
      <c r="O249" t="n">
        <v>5</v>
      </c>
      <c r="P249" t="n">
        <v>0</v>
      </c>
      <c r="Q249" t="n">
        <v>6</v>
      </c>
      <c r="R249" s="2" t="inlineStr">
        <is>
          <t>Gammelgransskål
Garnlav
Kolflarnlav
Spillkråka
Vedskivlav
Dropptaggsvamp</t>
        </is>
      </c>
      <c r="S249">
        <f>HYPERLINK("https://klasma.github.io/Logging_2582/artfynd/A 47549-2022 artfynd.xlsx", "A 47549-2022")</f>
        <v/>
      </c>
      <c r="T249">
        <f>HYPERLINK("https://klasma.github.io/Logging_2582/kartor/A 47549-2022 karta.png", "A 47549-2022")</f>
        <v/>
      </c>
      <c r="V249">
        <f>HYPERLINK("https://klasma.github.io/Logging_2582/klagomål/A 47549-2022 FSC-klagomål.docx", "A 47549-2022")</f>
        <v/>
      </c>
      <c r="W249">
        <f>HYPERLINK("https://klasma.github.io/Logging_2582/klagomålsmail/A 47549-2022 FSC-klagomål mail.docx", "A 47549-2022")</f>
        <v/>
      </c>
      <c r="X249">
        <f>HYPERLINK("https://klasma.github.io/Logging_2582/tillsyn/A 47549-2022 tillsynsbegäran.docx", "A 47549-2022")</f>
        <v/>
      </c>
      <c r="Y249">
        <f>HYPERLINK("https://klasma.github.io/Logging_2582/tillsynsmail/A 47549-2022 tillsynsbegäran mail.docx", "A 47549-2022")</f>
        <v/>
      </c>
      <c r="Z249">
        <f>HYPERLINK("https://klasma.github.io/Logging_2582/fåglar/A 47549-2022 prioriterade fågelarter.docx", "A 47549-2022")</f>
        <v/>
      </c>
    </row>
    <row r="250" ht="15" customHeight="1">
      <c r="A250" t="inlineStr">
        <is>
          <t>A 51132-2022</t>
        </is>
      </c>
      <c r="B250" s="1" t="n">
        <v>44868</v>
      </c>
      <c r="C250" s="1" t="n">
        <v>45798</v>
      </c>
      <c r="D250" t="inlineStr">
        <is>
          <t>NORRBOTTENS LÄN</t>
        </is>
      </c>
      <c r="E250" t="inlineStr">
        <is>
          <t>ARVIDSJAUR</t>
        </is>
      </c>
      <c r="F250" t="inlineStr">
        <is>
          <t>Sveaskog</t>
        </is>
      </c>
      <c r="G250" t="n">
        <v>13.7</v>
      </c>
      <c r="H250" t="n">
        <v>0</v>
      </c>
      <c r="I250" t="n">
        <v>2</v>
      </c>
      <c r="J250" t="n">
        <v>3</v>
      </c>
      <c r="K250" t="n">
        <v>1</v>
      </c>
      <c r="L250" t="n">
        <v>0</v>
      </c>
      <c r="M250" t="n">
        <v>0</v>
      </c>
      <c r="N250" t="n">
        <v>0</v>
      </c>
      <c r="O250" t="n">
        <v>4</v>
      </c>
      <c r="P250" t="n">
        <v>1</v>
      </c>
      <c r="Q250" t="n">
        <v>6</v>
      </c>
      <c r="R250" s="2" t="inlineStr">
        <is>
          <t>Gräddporing
Knottrig blåslav
Kolflarnlav
Nordtagging
Dropptaggsvamp
Vedticka</t>
        </is>
      </c>
      <c r="S250">
        <f>HYPERLINK("https://klasma.github.io/Logging_2505/artfynd/A 51132-2022 artfynd.xlsx", "A 51132-2022")</f>
        <v/>
      </c>
      <c r="T250">
        <f>HYPERLINK("https://klasma.github.io/Logging_2505/kartor/A 51132-2022 karta.png", "A 51132-2022")</f>
        <v/>
      </c>
      <c r="V250">
        <f>HYPERLINK("https://klasma.github.io/Logging_2505/klagomål/A 51132-2022 FSC-klagomål.docx", "A 51132-2022")</f>
        <v/>
      </c>
      <c r="W250">
        <f>HYPERLINK("https://klasma.github.io/Logging_2505/klagomålsmail/A 51132-2022 FSC-klagomål mail.docx", "A 51132-2022")</f>
        <v/>
      </c>
      <c r="X250">
        <f>HYPERLINK("https://klasma.github.io/Logging_2505/tillsyn/A 51132-2022 tillsynsbegäran.docx", "A 51132-2022")</f>
        <v/>
      </c>
      <c r="Y250">
        <f>HYPERLINK("https://klasma.github.io/Logging_2505/tillsynsmail/A 51132-2022 tillsynsbegäran mail.docx", "A 51132-2022")</f>
        <v/>
      </c>
    </row>
    <row r="251" ht="15" customHeight="1">
      <c r="A251" t="inlineStr">
        <is>
          <t>A 19907-2023</t>
        </is>
      </c>
      <c r="B251" s="1" t="n">
        <v>45054</v>
      </c>
      <c r="C251" s="1" t="n">
        <v>45798</v>
      </c>
      <c r="D251" t="inlineStr">
        <is>
          <t>NORRBOTTENS LÄN</t>
        </is>
      </c>
      <c r="E251" t="inlineStr">
        <is>
          <t>GÄLLIVARE</t>
        </is>
      </c>
      <c r="F251" t="inlineStr">
        <is>
          <t>Sveaskog</t>
        </is>
      </c>
      <c r="G251" t="n">
        <v>18.6</v>
      </c>
      <c r="H251" t="n">
        <v>0</v>
      </c>
      <c r="I251" t="n">
        <v>1</v>
      </c>
      <c r="J251" t="n">
        <v>2</v>
      </c>
      <c r="K251" t="n">
        <v>2</v>
      </c>
      <c r="L251" t="n">
        <v>0</v>
      </c>
      <c r="M251" t="n">
        <v>1</v>
      </c>
      <c r="N251" t="n">
        <v>0</v>
      </c>
      <c r="O251" t="n">
        <v>5</v>
      </c>
      <c r="P251" t="n">
        <v>3</v>
      </c>
      <c r="Q251" t="n">
        <v>6</v>
      </c>
      <c r="R251" s="2" t="inlineStr">
        <is>
          <t>Kritporing
Gräddporing
Tallgråticka
Blå taggsvamp
Motaggsvamp
Dropptaggsvamp</t>
        </is>
      </c>
      <c r="S251">
        <f>HYPERLINK("https://klasma.github.io/Logging_2523/artfynd/A 19907-2023 artfynd.xlsx", "A 19907-2023")</f>
        <v/>
      </c>
      <c r="T251">
        <f>HYPERLINK("https://klasma.github.io/Logging_2523/kartor/A 19907-2023 karta.png", "A 19907-2023")</f>
        <v/>
      </c>
      <c r="V251">
        <f>HYPERLINK("https://klasma.github.io/Logging_2523/klagomål/A 19907-2023 FSC-klagomål.docx", "A 19907-2023")</f>
        <v/>
      </c>
      <c r="W251">
        <f>HYPERLINK("https://klasma.github.io/Logging_2523/klagomålsmail/A 19907-2023 FSC-klagomål mail.docx", "A 19907-2023")</f>
        <v/>
      </c>
      <c r="X251">
        <f>HYPERLINK("https://klasma.github.io/Logging_2523/tillsyn/A 19907-2023 tillsynsbegäran.docx", "A 19907-2023")</f>
        <v/>
      </c>
      <c r="Y251">
        <f>HYPERLINK("https://klasma.github.io/Logging_2523/tillsynsmail/A 19907-2023 tillsynsbegäran mail.docx", "A 19907-2023")</f>
        <v/>
      </c>
    </row>
    <row r="252" ht="15" customHeight="1">
      <c r="A252" t="inlineStr">
        <is>
          <t>A 25229-2023</t>
        </is>
      </c>
      <c r="B252" s="1" t="n">
        <v>45079</v>
      </c>
      <c r="C252" s="1" t="n">
        <v>45798</v>
      </c>
      <c r="D252" t="inlineStr">
        <is>
          <t>NORRBOTTENS LÄN</t>
        </is>
      </c>
      <c r="E252" t="inlineStr">
        <is>
          <t>ARJEPLOG</t>
        </is>
      </c>
      <c r="F252" t="inlineStr">
        <is>
          <t>Övriga statliga verk och myndigheter</t>
        </is>
      </c>
      <c r="G252" t="n">
        <v>18.2</v>
      </c>
      <c r="H252" t="n">
        <v>1</v>
      </c>
      <c r="I252" t="n">
        <v>0</v>
      </c>
      <c r="J252" t="n">
        <v>5</v>
      </c>
      <c r="K252" t="n">
        <v>1</v>
      </c>
      <c r="L252" t="n">
        <v>0</v>
      </c>
      <c r="M252" t="n">
        <v>0</v>
      </c>
      <c r="N252" t="n">
        <v>0</v>
      </c>
      <c r="O252" t="n">
        <v>6</v>
      </c>
      <c r="P252" t="n">
        <v>1</v>
      </c>
      <c r="Q252" t="n">
        <v>6</v>
      </c>
      <c r="R252" s="2" t="inlineStr">
        <is>
          <t>Ostticka
Gammelgransskål
Granticka
Rosenticka
Rödbrun blekspik
Tretåig hackspett</t>
        </is>
      </c>
      <c r="S252">
        <f>HYPERLINK("https://klasma.github.io/Logging_2506/artfynd/A 25229-2023 artfynd.xlsx", "A 25229-2023")</f>
        <v/>
      </c>
      <c r="T252">
        <f>HYPERLINK("https://klasma.github.io/Logging_2506/kartor/A 25229-2023 karta.png", "A 25229-2023")</f>
        <v/>
      </c>
      <c r="V252">
        <f>HYPERLINK("https://klasma.github.io/Logging_2506/klagomål/A 25229-2023 FSC-klagomål.docx", "A 25229-2023")</f>
        <v/>
      </c>
      <c r="W252">
        <f>HYPERLINK("https://klasma.github.io/Logging_2506/klagomålsmail/A 25229-2023 FSC-klagomål mail.docx", "A 25229-2023")</f>
        <v/>
      </c>
      <c r="X252">
        <f>HYPERLINK("https://klasma.github.io/Logging_2506/tillsyn/A 25229-2023 tillsynsbegäran.docx", "A 25229-2023")</f>
        <v/>
      </c>
      <c r="Y252">
        <f>HYPERLINK("https://klasma.github.io/Logging_2506/tillsynsmail/A 25229-2023 tillsynsbegäran mail.docx", "A 25229-2023")</f>
        <v/>
      </c>
      <c r="Z252">
        <f>HYPERLINK("https://klasma.github.io/Logging_2506/fåglar/A 25229-2023 prioriterade fågelarter.docx", "A 25229-2023")</f>
        <v/>
      </c>
    </row>
    <row r="253" ht="15" customHeight="1">
      <c r="A253" t="inlineStr">
        <is>
          <t>A 25299-2023</t>
        </is>
      </c>
      <c r="B253" s="1" t="n">
        <v>45087</v>
      </c>
      <c r="C253" s="1" t="n">
        <v>45798</v>
      </c>
      <c r="D253" t="inlineStr">
        <is>
          <t>NORRBOTTENS LÄN</t>
        </is>
      </c>
      <c r="E253" t="inlineStr">
        <is>
          <t>ÖVERTORNEÅ</t>
        </is>
      </c>
      <c r="G253" t="n">
        <v>3.8</v>
      </c>
      <c r="H253" t="n">
        <v>1</v>
      </c>
      <c r="I253" t="n">
        <v>3</v>
      </c>
      <c r="J253" t="n">
        <v>3</v>
      </c>
      <c r="K253" t="n">
        <v>0</v>
      </c>
      <c r="L253" t="n">
        <v>0</v>
      </c>
      <c r="M253" t="n">
        <v>0</v>
      </c>
      <c r="N253" t="n">
        <v>0</v>
      </c>
      <c r="O253" t="n">
        <v>3</v>
      </c>
      <c r="P253" t="n">
        <v>0</v>
      </c>
      <c r="Q253" t="n">
        <v>6</v>
      </c>
      <c r="R253" s="2" t="inlineStr">
        <is>
          <t>Garnlav
Granticka
Tretåig hackspett
Bårdlav
Skinnlav
Stuplav</t>
        </is>
      </c>
      <c r="S253">
        <f>HYPERLINK("https://klasma.github.io/Logging_2518/artfynd/A 25299-2023 artfynd.xlsx", "A 25299-2023")</f>
        <v/>
      </c>
      <c r="T253">
        <f>HYPERLINK("https://klasma.github.io/Logging_2518/kartor/A 25299-2023 karta.png", "A 25299-2023")</f>
        <v/>
      </c>
      <c r="V253">
        <f>HYPERLINK("https://klasma.github.io/Logging_2518/klagomål/A 25299-2023 FSC-klagomål.docx", "A 25299-2023")</f>
        <v/>
      </c>
      <c r="W253">
        <f>HYPERLINK("https://klasma.github.io/Logging_2518/klagomålsmail/A 25299-2023 FSC-klagomål mail.docx", "A 25299-2023")</f>
        <v/>
      </c>
      <c r="X253">
        <f>HYPERLINK("https://klasma.github.io/Logging_2518/tillsyn/A 25299-2023 tillsynsbegäran.docx", "A 25299-2023")</f>
        <v/>
      </c>
      <c r="Y253">
        <f>HYPERLINK("https://klasma.github.io/Logging_2518/tillsynsmail/A 25299-2023 tillsynsbegäran mail.docx", "A 25299-2023")</f>
        <v/>
      </c>
      <c r="Z253">
        <f>HYPERLINK("https://klasma.github.io/Logging_2518/fåglar/A 25299-2023 prioriterade fågelarter.docx", "A 25299-2023")</f>
        <v/>
      </c>
    </row>
    <row r="254" ht="15" customHeight="1">
      <c r="A254" t="inlineStr">
        <is>
          <t>A 41652-2023</t>
        </is>
      </c>
      <c r="B254" s="1" t="n">
        <v>45175</v>
      </c>
      <c r="C254" s="1" t="n">
        <v>45798</v>
      </c>
      <c r="D254" t="inlineStr">
        <is>
          <t>NORRBOTTENS LÄN</t>
        </is>
      </c>
      <c r="E254" t="inlineStr">
        <is>
          <t>GÄLLIVARE</t>
        </is>
      </c>
      <c r="F254" t="inlineStr">
        <is>
          <t>SCA</t>
        </is>
      </c>
      <c r="G254" t="n">
        <v>16.1</v>
      </c>
      <c r="H254" t="n">
        <v>1</v>
      </c>
      <c r="I254" t="n">
        <v>0</v>
      </c>
      <c r="J254" t="n">
        <v>4</v>
      </c>
      <c r="K254" t="n">
        <v>2</v>
      </c>
      <c r="L254" t="n">
        <v>0</v>
      </c>
      <c r="M254" t="n">
        <v>0</v>
      </c>
      <c r="N254" t="n">
        <v>0</v>
      </c>
      <c r="O254" t="n">
        <v>6</v>
      </c>
      <c r="P254" t="n">
        <v>2</v>
      </c>
      <c r="Q254" t="n">
        <v>6</v>
      </c>
      <c r="R254" s="2" t="inlineStr">
        <is>
          <t>Fläckporing
Mörk blåslav
Garnlav
Knottrig blåslav
Kolflarnlav
Tretåig hackspett</t>
        </is>
      </c>
      <c r="S254">
        <f>HYPERLINK("https://klasma.github.io/Logging_2523/artfynd/A 41652-2023 artfynd.xlsx", "A 41652-2023")</f>
        <v/>
      </c>
      <c r="T254">
        <f>HYPERLINK("https://klasma.github.io/Logging_2523/kartor/A 41652-2023 karta.png", "A 41652-2023")</f>
        <v/>
      </c>
      <c r="V254">
        <f>HYPERLINK("https://klasma.github.io/Logging_2523/klagomål/A 41652-2023 FSC-klagomål.docx", "A 41652-2023")</f>
        <v/>
      </c>
      <c r="W254">
        <f>HYPERLINK("https://klasma.github.io/Logging_2523/klagomålsmail/A 41652-2023 FSC-klagomål mail.docx", "A 41652-2023")</f>
        <v/>
      </c>
      <c r="X254">
        <f>HYPERLINK("https://klasma.github.io/Logging_2523/tillsyn/A 41652-2023 tillsynsbegäran.docx", "A 41652-2023")</f>
        <v/>
      </c>
      <c r="Y254">
        <f>HYPERLINK("https://klasma.github.io/Logging_2523/tillsynsmail/A 41652-2023 tillsynsbegäran mail.docx", "A 41652-2023")</f>
        <v/>
      </c>
      <c r="Z254">
        <f>HYPERLINK("https://klasma.github.io/Logging_2523/fåglar/A 41652-2023 prioriterade fågelarter.docx", "A 41652-2023")</f>
        <v/>
      </c>
    </row>
    <row r="255" ht="15" customHeight="1">
      <c r="A255" t="inlineStr">
        <is>
          <t>A 47509-2023</t>
        </is>
      </c>
      <c r="B255" s="1" t="n">
        <v>45203</v>
      </c>
      <c r="C255" s="1" t="n">
        <v>45798</v>
      </c>
      <c r="D255" t="inlineStr">
        <is>
          <t>NORRBOTTENS LÄN</t>
        </is>
      </c>
      <c r="E255" t="inlineStr">
        <is>
          <t>PITEÅ</t>
        </is>
      </c>
      <c r="F255" t="inlineStr">
        <is>
          <t>Sveaskog</t>
        </is>
      </c>
      <c r="G255" t="n">
        <v>17.7</v>
      </c>
      <c r="H255" t="n">
        <v>1</v>
      </c>
      <c r="I255" t="n">
        <v>3</v>
      </c>
      <c r="J255" t="n">
        <v>3</v>
      </c>
      <c r="K255" t="n">
        <v>0</v>
      </c>
      <c r="L255" t="n">
        <v>0</v>
      </c>
      <c r="M255" t="n">
        <v>0</v>
      </c>
      <c r="N255" t="n">
        <v>0</v>
      </c>
      <c r="O255" t="n">
        <v>3</v>
      </c>
      <c r="P255" t="n">
        <v>0</v>
      </c>
      <c r="Q255" t="n">
        <v>6</v>
      </c>
      <c r="R255" s="2" t="inlineStr">
        <is>
          <t>Garnlav
Kolflarnlav
Tretåig hackspett
Dropptaggsvamp
Luddlav
Stuplav</t>
        </is>
      </c>
      <c r="S255">
        <f>HYPERLINK("https://klasma.github.io/Logging_2581/artfynd/A 47509-2023 artfynd.xlsx", "A 47509-2023")</f>
        <v/>
      </c>
      <c r="T255">
        <f>HYPERLINK("https://klasma.github.io/Logging_2581/kartor/A 47509-2023 karta.png", "A 47509-2023")</f>
        <v/>
      </c>
      <c r="V255">
        <f>HYPERLINK("https://klasma.github.io/Logging_2581/klagomål/A 47509-2023 FSC-klagomål.docx", "A 47509-2023")</f>
        <v/>
      </c>
      <c r="W255">
        <f>HYPERLINK("https://klasma.github.io/Logging_2581/klagomålsmail/A 47509-2023 FSC-klagomål mail.docx", "A 47509-2023")</f>
        <v/>
      </c>
      <c r="X255">
        <f>HYPERLINK("https://klasma.github.io/Logging_2581/tillsyn/A 47509-2023 tillsynsbegäran.docx", "A 47509-2023")</f>
        <v/>
      </c>
      <c r="Y255">
        <f>HYPERLINK("https://klasma.github.io/Logging_2581/tillsynsmail/A 47509-2023 tillsynsbegäran mail.docx", "A 47509-2023")</f>
        <v/>
      </c>
      <c r="Z255">
        <f>HYPERLINK("https://klasma.github.io/Logging_2581/fåglar/A 47509-2023 prioriterade fågelarter.docx", "A 47509-2023")</f>
        <v/>
      </c>
    </row>
    <row r="256" ht="15" customHeight="1">
      <c r="A256" t="inlineStr">
        <is>
          <t>A 51381-2023</t>
        </is>
      </c>
      <c r="B256" s="1" t="n">
        <v>45213</v>
      </c>
      <c r="C256" s="1" t="n">
        <v>45798</v>
      </c>
      <c r="D256" t="inlineStr">
        <is>
          <t>NORRBOTTENS LÄN</t>
        </is>
      </c>
      <c r="E256" t="inlineStr">
        <is>
          <t>GÄLLIVARE</t>
        </is>
      </c>
      <c r="G256" t="n">
        <v>9.1</v>
      </c>
      <c r="H256" t="n">
        <v>2</v>
      </c>
      <c r="I256" t="n">
        <v>1</v>
      </c>
      <c r="J256" t="n">
        <v>4</v>
      </c>
      <c r="K256" t="n">
        <v>0</v>
      </c>
      <c r="L256" t="n">
        <v>0</v>
      </c>
      <c r="M256" t="n">
        <v>0</v>
      </c>
      <c r="N256" t="n">
        <v>0</v>
      </c>
      <c r="O256" t="n">
        <v>4</v>
      </c>
      <c r="P256" t="n">
        <v>0</v>
      </c>
      <c r="Q256" t="n">
        <v>6</v>
      </c>
      <c r="R256" s="2" t="inlineStr">
        <is>
          <t>Kolflarnlav
Mörk kolflarnlav
Spillkråka
Vedskivlav
Dropptaggsvamp
Kungsfågel</t>
        </is>
      </c>
      <c r="S256">
        <f>HYPERLINK("https://klasma.github.io/Logging_2523/artfynd/A 51381-2023 artfynd.xlsx", "A 51381-2023")</f>
        <v/>
      </c>
      <c r="T256">
        <f>HYPERLINK("https://klasma.github.io/Logging_2523/kartor/A 51381-2023 karta.png", "A 51381-2023")</f>
        <v/>
      </c>
      <c r="V256">
        <f>HYPERLINK("https://klasma.github.io/Logging_2523/klagomål/A 51381-2023 FSC-klagomål.docx", "A 51381-2023")</f>
        <v/>
      </c>
      <c r="W256">
        <f>HYPERLINK("https://klasma.github.io/Logging_2523/klagomålsmail/A 51381-2023 FSC-klagomål mail.docx", "A 51381-2023")</f>
        <v/>
      </c>
      <c r="X256">
        <f>HYPERLINK("https://klasma.github.io/Logging_2523/tillsyn/A 51381-2023 tillsynsbegäran.docx", "A 51381-2023")</f>
        <v/>
      </c>
      <c r="Y256">
        <f>HYPERLINK("https://klasma.github.io/Logging_2523/tillsynsmail/A 51381-2023 tillsynsbegäran mail.docx", "A 51381-2023")</f>
        <v/>
      </c>
      <c r="Z256">
        <f>HYPERLINK("https://klasma.github.io/Logging_2523/fåglar/A 51381-2023 prioriterade fågelarter.docx", "A 51381-2023")</f>
        <v/>
      </c>
    </row>
    <row r="257" ht="15" customHeight="1">
      <c r="A257" t="inlineStr">
        <is>
          <t>A 52293-2023</t>
        </is>
      </c>
      <c r="B257" s="1" t="n">
        <v>45217</v>
      </c>
      <c r="C257" s="1" t="n">
        <v>45798</v>
      </c>
      <c r="D257" t="inlineStr">
        <is>
          <t>NORRBOTTENS LÄN</t>
        </is>
      </c>
      <c r="E257" t="inlineStr">
        <is>
          <t>JOKKMOKK</t>
        </is>
      </c>
      <c r="F257" t="inlineStr">
        <is>
          <t>Övriga statliga verk och myndigheter</t>
        </is>
      </c>
      <c r="G257" t="n">
        <v>32.6</v>
      </c>
      <c r="H257" t="n">
        <v>0</v>
      </c>
      <c r="I257" t="n">
        <v>2</v>
      </c>
      <c r="J257" t="n">
        <v>4</v>
      </c>
      <c r="K257" t="n">
        <v>0</v>
      </c>
      <c r="L257" t="n">
        <v>0</v>
      </c>
      <c r="M257" t="n">
        <v>0</v>
      </c>
      <c r="N257" t="n">
        <v>0</v>
      </c>
      <c r="O257" t="n">
        <v>4</v>
      </c>
      <c r="P257" t="n">
        <v>0</v>
      </c>
      <c r="Q257" t="n">
        <v>6</v>
      </c>
      <c r="R257" s="2" t="inlineStr">
        <is>
          <t>Orange taggsvamp
Talltaggsvamp
Vedflamlav
Vedskivlav
Dropptaggsvamp
Skarp dropptaggsvamp</t>
        </is>
      </c>
      <c r="S257">
        <f>HYPERLINK("https://klasma.github.io/Logging_2510/artfynd/A 52293-2023 artfynd.xlsx", "A 52293-2023")</f>
        <v/>
      </c>
      <c r="T257">
        <f>HYPERLINK("https://klasma.github.io/Logging_2510/kartor/A 52293-2023 karta.png", "A 52293-2023")</f>
        <v/>
      </c>
      <c r="V257">
        <f>HYPERLINK("https://klasma.github.io/Logging_2510/klagomål/A 52293-2023 FSC-klagomål.docx", "A 52293-2023")</f>
        <v/>
      </c>
      <c r="W257">
        <f>HYPERLINK("https://klasma.github.io/Logging_2510/klagomålsmail/A 52293-2023 FSC-klagomål mail.docx", "A 52293-2023")</f>
        <v/>
      </c>
      <c r="X257">
        <f>HYPERLINK("https://klasma.github.io/Logging_2510/tillsyn/A 52293-2023 tillsynsbegäran.docx", "A 52293-2023")</f>
        <v/>
      </c>
      <c r="Y257">
        <f>HYPERLINK("https://klasma.github.io/Logging_2510/tillsynsmail/A 52293-2023 tillsynsbegäran mail.docx", "A 52293-2023")</f>
        <v/>
      </c>
    </row>
    <row r="258" ht="15" customHeight="1">
      <c r="A258" t="inlineStr">
        <is>
          <t>A 52315-2023</t>
        </is>
      </c>
      <c r="B258" s="1" t="n">
        <v>45224</v>
      </c>
      <c r="C258" s="1" t="n">
        <v>45798</v>
      </c>
      <c r="D258" t="inlineStr">
        <is>
          <t>NORRBOTTENS LÄN</t>
        </is>
      </c>
      <c r="E258" t="inlineStr">
        <is>
          <t>LULEÅ</t>
        </is>
      </c>
      <c r="G258" t="n">
        <v>19.2</v>
      </c>
      <c r="H258" t="n">
        <v>1</v>
      </c>
      <c r="I258" t="n">
        <v>2</v>
      </c>
      <c r="J258" t="n">
        <v>4</v>
      </c>
      <c r="K258" t="n">
        <v>0</v>
      </c>
      <c r="L258" t="n">
        <v>0</v>
      </c>
      <c r="M258" t="n">
        <v>0</v>
      </c>
      <c r="N258" t="n">
        <v>0</v>
      </c>
      <c r="O258" t="n">
        <v>4</v>
      </c>
      <c r="P258" t="n">
        <v>0</v>
      </c>
      <c r="Q258" t="n">
        <v>6</v>
      </c>
      <c r="R258" s="2" t="inlineStr">
        <is>
          <t>Garnlav
Granticka
Talltita
Ullticka
Jättesvampmal
Stuplav</t>
        </is>
      </c>
      <c r="S258">
        <f>HYPERLINK("https://klasma.github.io/Logging_2580/artfynd/A 52315-2023 artfynd.xlsx", "A 52315-2023")</f>
        <v/>
      </c>
      <c r="T258">
        <f>HYPERLINK("https://klasma.github.io/Logging_2580/kartor/A 52315-2023 karta.png", "A 52315-2023")</f>
        <v/>
      </c>
      <c r="V258">
        <f>HYPERLINK("https://klasma.github.io/Logging_2580/klagomål/A 52315-2023 FSC-klagomål.docx", "A 52315-2023")</f>
        <v/>
      </c>
      <c r="W258">
        <f>HYPERLINK("https://klasma.github.io/Logging_2580/klagomålsmail/A 52315-2023 FSC-klagomål mail.docx", "A 52315-2023")</f>
        <v/>
      </c>
      <c r="X258">
        <f>HYPERLINK("https://klasma.github.io/Logging_2580/tillsyn/A 52315-2023 tillsynsbegäran.docx", "A 52315-2023")</f>
        <v/>
      </c>
      <c r="Y258">
        <f>HYPERLINK("https://klasma.github.io/Logging_2580/tillsynsmail/A 52315-2023 tillsynsbegäran mail.docx", "A 52315-2023")</f>
        <v/>
      </c>
      <c r="Z258">
        <f>HYPERLINK("https://klasma.github.io/Logging_2580/fåglar/A 52315-2023 prioriterade fågelarter.docx", "A 52315-2023")</f>
        <v/>
      </c>
    </row>
    <row r="259" ht="15" customHeight="1">
      <c r="A259" t="inlineStr">
        <is>
          <t>A 62891-2023</t>
        </is>
      </c>
      <c r="B259" s="1" t="n">
        <v>45272</v>
      </c>
      <c r="C259" s="1" t="n">
        <v>45798</v>
      </c>
      <c r="D259" t="inlineStr">
        <is>
          <t>NORRBOTTENS LÄN</t>
        </is>
      </c>
      <c r="E259" t="inlineStr">
        <is>
          <t>GÄLLIVARE</t>
        </is>
      </c>
      <c r="F259" t="inlineStr">
        <is>
          <t>Sveaskog</t>
        </is>
      </c>
      <c r="G259" t="n">
        <v>2.4</v>
      </c>
      <c r="H259" t="n">
        <v>1</v>
      </c>
      <c r="I259" t="n">
        <v>2</v>
      </c>
      <c r="J259" t="n">
        <v>2</v>
      </c>
      <c r="K259" t="n">
        <v>2</v>
      </c>
      <c r="L259" t="n">
        <v>0</v>
      </c>
      <c r="M259" t="n">
        <v>0</v>
      </c>
      <c r="N259" t="n">
        <v>0</v>
      </c>
      <c r="O259" t="n">
        <v>4</v>
      </c>
      <c r="P259" t="n">
        <v>2</v>
      </c>
      <c r="Q259" t="n">
        <v>6</v>
      </c>
      <c r="R259" s="2" t="inlineStr">
        <is>
          <t>Goliatmusseron
Smalfotad taggsvamp
Blå taggsvamp
Svart taggsvamp
Dropptaggsvamp
Plattlummer</t>
        </is>
      </c>
      <c r="S259">
        <f>HYPERLINK("https://klasma.github.io/Logging_2523/artfynd/A 62891-2023 artfynd.xlsx", "A 62891-2023")</f>
        <v/>
      </c>
      <c r="T259">
        <f>HYPERLINK("https://klasma.github.io/Logging_2523/kartor/A 62891-2023 karta.png", "A 62891-2023")</f>
        <v/>
      </c>
      <c r="V259">
        <f>HYPERLINK("https://klasma.github.io/Logging_2523/klagomål/A 62891-2023 FSC-klagomål.docx", "A 62891-2023")</f>
        <v/>
      </c>
      <c r="W259">
        <f>HYPERLINK("https://klasma.github.io/Logging_2523/klagomålsmail/A 62891-2023 FSC-klagomål mail.docx", "A 62891-2023")</f>
        <v/>
      </c>
      <c r="X259">
        <f>HYPERLINK("https://klasma.github.io/Logging_2523/tillsyn/A 62891-2023 tillsynsbegäran.docx", "A 62891-2023")</f>
        <v/>
      </c>
      <c r="Y259">
        <f>HYPERLINK("https://klasma.github.io/Logging_2523/tillsynsmail/A 62891-2023 tillsynsbegäran mail.docx", "A 62891-2023")</f>
        <v/>
      </c>
    </row>
    <row r="260" ht="15" customHeight="1">
      <c r="A260" t="inlineStr">
        <is>
          <t>A 62893-2023</t>
        </is>
      </c>
      <c r="B260" s="1" t="n">
        <v>45272</v>
      </c>
      <c r="C260" s="1" t="n">
        <v>45798</v>
      </c>
      <c r="D260" t="inlineStr">
        <is>
          <t>NORRBOTTENS LÄN</t>
        </is>
      </c>
      <c r="E260" t="inlineStr">
        <is>
          <t>GÄLLIVARE</t>
        </is>
      </c>
      <c r="F260" t="inlineStr">
        <is>
          <t>Sveaskog</t>
        </is>
      </c>
      <c r="G260" t="n">
        <v>11.4</v>
      </c>
      <c r="H260" t="n">
        <v>1</v>
      </c>
      <c r="I260" t="n">
        <v>3</v>
      </c>
      <c r="J260" t="n">
        <v>3</v>
      </c>
      <c r="K260" t="n">
        <v>0</v>
      </c>
      <c r="L260" t="n">
        <v>0</v>
      </c>
      <c r="M260" t="n">
        <v>0</v>
      </c>
      <c r="N260" t="n">
        <v>0</v>
      </c>
      <c r="O260" t="n">
        <v>3</v>
      </c>
      <c r="P260" t="n">
        <v>0</v>
      </c>
      <c r="Q260" t="n">
        <v>6</v>
      </c>
      <c r="R260" s="2" t="inlineStr">
        <is>
          <t>Blå taggsvamp
Orange taggsvamp
Svart taggsvamp
Dropptaggsvamp
Plattlummer
Skarp dropptaggsvamp</t>
        </is>
      </c>
      <c r="S260">
        <f>HYPERLINK("https://klasma.github.io/Logging_2523/artfynd/A 62893-2023 artfynd.xlsx", "A 62893-2023")</f>
        <v/>
      </c>
      <c r="T260">
        <f>HYPERLINK("https://klasma.github.io/Logging_2523/kartor/A 62893-2023 karta.png", "A 62893-2023")</f>
        <v/>
      </c>
      <c r="V260">
        <f>HYPERLINK("https://klasma.github.io/Logging_2523/klagomål/A 62893-2023 FSC-klagomål.docx", "A 62893-2023")</f>
        <v/>
      </c>
      <c r="W260">
        <f>HYPERLINK("https://klasma.github.io/Logging_2523/klagomålsmail/A 62893-2023 FSC-klagomål mail.docx", "A 62893-2023")</f>
        <v/>
      </c>
      <c r="X260">
        <f>HYPERLINK("https://klasma.github.io/Logging_2523/tillsyn/A 62893-2023 tillsynsbegäran.docx", "A 62893-2023")</f>
        <v/>
      </c>
      <c r="Y260">
        <f>HYPERLINK("https://klasma.github.io/Logging_2523/tillsynsmail/A 62893-2023 tillsynsbegäran mail.docx", "A 62893-2023")</f>
        <v/>
      </c>
    </row>
    <row r="261" ht="15" customHeight="1">
      <c r="A261" t="inlineStr">
        <is>
          <t>A 586-2024</t>
        </is>
      </c>
      <c r="B261" s="1" t="n">
        <v>45299</v>
      </c>
      <c r="C261" s="1" t="n">
        <v>45798</v>
      </c>
      <c r="D261" t="inlineStr">
        <is>
          <t>NORRBOTTENS LÄN</t>
        </is>
      </c>
      <c r="E261" t="inlineStr">
        <is>
          <t>ÄLVSBYN</t>
        </is>
      </c>
      <c r="F261" t="inlineStr">
        <is>
          <t>Sveaskog</t>
        </is>
      </c>
      <c r="G261" t="n">
        <v>19.5</v>
      </c>
      <c r="H261" t="n">
        <v>0</v>
      </c>
      <c r="I261" t="n">
        <v>1</v>
      </c>
      <c r="J261" t="n">
        <v>4</v>
      </c>
      <c r="K261" t="n">
        <v>1</v>
      </c>
      <c r="L261" t="n">
        <v>0</v>
      </c>
      <c r="M261" t="n">
        <v>0</v>
      </c>
      <c r="N261" t="n">
        <v>0</v>
      </c>
      <c r="O261" t="n">
        <v>5</v>
      </c>
      <c r="P261" t="n">
        <v>1</v>
      </c>
      <c r="Q261" t="n">
        <v>6</v>
      </c>
      <c r="R261" s="2" t="inlineStr">
        <is>
          <t>Goliatmusseron
Blå taggsvamp
Motaggsvamp
Orange taggsvamp
Svart taggsvamp
Skarp dropptaggsvamp</t>
        </is>
      </c>
      <c r="S261">
        <f>HYPERLINK("https://klasma.github.io/Logging_2560/artfynd/A 586-2024 artfynd.xlsx", "A 586-2024")</f>
        <v/>
      </c>
      <c r="T261">
        <f>HYPERLINK("https://klasma.github.io/Logging_2560/kartor/A 586-2024 karta.png", "A 586-2024")</f>
        <v/>
      </c>
      <c r="V261">
        <f>HYPERLINK("https://klasma.github.io/Logging_2560/klagomål/A 586-2024 FSC-klagomål.docx", "A 586-2024")</f>
        <v/>
      </c>
      <c r="W261">
        <f>HYPERLINK("https://klasma.github.io/Logging_2560/klagomålsmail/A 586-2024 FSC-klagomål mail.docx", "A 586-2024")</f>
        <v/>
      </c>
      <c r="X261">
        <f>HYPERLINK("https://klasma.github.io/Logging_2560/tillsyn/A 586-2024 tillsynsbegäran.docx", "A 586-2024")</f>
        <v/>
      </c>
      <c r="Y261">
        <f>HYPERLINK("https://klasma.github.io/Logging_2560/tillsynsmail/A 586-2024 tillsynsbegäran mail.docx", "A 586-2024")</f>
        <v/>
      </c>
    </row>
    <row r="262" ht="15" customHeight="1">
      <c r="A262" t="inlineStr">
        <is>
          <t>A 7561-2024</t>
        </is>
      </c>
      <c r="B262" s="1" t="n">
        <v>45348</v>
      </c>
      <c r="C262" s="1" t="n">
        <v>45798</v>
      </c>
      <c r="D262" t="inlineStr">
        <is>
          <t>NORRBOTTENS LÄN</t>
        </is>
      </c>
      <c r="E262" t="inlineStr">
        <is>
          <t>ÖVERTORNEÅ</t>
        </is>
      </c>
      <c r="G262" t="n">
        <v>5.1</v>
      </c>
      <c r="H262" t="n">
        <v>2</v>
      </c>
      <c r="I262" t="n">
        <v>3</v>
      </c>
      <c r="J262" t="n">
        <v>3</v>
      </c>
      <c r="K262" t="n">
        <v>0</v>
      </c>
      <c r="L262" t="n">
        <v>0</v>
      </c>
      <c r="M262" t="n">
        <v>0</v>
      </c>
      <c r="N262" t="n">
        <v>0</v>
      </c>
      <c r="O262" t="n">
        <v>3</v>
      </c>
      <c r="P262" t="n">
        <v>0</v>
      </c>
      <c r="Q262" t="n">
        <v>6</v>
      </c>
      <c r="R262" s="2" t="inlineStr">
        <is>
          <t>Garnlav
Järpe
Spillkråka
Skinnlav
Stor aspticka
Vedticka</t>
        </is>
      </c>
      <c r="S262">
        <f>HYPERLINK("https://klasma.github.io/Logging_2518/artfynd/A 7561-2024 artfynd.xlsx", "A 7561-2024")</f>
        <v/>
      </c>
      <c r="T262">
        <f>HYPERLINK("https://klasma.github.io/Logging_2518/kartor/A 7561-2024 karta.png", "A 7561-2024")</f>
        <v/>
      </c>
      <c r="V262">
        <f>HYPERLINK("https://klasma.github.io/Logging_2518/klagomål/A 7561-2024 FSC-klagomål.docx", "A 7561-2024")</f>
        <v/>
      </c>
      <c r="W262">
        <f>HYPERLINK("https://klasma.github.io/Logging_2518/klagomålsmail/A 7561-2024 FSC-klagomål mail.docx", "A 7561-2024")</f>
        <v/>
      </c>
      <c r="X262">
        <f>HYPERLINK("https://klasma.github.io/Logging_2518/tillsyn/A 7561-2024 tillsynsbegäran.docx", "A 7561-2024")</f>
        <v/>
      </c>
      <c r="Y262">
        <f>HYPERLINK("https://klasma.github.io/Logging_2518/tillsynsmail/A 7561-2024 tillsynsbegäran mail.docx", "A 7561-2024")</f>
        <v/>
      </c>
      <c r="Z262">
        <f>HYPERLINK("https://klasma.github.io/Logging_2518/fåglar/A 7561-2024 prioriterade fågelarter.docx", "A 7561-2024")</f>
        <v/>
      </c>
    </row>
    <row r="263" ht="15" customHeight="1">
      <c r="A263" t="inlineStr">
        <is>
          <t>A 9019-2024</t>
        </is>
      </c>
      <c r="B263" s="1" t="n">
        <v>45356</v>
      </c>
      <c r="C263" s="1" t="n">
        <v>45798</v>
      </c>
      <c r="D263" t="inlineStr">
        <is>
          <t>NORRBOTTENS LÄN</t>
        </is>
      </c>
      <c r="E263" t="inlineStr">
        <is>
          <t>PITEÅ</t>
        </is>
      </c>
      <c r="G263" t="n">
        <v>11.1</v>
      </c>
      <c r="H263" t="n">
        <v>5</v>
      </c>
      <c r="I263" t="n">
        <v>0</v>
      </c>
      <c r="J263" t="n">
        <v>4</v>
      </c>
      <c r="K263" t="n">
        <v>0</v>
      </c>
      <c r="L263" t="n">
        <v>0</v>
      </c>
      <c r="M263" t="n">
        <v>0</v>
      </c>
      <c r="N263" t="n">
        <v>0</v>
      </c>
      <c r="O263" t="n">
        <v>4</v>
      </c>
      <c r="P263" t="n">
        <v>0</v>
      </c>
      <c r="Q263" t="n">
        <v>6</v>
      </c>
      <c r="R263" s="2" t="inlineStr">
        <is>
          <t>Garnlav
Mindre hackspett
Spillkråka
Talltita
Kungsfågel
Sångsvan</t>
        </is>
      </c>
      <c r="S263">
        <f>HYPERLINK("https://klasma.github.io/Logging_2581/artfynd/A 9019-2024 artfynd.xlsx", "A 9019-2024")</f>
        <v/>
      </c>
      <c r="T263">
        <f>HYPERLINK("https://klasma.github.io/Logging_2581/kartor/A 9019-2024 karta.png", "A 9019-2024")</f>
        <v/>
      </c>
      <c r="V263">
        <f>HYPERLINK("https://klasma.github.io/Logging_2581/klagomål/A 9019-2024 FSC-klagomål.docx", "A 9019-2024")</f>
        <v/>
      </c>
      <c r="W263">
        <f>HYPERLINK("https://klasma.github.io/Logging_2581/klagomålsmail/A 9019-2024 FSC-klagomål mail.docx", "A 9019-2024")</f>
        <v/>
      </c>
      <c r="X263">
        <f>HYPERLINK("https://klasma.github.io/Logging_2581/tillsyn/A 9019-2024 tillsynsbegäran.docx", "A 9019-2024")</f>
        <v/>
      </c>
      <c r="Y263">
        <f>HYPERLINK("https://klasma.github.io/Logging_2581/tillsynsmail/A 9019-2024 tillsynsbegäran mail.docx", "A 9019-2024")</f>
        <v/>
      </c>
      <c r="Z263">
        <f>HYPERLINK("https://klasma.github.io/Logging_2581/fåglar/A 9019-2024 prioriterade fågelarter.docx", "A 9019-2024")</f>
        <v/>
      </c>
    </row>
    <row r="264" ht="15" customHeight="1">
      <c r="A264" t="inlineStr">
        <is>
          <t>A 16027-2024</t>
        </is>
      </c>
      <c r="B264" s="1" t="n">
        <v>45405</v>
      </c>
      <c r="C264" s="1" t="n">
        <v>45798</v>
      </c>
      <c r="D264" t="inlineStr">
        <is>
          <t>NORRBOTTENS LÄN</t>
        </is>
      </c>
      <c r="E264" t="inlineStr">
        <is>
          <t>ÖVERTORNEÅ</t>
        </is>
      </c>
      <c r="G264" t="n">
        <v>7.2</v>
      </c>
      <c r="H264" t="n">
        <v>2</v>
      </c>
      <c r="I264" t="n">
        <v>3</v>
      </c>
      <c r="J264" t="n">
        <v>3</v>
      </c>
      <c r="K264" t="n">
        <v>0</v>
      </c>
      <c r="L264" t="n">
        <v>0</v>
      </c>
      <c r="M264" t="n">
        <v>0</v>
      </c>
      <c r="N264" t="n">
        <v>0</v>
      </c>
      <c r="O264" t="n">
        <v>3</v>
      </c>
      <c r="P264" t="n">
        <v>0</v>
      </c>
      <c r="Q264" t="n">
        <v>6</v>
      </c>
      <c r="R264" s="2" t="inlineStr">
        <is>
          <t>Mörk kolflarnlav
Spillkråka
Violmussling
Bronshjon
Spindelblomster
Stuplav</t>
        </is>
      </c>
      <c r="S264">
        <f>HYPERLINK("https://klasma.github.io/Logging_2518/artfynd/A 16027-2024 artfynd.xlsx", "A 16027-2024")</f>
        <v/>
      </c>
      <c r="T264">
        <f>HYPERLINK("https://klasma.github.io/Logging_2518/kartor/A 16027-2024 karta.png", "A 16027-2024")</f>
        <v/>
      </c>
      <c r="V264">
        <f>HYPERLINK("https://klasma.github.io/Logging_2518/klagomål/A 16027-2024 FSC-klagomål.docx", "A 16027-2024")</f>
        <v/>
      </c>
      <c r="W264">
        <f>HYPERLINK("https://klasma.github.io/Logging_2518/klagomålsmail/A 16027-2024 FSC-klagomål mail.docx", "A 16027-2024")</f>
        <v/>
      </c>
      <c r="X264">
        <f>HYPERLINK("https://klasma.github.io/Logging_2518/tillsyn/A 16027-2024 tillsynsbegäran.docx", "A 16027-2024")</f>
        <v/>
      </c>
      <c r="Y264">
        <f>HYPERLINK("https://klasma.github.io/Logging_2518/tillsynsmail/A 16027-2024 tillsynsbegäran mail.docx", "A 16027-2024")</f>
        <v/>
      </c>
      <c r="Z264">
        <f>HYPERLINK("https://klasma.github.io/Logging_2518/fåglar/A 16027-2024 prioriterade fågelarter.docx", "A 16027-2024")</f>
        <v/>
      </c>
    </row>
    <row r="265" ht="15" customHeight="1">
      <c r="A265" t="inlineStr">
        <is>
          <t>A 20285-2024</t>
        </is>
      </c>
      <c r="B265" s="1" t="n">
        <v>45434</v>
      </c>
      <c r="C265" s="1" t="n">
        <v>45798</v>
      </c>
      <c r="D265" t="inlineStr">
        <is>
          <t>NORRBOTTENS LÄN</t>
        </is>
      </c>
      <c r="E265" t="inlineStr">
        <is>
          <t>PAJALA</t>
        </is>
      </c>
      <c r="G265" t="n">
        <v>8.4</v>
      </c>
      <c r="H265" t="n">
        <v>2</v>
      </c>
      <c r="I265" t="n">
        <v>0</v>
      </c>
      <c r="J265" t="n">
        <v>4</v>
      </c>
      <c r="K265" t="n">
        <v>1</v>
      </c>
      <c r="L265" t="n">
        <v>0</v>
      </c>
      <c r="M265" t="n">
        <v>0</v>
      </c>
      <c r="N265" t="n">
        <v>0</v>
      </c>
      <c r="O265" t="n">
        <v>5</v>
      </c>
      <c r="P265" t="n">
        <v>1</v>
      </c>
      <c r="Q265" t="n">
        <v>6</v>
      </c>
      <c r="R265" s="2" t="inlineStr">
        <is>
          <t>Ulltickeporing
Gammelgransskål
Garnlav
Spillkråka
Ullticka
Revlummer</t>
        </is>
      </c>
      <c r="S265">
        <f>HYPERLINK("https://klasma.github.io/Logging_2521/artfynd/A 20285-2024 artfynd.xlsx", "A 20285-2024")</f>
        <v/>
      </c>
      <c r="T265">
        <f>HYPERLINK("https://klasma.github.io/Logging_2521/kartor/A 20285-2024 karta.png", "A 20285-2024")</f>
        <v/>
      </c>
      <c r="V265">
        <f>HYPERLINK("https://klasma.github.io/Logging_2521/klagomål/A 20285-2024 FSC-klagomål.docx", "A 20285-2024")</f>
        <v/>
      </c>
      <c r="W265">
        <f>HYPERLINK("https://klasma.github.io/Logging_2521/klagomålsmail/A 20285-2024 FSC-klagomål mail.docx", "A 20285-2024")</f>
        <v/>
      </c>
      <c r="X265">
        <f>HYPERLINK("https://klasma.github.io/Logging_2521/tillsyn/A 20285-2024 tillsynsbegäran.docx", "A 20285-2024")</f>
        <v/>
      </c>
      <c r="Y265">
        <f>HYPERLINK("https://klasma.github.io/Logging_2521/tillsynsmail/A 20285-2024 tillsynsbegäran mail.docx", "A 20285-2024")</f>
        <v/>
      </c>
      <c r="Z265">
        <f>HYPERLINK("https://klasma.github.io/Logging_2521/fåglar/A 20285-2024 prioriterade fågelarter.docx", "A 20285-2024")</f>
        <v/>
      </c>
    </row>
    <row r="266" ht="15" customHeight="1">
      <c r="A266" t="inlineStr">
        <is>
          <t>A 20593-2024</t>
        </is>
      </c>
      <c r="B266" s="1" t="n">
        <v>45436</v>
      </c>
      <c r="C266" s="1" t="n">
        <v>45798</v>
      </c>
      <c r="D266" t="inlineStr">
        <is>
          <t>NORRBOTTENS LÄN</t>
        </is>
      </c>
      <c r="E266" t="inlineStr">
        <is>
          <t>ARVIDSJAUR</t>
        </is>
      </c>
      <c r="F266" t="inlineStr">
        <is>
          <t>Sveaskog</t>
        </is>
      </c>
      <c r="G266" t="n">
        <v>7.1</v>
      </c>
      <c r="H266" t="n">
        <v>0</v>
      </c>
      <c r="I266" t="n">
        <v>0</v>
      </c>
      <c r="J266" t="n">
        <v>5</v>
      </c>
      <c r="K266" t="n">
        <v>1</v>
      </c>
      <c r="L266" t="n">
        <v>0</v>
      </c>
      <c r="M266" t="n">
        <v>0</v>
      </c>
      <c r="N266" t="n">
        <v>0</v>
      </c>
      <c r="O266" t="n">
        <v>6</v>
      </c>
      <c r="P266" t="n">
        <v>1</v>
      </c>
      <c r="Q266" t="n">
        <v>6</v>
      </c>
      <c r="R266" s="2" t="inlineStr">
        <is>
          <t>Ostticka
Gammelgransskål
Garnlav
Granticka
Harticka
Ullticka</t>
        </is>
      </c>
      <c r="S266">
        <f>HYPERLINK("https://klasma.github.io/Logging_2505/artfynd/A 20593-2024 artfynd.xlsx", "A 20593-2024")</f>
        <v/>
      </c>
      <c r="T266">
        <f>HYPERLINK("https://klasma.github.io/Logging_2505/kartor/A 20593-2024 karta.png", "A 20593-2024")</f>
        <v/>
      </c>
      <c r="V266">
        <f>HYPERLINK("https://klasma.github.io/Logging_2505/klagomål/A 20593-2024 FSC-klagomål.docx", "A 20593-2024")</f>
        <v/>
      </c>
      <c r="W266">
        <f>HYPERLINK("https://klasma.github.io/Logging_2505/klagomålsmail/A 20593-2024 FSC-klagomål mail.docx", "A 20593-2024")</f>
        <v/>
      </c>
      <c r="X266">
        <f>HYPERLINK("https://klasma.github.io/Logging_2505/tillsyn/A 20593-2024 tillsynsbegäran.docx", "A 20593-2024")</f>
        <v/>
      </c>
      <c r="Y266">
        <f>HYPERLINK("https://klasma.github.io/Logging_2505/tillsynsmail/A 20593-2024 tillsynsbegäran mail.docx", "A 20593-2024")</f>
        <v/>
      </c>
    </row>
    <row r="267" ht="15" customHeight="1">
      <c r="A267" t="inlineStr">
        <is>
          <t>A 26736-2024</t>
        </is>
      </c>
      <c r="B267" s="1" t="n">
        <v>45470</v>
      </c>
      <c r="C267" s="1" t="n">
        <v>45798</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26736-2024 artfynd.xlsx", "A 26736-2024")</f>
        <v/>
      </c>
      <c r="T267">
        <f>HYPERLINK("https://klasma.github.io/Logging_2560/kartor/A 26736-2024 karta.png", "A 26736-2024")</f>
        <v/>
      </c>
      <c r="V267">
        <f>HYPERLINK("https://klasma.github.io/Logging_2560/klagomål/A 26736-2024 FSC-klagomål.docx", "A 26736-2024")</f>
        <v/>
      </c>
      <c r="W267">
        <f>HYPERLINK("https://klasma.github.io/Logging_2560/klagomålsmail/A 26736-2024 FSC-klagomål mail.docx", "A 26736-2024")</f>
        <v/>
      </c>
      <c r="X267">
        <f>HYPERLINK("https://klasma.github.io/Logging_2560/tillsyn/A 26736-2024 tillsynsbegäran.docx", "A 26736-2024")</f>
        <v/>
      </c>
      <c r="Y267">
        <f>HYPERLINK("https://klasma.github.io/Logging_2560/tillsynsmail/A 26736-2024 tillsynsbegäran mail.docx", "A 26736-2024")</f>
        <v/>
      </c>
    </row>
    <row r="268" ht="15" customHeight="1">
      <c r="A268" t="inlineStr">
        <is>
          <t>A 26968-2024</t>
        </is>
      </c>
      <c r="B268" s="1" t="n">
        <v>45471</v>
      </c>
      <c r="C268" s="1" t="n">
        <v>45798</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26968-2024 artfynd.xlsx", "A 26968-2024")</f>
        <v/>
      </c>
      <c r="T268">
        <f>HYPERLINK("https://klasma.github.io/Logging_2560/kartor/A 26968-2024 karta.png", "A 26968-2024")</f>
        <v/>
      </c>
      <c r="V268">
        <f>HYPERLINK("https://klasma.github.io/Logging_2560/klagomål/A 26968-2024 FSC-klagomål.docx", "A 26968-2024")</f>
        <v/>
      </c>
      <c r="W268">
        <f>HYPERLINK("https://klasma.github.io/Logging_2560/klagomålsmail/A 26968-2024 FSC-klagomål mail.docx", "A 26968-2024")</f>
        <v/>
      </c>
      <c r="X268">
        <f>HYPERLINK("https://klasma.github.io/Logging_2560/tillsyn/A 26968-2024 tillsynsbegäran.docx", "A 26968-2024")</f>
        <v/>
      </c>
      <c r="Y268">
        <f>HYPERLINK("https://klasma.github.io/Logging_2560/tillsynsmail/A 26968-2024 tillsynsbegäran mail.docx", "A 26968-2024")</f>
        <v/>
      </c>
    </row>
    <row r="269" ht="15" customHeight="1">
      <c r="A269" t="inlineStr">
        <is>
          <t>A 28951-2024</t>
        </is>
      </c>
      <c r="B269" s="1" t="n">
        <v>45481</v>
      </c>
      <c r="C269" s="1" t="n">
        <v>45798</v>
      </c>
      <c r="D269" t="inlineStr">
        <is>
          <t>NORRBOTTENS LÄN</t>
        </is>
      </c>
      <c r="E269" t="inlineStr">
        <is>
          <t>ÖVERTORNEÅ</t>
        </is>
      </c>
      <c r="G269" t="n">
        <v>11.8</v>
      </c>
      <c r="H269" t="n">
        <v>2</v>
      </c>
      <c r="I269" t="n">
        <v>1</v>
      </c>
      <c r="J269" t="n">
        <v>5</v>
      </c>
      <c r="K269" t="n">
        <v>0</v>
      </c>
      <c r="L269" t="n">
        <v>0</v>
      </c>
      <c r="M269" t="n">
        <v>0</v>
      </c>
      <c r="N269" t="n">
        <v>0</v>
      </c>
      <c r="O269" t="n">
        <v>5</v>
      </c>
      <c r="P269" t="n">
        <v>0</v>
      </c>
      <c r="Q269" t="n">
        <v>6</v>
      </c>
      <c r="R269" s="2" t="inlineStr">
        <is>
          <t>Garnlav
Granticka
Luddfingersvamp
Spillkråka
Tretåig hackspett
Skinnlav</t>
        </is>
      </c>
      <c r="S269">
        <f>HYPERLINK("https://klasma.github.io/Logging_2518/artfynd/A 28951-2024 artfynd.xlsx", "A 28951-2024")</f>
        <v/>
      </c>
      <c r="T269">
        <f>HYPERLINK("https://klasma.github.io/Logging_2518/kartor/A 28951-2024 karta.png", "A 28951-2024")</f>
        <v/>
      </c>
      <c r="V269">
        <f>HYPERLINK("https://klasma.github.io/Logging_2518/klagomål/A 28951-2024 FSC-klagomål.docx", "A 28951-2024")</f>
        <v/>
      </c>
      <c r="W269">
        <f>HYPERLINK("https://klasma.github.io/Logging_2518/klagomålsmail/A 28951-2024 FSC-klagomål mail.docx", "A 28951-2024")</f>
        <v/>
      </c>
      <c r="X269">
        <f>HYPERLINK("https://klasma.github.io/Logging_2518/tillsyn/A 28951-2024 tillsynsbegäran.docx", "A 28951-2024")</f>
        <v/>
      </c>
      <c r="Y269">
        <f>HYPERLINK("https://klasma.github.io/Logging_2518/tillsynsmail/A 28951-2024 tillsynsbegäran mail.docx", "A 28951-2024")</f>
        <v/>
      </c>
      <c r="Z269">
        <f>HYPERLINK("https://klasma.github.io/Logging_2518/fåglar/A 28951-2024 prioriterade fågelarter.docx", "A 28951-2024")</f>
        <v/>
      </c>
    </row>
    <row r="270" ht="15" customHeight="1">
      <c r="A270" t="inlineStr">
        <is>
          <t>A 36271-2024</t>
        </is>
      </c>
      <c r="B270" s="1" t="n">
        <v>45534</v>
      </c>
      <c r="C270" s="1" t="n">
        <v>45798</v>
      </c>
      <c r="D270" t="inlineStr">
        <is>
          <t>NORRBOTTENS LÄN</t>
        </is>
      </c>
      <c r="E270" t="inlineStr">
        <is>
          <t>JOKKMOKK</t>
        </is>
      </c>
      <c r="G270" t="n">
        <v>10.2</v>
      </c>
      <c r="H270" t="n">
        <v>6</v>
      </c>
      <c r="I270" t="n">
        <v>0</v>
      </c>
      <c r="J270" t="n">
        <v>6</v>
      </c>
      <c r="K270" t="n">
        <v>0</v>
      </c>
      <c r="L270" t="n">
        <v>0</v>
      </c>
      <c r="M270" t="n">
        <v>0</v>
      </c>
      <c r="N270" t="n">
        <v>0</v>
      </c>
      <c r="O270" t="n">
        <v>6</v>
      </c>
      <c r="P270" t="n">
        <v>0</v>
      </c>
      <c r="Q270" t="n">
        <v>6</v>
      </c>
      <c r="R270" s="2" t="inlineStr">
        <is>
          <t>Björktrast
Grönsångare
Gulsparv
Rosenfink
Rödvingetrast
Talltita</t>
        </is>
      </c>
      <c r="S270">
        <f>HYPERLINK("https://klasma.github.io/Logging_2510/artfynd/A 36271-2024 artfynd.xlsx", "A 36271-2024")</f>
        <v/>
      </c>
      <c r="T270">
        <f>HYPERLINK("https://klasma.github.io/Logging_2510/kartor/A 36271-2024 karta.png", "A 36271-2024")</f>
        <v/>
      </c>
      <c r="V270">
        <f>HYPERLINK("https://klasma.github.io/Logging_2510/klagomål/A 36271-2024 FSC-klagomål.docx", "A 36271-2024")</f>
        <v/>
      </c>
      <c r="W270">
        <f>HYPERLINK("https://klasma.github.io/Logging_2510/klagomålsmail/A 36271-2024 FSC-klagomål mail.docx", "A 36271-2024")</f>
        <v/>
      </c>
      <c r="X270">
        <f>HYPERLINK("https://klasma.github.io/Logging_2510/tillsyn/A 36271-2024 tillsynsbegäran.docx", "A 36271-2024")</f>
        <v/>
      </c>
      <c r="Y270">
        <f>HYPERLINK("https://klasma.github.io/Logging_2510/tillsynsmail/A 36271-2024 tillsynsbegäran mail.docx", "A 36271-2024")</f>
        <v/>
      </c>
      <c r="Z270">
        <f>HYPERLINK("https://klasma.github.io/Logging_2510/fåglar/A 36271-2024 prioriterade fågelarter.docx", "A 36271-2024")</f>
        <v/>
      </c>
    </row>
    <row r="271" ht="15" customHeight="1">
      <c r="A271" t="inlineStr">
        <is>
          <t>A 47047-2024</t>
        </is>
      </c>
      <c r="B271" s="1" t="n">
        <v>45586</v>
      </c>
      <c r="C271" s="1" t="n">
        <v>45798</v>
      </c>
      <c r="D271" t="inlineStr">
        <is>
          <t>NORRBOTTENS LÄN</t>
        </is>
      </c>
      <c r="E271" t="inlineStr">
        <is>
          <t>ÖVERTORNEÅ</t>
        </is>
      </c>
      <c r="G271" t="n">
        <v>2.6</v>
      </c>
      <c r="H271" t="n">
        <v>1</v>
      </c>
      <c r="I271" t="n">
        <v>2</v>
      </c>
      <c r="J271" t="n">
        <v>3</v>
      </c>
      <c r="K271" t="n">
        <v>1</v>
      </c>
      <c r="L271" t="n">
        <v>0</v>
      </c>
      <c r="M271" t="n">
        <v>0</v>
      </c>
      <c r="N271" t="n">
        <v>0</v>
      </c>
      <c r="O271" t="n">
        <v>4</v>
      </c>
      <c r="P271" t="n">
        <v>1</v>
      </c>
      <c r="Q271" t="n">
        <v>6</v>
      </c>
      <c r="R271" s="2" t="inlineStr">
        <is>
          <t>Knärot
Garnlav
Granticka
Lunglav
Stuplav
Vedticka</t>
        </is>
      </c>
      <c r="S271">
        <f>HYPERLINK("https://klasma.github.io/Logging_2518/artfynd/A 47047-2024 artfynd.xlsx", "A 47047-2024")</f>
        <v/>
      </c>
      <c r="T271">
        <f>HYPERLINK("https://klasma.github.io/Logging_2518/kartor/A 47047-2024 karta.png", "A 47047-2024")</f>
        <v/>
      </c>
      <c r="U271">
        <f>HYPERLINK("https://klasma.github.io/Logging_2518/knärot/A 47047-2024 karta knärot.png", "A 47047-2024")</f>
        <v/>
      </c>
      <c r="V271">
        <f>HYPERLINK("https://klasma.github.io/Logging_2518/klagomål/A 47047-2024 FSC-klagomål.docx", "A 47047-2024")</f>
        <v/>
      </c>
      <c r="W271">
        <f>HYPERLINK("https://klasma.github.io/Logging_2518/klagomålsmail/A 47047-2024 FSC-klagomål mail.docx", "A 47047-2024")</f>
        <v/>
      </c>
      <c r="X271">
        <f>HYPERLINK("https://klasma.github.io/Logging_2518/tillsyn/A 47047-2024 tillsynsbegäran.docx", "A 47047-2024")</f>
        <v/>
      </c>
      <c r="Y271">
        <f>HYPERLINK("https://klasma.github.io/Logging_2518/tillsynsmail/A 47047-2024 tillsynsbegäran mail.docx", "A 47047-2024")</f>
        <v/>
      </c>
    </row>
    <row r="272" ht="15" customHeight="1">
      <c r="A272" t="inlineStr">
        <is>
          <t>A 55429-2024</t>
        </is>
      </c>
      <c r="B272" s="1" t="n">
        <v>45622</v>
      </c>
      <c r="C272" s="1" t="n">
        <v>45798</v>
      </c>
      <c r="D272" t="inlineStr">
        <is>
          <t>NORRBOTTENS LÄN</t>
        </is>
      </c>
      <c r="E272" t="inlineStr">
        <is>
          <t>BODEN</t>
        </is>
      </c>
      <c r="F272" t="inlineStr">
        <is>
          <t>Sveaskog</t>
        </is>
      </c>
      <c r="G272" t="n">
        <v>22.3</v>
      </c>
      <c r="H272" t="n">
        <v>0</v>
      </c>
      <c r="I272" t="n">
        <v>1</v>
      </c>
      <c r="J272" t="n">
        <v>4</v>
      </c>
      <c r="K272" t="n">
        <v>1</v>
      </c>
      <c r="L272" t="n">
        <v>0</v>
      </c>
      <c r="M272" t="n">
        <v>0</v>
      </c>
      <c r="N272" t="n">
        <v>0</v>
      </c>
      <c r="O272" t="n">
        <v>5</v>
      </c>
      <c r="P272" t="n">
        <v>1</v>
      </c>
      <c r="Q272" t="n">
        <v>6</v>
      </c>
      <c r="R272" s="2" t="inlineStr">
        <is>
          <t>Smalfotad taggsvamp
Blå taggsvamp
Kolflarnlav
Motaggsvamp
Skrovlig taggsvamp
Dropptaggsvamp</t>
        </is>
      </c>
      <c r="S272">
        <f>HYPERLINK("https://klasma.github.io/Logging_2582/artfynd/A 55429-2024 artfynd.xlsx", "A 55429-2024")</f>
        <v/>
      </c>
      <c r="T272">
        <f>HYPERLINK("https://klasma.github.io/Logging_2582/kartor/A 55429-2024 karta.png", "A 55429-2024")</f>
        <v/>
      </c>
      <c r="V272">
        <f>HYPERLINK("https://klasma.github.io/Logging_2582/klagomål/A 55429-2024 FSC-klagomål.docx", "A 55429-2024")</f>
        <v/>
      </c>
      <c r="W272">
        <f>HYPERLINK("https://klasma.github.io/Logging_2582/klagomålsmail/A 55429-2024 FSC-klagomål mail.docx", "A 55429-2024")</f>
        <v/>
      </c>
      <c r="X272">
        <f>HYPERLINK("https://klasma.github.io/Logging_2582/tillsyn/A 55429-2024 tillsynsbegäran.docx", "A 55429-2024")</f>
        <v/>
      </c>
      <c r="Y272">
        <f>HYPERLINK("https://klasma.github.io/Logging_2582/tillsynsmail/A 55429-2024 tillsynsbegäran mail.docx", "A 55429-2024")</f>
        <v/>
      </c>
    </row>
    <row r="273" ht="15" customHeight="1">
      <c r="A273" t="inlineStr">
        <is>
          <t>A 61211-2024</t>
        </is>
      </c>
      <c r="B273" s="1" t="n">
        <v>45645</v>
      </c>
      <c r="C273" s="1" t="n">
        <v>45798</v>
      </c>
      <c r="D273" t="inlineStr">
        <is>
          <t>NORRBOTTENS LÄN</t>
        </is>
      </c>
      <c r="E273" t="inlineStr">
        <is>
          <t>BODEN</t>
        </is>
      </c>
      <c r="F273" t="inlineStr">
        <is>
          <t>Sveaskog</t>
        </is>
      </c>
      <c r="G273" t="n">
        <v>2.7</v>
      </c>
      <c r="H273" t="n">
        <v>0</v>
      </c>
      <c r="I273" t="n">
        <v>2</v>
      </c>
      <c r="J273" t="n">
        <v>4</v>
      </c>
      <c r="K273" t="n">
        <v>0</v>
      </c>
      <c r="L273" t="n">
        <v>0</v>
      </c>
      <c r="M273" t="n">
        <v>0</v>
      </c>
      <c r="N273" t="n">
        <v>0</v>
      </c>
      <c r="O273" t="n">
        <v>4</v>
      </c>
      <c r="P273" t="n">
        <v>0</v>
      </c>
      <c r="Q273" t="n">
        <v>6</v>
      </c>
      <c r="R273" s="2" t="inlineStr">
        <is>
          <t>Blå taggsvamp
Garnlav
Orange taggsvamp
Skrovlig taggsvamp
Bronshjon
Dropptaggsvamp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11534-2025</t>
        </is>
      </c>
      <c r="B274" s="1" t="n">
        <v>45726</v>
      </c>
      <c r="C274" s="1" t="n">
        <v>45798</v>
      </c>
      <c r="D274" t="inlineStr">
        <is>
          <t>NORRBOTTENS LÄN</t>
        </is>
      </c>
      <c r="E274" t="inlineStr">
        <is>
          <t>ARVIDSJAUR</t>
        </is>
      </c>
      <c r="F274" t="inlineStr">
        <is>
          <t>Allmännings- och besparingsskogar</t>
        </is>
      </c>
      <c r="G274" t="n">
        <v>14.2</v>
      </c>
      <c r="H274" t="n">
        <v>0</v>
      </c>
      <c r="I274" t="n">
        <v>2</v>
      </c>
      <c r="J274" t="n">
        <v>4</v>
      </c>
      <c r="K274" t="n">
        <v>0</v>
      </c>
      <c r="L274" t="n">
        <v>0</v>
      </c>
      <c r="M274" t="n">
        <v>0</v>
      </c>
      <c r="N274" t="n">
        <v>0</v>
      </c>
      <c r="O274" t="n">
        <v>4</v>
      </c>
      <c r="P274" t="n">
        <v>0</v>
      </c>
      <c r="Q274" t="n">
        <v>6</v>
      </c>
      <c r="R274" s="2" t="inlineStr">
        <is>
          <t>Blå taggsvamp
Orange taggsvamp
Skrovlig taggsvamp
Talltaggsvamp
Dropptaggsvamp
Skarp dropptaggsvamp</t>
        </is>
      </c>
      <c r="S274">
        <f>HYPERLINK("https://klasma.github.io/Logging_252505/artfynd/A 11534-2025 artfynd.xlsx", "A 11534-2025")</f>
        <v/>
      </c>
      <c r="T274">
        <f>HYPERLINK("https://klasma.github.io/Logging_252505/kartor/A 11534-2025 karta.png", "A 11534-2025")</f>
        <v/>
      </c>
      <c r="V274">
        <f>HYPERLINK("https://klasma.github.io/Logging_252505/klagomål/A 11534-2025 FSC-klagomål.docx", "A 11534-2025")</f>
        <v/>
      </c>
      <c r="W274">
        <f>HYPERLINK("https://klasma.github.io/Logging_252505/klagomålsmail/A 11534-2025 FSC-klagomål mail.docx", "A 11534-2025")</f>
        <v/>
      </c>
      <c r="X274">
        <f>HYPERLINK("https://klasma.github.io/Logging_252505/tillsyn/A 11534-2025 tillsynsbegäran.docx", "A 11534-2025")</f>
        <v/>
      </c>
      <c r="Y274">
        <f>HYPERLINK("https://klasma.github.io/Logging_252505/tillsynsmail/A 11534-2025 tillsynsbegäran mail.docx", "A 11534-2025")</f>
        <v/>
      </c>
    </row>
    <row r="275" ht="15" customHeight="1">
      <c r="A275" t="inlineStr">
        <is>
          <t>A 19812-2025</t>
        </is>
      </c>
      <c r="B275" s="1" t="n">
        <v>45771</v>
      </c>
      <c r="C275" s="1" t="n">
        <v>45798</v>
      </c>
      <c r="D275" t="inlineStr">
        <is>
          <t>NORRBOTTENS LÄN</t>
        </is>
      </c>
      <c r="E275" t="inlineStr">
        <is>
          <t>BODEN</t>
        </is>
      </c>
      <c r="F275" t="inlineStr">
        <is>
          <t>Sveaskog</t>
        </is>
      </c>
      <c r="G275" t="n">
        <v>18.4</v>
      </c>
      <c r="H275" t="n">
        <v>2</v>
      </c>
      <c r="I275" t="n">
        <v>2</v>
      </c>
      <c r="J275" t="n">
        <v>3</v>
      </c>
      <c r="K275" t="n">
        <v>1</v>
      </c>
      <c r="L275" t="n">
        <v>0</v>
      </c>
      <c r="M275" t="n">
        <v>0</v>
      </c>
      <c r="N275" t="n">
        <v>0</v>
      </c>
      <c r="O275" t="n">
        <v>4</v>
      </c>
      <c r="P275" t="n">
        <v>1</v>
      </c>
      <c r="Q275" t="n">
        <v>6</v>
      </c>
      <c r="R275" s="2" t="inlineStr">
        <is>
          <t>Knärot
Höstlåsbräken
Orange taggsvamp
Svart taggsvamp
Dropptaggsvamp
Grönpyrola</t>
        </is>
      </c>
      <c r="S275">
        <f>HYPERLINK("https://klasma.github.io/Logging_252582/artfynd/A 19812-2025 artfynd.xlsx", "A 19812-2025")</f>
        <v/>
      </c>
      <c r="T275">
        <f>HYPERLINK("https://klasma.github.io/Logging_252582/kartor/A 19812-2025 karta.png", "A 19812-2025")</f>
        <v/>
      </c>
      <c r="U275">
        <f>HYPERLINK("https://klasma.github.io/Logging_252582/knärot/A 19812-2025 karta knärot.png", "A 19812-2025")</f>
        <v/>
      </c>
      <c r="V275">
        <f>HYPERLINK("https://klasma.github.io/Logging_252582/klagomål/A 19812-2025 FSC-klagomål.docx", "A 19812-2025")</f>
        <v/>
      </c>
      <c r="W275">
        <f>HYPERLINK("https://klasma.github.io/Logging_252582/klagomålsmail/A 19812-2025 FSC-klagomål mail.docx", "A 19812-2025")</f>
        <v/>
      </c>
      <c r="X275">
        <f>HYPERLINK("https://klasma.github.io/Logging_252582/tillsyn/A 19812-2025 tillsynsbegäran.docx", "A 19812-2025")</f>
        <v/>
      </c>
      <c r="Y275">
        <f>HYPERLINK("https://klasma.github.io/Logging_252582/tillsynsmail/A 19812-2025 tillsynsbegäran mail.docx", "A 19812-2025")</f>
        <v/>
      </c>
    </row>
    <row r="276" ht="15" customHeight="1">
      <c r="A276" t="inlineStr">
        <is>
          <t>A 32492-2019</t>
        </is>
      </c>
      <c r="B276" s="1" t="n">
        <v>43644</v>
      </c>
      <c r="C276" s="1" t="n">
        <v>45798</v>
      </c>
      <c r="D276" t="inlineStr">
        <is>
          <t>NORRBOTTENS LÄN</t>
        </is>
      </c>
      <c r="E276" t="inlineStr">
        <is>
          <t>GÄLLIVARE</t>
        </is>
      </c>
      <c r="F276" t="inlineStr">
        <is>
          <t>SCA</t>
        </is>
      </c>
      <c r="G276" t="n">
        <v>13.6</v>
      </c>
      <c r="H276" t="n">
        <v>1</v>
      </c>
      <c r="I276" t="n">
        <v>1</v>
      </c>
      <c r="J276" t="n">
        <v>2</v>
      </c>
      <c r="K276" t="n">
        <v>2</v>
      </c>
      <c r="L276" t="n">
        <v>0</v>
      </c>
      <c r="M276" t="n">
        <v>0</v>
      </c>
      <c r="N276" t="n">
        <v>0</v>
      </c>
      <c r="O276" t="n">
        <v>4</v>
      </c>
      <c r="P276" t="n">
        <v>2</v>
      </c>
      <c r="Q276" t="n">
        <v>5</v>
      </c>
      <c r="R276" s="2" t="inlineStr">
        <is>
          <t>Fläckporing
Smalfotad taggsvamp
Skrovlig taggsvamp
Vaddporing
Plattlummer</t>
        </is>
      </c>
      <c r="S276">
        <f>HYPERLINK("https://klasma.github.io/Logging_2523/artfynd/A 32492-2019 artfynd.xlsx", "A 32492-2019")</f>
        <v/>
      </c>
      <c r="T276">
        <f>HYPERLINK("https://klasma.github.io/Logging_2523/kartor/A 32492-2019 karta.png", "A 32492-2019")</f>
        <v/>
      </c>
      <c r="V276">
        <f>HYPERLINK("https://klasma.github.io/Logging_2523/klagomål/A 32492-2019 FSC-klagomål.docx", "A 32492-2019")</f>
        <v/>
      </c>
      <c r="W276">
        <f>HYPERLINK("https://klasma.github.io/Logging_2523/klagomålsmail/A 32492-2019 FSC-klagomål mail.docx", "A 32492-2019")</f>
        <v/>
      </c>
      <c r="X276">
        <f>HYPERLINK("https://klasma.github.io/Logging_2523/tillsyn/A 32492-2019 tillsynsbegäran.docx", "A 32492-2019")</f>
        <v/>
      </c>
      <c r="Y276">
        <f>HYPERLINK("https://klasma.github.io/Logging_2523/tillsynsmail/A 32492-2019 tillsynsbegäran mail.docx", "A 32492-2019")</f>
        <v/>
      </c>
    </row>
    <row r="277" ht="15" customHeight="1">
      <c r="A277" t="inlineStr">
        <is>
          <t>A 38647-2019</t>
        </is>
      </c>
      <c r="B277" s="1" t="n">
        <v>43686</v>
      </c>
      <c r="C277" s="1" t="n">
        <v>45798</v>
      </c>
      <c r="D277" t="inlineStr">
        <is>
          <t>NORRBOTTENS LÄN</t>
        </is>
      </c>
      <c r="E277" t="inlineStr">
        <is>
          <t>GÄLLIVARE</t>
        </is>
      </c>
      <c r="F277" t="inlineStr">
        <is>
          <t>Sveaskog</t>
        </is>
      </c>
      <c r="G277" t="n">
        <v>5.9</v>
      </c>
      <c r="H277" t="n">
        <v>3</v>
      </c>
      <c r="I277" t="n">
        <v>3</v>
      </c>
      <c r="J277" t="n">
        <v>1</v>
      </c>
      <c r="K277" t="n">
        <v>1</v>
      </c>
      <c r="L277" t="n">
        <v>0</v>
      </c>
      <c r="M277" t="n">
        <v>0</v>
      </c>
      <c r="N277" t="n">
        <v>0</v>
      </c>
      <c r="O277" t="n">
        <v>2</v>
      </c>
      <c r="P277" t="n">
        <v>1</v>
      </c>
      <c r="Q277" t="n">
        <v>5</v>
      </c>
      <c r="R277" s="2" t="inlineStr">
        <is>
          <t>Norna
Äggvaxskivling
Grönkulla
Spindelblomster
Ögonpyrola</t>
        </is>
      </c>
      <c r="S277">
        <f>HYPERLINK("https://klasma.github.io/Logging_2523/artfynd/A 38647-2019 artfynd.xlsx", "A 38647-2019")</f>
        <v/>
      </c>
      <c r="T277">
        <f>HYPERLINK("https://klasma.github.io/Logging_2523/kartor/A 38647-2019 karta.png", "A 38647-2019")</f>
        <v/>
      </c>
      <c r="V277">
        <f>HYPERLINK("https://klasma.github.io/Logging_2523/klagomål/A 38647-2019 FSC-klagomål.docx", "A 38647-2019")</f>
        <v/>
      </c>
      <c r="W277">
        <f>HYPERLINK("https://klasma.github.io/Logging_2523/klagomålsmail/A 38647-2019 FSC-klagomål mail.docx", "A 38647-2019")</f>
        <v/>
      </c>
      <c r="X277">
        <f>HYPERLINK("https://klasma.github.io/Logging_2523/tillsyn/A 38647-2019 tillsynsbegäran.docx", "A 38647-2019")</f>
        <v/>
      </c>
      <c r="Y277">
        <f>HYPERLINK("https://klasma.github.io/Logging_2523/tillsynsmail/A 38647-2019 tillsynsbegäran mail.docx", "A 38647-2019")</f>
        <v/>
      </c>
    </row>
    <row r="278" ht="15" customHeight="1">
      <c r="A278" t="inlineStr">
        <is>
          <t>A 52585-2019</t>
        </is>
      </c>
      <c r="B278" s="1" t="n">
        <v>43745</v>
      </c>
      <c r="C278" s="1" t="n">
        <v>45798</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Garnlav
Kolflarnlav
Mörk kolflarnlav
Tallticka
Äggvaxskivling</t>
        </is>
      </c>
      <c r="S278">
        <f>HYPERLINK("https://klasma.github.io/Logging_2582/artfynd/A 52585-2019 artfynd.xlsx", "A 52585-2019")</f>
        <v/>
      </c>
      <c r="T278">
        <f>HYPERLINK("https://klasma.github.io/Logging_2582/kartor/A 52585-2019 karta.png", "A 52585-2019")</f>
        <v/>
      </c>
      <c r="V278">
        <f>HYPERLINK("https://klasma.github.io/Logging_2582/klagomål/A 52585-2019 FSC-klagomål.docx", "A 52585-2019")</f>
        <v/>
      </c>
      <c r="W278">
        <f>HYPERLINK("https://klasma.github.io/Logging_2582/klagomålsmail/A 52585-2019 FSC-klagomål mail.docx", "A 52585-2019")</f>
        <v/>
      </c>
      <c r="X278">
        <f>HYPERLINK("https://klasma.github.io/Logging_2582/tillsyn/A 52585-2019 tillsynsbegäran.docx", "A 52585-2019")</f>
        <v/>
      </c>
      <c r="Y278">
        <f>HYPERLINK("https://klasma.github.io/Logging_2582/tillsynsmail/A 52585-2019 tillsynsbegäran mail.docx", "A 52585-2019")</f>
        <v/>
      </c>
    </row>
    <row r="279" ht="15" customHeight="1">
      <c r="A279" t="inlineStr">
        <is>
          <t>A 52577-2019</t>
        </is>
      </c>
      <c r="B279" s="1" t="n">
        <v>43745</v>
      </c>
      <c r="C279" s="1" t="n">
        <v>45798</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Gammelgransskål
Koralltaggsvamp
Lunglav
Ullticka
Vitgrynig nållav</t>
        </is>
      </c>
      <c r="S279">
        <f>HYPERLINK("https://klasma.github.io/Logging_2582/artfynd/A 52577-2019 artfynd.xlsx", "A 52577-2019")</f>
        <v/>
      </c>
      <c r="T279">
        <f>HYPERLINK("https://klasma.github.io/Logging_2582/kartor/A 52577-2019 karta.png", "A 52577-2019")</f>
        <v/>
      </c>
      <c r="V279">
        <f>HYPERLINK("https://klasma.github.io/Logging_2582/klagomål/A 52577-2019 FSC-klagomål.docx", "A 52577-2019")</f>
        <v/>
      </c>
      <c r="W279">
        <f>HYPERLINK("https://klasma.github.io/Logging_2582/klagomålsmail/A 52577-2019 FSC-klagomål mail.docx", "A 52577-2019")</f>
        <v/>
      </c>
      <c r="X279">
        <f>HYPERLINK("https://klasma.github.io/Logging_2582/tillsyn/A 52577-2019 tillsynsbegäran.docx", "A 52577-2019")</f>
        <v/>
      </c>
      <c r="Y279">
        <f>HYPERLINK("https://klasma.github.io/Logging_2582/tillsynsmail/A 52577-2019 tillsynsbegäran mail.docx", "A 52577-2019")</f>
        <v/>
      </c>
    </row>
    <row r="280" ht="15" customHeight="1">
      <c r="A280" t="inlineStr">
        <is>
          <t>A 54602-2019</t>
        </is>
      </c>
      <c r="B280" s="1" t="n">
        <v>43754</v>
      </c>
      <c r="C280" s="1" t="n">
        <v>45798</v>
      </c>
      <c r="D280" t="inlineStr">
        <is>
          <t>NORRBOTTENS LÄN</t>
        </is>
      </c>
      <c r="E280" t="inlineStr">
        <is>
          <t>BODEN</t>
        </is>
      </c>
      <c r="G280" t="n">
        <v>32.9</v>
      </c>
      <c r="H280" t="n">
        <v>2</v>
      </c>
      <c r="I280" t="n">
        <v>0</v>
      </c>
      <c r="J280" t="n">
        <v>4</v>
      </c>
      <c r="K280" t="n">
        <v>0</v>
      </c>
      <c r="L280" t="n">
        <v>0</v>
      </c>
      <c r="M280" t="n">
        <v>0</v>
      </c>
      <c r="N280" t="n">
        <v>0</v>
      </c>
      <c r="O280" t="n">
        <v>4</v>
      </c>
      <c r="P280" t="n">
        <v>0</v>
      </c>
      <c r="Q280" t="n">
        <v>5</v>
      </c>
      <c r="R280" s="2" t="inlineStr">
        <is>
          <t>Gammelgransskål
Granticka
Talltita
Violmussling
Revlummer</t>
        </is>
      </c>
      <c r="S280">
        <f>HYPERLINK("https://klasma.github.io/Logging_2582/artfynd/A 54602-2019 artfynd.xlsx", "A 54602-2019")</f>
        <v/>
      </c>
      <c r="T280">
        <f>HYPERLINK("https://klasma.github.io/Logging_2582/kartor/A 54602-2019 karta.png", "A 54602-2019")</f>
        <v/>
      </c>
      <c r="V280">
        <f>HYPERLINK("https://klasma.github.io/Logging_2582/klagomål/A 54602-2019 FSC-klagomål.docx", "A 54602-2019")</f>
        <v/>
      </c>
      <c r="W280">
        <f>HYPERLINK("https://klasma.github.io/Logging_2582/klagomålsmail/A 54602-2019 FSC-klagomål mail.docx", "A 54602-2019")</f>
        <v/>
      </c>
      <c r="X280">
        <f>HYPERLINK("https://klasma.github.io/Logging_2582/tillsyn/A 54602-2019 tillsynsbegäran.docx", "A 54602-2019")</f>
        <v/>
      </c>
      <c r="Y280">
        <f>HYPERLINK("https://klasma.github.io/Logging_2582/tillsynsmail/A 54602-2019 tillsynsbegäran mail.docx", "A 54602-2019")</f>
        <v/>
      </c>
      <c r="Z280">
        <f>HYPERLINK("https://klasma.github.io/Logging_2582/fåglar/A 54602-2019 prioriterade fågelarter.docx", "A 54602-2019")</f>
        <v/>
      </c>
    </row>
    <row r="281" ht="15" customHeight="1">
      <c r="A281" t="inlineStr">
        <is>
          <t>A 56916-2019</t>
        </is>
      </c>
      <c r="B281" s="1" t="n">
        <v>43766</v>
      </c>
      <c r="C281" s="1" t="n">
        <v>45798</v>
      </c>
      <c r="D281" t="inlineStr">
        <is>
          <t>NORRBOTTENS LÄN</t>
        </is>
      </c>
      <c r="E281" t="inlineStr">
        <is>
          <t>BODEN</t>
        </is>
      </c>
      <c r="G281" t="n">
        <v>43.9</v>
      </c>
      <c r="H281" t="n">
        <v>5</v>
      </c>
      <c r="I281" t="n">
        <v>1</v>
      </c>
      <c r="J281" t="n">
        <v>4</v>
      </c>
      <c r="K281" t="n">
        <v>0</v>
      </c>
      <c r="L281" t="n">
        <v>0</v>
      </c>
      <c r="M281" t="n">
        <v>0</v>
      </c>
      <c r="N281" t="n">
        <v>0</v>
      </c>
      <c r="O281" t="n">
        <v>4</v>
      </c>
      <c r="P281" t="n">
        <v>0</v>
      </c>
      <c r="Q281" t="n">
        <v>5</v>
      </c>
      <c r="R281" s="2" t="inlineStr">
        <is>
          <t>Buskskvätta
Gulsparv
Nordfladdermus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59082-2019</t>
        </is>
      </c>
      <c r="B282" s="1" t="n">
        <v>43774</v>
      </c>
      <c r="C282" s="1" t="n">
        <v>45798</v>
      </c>
      <c r="D282" t="inlineStr">
        <is>
          <t>NORRBOTTENS LÄN</t>
        </is>
      </c>
      <c r="E282" t="inlineStr">
        <is>
          <t>BODEN</t>
        </is>
      </c>
      <c r="F282" t="inlineStr">
        <is>
          <t>SCA</t>
        </is>
      </c>
      <c r="G282" t="n">
        <v>17</v>
      </c>
      <c r="H282" t="n">
        <v>0</v>
      </c>
      <c r="I282" t="n">
        <v>4</v>
      </c>
      <c r="J282" t="n">
        <v>1</v>
      </c>
      <c r="K282" t="n">
        <v>0</v>
      </c>
      <c r="L282" t="n">
        <v>0</v>
      </c>
      <c r="M282" t="n">
        <v>0</v>
      </c>
      <c r="N282" t="n">
        <v>0</v>
      </c>
      <c r="O282" t="n">
        <v>1</v>
      </c>
      <c r="P282" t="n">
        <v>0</v>
      </c>
      <c r="Q282" t="n">
        <v>5</v>
      </c>
      <c r="R282" s="2" t="inlineStr">
        <is>
          <t>Garnlav
Björksplintborre
Bollvitmossa
Källpraktmossa
Vågbandad barkbock</t>
        </is>
      </c>
      <c r="S282">
        <f>HYPERLINK("https://klasma.github.io/Logging_2582/artfynd/A 59082-2019 artfynd.xlsx", "A 59082-2019")</f>
        <v/>
      </c>
      <c r="T282">
        <f>HYPERLINK("https://klasma.github.io/Logging_2582/kartor/A 59082-2019 karta.png", "A 59082-2019")</f>
        <v/>
      </c>
      <c r="V282">
        <f>HYPERLINK("https://klasma.github.io/Logging_2582/klagomål/A 59082-2019 FSC-klagomål.docx", "A 59082-2019")</f>
        <v/>
      </c>
      <c r="W282">
        <f>HYPERLINK("https://klasma.github.io/Logging_2582/klagomålsmail/A 59082-2019 FSC-klagomål mail.docx", "A 59082-2019")</f>
        <v/>
      </c>
      <c r="X282">
        <f>HYPERLINK("https://klasma.github.io/Logging_2582/tillsyn/A 59082-2019 tillsynsbegäran.docx", "A 59082-2019")</f>
        <v/>
      </c>
      <c r="Y282">
        <f>HYPERLINK("https://klasma.github.io/Logging_2582/tillsynsmail/A 59082-2019 tillsynsbegäran mail.docx", "A 59082-2019")</f>
        <v/>
      </c>
    </row>
    <row r="283" ht="15" customHeight="1">
      <c r="A283" t="inlineStr">
        <is>
          <t>A 68299-2019</t>
        </is>
      </c>
      <c r="B283" s="1" t="n">
        <v>43817</v>
      </c>
      <c r="C283" s="1" t="n">
        <v>45798</v>
      </c>
      <c r="D283" t="inlineStr">
        <is>
          <t>NORRBOTTENS LÄN</t>
        </is>
      </c>
      <c r="E283" t="inlineStr">
        <is>
          <t>JOKKMOKK</t>
        </is>
      </c>
      <c r="F283" t="inlineStr">
        <is>
          <t>SCA</t>
        </is>
      </c>
      <c r="G283" t="n">
        <v>7.6</v>
      </c>
      <c r="H283" t="n">
        <v>1</v>
      </c>
      <c r="I283" t="n">
        <v>2</v>
      </c>
      <c r="J283" t="n">
        <v>2</v>
      </c>
      <c r="K283" t="n">
        <v>1</v>
      </c>
      <c r="L283" t="n">
        <v>0</v>
      </c>
      <c r="M283" t="n">
        <v>0</v>
      </c>
      <c r="N283" t="n">
        <v>0</v>
      </c>
      <c r="O283" t="n">
        <v>3</v>
      </c>
      <c r="P283" t="n">
        <v>1</v>
      </c>
      <c r="Q283" t="n">
        <v>5</v>
      </c>
      <c r="R283" s="2" t="inlineStr">
        <is>
          <t>Goliatmusseron
Blå taggsvamp
Tretåig hackspett
Dropptaggsvamp
Skarp dropptaggsvamp</t>
        </is>
      </c>
      <c r="S283">
        <f>HYPERLINK("https://klasma.github.io/Logging_2510/artfynd/A 68299-2019 artfynd.xlsx", "A 68299-2019")</f>
        <v/>
      </c>
      <c r="T283">
        <f>HYPERLINK("https://klasma.github.io/Logging_2510/kartor/A 68299-2019 karta.png", "A 68299-2019")</f>
        <v/>
      </c>
      <c r="V283">
        <f>HYPERLINK("https://klasma.github.io/Logging_2510/klagomål/A 68299-2019 FSC-klagomål.docx", "A 68299-2019")</f>
        <v/>
      </c>
      <c r="W283">
        <f>HYPERLINK("https://klasma.github.io/Logging_2510/klagomålsmail/A 68299-2019 FSC-klagomål mail.docx", "A 68299-2019")</f>
        <v/>
      </c>
      <c r="X283">
        <f>HYPERLINK("https://klasma.github.io/Logging_2510/tillsyn/A 68299-2019 tillsynsbegäran.docx", "A 68299-2019")</f>
        <v/>
      </c>
      <c r="Y283">
        <f>HYPERLINK("https://klasma.github.io/Logging_2510/tillsynsmail/A 68299-2019 tillsynsbegäran mail.docx", "A 68299-2019")</f>
        <v/>
      </c>
      <c r="Z283">
        <f>HYPERLINK("https://klasma.github.io/Logging_2510/fåglar/A 68299-2019 prioriterade fågelarter.docx", "A 68299-2019")</f>
        <v/>
      </c>
    </row>
    <row r="284" ht="15" customHeight="1">
      <c r="A284" t="inlineStr">
        <is>
          <t>A 31593-2020</t>
        </is>
      </c>
      <c r="B284" s="1" t="n">
        <v>44013</v>
      </c>
      <c r="C284" s="1" t="n">
        <v>45798</v>
      </c>
      <c r="D284" t="inlineStr">
        <is>
          <t>NORRBOTTENS LÄN</t>
        </is>
      </c>
      <c r="E284" t="inlineStr">
        <is>
          <t>ARVIDSJAUR</t>
        </is>
      </c>
      <c r="F284" t="inlineStr">
        <is>
          <t>Sveaskog</t>
        </is>
      </c>
      <c r="G284" t="n">
        <v>4.3</v>
      </c>
      <c r="H284" t="n">
        <v>1</v>
      </c>
      <c r="I284" t="n">
        <v>0</v>
      </c>
      <c r="J284" t="n">
        <v>5</v>
      </c>
      <c r="K284" t="n">
        <v>0</v>
      </c>
      <c r="L284" t="n">
        <v>0</v>
      </c>
      <c r="M284" t="n">
        <v>0</v>
      </c>
      <c r="N284" t="n">
        <v>0</v>
      </c>
      <c r="O284" t="n">
        <v>5</v>
      </c>
      <c r="P284" t="n">
        <v>0</v>
      </c>
      <c r="Q284" t="n">
        <v>5</v>
      </c>
      <c r="R284" s="2" t="inlineStr">
        <is>
          <t>Dvärgbägarlav
Gammelgransskål
Garnlav
Granticka
Järpe</t>
        </is>
      </c>
      <c r="S284">
        <f>HYPERLINK("https://klasma.github.io/Logging_2505/artfynd/A 31593-2020 artfynd.xlsx", "A 31593-2020")</f>
        <v/>
      </c>
      <c r="T284">
        <f>HYPERLINK("https://klasma.github.io/Logging_2505/kartor/A 31593-2020 karta.png", "A 31593-2020")</f>
        <v/>
      </c>
      <c r="V284">
        <f>HYPERLINK("https://klasma.github.io/Logging_2505/klagomål/A 31593-2020 FSC-klagomål.docx", "A 31593-2020")</f>
        <v/>
      </c>
      <c r="W284">
        <f>HYPERLINK("https://klasma.github.io/Logging_2505/klagomålsmail/A 31593-2020 FSC-klagomål mail.docx", "A 31593-2020")</f>
        <v/>
      </c>
      <c r="X284">
        <f>HYPERLINK("https://klasma.github.io/Logging_2505/tillsyn/A 31593-2020 tillsynsbegäran.docx", "A 31593-2020")</f>
        <v/>
      </c>
      <c r="Y284">
        <f>HYPERLINK("https://klasma.github.io/Logging_2505/tillsynsmail/A 31593-2020 tillsynsbegäran mail.docx", "A 31593-2020")</f>
        <v/>
      </c>
      <c r="Z284">
        <f>HYPERLINK("https://klasma.github.io/Logging_2505/fåglar/A 31593-2020 prioriterade fågelarter.docx", "A 31593-2020")</f>
        <v/>
      </c>
    </row>
    <row r="285" ht="15" customHeight="1">
      <c r="A285" t="inlineStr">
        <is>
          <t>A 38342-2020</t>
        </is>
      </c>
      <c r="B285" s="1" t="n">
        <v>44060</v>
      </c>
      <c r="C285" s="1" t="n">
        <v>45798</v>
      </c>
      <c r="D285" t="inlineStr">
        <is>
          <t>NORRBOTTENS LÄN</t>
        </is>
      </c>
      <c r="E285" t="inlineStr">
        <is>
          <t>KIRUNA</t>
        </is>
      </c>
      <c r="F285" t="inlineStr">
        <is>
          <t>Allmännings- och besparingsskogar</t>
        </is>
      </c>
      <c r="G285" t="n">
        <v>4</v>
      </c>
      <c r="H285" t="n">
        <v>0</v>
      </c>
      <c r="I285" t="n">
        <v>0</v>
      </c>
      <c r="J285" t="n">
        <v>4</v>
      </c>
      <c r="K285" t="n">
        <v>1</v>
      </c>
      <c r="L285" t="n">
        <v>0</v>
      </c>
      <c r="M285" t="n">
        <v>0</v>
      </c>
      <c r="N285" t="n">
        <v>0</v>
      </c>
      <c r="O285" t="n">
        <v>5</v>
      </c>
      <c r="P285" t="n">
        <v>1</v>
      </c>
      <c r="Q285" t="n">
        <v>5</v>
      </c>
      <c r="R285" s="2" t="inlineStr">
        <is>
          <t>Ostticka
Granticka
Rosenticka
Tallriska
Ullticka</t>
        </is>
      </c>
      <c r="S285">
        <f>HYPERLINK("https://klasma.github.io/Logging_2584/artfynd/A 38342-2020 artfynd.xlsx", "A 38342-2020")</f>
        <v/>
      </c>
      <c r="T285">
        <f>HYPERLINK("https://klasma.github.io/Logging_2584/kartor/A 38342-2020 karta.png", "A 38342-2020")</f>
        <v/>
      </c>
      <c r="V285">
        <f>HYPERLINK("https://klasma.github.io/Logging_2584/klagomål/A 38342-2020 FSC-klagomål.docx", "A 38342-2020")</f>
        <v/>
      </c>
      <c r="W285">
        <f>HYPERLINK("https://klasma.github.io/Logging_2584/klagomålsmail/A 38342-2020 FSC-klagomål mail.docx", "A 38342-2020")</f>
        <v/>
      </c>
      <c r="X285">
        <f>HYPERLINK("https://klasma.github.io/Logging_2584/tillsyn/A 38342-2020 tillsynsbegäran.docx", "A 38342-2020")</f>
        <v/>
      </c>
      <c r="Y285">
        <f>HYPERLINK("https://klasma.github.io/Logging_2584/tillsynsmail/A 38342-2020 tillsynsbegäran mail.docx", "A 38342-2020")</f>
        <v/>
      </c>
    </row>
    <row r="286" ht="15" customHeight="1">
      <c r="A286" t="inlineStr">
        <is>
          <t>A 54390-2020</t>
        </is>
      </c>
      <c r="B286" s="1" t="n">
        <v>44126</v>
      </c>
      <c r="C286" s="1" t="n">
        <v>45798</v>
      </c>
      <c r="D286" t="inlineStr">
        <is>
          <t>NORRBOTTENS LÄN</t>
        </is>
      </c>
      <c r="E286" t="inlineStr">
        <is>
          <t>ÖVERTORNEÅ</t>
        </is>
      </c>
      <c r="F286" t="inlineStr">
        <is>
          <t>Sveaskog</t>
        </is>
      </c>
      <c r="G286" t="n">
        <v>3.2</v>
      </c>
      <c r="H286" t="n">
        <v>0</v>
      </c>
      <c r="I286" t="n">
        <v>1</v>
      </c>
      <c r="J286" t="n">
        <v>4</v>
      </c>
      <c r="K286" t="n">
        <v>0</v>
      </c>
      <c r="L286" t="n">
        <v>0</v>
      </c>
      <c r="M286" t="n">
        <v>0</v>
      </c>
      <c r="N286" t="n">
        <v>0</v>
      </c>
      <c r="O286" t="n">
        <v>4</v>
      </c>
      <c r="P286" t="n">
        <v>0</v>
      </c>
      <c r="Q286" t="n">
        <v>5</v>
      </c>
      <c r="R286" s="2" t="inlineStr">
        <is>
          <t>Gammelgransskål
Garnlav
Rosenticka
Ullticka
Vedticka</t>
        </is>
      </c>
      <c r="S286">
        <f>HYPERLINK("https://klasma.github.io/Logging_2518/artfynd/A 54390-2020 artfynd.xlsx", "A 54390-2020")</f>
        <v/>
      </c>
      <c r="T286">
        <f>HYPERLINK("https://klasma.github.io/Logging_2518/kartor/A 54390-2020 karta.png", "A 54390-2020")</f>
        <v/>
      </c>
      <c r="V286">
        <f>HYPERLINK("https://klasma.github.io/Logging_2518/klagomål/A 54390-2020 FSC-klagomål.docx", "A 54390-2020")</f>
        <v/>
      </c>
      <c r="W286">
        <f>HYPERLINK("https://klasma.github.io/Logging_2518/klagomålsmail/A 54390-2020 FSC-klagomål mail.docx", "A 54390-2020")</f>
        <v/>
      </c>
      <c r="X286">
        <f>HYPERLINK("https://klasma.github.io/Logging_2518/tillsyn/A 54390-2020 tillsynsbegäran.docx", "A 54390-2020")</f>
        <v/>
      </c>
      <c r="Y286">
        <f>HYPERLINK("https://klasma.github.io/Logging_2518/tillsynsmail/A 54390-2020 tillsynsbegäran mail.docx", "A 54390-2020")</f>
        <v/>
      </c>
    </row>
    <row r="287" ht="15" customHeight="1">
      <c r="A287" t="inlineStr">
        <is>
          <t>A 6896-2021</t>
        </is>
      </c>
      <c r="B287" s="1" t="n">
        <v>44237</v>
      </c>
      <c r="C287" s="1" t="n">
        <v>45798</v>
      </c>
      <c r="D287" t="inlineStr">
        <is>
          <t>NORRBOTTENS LÄN</t>
        </is>
      </c>
      <c r="E287" t="inlineStr">
        <is>
          <t>KIRUNA</t>
        </is>
      </c>
      <c r="G287" t="n">
        <v>5.3</v>
      </c>
      <c r="H287" t="n">
        <v>1</v>
      </c>
      <c r="I287" t="n">
        <v>0</v>
      </c>
      <c r="J287" t="n">
        <v>5</v>
      </c>
      <c r="K287" t="n">
        <v>0</v>
      </c>
      <c r="L287" t="n">
        <v>0</v>
      </c>
      <c r="M287" t="n">
        <v>0</v>
      </c>
      <c r="N287" t="n">
        <v>0</v>
      </c>
      <c r="O287" t="n">
        <v>5</v>
      </c>
      <c r="P287" t="n">
        <v>0</v>
      </c>
      <c r="Q287" t="n">
        <v>5</v>
      </c>
      <c r="R287" s="2" t="inlineStr">
        <is>
          <t>Granticka
Harticka
Knottrig blåslav
Tretåig hackspett
Ullticka</t>
        </is>
      </c>
      <c r="S287">
        <f>HYPERLINK("https://klasma.github.io/Logging_2584/artfynd/A 6896-2021 artfynd.xlsx", "A 6896-2021")</f>
        <v/>
      </c>
      <c r="T287">
        <f>HYPERLINK("https://klasma.github.io/Logging_2584/kartor/A 6896-2021 karta.png", "A 6896-2021")</f>
        <v/>
      </c>
      <c r="V287">
        <f>HYPERLINK("https://klasma.github.io/Logging_2584/klagomål/A 6896-2021 FSC-klagomål.docx", "A 6896-2021")</f>
        <v/>
      </c>
      <c r="W287">
        <f>HYPERLINK("https://klasma.github.io/Logging_2584/klagomålsmail/A 6896-2021 FSC-klagomål mail.docx", "A 6896-2021")</f>
        <v/>
      </c>
      <c r="X287">
        <f>HYPERLINK("https://klasma.github.io/Logging_2584/tillsyn/A 6896-2021 tillsynsbegäran.docx", "A 6896-2021")</f>
        <v/>
      </c>
      <c r="Y287">
        <f>HYPERLINK("https://klasma.github.io/Logging_2584/tillsynsmail/A 6896-2021 tillsynsbegäran mail.docx", "A 6896-2021")</f>
        <v/>
      </c>
      <c r="Z287">
        <f>HYPERLINK("https://klasma.github.io/Logging_2584/fåglar/A 6896-2021 prioriterade fågelarter.docx", "A 6896-2021")</f>
        <v/>
      </c>
    </row>
    <row r="288" ht="15" customHeight="1">
      <c r="A288" t="inlineStr">
        <is>
          <t>A 25516-2021</t>
        </is>
      </c>
      <c r="B288" s="1" t="n">
        <v>44343</v>
      </c>
      <c r="C288" s="1" t="n">
        <v>45798</v>
      </c>
      <c r="D288" t="inlineStr">
        <is>
          <t>NORRBOTTENS LÄN</t>
        </is>
      </c>
      <c r="E288" t="inlineStr">
        <is>
          <t>PITEÅ</t>
        </is>
      </c>
      <c r="F288" t="inlineStr">
        <is>
          <t>SCA</t>
        </is>
      </c>
      <c r="G288" t="n">
        <v>3.5</v>
      </c>
      <c r="H288" t="n">
        <v>1</v>
      </c>
      <c r="I288" t="n">
        <v>2</v>
      </c>
      <c r="J288" t="n">
        <v>3</v>
      </c>
      <c r="K288" t="n">
        <v>0</v>
      </c>
      <c r="L288" t="n">
        <v>0</v>
      </c>
      <c r="M288" t="n">
        <v>0</v>
      </c>
      <c r="N288" t="n">
        <v>0</v>
      </c>
      <c r="O288" t="n">
        <v>3</v>
      </c>
      <c r="P288" t="n">
        <v>0</v>
      </c>
      <c r="Q288" t="n">
        <v>5</v>
      </c>
      <c r="R288" s="2" t="inlineStr">
        <is>
          <t>Granticka
Spillkråka
Ullticka
Nästlav
Stor aspticka</t>
        </is>
      </c>
      <c r="S288">
        <f>HYPERLINK("https://klasma.github.io/Logging_2581/artfynd/A 25516-2021 artfynd.xlsx", "A 25516-2021")</f>
        <v/>
      </c>
      <c r="T288">
        <f>HYPERLINK("https://klasma.github.io/Logging_2581/kartor/A 25516-2021 karta.png", "A 25516-2021")</f>
        <v/>
      </c>
      <c r="V288">
        <f>HYPERLINK("https://klasma.github.io/Logging_2581/klagomål/A 25516-2021 FSC-klagomål.docx", "A 25516-2021")</f>
        <v/>
      </c>
      <c r="W288">
        <f>HYPERLINK("https://klasma.github.io/Logging_2581/klagomålsmail/A 25516-2021 FSC-klagomål mail.docx", "A 25516-2021")</f>
        <v/>
      </c>
      <c r="X288">
        <f>HYPERLINK("https://klasma.github.io/Logging_2581/tillsyn/A 25516-2021 tillsynsbegäran.docx", "A 25516-2021")</f>
        <v/>
      </c>
      <c r="Y288">
        <f>HYPERLINK("https://klasma.github.io/Logging_2581/tillsynsmail/A 25516-2021 tillsynsbegäran mail.docx", "A 25516-2021")</f>
        <v/>
      </c>
      <c r="Z288">
        <f>HYPERLINK("https://klasma.github.io/Logging_2581/fåglar/A 25516-2021 prioriterade fågelarter.docx", "A 25516-2021")</f>
        <v/>
      </c>
    </row>
    <row r="289" ht="15" customHeight="1">
      <c r="A289" t="inlineStr">
        <is>
          <t>A 31305-2021</t>
        </is>
      </c>
      <c r="B289" s="1" t="n">
        <v>44368</v>
      </c>
      <c r="C289" s="1" t="n">
        <v>45798</v>
      </c>
      <c r="D289" t="inlineStr">
        <is>
          <t>NORRBOTTENS LÄN</t>
        </is>
      </c>
      <c r="E289" t="inlineStr">
        <is>
          <t>ÖVERTORNEÅ</t>
        </is>
      </c>
      <c r="F289" t="inlineStr">
        <is>
          <t>Sveaskog</t>
        </is>
      </c>
      <c r="G289" t="n">
        <v>3</v>
      </c>
      <c r="H289" t="n">
        <v>0</v>
      </c>
      <c r="I289" t="n">
        <v>2</v>
      </c>
      <c r="J289" t="n">
        <v>3</v>
      </c>
      <c r="K289" t="n">
        <v>0</v>
      </c>
      <c r="L289" t="n">
        <v>0</v>
      </c>
      <c r="M289" t="n">
        <v>0</v>
      </c>
      <c r="N289" t="n">
        <v>0</v>
      </c>
      <c r="O289" t="n">
        <v>3</v>
      </c>
      <c r="P289" t="n">
        <v>0</v>
      </c>
      <c r="Q289" t="n">
        <v>5</v>
      </c>
      <c r="R289" s="2" t="inlineStr">
        <is>
          <t>Gammelgransskål
Garnlav
Harticka
Luddlav
Vedticka</t>
        </is>
      </c>
      <c r="S289">
        <f>HYPERLINK("https://klasma.github.io/Logging_2518/artfynd/A 31305-2021 artfynd.xlsx", "A 31305-2021")</f>
        <v/>
      </c>
      <c r="T289">
        <f>HYPERLINK("https://klasma.github.io/Logging_2518/kartor/A 31305-2021 karta.png", "A 31305-2021")</f>
        <v/>
      </c>
      <c r="V289">
        <f>HYPERLINK("https://klasma.github.io/Logging_2518/klagomål/A 31305-2021 FSC-klagomål.docx", "A 31305-2021")</f>
        <v/>
      </c>
      <c r="W289">
        <f>HYPERLINK("https://klasma.github.io/Logging_2518/klagomålsmail/A 31305-2021 FSC-klagomål mail.docx", "A 31305-2021")</f>
        <v/>
      </c>
      <c r="X289">
        <f>HYPERLINK("https://klasma.github.io/Logging_2518/tillsyn/A 31305-2021 tillsynsbegäran.docx", "A 31305-2021")</f>
        <v/>
      </c>
      <c r="Y289">
        <f>HYPERLINK("https://klasma.github.io/Logging_2518/tillsynsmail/A 31305-2021 tillsynsbegäran mail.docx", "A 31305-2021")</f>
        <v/>
      </c>
    </row>
    <row r="290" ht="15" customHeight="1">
      <c r="A290" t="inlineStr">
        <is>
          <t>A 43653-2021</t>
        </is>
      </c>
      <c r="B290" s="1" t="n">
        <v>44433</v>
      </c>
      <c r="C290" s="1" t="n">
        <v>45798</v>
      </c>
      <c r="D290" t="inlineStr">
        <is>
          <t>NORRBOTTENS LÄN</t>
        </is>
      </c>
      <c r="E290" t="inlineStr">
        <is>
          <t>BODEN</t>
        </is>
      </c>
      <c r="F290" t="inlineStr">
        <is>
          <t>Sveaskog</t>
        </is>
      </c>
      <c r="G290" t="n">
        <v>5.2</v>
      </c>
      <c r="H290" t="n">
        <v>2</v>
      </c>
      <c r="I290" t="n">
        <v>2</v>
      </c>
      <c r="J290" t="n">
        <v>2</v>
      </c>
      <c r="K290" t="n">
        <v>1</v>
      </c>
      <c r="L290" t="n">
        <v>0</v>
      </c>
      <c r="M290" t="n">
        <v>0</v>
      </c>
      <c r="N290" t="n">
        <v>0</v>
      </c>
      <c r="O290" t="n">
        <v>3</v>
      </c>
      <c r="P290" t="n">
        <v>1</v>
      </c>
      <c r="Q290" t="n">
        <v>5</v>
      </c>
      <c r="R290" s="2" t="inlineStr">
        <is>
          <t>Knärot
Gammelgransskål
Lunglav
Spindelblomster
Ögonpyrola</t>
        </is>
      </c>
      <c r="S290">
        <f>HYPERLINK("https://klasma.github.io/Logging_2582/artfynd/A 43653-2021 artfynd.xlsx", "A 43653-2021")</f>
        <v/>
      </c>
      <c r="T290">
        <f>HYPERLINK("https://klasma.github.io/Logging_2582/kartor/A 43653-2021 karta.png", "A 43653-2021")</f>
        <v/>
      </c>
      <c r="U290">
        <f>HYPERLINK("https://klasma.github.io/Logging_2582/knärot/A 43653-2021 karta knärot.png", "A 43653-2021")</f>
        <v/>
      </c>
      <c r="V290">
        <f>HYPERLINK("https://klasma.github.io/Logging_2582/klagomål/A 43653-2021 FSC-klagomål.docx", "A 43653-2021")</f>
        <v/>
      </c>
      <c r="W290">
        <f>HYPERLINK("https://klasma.github.io/Logging_2582/klagomålsmail/A 43653-2021 FSC-klagomål mail.docx", "A 43653-2021")</f>
        <v/>
      </c>
      <c r="X290">
        <f>HYPERLINK("https://klasma.github.io/Logging_2582/tillsyn/A 43653-2021 tillsynsbegäran.docx", "A 43653-2021")</f>
        <v/>
      </c>
      <c r="Y290">
        <f>HYPERLINK("https://klasma.github.io/Logging_2582/tillsynsmail/A 43653-2021 tillsynsbegäran mail.docx", "A 43653-2021")</f>
        <v/>
      </c>
    </row>
    <row r="291" ht="15" customHeight="1">
      <c r="A291" t="inlineStr">
        <is>
          <t>A 48650-2021</t>
        </is>
      </c>
      <c r="B291" s="1" t="n">
        <v>44452</v>
      </c>
      <c r="C291" s="1" t="n">
        <v>45798</v>
      </c>
      <c r="D291" t="inlineStr">
        <is>
          <t>NORRBOTTENS LÄN</t>
        </is>
      </c>
      <c r="E291" t="inlineStr">
        <is>
          <t>ARVIDSJAUR</t>
        </is>
      </c>
      <c r="G291" t="n">
        <v>18.2</v>
      </c>
      <c r="H291" t="n">
        <v>0</v>
      </c>
      <c r="I291" t="n">
        <v>2</v>
      </c>
      <c r="J291" t="n">
        <v>3</v>
      </c>
      <c r="K291" t="n">
        <v>0</v>
      </c>
      <c r="L291" t="n">
        <v>0</v>
      </c>
      <c r="M291" t="n">
        <v>0</v>
      </c>
      <c r="N291" t="n">
        <v>0</v>
      </c>
      <c r="O291" t="n">
        <v>3</v>
      </c>
      <c r="P291" t="n">
        <v>0</v>
      </c>
      <c r="Q291" t="n">
        <v>5</v>
      </c>
      <c r="R291" s="2" t="inlineStr">
        <is>
          <t>Lunglav
Rosenticka
Ullticka
Luddlav
Skinnlav</t>
        </is>
      </c>
      <c r="S291">
        <f>HYPERLINK("https://klasma.github.io/Logging_2505/artfynd/A 48650-2021 artfynd.xlsx", "A 48650-2021")</f>
        <v/>
      </c>
      <c r="T291">
        <f>HYPERLINK("https://klasma.github.io/Logging_2505/kartor/A 48650-2021 karta.png", "A 48650-2021")</f>
        <v/>
      </c>
      <c r="V291">
        <f>HYPERLINK("https://klasma.github.io/Logging_2505/klagomål/A 48650-2021 FSC-klagomål.docx", "A 48650-2021")</f>
        <v/>
      </c>
      <c r="W291">
        <f>HYPERLINK("https://klasma.github.io/Logging_2505/klagomålsmail/A 48650-2021 FSC-klagomål mail.docx", "A 48650-2021")</f>
        <v/>
      </c>
      <c r="X291">
        <f>HYPERLINK("https://klasma.github.io/Logging_2505/tillsyn/A 48650-2021 tillsynsbegäran.docx", "A 48650-2021")</f>
        <v/>
      </c>
      <c r="Y291">
        <f>HYPERLINK("https://klasma.github.io/Logging_2505/tillsynsmail/A 48650-2021 tillsynsbegäran mail.docx", "A 48650-2021")</f>
        <v/>
      </c>
    </row>
    <row r="292" ht="15" customHeight="1">
      <c r="A292" t="inlineStr">
        <is>
          <t>A 56289-2021</t>
        </is>
      </c>
      <c r="B292" s="1" t="n">
        <v>44479</v>
      </c>
      <c r="C292" s="1" t="n">
        <v>45798</v>
      </c>
      <c r="D292" t="inlineStr">
        <is>
          <t>NORRBOTTENS LÄN</t>
        </is>
      </c>
      <c r="E292" t="inlineStr">
        <is>
          <t>GÄLLIVARE</t>
        </is>
      </c>
      <c r="F292" t="inlineStr">
        <is>
          <t>SCA</t>
        </is>
      </c>
      <c r="G292" t="n">
        <v>4.5</v>
      </c>
      <c r="H292" t="n">
        <v>0</v>
      </c>
      <c r="I292" t="n">
        <v>1</v>
      </c>
      <c r="J292" t="n">
        <v>2</v>
      </c>
      <c r="K292" t="n">
        <v>2</v>
      </c>
      <c r="L292" t="n">
        <v>0</v>
      </c>
      <c r="M292" t="n">
        <v>0</v>
      </c>
      <c r="N292" t="n">
        <v>0</v>
      </c>
      <c r="O292" t="n">
        <v>4</v>
      </c>
      <c r="P292" t="n">
        <v>2</v>
      </c>
      <c r="Q292" t="n">
        <v>5</v>
      </c>
      <c r="R292" s="2" t="inlineStr">
        <is>
          <t>Goliatmusseron
Tallgråticka
Blå taggsvamp
Tallriska
Skarp dropptaggsvamp</t>
        </is>
      </c>
      <c r="S292">
        <f>HYPERLINK("https://klasma.github.io/Logging_2523/artfynd/A 56289-2021 artfynd.xlsx", "A 56289-2021")</f>
        <v/>
      </c>
      <c r="T292">
        <f>HYPERLINK("https://klasma.github.io/Logging_2523/kartor/A 56289-2021 karta.png", "A 56289-2021")</f>
        <v/>
      </c>
      <c r="V292">
        <f>HYPERLINK("https://klasma.github.io/Logging_2523/klagomål/A 56289-2021 FSC-klagomål.docx", "A 56289-2021")</f>
        <v/>
      </c>
      <c r="W292">
        <f>HYPERLINK("https://klasma.github.io/Logging_2523/klagomålsmail/A 56289-2021 FSC-klagomål mail.docx", "A 56289-2021")</f>
        <v/>
      </c>
      <c r="X292">
        <f>HYPERLINK("https://klasma.github.io/Logging_2523/tillsyn/A 56289-2021 tillsynsbegäran.docx", "A 56289-2021")</f>
        <v/>
      </c>
      <c r="Y292">
        <f>HYPERLINK("https://klasma.github.io/Logging_2523/tillsynsmail/A 56289-2021 tillsynsbegäran mail.docx", "A 56289-2021")</f>
        <v/>
      </c>
    </row>
    <row r="293" ht="15" customHeight="1">
      <c r="A293" t="inlineStr">
        <is>
          <t>A 59451-2021</t>
        </is>
      </c>
      <c r="B293" s="1" t="n">
        <v>44490</v>
      </c>
      <c r="C293" s="1" t="n">
        <v>45798</v>
      </c>
      <c r="D293" t="inlineStr">
        <is>
          <t>NORRBOTTENS LÄN</t>
        </is>
      </c>
      <c r="E293" t="inlineStr">
        <is>
          <t>JOKKMOKK</t>
        </is>
      </c>
      <c r="F293" t="inlineStr">
        <is>
          <t>Övriga statliga verk och myndigheter</t>
        </is>
      </c>
      <c r="G293" t="n">
        <v>9.699999999999999</v>
      </c>
      <c r="H293" t="n">
        <v>0</v>
      </c>
      <c r="I293" t="n">
        <v>1</v>
      </c>
      <c r="J293" t="n">
        <v>4</v>
      </c>
      <c r="K293" t="n">
        <v>0</v>
      </c>
      <c r="L293" t="n">
        <v>0</v>
      </c>
      <c r="M293" t="n">
        <v>0</v>
      </c>
      <c r="N293" t="n">
        <v>0</v>
      </c>
      <c r="O293" t="n">
        <v>4</v>
      </c>
      <c r="P293" t="n">
        <v>0</v>
      </c>
      <c r="Q293" t="n">
        <v>5</v>
      </c>
      <c r="R293" s="2" t="inlineStr">
        <is>
          <t>Blå taggsvamp
Mörk kolflarnlav
Talltaggsvamp
Violmussling
Dropptaggsvamp</t>
        </is>
      </c>
      <c r="S293">
        <f>HYPERLINK("https://klasma.github.io/Logging_2510/artfynd/A 59451-2021 artfynd.xlsx", "A 59451-2021")</f>
        <v/>
      </c>
      <c r="T293">
        <f>HYPERLINK("https://klasma.github.io/Logging_2510/kartor/A 59451-2021 karta.png", "A 59451-2021")</f>
        <v/>
      </c>
      <c r="V293">
        <f>HYPERLINK("https://klasma.github.io/Logging_2510/klagomål/A 59451-2021 FSC-klagomål.docx", "A 59451-2021")</f>
        <v/>
      </c>
      <c r="W293">
        <f>HYPERLINK("https://klasma.github.io/Logging_2510/klagomålsmail/A 59451-2021 FSC-klagomål mail.docx", "A 59451-2021")</f>
        <v/>
      </c>
      <c r="X293">
        <f>HYPERLINK("https://klasma.github.io/Logging_2510/tillsyn/A 59451-2021 tillsynsbegäran.docx", "A 59451-2021")</f>
        <v/>
      </c>
      <c r="Y293">
        <f>HYPERLINK("https://klasma.github.io/Logging_2510/tillsynsmail/A 59451-2021 tillsynsbegäran mail.docx", "A 59451-2021")</f>
        <v/>
      </c>
    </row>
    <row r="294" ht="15" customHeight="1">
      <c r="A294" t="inlineStr">
        <is>
          <t>A 71719-2021</t>
        </is>
      </c>
      <c r="B294" s="1" t="n">
        <v>44539</v>
      </c>
      <c r="C294" s="1" t="n">
        <v>45798</v>
      </c>
      <c r="D294" t="inlineStr">
        <is>
          <t>NORRBOTTENS LÄN</t>
        </is>
      </c>
      <c r="E294" t="inlineStr">
        <is>
          <t>PITEÅ</t>
        </is>
      </c>
      <c r="F294" t="inlineStr">
        <is>
          <t>Kommuner</t>
        </is>
      </c>
      <c r="G294" t="n">
        <v>3.1</v>
      </c>
      <c r="H294" t="n">
        <v>1</v>
      </c>
      <c r="I294" t="n">
        <v>1</v>
      </c>
      <c r="J294" t="n">
        <v>4</v>
      </c>
      <c r="K294" t="n">
        <v>0</v>
      </c>
      <c r="L294" t="n">
        <v>0</v>
      </c>
      <c r="M294" t="n">
        <v>0</v>
      </c>
      <c r="N294" t="n">
        <v>0</v>
      </c>
      <c r="O294" t="n">
        <v>4</v>
      </c>
      <c r="P294" t="n">
        <v>0</v>
      </c>
      <c r="Q294" t="n">
        <v>5</v>
      </c>
      <c r="R294" s="2" t="inlineStr">
        <is>
          <t>Motaggsvamp
Orange taggsvamp
Skrovlig taggsvamp
Svartvit taggsvamp
Plattlummer</t>
        </is>
      </c>
      <c r="S294">
        <f>HYPERLINK("https://klasma.github.io/Logging_2581/artfynd/A 71719-2021 artfynd.xlsx", "A 71719-2021")</f>
        <v/>
      </c>
      <c r="T294">
        <f>HYPERLINK("https://klasma.github.io/Logging_2581/kartor/A 71719-2021 karta.png", "A 71719-2021")</f>
        <v/>
      </c>
      <c r="V294">
        <f>HYPERLINK("https://klasma.github.io/Logging_2581/klagomål/A 71719-2021 FSC-klagomål.docx", "A 71719-2021")</f>
        <v/>
      </c>
      <c r="W294">
        <f>HYPERLINK("https://klasma.github.io/Logging_2581/klagomålsmail/A 71719-2021 FSC-klagomål mail.docx", "A 71719-2021")</f>
        <v/>
      </c>
      <c r="X294">
        <f>HYPERLINK("https://klasma.github.io/Logging_2581/tillsyn/A 71719-2021 tillsynsbegäran.docx", "A 71719-2021")</f>
        <v/>
      </c>
      <c r="Y294">
        <f>HYPERLINK("https://klasma.github.io/Logging_2581/tillsynsmail/A 71719-2021 tillsynsbegäran mail.docx", "A 71719-2021")</f>
        <v/>
      </c>
    </row>
    <row r="295" ht="15" customHeight="1">
      <c r="A295" t="inlineStr">
        <is>
          <t>A 73616-2021</t>
        </is>
      </c>
      <c r="B295" s="1" t="n">
        <v>44552</v>
      </c>
      <c r="C295" s="1" t="n">
        <v>45798</v>
      </c>
      <c r="D295" t="inlineStr">
        <is>
          <t>NORRBOTTENS LÄN</t>
        </is>
      </c>
      <c r="E295" t="inlineStr">
        <is>
          <t>ÄLVSBYN</t>
        </is>
      </c>
      <c r="G295" t="n">
        <v>7.3</v>
      </c>
      <c r="H295" t="n">
        <v>2</v>
      </c>
      <c r="I295" t="n">
        <v>0</v>
      </c>
      <c r="J295" t="n">
        <v>3</v>
      </c>
      <c r="K295" t="n">
        <v>2</v>
      </c>
      <c r="L295" t="n">
        <v>0</v>
      </c>
      <c r="M295" t="n">
        <v>0</v>
      </c>
      <c r="N295" t="n">
        <v>0</v>
      </c>
      <c r="O295" t="n">
        <v>5</v>
      </c>
      <c r="P295" t="n">
        <v>2</v>
      </c>
      <c r="Q295" t="n">
        <v>5</v>
      </c>
      <c r="R295" s="2" t="inlineStr">
        <is>
          <t>Knärot
Sprickporing
Gammelgransskål
Granticka
Spillkråka</t>
        </is>
      </c>
      <c r="S295">
        <f>HYPERLINK("https://klasma.github.io/Logging_2560/artfynd/A 73616-2021 artfynd.xlsx", "A 73616-2021")</f>
        <v/>
      </c>
      <c r="T295">
        <f>HYPERLINK("https://klasma.github.io/Logging_2560/kartor/A 73616-2021 karta.png", "A 73616-2021")</f>
        <v/>
      </c>
      <c r="U295">
        <f>HYPERLINK("https://klasma.github.io/Logging_2560/knärot/A 73616-2021 karta knärot.png", "A 73616-2021")</f>
        <v/>
      </c>
      <c r="V295">
        <f>HYPERLINK("https://klasma.github.io/Logging_2560/klagomål/A 73616-2021 FSC-klagomål.docx", "A 73616-2021")</f>
        <v/>
      </c>
      <c r="W295">
        <f>HYPERLINK("https://klasma.github.io/Logging_2560/klagomålsmail/A 73616-2021 FSC-klagomål mail.docx", "A 73616-2021")</f>
        <v/>
      </c>
      <c r="X295">
        <f>HYPERLINK("https://klasma.github.io/Logging_2560/tillsyn/A 73616-2021 tillsynsbegäran.docx", "A 73616-2021")</f>
        <v/>
      </c>
      <c r="Y295">
        <f>HYPERLINK("https://klasma.github.io/Logging_2560/tillsynsmail/A 73616-2021 tillsynsbegäran mail.docx", "A 73616-2021")</f>
        <v/>
      </c>
      <c r="Z295">
        <f>HYPERLINK("https://klasma.github.io/Logging_2560/fåglar/A 73616-2021 prioriterade fågelarter.docx", "A 73616-2021")</f>
        <v/>
      </c>
    </row>
    <row r="296" ht="15" customHeight="1">
      <c r="A296" t="inlineStr">
        <is>
          <t>A 26963-2022</t>
        </is>
      </c>
      <c r="B296" s="1" t="n">
        <v>44740</v>
      </c>
      <c r="C296" s="1" t="n">
        <v>45798</v>
      </c>
      <c r="D296" t="inlineStr">
        <is>
          <t>NORRBOTTENS LÄN</t>
        </is>
      </c>
      <c r="E296" t="inlineStr">
        <is>
          <t>PITEÅ</t>
        </is>
      </c>
      <c r="F296" t="inlineStr">
        <is>
          <t>Sveaskog</t>
        </is>
      </c>
      <c r="G296" t="n">
        <v>14.6</v>
      </c>
      <c r="H296" t="n">
        <v>2</v>
      </c>
      <c r="I296" t="n">
        <v>1</v>
      </c>
      <c r="J296" t="n">
        <v>2</v>
      </c>
      <c r="K296" t="n">
        <v>0</v>
      </c>
      <c r="L296" t="n">
        <v>0</v>
      </c>
      <c r="M296" t="n">
        <v>0</v>
      </c>
      <c r="N296" t="n">
        <v>0</v>
      </c>
      <c r="O296" t="n">
        <v>2</v>
      </c>
      <c r="P296" t="n">
        <v>0</v>
      </c>
      <c r="Q296" t="n">
        <v>5</v>
      </c>
      <c r="R296" s="2" t="inlineStr">
        <is>
          <t>Garnlav
Vedskivlav
Stuplav
Fläcknycklar
Revlummer</t>
        </is>
      </c>
      <c r="S296">
        <f>HYPERLINK("https://klasma.github.io/Logging_2581/artfynd/A 26963-2022 artfynd.xlsx", "A 26963-2022")</f>
        <v/>
      </c>
      <c r="T296">
        <f>HYPERLINK("https://klasma.github.io/Logging_2581/kartor/A 26963-2022 karta.png", "A 26963-2022")</f>
        <v/>
      </c>
      <c r="V296">
        <f>HYPERLINK("https://klasma.github.io/Logging_2581/klagomål/A 26963-2022 FSC-klagomål.docx", "A 26963-2022")</f>
        <v/>
      </c>
      <c r="W296">
        <f>HYPERLINK("https://klasma.github.io/Logging_2581/klagomålsmail/A 26963-2022 FSC-klagomål mail.docx", "A 26963-2022")</f>
        <v/>
      </c>
      <c r="X296">
        <f>HYPERLINK("https://klasma.github.io/Logging_2581/tillsyn/A 26963-2022 tillsynsbegäran.docx", "A 26963-2022")</f>
        <v/>
      </c>
      <c r="Y296">
        <f>HYPERLINK("https://klasma.github.io/Logging_2581/tillsynsmail/A 26963-2022 tillsynsbegäran mail.docx", "A 26963-2022")</f>
        <v/>
      </c>
    </row>
    <row r="297" ht="15" customHeight="1">
      <c r="A297" t="inlineStr">
        <is>
          <t>A 29873-2022</t>
        </is>
      </c>
      <c r="B297" s="1" t="n">
        <v>44755</v>
      </c>
      <c r="C297" s="1" t="n">
        <v>45798</v>
      </c>
      <c r="D297" t="inlineStr">
        <is>
          <t>NORRBOTTENS LÄN</t>
        </is>
      </c>
      <c r="E297" t="inlineStr">
        <is>
          <t>PAJALA</t>
        </is>
      </c>
      <c r="G297" t="n">
        <v>3.6</v>
      </c>
      <c r="H297" t="n">
        <v>1</v>
      </c>
      <c r="I297" t="n">
        <v>0</v>
      </c>
      <c r="J297" t="n">
        <v>4</v>
      </c>
      <c r="K297" t="n">
        <v>0</v>
      </c>
      <c r="L297" t="n">
        <v>0</v>
      </c>
      <c r="M297" t="n">
        <v>0</v>
      </c>
      <c r="N297" t="n">
        <v>0</v>
      </c>
      <c r="O297" t="n">
        <v>4</v>
      </c>
      <c r="P297" t="n">
        <v>0</v>
      </c>
      <c r="Q297" t="n">
        <v>5</v>
      </c>
      <c r="R297" s="2" t="inlineStr">
        <is>
          <t>Granticka
Rosenticka
Röd trolldruva
Ullticka
Fläcknycklar</t>
        </is>
      </c>
      <c r="S297">
        <f>HYPERLINK("https://klasma.github.io/Logging_2521/artfynd/A 29873-2022 artfynd.xlsx", "A 29873-2022")</f>
        <v/>
      </c>
      <c r="T297">
        <f>HYPERLINK("https://klasma.github.io/Logging_2521/kartor/A 29873-2022 karta.png", "A 29873-2022")</f>
        <v/>
      </c>
      <c r="V297">
        <f>HYPERLINK("https://klasma.github.io/Logging_2521/klagomål/A 29873-2022 FSC-klagomål.docx", "A 29873-2022")</f>
        <v/>
      </c>
      <c r="W297">
        <f>HYPERLINK("https://klasma.github.io/Logging_2521/klagomålsmail/A 29873-2022 FSC-klagomål mail.docx", "A 29873-2022")</f>
        <v/>
      </c>
      <c r="X297">
        <f>HYPERLINK("https://klasma.github.io/Logging_2521/tillsyn/A 29873-2022 tillsynsbegäran.docx", "A 29873-2022")</f>
        <v/>
      </c>
      <c r="Y297">
        <f>HYPERLINK("https://klasma.github.io/Logging_2521/tillsynsmail/A 29873-2022 tillsynsbegäran mail.docx", "A 29873-2022")</f>
        <v/>
      </c>
    </row>
    <row r="298" ht="15" customHeight="1">
      <c r="A298" t="inlineStr">
        <is>
          <t>A 30582-2022</t>
        </is>
      </c>
      <c r="B298" s="1" t="n">
        <v>44762</v>
      </c>
      <c r="C298" s="1" t="n">
        <v>45798</v>
      </c>
      <c r="D298" t="inlineStr">
        <is>
          <t>NORRBOTTENS LÄN</t>
        </is>
      </c>
      <c r="E298" t="inlineStr">
        <is>
          <t>JOKKMOKK</t>
        </is>
      </c>
      <c r="F298" t="inlineStr">
        <is>
          <t>Övriga statliga verk och myndigheter</t>
        </is>
      </c>
      <c r="G298" t="n">
        <v>49.5</v>
      </c>
      <c r="H298" t="n">
        <v>0</v>
      </c>
      <c r="I298" t="n">
        <v>0</v>
      </c>
      <c r="J298" t="n">
        <v>2</v>
      </c>
      <c r="K298" t="n">
        <v>3</v>
      </c>
      <c r="L298" t="n">
        <v>0</v>
      </c>
      <c r="M298" t="n">
        <v>0</v>
      </c>
      <c r="N298" t="n">
        <v>0</v>
      </c>
      <c r="O298" t="n">
        <v>5</v>
      </c>
      <c r="P298" t="n">
        <v>3</v>
      </c>
      <c r="Q298" t="n">
        <v>5</v>
      </c>
      <c r="R298" s="2" t="inlineStr">
        <is>
          <t>Goliatmusseron
Lateritticka
Tallstocksticka
Dvärgbägarlav
Knottrig blåslav</t>
        </is>
      </c>
      <c r="S298">
        <f>HYPERLINK("https://klasma.github.io/Logging_2510/artfynd/A 30582-2022 artfynd.xlsx", "A 30582-2022")</f>
        <v/>
      </c>
      <c r="T298">
        <f>HYPERLINK("https://klasma.github.io/Logging_2510/kartor/A 30582-2022 karta.png", "A 30582-2022")</f>
        <v/>
      </c>
      <c r="V298">
        <f>HYPERLINK("https://klasma.github.io/Logging_2510/klagomål/A 30582-2022 FSC-klagomål.docx", "A 30582-2022")</f>
        <v/>
      </c>
      <c r="W298">
        <f>HYPERLINK("https://klasma.github.io/Logging_2510/klagomålsmail/A 30582-2022 FSC-klagomål mail.docx", "A 30582-2022")</f>
        <v/>
      </c>
      <c r="X298">
        <f>HYPERLINK("https://klasma.github.io/Logging_2510/tillsyn/A 30582-2022 tillsynsbegäran.docx", "A 30582-2022")</f>
        <v/>
      </c>
      <c r="Y298">
        <f>HYPERLINK("https://klasma.github.io/Logging_2510/tillsynsmail/A 30582-2022 tillsynsbegäran mail.docx", "A 30582-2022")</f>
        <v/>
      </c>
    </row>
    <row r="299" ht="15" customHeight="1">
      <c r="A299" t="inlineStr">
        <is>
          <t>A 34792-2022</t>
        </is>
      </c>
      <c r="B299" s="1" t="n">
        <v>44795</v>
      </c>
      <c r="C299" s="1" t="n">
        <v>45798</v>
      </c>
      <c r="D299" t="inlineStr">
        <is>
          <t>NORRBOTTENS LÄN</t>
        </is>
      </c>
      <c r="E299" t="inlineStr">
        <is>
          <t>BODEN</t>
        </is>
      </c>
      <c r="F299" t="inlineStr">
        <is>
          <t>SCA</t>
        </is>
      </c>
      <c r="G299" t="n">
        <v>6.7</v>
      </c>
      <c r="H299" t="n">
        <v>1</v>
      </c>
      <c r="I299" t="n">
        <v>1</v>
      </c>
      <c r="J299" t="n">
        <v>3</v>
      </c>
      <c r="K299" t="n">
        <v>1</v>
      </c>
      <c r="L299" t="n">
        <v>0</v>
      </c>
      <c r="M299" t="n">
        <v>0</v>
      </c>
      <c r="N299" t="n">
        <v>0</v>
      </c>
      <c r="O299" t="n">
        <v>4</v>
      </c>
      <c r="P299" t="n">
        <v>1</v>
      </c>
      <c r="Q299" t="n">
        <v>5</v>
      </c>
      <c r="R299" s="2" t="inlineStr">
        <is>
          <t>Knärot
Gammelgransskål
Granticka
Lunglav
Grönpyrola</t>
        </is>
      </c>
      <c r="S299">
        <f>HYPERLINK("https://klasma.github.io/Logging_2582/artfynd/A 34792-2022 artfynd.xlsx", "A 34792-2022")</f>
        <v/>
      </c>
      <c r="T299">
        <f>HYPERLINK("https://klasma.github.io/Logging_2582/kartor/A 34792-2022 karta.png", "A 34792-2022")</f>
        <v/>
      </c>
      <c r="U299">
        <f>HYPERLINK("https://klasma.github.io/Logging_2582/knärot/A 34792-2022 karta knärot.png", "A 34792-2022")</f>
        <v/>
      </c>
      <c r="V299">
        <f>HYPERLINK("https://klasma.github.io/Logging_2582/klagomål/A 34792-2022 FSC-klagomål.docx", "A 34792-2022")</f>
        <v/>
      </c>
      <c r="W299">
        <f>HYPERLINK("https://klasma.github.io/Logging_2582/klagomålsmail/A 34792-2022 FSC-klagomål mail.docx", "A 34792-2022")</f>
        <v/>
      </c>
      <c r="X299">
        <f>HYPERLINK("https://klasma.github.io/Logging_2582/tillsyn/A 34792-2022 tillsynsbegäran.docx", "A 34792-2022")</f>
        <v/>
      </c>
      <c r="Y299">
        <f>HYPERLINK("https://klasma.github.io/Logging_2582/tillsynsmail/A 34792-2022 tillsynsbegäran mail.docx", "A 34792-2022")</f>
        <v/>
      </c>
    </row>
    <row r="300" ht="15" customHeight="1">
      <c r="A300" t="inlineStr">
        <is>
          <t>A 39293-2022</t>
        </is>
      </c>
      <c r="B300" s="1" t="n">
        <v>44817</v>
      </c>
      <c r="C300" s="1" t="n">
        <v>45798</v>
      </c>
      <c r="D300" t="inlineStr">
        <is>
          <t>NORRBOTTENS LÄN</t>
        </is>
      </c>
      <c r="E300" t="inlineStr">
        <is>
          <t>ARVIDSJAUR</t>
        </is>
      </c>
      <c r="G300" t="n">
        <v>8.6</v>
      </c>
      <c r="H300" t="n">
        <v>1</v>
      </c>
      <c r="I300" t="n">
        <v>1</v>
      </c>
      <c r="J300" t="n">
        <v>4</v>
      </c>
      <c r="K300" t="n">
        <v>0</v>
      </c>
      <c r="L300" t="n">
        <v>0</v>
      </c>
      <c r="M300" t="n">
        <v>0</v>
      </c>
      <c r="N300" t="n">
        <v>0</v>
      </c>
      <c r="O300" t="n">
        <v>4</v>
      </c>
      <c r="P300" t="n">
        <v>0</v>
      </c>
      <c r="Q300" t="n">
        <v>5</v>
      </c>
      <c r="R300" s="2" t="inlineStr">
        <is>
          <t>Gammelgransskål
Garnlav
Stjärntagging
Ullticka
Korallrot</t>
        </is>
      </c>
      <c r="S300">
        <f>HYPERLINK("https://klasma.github.io/Logging_2505/artfynd/A 39293-2022 artfynd.xlsx", "A 39293-2022")</f>
        <v/>
      </c>
      <c r="T300">
        <f>HYPERLINK("https://klasma.github.io/Logging_2505/kartor/A 39293-2022 karta.png", "A 39293-2022")</f>
        <v/>
      </c>
      <c r="V300">
        <f>HYPERLINK("https://klasma.github.io/Logging_2505/klagomål/A 39293-2022 FSC-klagomål.docx", "A 39293-2022")</f>
        <v/>
      </c>
      <c r="W300">
        <f>HYPERLINK("https://klasma.github.io/Logging_2505/klagomålsmail/A 39293-2022 FSC-klagomål mail.docx", "A 39293-2022")</f>
        <v/>
      </c>
      <c r="X300">
        <f>HYPERLINK("https://klasma.github.io/Logging_2505/tillsyn/A 39293-2022 tillsynsbegäran.docx", "A 39293-2022")</f>
        <v/>
      </c>
      <c r="Y300">
        <f>HYPERLINK("https://klasma.github.io/Logging_2505/tillsynsmail/A 39293-2022 tillsynsbegäran mail.docx", "A 39293-2022")</f>
        <v/>
      </c>
    </row>
    <row r="301" ht="15" customHeight="1">
      <c r="A301" t="inlineStr">
        <is>
          <t>A 47035-2022</t>
        </is>
      </c>
      <c r="B301" s="1" t="n">
        <v>44851</v>
      </c>
      <c r="C301" s="1" t="n">
        <v>45798</v>
      </c>
      <c r="D301" t="inlineStr">
        <is>
          <t>NORRBOTTENS LÄN</t>
        </is>
      </c>
      <c r="E301" t="inlineStr">
        <is>
          <t>ARJEPLOG</t>
        </is>
      </c>
      <c r="F301" t="inlineStr">
        <is>
          <t>Övriga statliga verk och myndigheter</t>
        </is>
      </c>
      <c r="G301" t="n">
        <v>15.9</v>
      </c>
      <c r="H301" t="n">
        <v>3</v>
      </c>
      <c r="I301" t="n">
        <v>3</v>
      </c>
      <c r="J301" t="n">
        <v>1</v>
      </c>
      <c r="K301" t="n">
        <v>0</v>
      </c>
      <c r="L301" t="n">
        <v>0</v>
      </c>
      <c r="M301" t="n">
        <v>0</v>
      </c>
      <c r="N301" t="n">
        <v>0</v>
      </c>
      <c r="O301" t="n">
        <v>1</v>
      </c>
      <c r="P301" t="n">
        <v>0</v>
      </c>
      <c r="Q301" t="n">
        <v>5</v>
      </c>
      <c r="R301" s="2" t="inlineStr">
        <is>
          <t>Månlåsbräken
Grönkulla
Spindelblomster
Tibast
Brudsporre</t>
        </is>
      </c>
      <c r="S301">
        <f>HYPERLINK("https://klasma.github.io/Logging_2506/artfynd/A 47035-2022 artfynd.xlsx", "A 47035-2022")</f>
        <v/>
      </c>
      <c r="T301">
        <f>HYPERLINK("https://klasma.github.io/Logging_2506/kartor/A 47035-2022 karta.png", "A 47035-2022")</f>
        <v/>
      </c>
      <c r="V301">
        <f>HYPERLINK("https://klasma.github.io/Logging_2506/klagomål/A 47035-2022 FSC-klagomål.docx", "A 47035-2022")</f>
        <v/>
      </c>
      <c r="W301">
        <f>HYPERLINK("https://klasma.github.io/Logging_2506/klagomålsmail/A 47035-2022 FSC-klagomål mail.docx", "A 47035-2022")</f>
        <v/>
      </c>
      <c r="X301">
        <f>HYPERLINK("https://klasma.github.io/Logging_2506/tillsyn/A 47035-2022 tillsynsbegäran.docx", "A 47035-2022")</f>
        <v/>
      </c>
      <c r="Y301">
        <f>HYPERLINK("https://klasma.github.io/Logging_2506/tillsynsmail/A 47035-2022 tillsynsbegäran mail.docx", "A 47035-2022")</f>
        <v/>
      </c>
    </row>
    <row r="302" ht="15" customHeight="1">
      <c r="A302" t="inlineStr">
        <is>
          <t>A 51389-2022</t>
        </is>
      </c>
      <c r="B302" s="1" t="n">
        <v>44869</v>
      </c>
      <c r="C302" s="1" t="n">
        <v>45798</v>
      </c>
      <c r="D302" t="inlineStr">
        <is>
          <t>NORRBOTTENS LÄN</t>
        </is>
      </c>
      <c r="E302" t="inlineStr">
        <is>
          <t>BODEN</t>
        </is>
      </c>
      <c r="F302" t="inlineStr">
        <is>
          <t>Övriga statliga verk och myndigheter</t>
        </is>
      </c>
      <c r="G302" t="n">
        <v>15.6</v>
      </c>
      <c r="H302" t="n">
        <v>5</v>
      </c>
      <c r="I302" t="n">
        <v>0</v>
      </c>
      <c r="J302" t="n">
        <v>3</v>
      </c>
      <c r="K302" t="n">
        <v>1</v>
      </c>
      <c r="L302" t="n">
        <v>0</v>
      </c>
      <c r="M302" t="n">
        <v>0</v>
      </c>
      <c r="N302" t="n">
        <v>0</v>
      </c>
      <c r="O302" t="n">
        <v>4</v>
      </c>
      <c r="P302" t="n">
        <v>1</v>
      </c>
      <c r="Q302" t="n">
        <v>5</v>
      </c>
      <c r="R302" s="2" t="inlineStr">
        <is>
          <t>Tallbit
Grönsångare
Järpe
Talltita
Orre</t>
        </is>
      </c>
      <c r="S302">
        <f>HYPERLINK("https://klasma.github.io/Logging_2582/artfynd/A 51389-2022 artfynd.xlsx", "A 51389-2022")</f>
        <v/>
      </c>
      <c r="T302">
        <f>HYPERLINK("https://klasma.github.io/Logging_2582/kartor/A 51389-2022 karta.png", "A 51389-2022")</f>
        <v/>
      </c>
      <c r="V302">
        <f>HYPERLINK("https://klasma.github.io/Logging_2582/klagomål/A 51389-2022 FSC-klagomål.docx", "A 51389-2022")</f>
        <v/>
      </c>
      <c r="W302">
        <f>HYPERLINK("https://klasma.github.io/Logging_2582/klagomålsmail/A 51389-2022 FSC-klagomål mail.docx", "A 51389-2022")</f>
        <v/>
      </c>
      <c r="X302">
        <f>HYPERLINK("https://klasma.github.io/Logging_2582/tillsyn/A 51389-2022 tillsynsbegäran.docx", "A 51389-2022")</f>
        <v/>
      </c>
      <c r="Y302">
        <f>HYPERLINK("https://klasma.github.io/Logging_2582/tillsynsmail/A 51389-2022 tillsynsbegäran mail.docx", "A 51389-2022")</f>
        <v/>
      </c>
      <c r="Z302">
        <f>HYPERLINK("https://klasma.github.io/Logging_2582/fåglar/A 51389-2022 prioriterade fågelarter.docx", "A 51389-2022")</f>
        <v/>
      </c>
    </row>
    <row r="303" ht="15" customHeight="1">
      <c r="A303" t="inlineStr">
        <is>
          <t>A 54504-2022</t>
        </is>
      </c>
      <c r="B303" s="1" t="n">
        <v>44880</v>
      </c>
      <c r="C303" s="1" t="n">
        <v>45798</v>
      </c>
      <c r="D303" t="inlineStr">
        <is>
          <t>NORRBOTTENS LÄN</t>
        </is>
      </c>
      <c r="E303" t="inlineStr">
        <is>
          <t>ÖVERTORNEÅ</t>
        </is>
      </c>
      <c r="F303" t="inlineStr">
        <is>
          <t>Sveaskog</t>
        </is>
      </c>
      <c r="G303" t="n">
        <v>2.6</v>
      </c>
      <c r="H303" t="n">
        <v>2</v>
      </c>
      <c r="I303" t="n">
        <v>2</v>
      </c>
      <c r="J303" t="n">
        <v>2</v>
      </c>
      <c r="K303" t="n">
        <v>0</v>
      </c>
      <c r="L303" t="n">
        <v>0</v>
      </c>
      <c r="M303" t="n">
        <v>0</v>
      </c>
      <c r="N303" t="n">
        <v>0</v>
      </c>
      <c r="O303" t="n">
        <v>2</v>
      </c>
      <c r="P303" t="n">
        <v>0</v>
      </c>
      <c r="Q303" t="n">
        <v>5</v>
      </c>
      <c r="R303" s="2" t="inlineStr">
        <is>
          <t>Garnlav
Spillkråka
Barkticka
Norrlandslav
Revlummer</t>
        </is>
      </c>
      <c r="S303">
        <f>HYPERLINK("https://klasma.github.io/Logging_2518/artfynd/A 54504-2022 artfynd.xlsx", "A 54504-2022")</f>
        <v/>
      </c>
      <c r="T303">
        <f>HYPERLINK("https://klasma.github.io/Logging_2518/kartor/A 54504-2022 karta.png", "A 54504-2022")</f>
        <v/>
      </c>
      <c r="V303">
        <f>HYPERLINK("https://klasma.github.io/Logging_2518/klagomål/A 54504-2022 FSC-klagomål.docx", "A 54504-2022")</f>
        <v/>
      </c>
      <c r="W303">
        <f>HYPERLINK("https://klasma.github.io/Logging_2518/klagomålsmail/A 54504-2022 FSC-klagomål mail.docx", "A 54504-2022")</f>
        <v/>
      </c>
      <c r="X303">
        <f>HYPERLINK("https://klasma.github.io/Logging_2518/tillsyn/A 54504-2022 tillsynsbegäran.docx", "A 54504-2022")</f>
        <v/>
      </c>
      <c r="Y303">
        <f>HYPERLINK("https://klasma.github.io/Logging_2518/tillsynsmail/A 54504-2022 tillsynsbegäran mail.docx", "A 54504-2022")</f>
        <v/>
      </c>
      <c r="Z303">
        <f>HYPERLINK("https://klasma.github.io/Logging_2518/fåglar/A 54504-2022 prioriterade fågelarter.docx", "A 54504-2022")</f>
        <v/>
      </c>
    </row>
    <row r="304" ht="15" customHeight="1">
      <c r="A304" t="inlineStr">
        <is>
          <t>A 58034-2022</t>
        </is>
      </c>
      <c r="B304" s="1" t="n">
        <v>44893</v>
      </c>
      <c r="C304" s="1" t="n">
        <v>45798</v>
      </c>
      <c r="D304" t="inlineStr">
        <is>
          <t>NORRBOTTENS LÄN</t>
        </is>
      </c>
      <c r="E304" t="inlineStr">
        <is>
          <t>PAJALA</t>
        </is>
      </c>
      <c r="G304" t="n">
        <v>9.6</v>
      </c>
      <c r="H304" t="n">
        <v>0</v>
      </c>
      <c r="I304" t="n">
        <v>1</v>
      </c>
      <c r="J304" t="n">
        <v>4</v>
      </c>
      <c r="K304" t="n">
        <v>0</v>
      </c>
      <c r="L304" t="n">
        <v>0</v>
      </c>
      <c r="M304" t="n">
        <v>0</v>
      </c>
      <c r="N304" t="n">
        <v>0</v>
      </c>
      <c r="O304" t="n">
        <v>4</v>
      </c>
      <c r="P304" t="n">
        <v>0</v>
      </c>
      <c r="Q304" t="n">
        <v>5</v>
      </c>
      <c r="R304" s="2" t="inlineStr">
        <is>
          <t>Blanksvart spiklav
Gammelgransskål
Granticka
Vitgrynig nållav
Skör kvastmossa</t>
        </is>
      </c>
      <c r="S304">
        <f>HYPERLINK("https://klasma.github.io/Logging_2521/artfynd/A 58034-2022 artfynd.xlsx", "A 58034-2022")</f>
        <v/>
      </c>
      <c r="T304">
        <f>HYPERLINK("https://klasma.github.io/Logging_2521/kartor/A 58034-2022 karta.png", "A 58034-2022")</f>
        <v/>
      </c>
      <c r="V304">
        <f>HYPERLINK("https://klasma.github.io/Logging_2521/klagomål/A 58034-2022 FSC-klagomål.docx", "A 58034-2022")</f>
        <v/>
      </c>
      <c r="W304">
        <f>HYPERLINK("https://klasma.github.io/Logging_2521/klagomålsmail/A 58034-2022 FSC-klagomål mail.docx", "A 58034-2022")</f>
        <v/>
      </c>
      <c r="X304">
        <f>HYPERLINK("https://klasma.github.io/Logging_2521/tillsyn/A 58034-2022 tillsynsbegäran.docx", "A 58034-2022")</f>
        <v/>
      </c>
      <c r="Y304">
        <f>HYPERLINK("https://klasma.github.io/Logging_2521/tillsynsmail/A 58034-2022 tillsynsbegäran mail.docx", "A 58034-2022")</f>
        <v/>
      </c>
    </row>
    <row r="305" ht="15" customHeight="1">
      <c r="A305" t="inlineStr">
        <is>
          <t>A 15202-2023</t>
        </is>
      </c>
      <c r="B305" s="1" t="n">
        <v>45017</v>
      </c>
      <c r="C305" s="1" t="n">
        <v>45798</v>
      </c>
      <c r="D305" t="inlineStr">
        <is>
          <t>NORRBOTTENS LÄN</t>
        </is>
      </c>
      <c r="E305" t="inlineStr">
        <is>
          <t>ÖVERTORNEÅ</t>
        </is>
      </c>
      <c r="G305" t="n">
        <v>3.2</v>
      </c>
      <c r="H305" t="n">
        <v>1</v>
      </c>
      <c r="I305" t="n">
        <v>0</v>
      </c>
      <c r="J305" t="n">
        <v>5</v>
      </c>
      <c r="K305" t="n">
        <v>0</v>
      </c>
      <c r="L305" t="n">
        <v>0</v>
      </c>
      <c r="M305" t="n">
        <v>0</v>
      </c>
      <c r="N305" t="n">
        <v>0</v>
      </c>
      <c r="O305" t="n">
        <v>5</v>
      </c>
      <c r="P305" t="n">
        <v>0</v>
      </c>
      <c r="Q305" t="n">
        <v>5</v>
      </c>
      <c r="R305" s="2" t="inlineStr">
        <is>
          <t>Garnlav
Granticka
Lunglav
Spillkråka
Tallticka</t>
        </is>
      </c>
      <c r="S305">
        <f>HYPERLINK("https://klasma.github.io/Logging_2518/artfynd/A 15202-2023 artfynd.xlsx", "A 15202-2023")</f>
        <v/>
      </c>
      <c r="T305">
        <f>HYPERLINK("https://klasma.github.io/Logging_2518/kartor/A 15202-2023 karta.png", "A 15202-2023")</f>
        <v/>
      </c>
      <c r="V305">
        <f>HYPERLINK("https://klasma.github.io/Logging_2518/klagomål/A 15202-2023 FSC-klagomål.docx", "A 15202-2023")</f>
        <v/>
      </c>
      <c r="W305">
        <f>HYPERLINK("https://klasma.github.io/Logging_2518/klagomålsmail/A 15202-2023 FSC-klagomål mail.docx", "A 15202-2023")</f>
        <v/>
      </c>
      <c r="X305">
        <f>HYPERLINK("https://klasma.github.io/Logging_2518/tillsyn/A 15202-2023 tillsynsbegäran.docx", "A 15202-2023")</f>
        <v/>
      </c>
      <c r="Y305">
        <f>HYPERLINK("https://klasma.github.io/Logging_2518/tillsynsmail/A 15202-2023 tillsynsbegäran mail.docx", "A 15202-2023")</f>
        <v/>
      </c>
      <c r="Z305">
        <f>HYPERLINK("https://klasma.github.io/Logging_2518/fåglar/A 15202-2023 prioriterade fågelarter.docx", "A 15202-2023")</f>
        <v/>
      </c>
    </row>
    <row r="306" ht="15" customHeight="1">
      <c r="A306" t="inlineStr">
        <is>
          <t>A 16030-2023</t>
        </is>
      </c>
      <c r="B306" s="1" t="n">
        <v>45021</v>
      </c>
      <c r="C306" s="1" t="n">
        <v>45798</v>
      </c>
      <c r="D306" t="inlineStr">
        <is>
          <t>NORRBOTTENS LÄN</t>
        </is>
      </c>
      <c r="E306" t="inlineStr">
        <is>
          <t>PAJALA</t>
        </is>
      </c>
      <c r="F306" t="inlineStr">
        <is>
          <t>Allmännings- och besparingsskogar</t>
        </is>
      </c>
      <c r="G306" t="n">
        <v>24.3</v>
      </c>
      <c r="H306" t="n">
        <v>2</v>
      </c>
      <c r="I306" t="n">
        <v>0</v>
      </c>
      <c r="J306" t="n">
        <v>4</v>
      </c>
      <c r="K306" t="n">
        <v>1</v>
      </c>
      <c r="L306" t="n">
        <v>0</v>
      </c>
      <c r="M306" t="n">
        <v>0</v>
      </c>
      <c r="N306" t="n">
        <v>0</v>
      </c>
      <c r="O306" t="n">
        <v>5</v>
      </c>
      <c r="P306" t="n">
        <v>1</v>
      </c>
      <c r="Q306" t="n">
        <v>5</v>
      </c>
      <c r="R306" s="2" t="inlineStr">
        <is>
          <t>Fläckporing
Blanksvart spiklav
Fjällvråk
Garnlav
Tretåig hackspett</t>
        </is>
      </c>
      <c r="S306">
        <f>HYPERLINK("https://klasma.github.io/Logging_2521/artfynd/A 16030-2023 artfynd.xlsx", "A 16030-2023")</f>
        <v/>
      </c>
      <c r="T306">
        <f>HYPERLINK("https://klasma.github.io/Logging_2521/kartor/A 16030-2023 karta.png", "A 16030-2023")</f>
        <v/>
      </c>
      <c r="V306">
        <f>HYPERLINK("https://klasma.github.io/Logging_2521/klagomål/A 16030-2023 FSC-klagomål.docx", "A 16030-2023")</f>
        <v/>
      </c>
      <c r="W306">
        <f>HYPERLINK("https://klasma.github.io/Logging_2521/klagomålsmail/A 16030-2023 FSC-klagomål mail.docx", "A 16030-2023")</f>
        <v/>
      </c>
      <c r="X306">
        <f>HYPERLINK("https://klasma.github.io/Logging_2521/tillsyn/A 16030-2023 tillsynsbegäran.docx", "A 16030-2023")</f>
        <v/>
      </c>
      <c r="Y306">
        <f>HYPERLINK("https://klasma.github.io/Logging_2521/tillsynsmail/A 16030-2023 tillsynsbegäran mail.docx", "A 16030-2023")</f>
        <v/>
      </c>
      <c r="Z306">
        <f>HYPERLINK("https://klasma.github.io/Logging_2521/fåglar/A 16030-2023 prioriterade fågelarter.docx", "A 16030-2023")</f>
        <v/>
      </c>
    </row>
    <row r="307" ht="15" customHeight="1">
      <c r="A307" t="inlineStr">
        <is>
          <t>A 18760-2023</t>
        </is>
      </c>
      <c r="B307" s="1" t="n">
        <v>45043</v>
      </c>
      <c r="C307" s="1" t="n">
        <v>45798</v>
      </c>
      <c r="D307" t="inlineStr">
        <is>
          <t>NORRBOTTENS LÄN</t>
        </is>
      </c>
      <c r="E307" t="inlineStr">
        <is>
          <t>LULEÅ</t>
        </is>
      </c>
      <c r="G307" t="n">
        <v>10.3</v>
      </c>
      <c r="H307" t="n">
        <v>1</v>
      </c>
      <c r="I307" t="n">
        <v>2</v>
      </c>
      <c r="J307" t="n">
        <v>3</v>
      </c>
      <c r="K307" t="n">
        <v>0</v>
      </c>
      <c r="L307" t="n">
        <v>0</v>
      </c>
      <c r="M307" t="n">
        <v>0</v>
      </c>
      <c r="N307" t="n">
        <v>0</v>
      </c>
      <c r="O307" t="n">
        <v>3</v>
      </c>
      <c r="P307" t="n">
        <v>0</v>
      </c>
      <c r="Q307" t="n">
        <v>5</v>
      </c>
      <c r="R307" s="2" t="inlineStr">
        <is>
          <t>Granticka
Harticka
Tretåig hackspett
Skinnlav
Vedticka</t>
        </is>
      </c>
      <c r="S307">
        <f>HYPERLINK("https://klasma.github.io/Logging_2580/artfynd/A 18760-2023 artfynd.xlsx", "A 18760-2023")</f>
        <v/>
      </c>
      <c r="T307">
        <f>HYPERLINK("https://klasma.github.io/Logging_2580/kartor/A 18760-2023 karta.png", "A 18760-2023")</f>
        <v/>
      </c>
      <c r="V307">
        <f>HYPERLINK("https://klasma.github.io/Logging_2580/klagomål/A 18760-2023 FSC-klagomål.docx", "A 18760-2023")</f>
        <v/>
      </c>
      <c r="W307">
        <f>HYPERLINK("https://klasma.github.io/Logging_2580/klagomålsmail/A 18760-2023 FSC-klagomål mail.docx", "A 18760-2023")</f>
        <v/>
      </c>
      <c r="X307">
        <f>HYPERLINK("https://klasma.github.io/Logging_2580/tillsyn/A 18760-2023 tillsynsbegäran.docx", "A 18760-2023")</f>
        <v/>
      </c>
      <c r="Y307">
        <f>HYPERLINK("https://klasma.github.io/Logging_2580/tillsynsmail/A 18760-2023 tillsynsbegäran mail.docx", "A 18760-2023")</f>
        <v/>
      </c>
      <c r="Z307">
        <f>HYPERLINK("https://klasma.github.io/Logging_2580/fåglar/A 18760-2023 prioriterade fågelarter.docx", "A 18760-2023")</f>
        <v/>
      </c>
    </row>
    <row r="308" ht="15" customHeight="1">
      <c r="A308" t="inlineStr">
        <is>
          <t>A 19598-2023</t>
        </is>
      </c>
      <c r="B308" s="1" t="n">
        <v>45049</v>
      </c>
      <c r="C308" s="1" t="n">
        <v>45798</v>
      </c>
      <c r="D308" t="inlineStr">
        <is>
          <t>NORRBOTTENS LÄN</t>
        </is>
      </c>
      <c r="E308" t="inlineStr">
        <is>
          <t>BODEN</t>
        </is>
      </c>
      <c r="G308" t="n">
        <v>1.8</v>
      </c>
      <c r="H308" t="n">
        <v>1</v>
      </c>
      <c r="I308" t="n">
        <v>2</v>
      </c>
      <c r="J308" t="n">
        <v>2</v>
      </c>
      <c r="K308" t="n">
        <v>1</v>
      </c>
      <c r="L308" t="n">
        <v>0</v>
      </c>
      <c r="M308" t="n">
        <v>0</v>
      </c>
      <c r="N308" t="n">
        <v>0</v>
      </c>
      <c r="O308" t="n">
        <v>3</v>
      </c>
      <c r="P308" t="n">
        <v>1</v>
      </c>
      <c r="Q308" t="n">
        <v>5</v>
      </c>
      <c r="R308" s="2" t="inlineStr">
        <is>
          <t>Grenlav
Garnlav
Granticka
Källpraktmossa
Lappranunkel</t>
        </is>
      </c>
      <c r="S308">
        <f>HYPERLINK("https://klasma.github.io/Logging_2582/artfynd/A 19598-2023 artfynd.xlsx", "A 19598-2023")</f>
        <v/>
      </c>
      <c r="T308">
        <f>HYPERLINK("https://klasma.github.io/Logging_2582/kartor/A 19598-2023 karta.png", "A 19598-2023")</f>
        <v/>
      </c>
      <c r="V308">
        <f>HYPERLINK("https://klasma.github.io/Logging_2582/klagomål/A 19598-2023 FSC-klagomål.docx", "A 19598-2023")</f>
        <v/>
      </c>
      <c r="W308">
        <f>HYPERLINK("https://klasma.github.io/Logging_2582/klagomålsmail/A 19598-2023 FSC-klagomål mail.docx", "A 19598-2023")</f>
        <v/>
      </c>
      <c r="X308">
        <f>HYPERLINK("https://klasma.github.io/Logging_2582/tillsyn/A 19598-2023 tillsynsbegäran.docx", "A 19598-2023")</f>
        <v/>
      </c>
      <c r="Y308">
        <f>HYPERLINK("https://klasma.github.io/Logging_2582/tillsynsmail/A 19598-2023 tillsynsbegäran mail.docx", "A 19598-2023")</f>
        <v/>
      </c>
    </row>
    <row r="309" ht="15" customHeight="1">
      <c r="A309" t="inlineStr">
        <is>
          <t>A 33630-2023</t>
        </is>
      </c>
      <c r="B309" s="1" t="n">
        <v>45132</v>
      </c>
      <c r="C309" s="1" t="n">
        <v>45798</v>
      </c>
      <c r="D309" t="inlineStr">
        <is>
          <t>NORRBOTTENS LÄN</t>
        </is>
      </c>
      <c r="E309" t="inlineStr">
        <is>
          <t>ÖVERKALIX</t>
        </is>
      </c>
      <c r="F309" t="inlineStr">
        <is>
          <t>Sveaskog</t>
        </is>
      </c>
      <c r="G309" t="n">
        <v>9.6</v>
      </c>
      <c r="H309" t="n">
        <v>0</v>
      </c>
      <c r="I309" t="n">
        <v>2</v>
      </c>
      <c r="J309" t="n">
        <v>2</v>
      </c>
      <c r="K309" t="n">
        <v>1</v>
      </c>
      <c r="L309" t="n">
        <v>0</v>
      </c>
      <c r="M309" t="n">
        <v>0</v>
      </c>
      <c r="N309" t="n">
        <v>0</v>
      </c>
      <c r="O309" t="n">
        <v>3</v>
      </c>
      <c r="P309" t="n">
        <v>1</v>
      </c>
      <c r="Q309" t="n">
        <v>5</v>
      </c>
      <c r="R309" s="2" t="inlineStr">
        <is>
          <t>Goliatmusseron
Blå taggsvamp
Orange taggsvamp
Dropptaggsvamp
Skarp dropptaggsvamp</t>
        </is>
      </c>
      <c r="S309">
        <f>HYPERLINK("https://klasma.github.io/Logging_2513/artfynd/A 33630-2023 artfynd.xlsx", "A 33630-2023")</f>
        <v/>
      </c>
      <c r="T309">
        <f>HYPERLINK("https://klasma.github.io/Logging_2513/kartor/A 33630-2023 karta.png", "A 33630-2023")</f>
        <v/>
      </c>
      <c r="V309">
        <f>HYPERLINK("https://klasma.github.io/Logging_2513/klagomål/A 33630-2023 FSC-klagomål.docx", "A 33630-2023")</f>
        <v/>
      </c>
      <c r="W309">
        <f>HYPERLINK("https://klasma.github.io/Logging_2513/klagomålsmail/A 33630-2023 FSC-klagomål mail.docx", "A 33630-2023")</f>
        <v/>
      </c>
      <c r="X309">
        <f>HYPERLINK("https://klasma.github.io/Logging_2513/tillsyn/A 33630-2023 tillsynsbegäran.docx", "A 33630-2023")</f>
        <v/>
      </c>
      <c r="Y309">
        <f>HYPERLINK("https://klasma.github.io/Logging_2513/tillsynsmail/A 33630-2023 tillsynsbegäran mail.docx", "A 33630-2023")</f>
        <v/>
      </c>
    </row>
    <row r="310" ht="15" customHeight="1">
      <c r="A310" t="inlineStr">
        <is>
          <t>A 33629-2023</t>
        </is>
      </c>
      <c r="B310" s="1" t="n">
        <v>45132</v>
      </c>
      <c r="C310" s="1" t="n">
        <v>45798</v>
      </c>
      <c r="D310" t="inlineStr">
        <is>
          <t>NORRBOTTENS LÄN</t>
        </is>
      </c>
      <c r="E310" t="inlineStr">
        <is>
          <t>ÖVERKALIX</t>
        </is>
      </c>
      <c r="F310" t="inlineStr">
        <is>
          <t>Sveaskog</t>
        </is>
      </c>
      <c r="G310" t="n">
        <v>5.3</v>
      </c>
      <c r="H310" t="n">
        <v>0</v>
      </c>
      <c r="I310" t="n">
        <v>2</v>
      </c>
      <c r="J310" t="n">
        <v>3</v>
      </c>
      <c r="K310" t="n">
        <v>0</v>
      </c>
      <c r="L310" t="n">
        <v>0</v>
      </c>
      <c r="M310" t="n">
        <v>0</v>
      </c>
      <c r="N310" t="n">
        <v>0</v>
      </c>
      <c r="O310" t="n">
        <v>3</v>
      </c>
      <c r="P310" t="n">
        <v>0</v>
      </c>
      <c r="Q310" t="n">
        <v>5</v>
      </c>
      <c r="R310" s="2" t="inlineStr">
        <is>
          <t>Kolflarnlav
Orange taggsvamp
Svart taggsvamp
Dropptaggsvamp
Skarp dropptaggsvamp</t>
        </is>
      </c>
      <c r="S310">
        <f>HYPERLINK("https://klasma.github.io/Logging_2513/artfynd/A 33629-2023 artfynd.xlsx", "A 33629-2023")</f>
        <v/>
      </c>
      <c r="T310">
        <f>HYPERLINK("https://klasma.github.io/Logging_2513/kartor/A 33629-2023 karta.png", "A 33629-2023")</f>
        <v/>
      </c>
      <c r="V310">
        <f>HYPERLINK("https://klasma.github.io/Logging_2513/klagomål/A 33629-2023 FSC-klagomål.docx", "A 33629-2023")</f>
        <v/>
      </c>
      <c r="W310">
        <f>HYPERLINK("https://klasma.github.io/Logging_2513/klagomålsmail/A 33629-2023 FSC-klagomål mail.docx", "A 33629-2023")</f>
        <v/>
      </c>
      <c r="X310">
        <f>HYPERLINK("https://klasma.github.io/Logging_2513/tillsyn/A 33629-2023 tillsynsbegäran.docx", "A 33629-2023")</f>
        <v/>
      </c>
      <c r="Y310">
        <f>HYPERLINK("https://klasma.github.io/Logging_2513/tillsynsmail/A 33629-2023 tillsynsbegäran mail.docx", "A 33629-2023")</f>
        <v/>
      </c>
    </row>
    <row r="311" ht="15" customHeight="1">
      <c r="A311" t="inlineStr">
        <is>
          <t>A 38989-2023</t>
        </is>
      </c>
      <c r="B311" s="1" t="n">
        <v>45163</v>
      </c>
      <c r="C311" s="1" t="n">
        <v>45798</v>
      </c>
      <c r="D311" t="inlineStr">
        <is>
          <t>NORRBOTTENS LÄN</t>
        </is>
      </c>
      <c r="E311" t="inlineStr">
        <is>
          <t>ÖVERKALIX</t>
        </is>
      </c>
      <c r="F311" t="inlineStr">
        <is>
          <t>Sveaskog</t>
        </is>
      </c>
      <c r="G311" t="n">
        <v>2</v>
      </c>
      <c r="H311" t="n">
        <v>0</v>
      </c>
      <c r="I311" t="n">
        <v>1</v>
      </c>
      <c r="J311" t="n">
        <v>3</v>
      </c>
      <c r="K311" t="n">
        <v>1</v>
      </c>
      <c r="L311" t="n">
        <v>0</v>
      </c>
      <c r="M311" t="n">
        <v>0</v>
      </c>
      <c r="N311" t="n">
        <v>0</v>
      </c>
      <c r="O311" t="n">
        <v>4</v>
      </c>
      <c r="P311" t="n">
        <v>1</v>
      </c>
      <c r="Q311" t="n">
        <v>5</v>
      </c>
      <c r="R311" s="2" t="inlineStr">
        <is>
          <t>Goliatmusseron
Blå taggsvamp
Motaggsvamp
Orange taggsvamp
Dropptaggsvamp</t>
        </is>
      </c>
      <c r="S311">
        <f>HYPERLINK("https://klasma.github.io/Logging_2513/artfynd/A 38989-2023 artfynd.xlsx", "A 38989-2023")</f>
        <v/>
      </c>
      <c r="T311">
        <f>HYPERLINK("https://klasma.github.io/Logging_2513/kartor/A 38989-2023 karta.png", "A 38989-2023")</f>
        <v/>
      </c>
      <c r="V311">
        <f>HYPERLINK("https://klasma.github.io/Logging_2513/klagomål/A 38989-2023 FSC-klagomål.docx", "A 38989-2023")</f>
        <v/>
      </c>
      <c r="W311">
        <f>HYPERLINK("https://klasma.github.io/Logging_2513/klagomålsmail/A 38989-2023 FSC-klagomål mail.docx", "A 38989-2023")</f>
        <v/>
      </c>
      <c r="X311">
        <f>HYPERLINK("https://klasma.github.io/Logging_2513/tillsyn/A 38989-2023 tillsynsbegäran.docx", "A 38989-2023")</f>
        <v/>
      </c>
      <c r="Y311">
        <f>HYPERLINK("https://klasma.github.io/Logging_2513/tillsynsmail/A 38989-2023 tillsynsbegäran mail.docx", "A 38989-2023")</f>
        <v/>
      </c>
    </row>
    <row r="312" ht="15" customHeight="1">
      <c r="A312" t="inlineStr">
        <is>
          <t>A 49422-2023</t>
        </is>
      </c>
      <c r="B312" s="1" t="n">
        <v>45211</v>
      </c>
      <c r="C312" s="1" t="n">
        <v>45798</v>
      </c>
      <c r="D312" t="inlineStr">
        <is>
          <t>NORRBOTTENS LÄN</t>
        </is>
      </c>
      <c r="E312" t="inlineStr">
        <is>
          <t>ÖVERKALIX</t>
        </is>
      </c>
      <c r="F312" t="inlineStr">
        <is>
          <t>Sveaskog</t>
        </is>
      </c>
      <c r="G312" t="n">
        <v>5.6</v>
      </c>
      <c r="H312" t="n">
        <v>0</v>
      </c>
      <c r="I312" t="n">
        <v>1</v>
      </c>
      <c r="J312" t="n">
        <v>3</v>
      </c>
      <c r="K312" t="n">
        <v>1</v>
      </c>
      <c r="L312" t="n">
        <v>0</v>
      </c>
      <c r="M312" t="n">
        <v>0</v>
      </c>
      <c r="N312" t="n">
        <v>0</v>
      </c>
      <c r="O312" t="n">
        <v>4</v>
      </c>
      <c r="P312" t="n">
        <v>1</v>
      </c>
      <c r="Q312" t="n">
        <v>5</v>
      </c>
      <c r="R312" s="2" t="inlineStr">
        <is>
          <t>Tallgråticka
Blå taggsvamp
Orange taggsvamp
Svartvit taggsvamp
Dropptaggsvamp</t>
        </is>
      </c>
      <c r="S312">
        <f>HYPERLINK("https://klasma.github.io/Logging_2513/artfynd/A 49422-2023 artfynd.xlsx", "A 49422-2023")</f>
        <v/>
      </c>
      <c r="T312">
        <f>HYPERLINK("https://klasma.github.io/Logging_2513/kartor/A 49422-2023 karta.png", "A 49422-2023")</f>
        <v/>
      </c>
      <c r="V312">
        <f>HYPERLINK("https://klasma.github.io/Logging_2513/klagomål/A 49422-2023 FSC-klagomål.docx", "A 49422-2023")</f>
        <v/>
      </c>
      <c r="W312">
        <f>HYPERLINK("https://klasma.github.io/Logging_2513/klagomålsmail/A 49422-2023 FSC-klagomål mail.docx", "A 49422-2023")</f>
        <v/>
      </c>
      <c r="X312">
        <f>HYPERLINK("https://klasma.github.io/Logging_2513/tillsyn/A 49422-2023 tillsynsbegäran.docx", "A 49422-2023")</f>
        <v/>
      </c>
      <c r="Y312">
        <f>HYPERLINK("https://klasma.github.io/Logging_2513/tillsynsmail/A 49422-2023 tillsynsbegäran mail.docx", "A 49422-2023")</f>
        <v/>
      </c>
    </row>
    <row r="313" ht="15" customHeight="1">
      <c r="A313" t="inlineStr">
        <is>
          <t>A 53083-2023</t>
        </is>
      </c>
      <c r="B313" s="1" t="n">
        <v>45227</v>
      </c>
      <c r="C313" s="1" t="n">
        <v>45798</v>
      </c>
      <c r="D313" t="inlineStr">
        <is>
          <t>NORRBOTTENS LÄN</t>
        </is>
      </c>
      <c r="E313" t="inlineStr">
        <is>
          <t>PAJALA</t>
        </is>
      </c>
      <c r="G313" t="n">
        <v>17.1</v>
      </c>
      <c r="H313" t="n">
        <v>2</v>
      </c>
      <c r="I313" t="n">
        <v>0</v>
      </c>
      <c r="J313" t="n">
        <v>4</v>
      </c>
      <c r="K313" t="n">
        <v>0</v>
      </c>
      <c r="L313" t="n">
        <v>0</v>
      </c>
      <c r="M313" t="n">
        <v>0</v>
      </c>
      <c r="N313" t="n">
        <v>0</v>
      </c>
      <c r="O313" t="n">
        <v>4</v>
      </c>
      <c r="P313" t="n">
        <v>0</v>
      </c>
      <c r="Q313" t="n">
        <v>5</v>
      </c>
      <c r="R313" s="2" t="inlineStr">
        <is>
          <t>Blå taggsvamp
Spillkråka
Talltaggsvamp
Vedskivlav
Lavskrika</t>
        </is>
      </c>
      <c r="S313">
        <f>HYPERLINK("https://klasma.github.io/Logging_2521/artfynd/A 53083-2023 artfynd.xlsx", "A 53083-2023")</f>
        <v/>
      </c>
      <c r="T313">
        <f>HYPERLINK("https://klasma.github.io/Logging_2521/kartor/A 53083-2023 karta.png", "A 53083-2023")</f>
        <v/>
      </c>
      <c r="V313">
        <f>HYPERLINK("https://klasma.github.io/Logging_2521/klagomål/A 53083-2023 FSC-klagomål.docx", "A 53083-2023")</f>
        <v/>
      </c>
      <c r="W313">
        <f>HYPERLINK("https://klasma.github.io/Logging_2521/klagomålsmail/A 53083-2023 FSC-klagomål mail.docx", "A 53083-2023")</f>
        <v/>
      </c>
      <c r="X313">
        <f>HYPERLINK("https://klasma.github.io/Logging_2521/tillsyn/A 53083-2023 tillsynsbegäran.docx", "A 53083-2023")</f>
        <v/>
      </c>
      <c r="Y313">
        <f>HYPERLINK("https://klasma.github.io/Logging_2521/tillsynsmail/A 53083-2023 tillsynsbegäran mail.docx", "A 53083-2023")</f>
        <v/>
      </c>
      <c r="Z313">
        <f>HYPERLINK("https://klasma.github.io/Logging_2521/fåglar/A 53083-2023 prioriterade fågelarter.docx", "A 53083-2023")</f>
        <v/>
      </c>
    </row>
    <row r="314" ht="15" customHeight="1">
      <c r="A314" t="inlineStr">
        <is>
          <t>A 2344-2024</t>
        </is>
      </c>
      <c r="B314" s="1" t="n">
        <v>45310</v>
      </c>
      <c r="C314" s="1" t="n">
        <v>45798</v>
      </c>
      <c r="D314" t="inlineStr">
        <is>
          <t>NORRBOTTENS LÄN</t>
        </is>
      </c>
      <c r="E314" t="inlineStr">
        <is>
          <t>ÖVERKALIX</t>
        </is>
      </c>
      <c r="G314" t="n">
        <v>25.7</v>
      </c>
      <c r="H314" t="n">
        <v>2</v>
      </c>
      <c r="I314" t="n">
        <v>0</v>
      </c>
      <c r="J314" t="n">
        <v>4</v>
      </c>
      <c r="K314" t="n">
        <v>0</v>
      </c>
      <c r="L314" t="n">
        <v>1</v>
      </c>
      <c r="M314" t="n">
        <v>0</v>
      </c>
      <c r="N314" t="n">
        <v>0</v>
      </c>
      <c r="O314" t="n">
        <v>5</v>
      </c>
      <c r="P314" t="n">
        <v>1</v>
      </c>
      <c r="Q314" t="n">
        <v>5</v>
      </c>
      <c r="R314" s="2" t="inlineStr">
        <is>
          <t>Tornseglare
Dvärgbägarlav
Garnlav
Reliktbock
Tretåig hackspett</t>
        </is>
      </c>
      <c r="S314">
        <f>HYPERLINK("https://klasma.github.io/Logging_2513/artfynd/A 2344-2024 artfynd.xlsx", "A 2344-2024")</f>
        <v/>
      </c>
      <c r="T314">
        <f>HYPERLINK("https://klasma.github.io/Logging_2513/kartor/A 2344-2024 karta.png", "A 2344-2024")</f>
        <v/>
      </c>
      <c r="V314">
        <f>HYPERLINK("https://klasma.github.io/Logging_2513/klagomål/A 2344-2024 FSC-klagomål.docx", "A 2344-2024")</f>
        <v/>
      </c>
      <c r="W314">
        <f>HYPERLINK("https://klasma.github.io/Logging_2513/klagomålsmail/A 2344-2024 FSC-klagomål mail.docx", "A 2344-2024")</f>
        <v/>
      </c>
      <c r="X314">
        <f>HYPERLINK("https://klasma.github.io/Logging_2513/tillsyn/A 2344-2024 tillsynsbegäran.docx", "A 2344-2024")</f>
        <v/>
      </c>
      <c r="Y314">
        <f>HYPERLINK("https://klasma.github.io/Logging_2513/tillsynsmail/A 2344-2024 tillsynsbegäran mail.docx", "A 2344-2024")</f>
        <v/>
      </c>
      <c r="Z314">
        <f>HYPERLINK("https://klasma.github.io/Logging_2513/fåglar/A 2344-2024 prioriterade fågelarter.docx", "A 2344-2024")</f>
        <v/>
      </c>
    </row>
    <row r="315" ht="15" customHeight="1">
      <c r="A315" t="inlineStr">
        <is>
          <t>A 7799-2024</t>
        </is>
      </c>
      <c r="B315" s="1" t="n">
        <v>45348</v>
      </c>
      <c r="C315" s="1" t="n">
        <v>45798</v>
      </c>
      <c r="D315" t="inlineStr">
        <is>
          <t>NORRBOTTENS LÄN</t>
        </is>
      </c>
      <c r="E315" t="inlineStr">
        <is>
          <t>PITEÅ</t>
        </is>
      </c>
      <c r="G315" t="n">
        <v>6.7</v>
      </c>
      <c r="H315" t="n">
        <v>3</v>
      </c>
      <c r="I315" t="n">
        <v>0</v>
      </c>
      <c r="J315" t="n">
        <v>5</v>
      </c>
      <c r="K315" t="n">
        <v>0</v>
      </c>
      <c r="L315" t="n">
        <v>0</v>
      </c>
      <c r="M315" t="n">
        <v>0</v>
      </c>
      <c r="N315" t="n">
        <v>0</v>
      </c>
      <c r="O315" t="n">
        <v>5</v>
      </c>
      <c r="P315" t="n">
        <v>0</v>
      </c>
      <c r="Q315" t="n">
        <v>5</v>
      </c>
      <c r="R315" s="2" t="inlineStr">
        <is>
          <t>Garnlav
Järpe
Mindre hackspett
Tallticka
Talltita</t>
        </is>
      </c>
      <c r="S315">
        <f>HYPERLINK("https://klasma.github.io/Logging_2581/artfynd/A 7799-2024 artfynd.xlsx", "A 7799-2024")</f>
        <v/>
      </c>
      <c r="T315">
        <f>HYPERLINK("https://klasma.github.io/Logging_2581/kartor/A 7799-2024 karta.png", "A 7799-2024")</f>
        <v/>
      </c>
      <c r="V315">
        <f>HYPERLINK("https://klasma.github.io/Logging_2581/klagomål/A 7799-2024 FSC-klagomål.docx", "A 7799-2024")</f>
        <v/>
      </c>
      <c r="W315">
        <f>HYPERLINK("https://klasma.github.io/Logging_2581/klagomålsmail/A 7799-2024 FSC-klagomål mail.docx", "A 7799-2024")</f>
        <v/>
      </c>
      <c r="X315">
        <f>HYPERLINK("https://klasma.github.io/Logging_2581/tillsyn/A 7799-2024 tillsynsbegäran.docx", "A 7799-2024")</f>
        <v/>
      </c>
      <c r="Y315">
        <f>HYPERLINK("https://klasma.github.io/Logging_2581/tillsynsmail/A 7799-2024 tillsynsbegäran mail.docx", "A 7799-2024")</f>
        <v/>
      </c>
      <c r="Z315">
        <f>HYPERLINK("https://klasma.github.io/Logging_2581/fåglar/A 7799-2024 prioriterade fågelarter.docx", "A 7799-2024")</f>
        <v/>
      </c>
    </row>
    <row r="316" ht="15" customHeight="1">
      <c r="A316" t="inlineStr">
        <is>
          <t>A 10218-2024</t>
        </is>
      </c>
      <c r="B316" s="1" t="n">
        <v>45364</v>
      </c>
      <c r="C316" s="1" t="n">
        <v>45798</v>
      </c>
      <c r="D316" t="inlineStr">
        <is>
          <t>NORRBOTTENS LÄN</t>
        </is>
      </c>
      <c r="E316" t="inlineStr">
        <is>
          <t>GÄLLIVARE</t>
        </is>
      </c>
      <c r="F316" t="inlineStr">
        <is>
          <t>SCA</t>
        </is>
      </c>
      <c r="G316" t="n">
        <v>18.7</v>
      </c>
      <c r="H316" t="n">
        <v>2</v>
      </c>
      <c r="I316" t="n">
        <v>1</v>
      </c>
      <c r="J316" t="n">
        <v>4</v>
      </c>
      <c r="K316" t="n">
        <v>0</v>
      </c>
      <c r="L316" t="n">
        <v>0</v>
      </c>
      <c r="M316" t="n">
        <v>0</v>
      </c>
      <c r="N316" t="n">
        <v>0</v>
      </c>
      <c r="O316" t="n">
        <v>4</v>
      </c>
      <c r="P316" t="n">
        <v>0</v>
      </c>
      <c r="Q316" t="n">
        <v>5</v>
      </c>
      <c r="R316" s="2" t="inlineStr">
        <is>
          <t>Blanksvart spiklav
Kolflarnlav
Mörk kolflarnlav
Spillkråka
Plattlummer</t>
        </is>
      </c>
      <c r="S316">
        <f>HYPERLINK("https://klasma.github.io/Logging_2523/artfynd/A 10218-2024 artfynd.xlsx", "A 10218-2024")</f>
        <v/>
      </c>
      <c r="T316">
        <f>HYPERLINK("https://klasma.github.io/Logging_2523/kartor/A 10218-2024 karta.png", "A 10218-2024")</f>
        <v/>
      </c>
      <c r="V316">
        <f>HYPERLINK("https://klasma.github.io/Logging_2523/klagomål/A 10218-2024 FSC-klagomål.docx", "A 10218-2024")</f>
        <v/>
      </c>
      <c r="W316">
        <f>HYPERLINK("https://klasma.github.io/Logging_2523/klagomålsmail/A 10218-2024 FSC-klagomål mail.docx", "A 10218-2024")</f>
        <v/>
      </c>
      <c r="X316">
        <f>HYPERLINK("https://klasma.github.io/Logging_2523/tillsyn/A 10218-2024 tillsynsbegäran.docx", "A 10218-2024")</f>
        <v/>
      </c>
      <c r="Y316">
        <f>HYPERLINK("https://klasma.github.io/Logging_2523/tillsynsmail/A 10218-2024 tillsynsbegäran mail.docx", "A 10218-2024")</f>
        <v/>
      </c>
      <c r="Z316">
        <f>HYPERLINK("https://klasma.github.io/Logging_2523/fåglar/A 10218-2024 prioriterade fågelarter.docx", "A 10218-2024")</f>
        <v/>
      </c>
    </row>
    <row r="317" ht="15" customHeight="1">
      <c r="A317" t="inlineStr">
        <is>
          <t>A 12193-2024</t>
        </is>
      </c>
      <c r="B317" s="1" t="n">
        <v>45377</v>
      </c>
      <c r="C317" s="1" t="n">
        <v>45798</v>
      </c>
      <c r="D317" t="inlineStr">
        <is>
          <t>NORRBOTTENS LÄN</t>
        </is>
      </c>
      <c r="E317" t="inlineStr">
        <is>
          <t>PITEÅ</t>
        </is>
      </c>
      <c r="F317" t="inlineStr">
        <is>
          <t>SCA</t>
        </is>
      </c>
      <c r="G317" t="n">
        <v>32.2</v>
      </c>
      <c r="H317" t="n">
        <v>5</v>
      </c>
      <c r="I317" t="n">
        <v>0</v>
      </c>
      <c r="J317" t="n">
        <v>3</v>
      </c>
      <c r="K317" t="n">
        <v>0</v>
      </c>
      <c r="L317" t="n">
        <v>1</v>
      </c>
      <c r="M317" t="n">
        <v>0</v>
      </c>
      <c r="N317" t="n">
        <v>0</v>
      </c>
      <c r="O317" t="n">
        <v>4</v>
      </c>
      <c r="P317" t="n">
        <v>1</v>
      </c>
      <c r="Q317" t="n">
        <v>5</v>
      </c>
      <c r="R317" s="2" t="inlineStr">
        <is>
          <t>Grönfink
Järpe
Spillkråka
Talltita
Tjäder</t>
        </is>
      </c>
      <c r="S317">
        <f>HYPERLINK("https://klasma.github.io/Logging_2581/artfynd/A 12193-2024 artfynd.xlsx", "A 12193-2024")</f>
        <v/>
      </c>
      <c r="T317">
        <f>HYPERLINK("https://klasma.github.io/Logging_2581/kartor/A 12193-2024 karta.png", "A 12193-2024")</f>
        <v/>
      </c>
      <c r="V317">
        <f>HYPERLINK("https://klasma.github.io/Logging_2581/klagomål/A 12193-2024 FSC-klagomål.docx", "A 12193-2024")</f>
        <v/>
      </c>
      <c r="W317">
        <f>HYPERLINK("https://klasma.github.io/Logging_2581/klagomålsmail/A 12193-2024 FSC-klagomål mail.docx", "A 12193-2024")</f>
        <v/>
      </c>
      <c r="X317">
        <f>HYPERLINK("https://klasma.github.io/Logging_2581/tillsyn/A 12193-2024 tillsynsbegäran.docx", "A 12193-2024")</f>
        <v/>
      </c>
      <c r="Y317">
        <f>HYPERLINK("https://klasma.github.io/Logging_2581/tillsynsmail/A 12193-2024 tillsynsbegäran mail.docx", "A 12193-2024")</f>
        <v/>
      </c>
      <c r="Z317">
        <f>HYPERLINK("https://klasma.github.io/Logging_2581/fåglar/A 12193-2024 prioriterade fågelarter.docx", "A 12193-2024")</f>
        <v/>
      </c>
    </row>
    <row r="318" ht="15" customHeight="1">
      <c r="A318" t="inlineStr">
        <is>
          <t>A 21104-2024</t>
        </is>
      </c>
      <c r="B318" s="1" t="n">
        <v>45439</v>
      </c>
      <c r="C318" s="1" t="n">
        <v>45798</v>
      </c>
      <c r="D318" t="inlineStr">
        <is>
          <t>NORRBOTTENS LÄN</t>
        </is>
      </c>
      <c r="E318" t="inlineStr">
        <is>
          <t>PITEÅ</t>
        </is>
      </c>
      <c r="F318" t="inlineStr">
        <is>
          <t>SCA</t>
        </is>
      </c>
      <c r="G318" t="n">
        <v>1.4</v>
      </c>
      <c r="H318" t="n">
        <v>0</v>
      </c>
      <c r="I318" t="n">
        <v>1</v>
      </c>
      <c r="J318" t="n">
        <v>4</v>
      </c>
      <c r="K318" t="n">
        <v>0</v>
      </c>
      <c r="L318" t="n">
        <v>0</v>
      </c>
      <c r="M318" t="n">
        <v>0</v>
      </c>
      <c r="N318" t="n">
        <v>0</v>
      </c>
      <c r="O318" t="n">
        <v>4</v>
      </c>
      <c r="P318" t="n">
        <v>0</v>
      </c>
      <c r="Q318" t="n">
        <v>5</v>
      </c>
      <c r="R318" s="2" t="inlineStr">
        <is>
          <t>Gammelgransskål
Garnlav
Granticka
Lunglav
Stuplav</t>
        </is>
      </c>
      <c r="S318">
        <f>HYPERLINK("https://klasma.github.io/Logging_2581/artfynd/A 21104-2024 artfynd.xlsx", "A 21104-2024")</f>
        <v/>
      </c>
      <c r="T318">
        <f>HYPERLINK("https://klasma.github.io/Logging_2581/kartor/A 21104-2024 karta.png", "A 21104-2024")</f>
        <v/>
      </c>
      <c r="V318">
        <f>HYPERLINK("https://klasma.github.io/Logging_2581/klagomål/A 21104-2024 FSC-klagomål.docx", "A 21104-2024")</f>
        <v/>
      </c>
      <c r="W318">
        <f>HYPERLINK("https://klasma.github.io/Logging_2581/klagomålsmail/A 21104-2024 FSC-klagomål mail.docx", "A 21104-2024")</f>
        <v/>
      </c>
      <c r="X318">
        <f>HYPERLINK("https://klasma.github.io/Logging_2581/tillsyn/A 21104-2024 tillsynsbegäran.docx", "A 21104-2024")</f>
        <v/>
      </c>
      <c r="Y318">
        <f>HYPERLINK("https://klasma.github.io/Logging_2581/tillsynsmail/A 21104-2024 tillsynsbegäran mail.docx", "A 21104-2024")</f>
        <v/>
      </c>
    </row>
    <row r="319" ht="15" customHeight="1">
      <c r="A319" t="inlineStr">
        <is>
          <t>A 22380-2024</t>
        </is>
      </c>
      <c r="B319" s="1" t="n">
        <v>45446</v>
      </c>
      <c r="C319" s="1" t="n">
        <v>45798</v>
      </c>
      <c r="D319" t="inlineStr">
        <is>
          <t>NORRBOTTENS LÄN</t>
        </is>
      </c>
      <c r="E319" t="inlineStr">
        <is>
          <t>ÖVERTORNEÅ</t>
        </is>
      </c>
      <c r="G319" t="n">
        <v>22.9</v>
      </c>
      <c r="H319" t="n">
        <v>2</v>
      </c>
      <c r="I319" t="n">
        <v>1</v>
      </c>
      <c r="J319" t="n">
        <v>4</v>
      </c>
      <c r="K319" t="n">
        <v>0</v>
      </c>
      <c r="L319" t="n">
        <v>0</v>
      </c>
      <c r="M319" t="n">
        <v>0</v>
      </c>
      <c r="N319" t="n">
        <v>0</v>
      </c>
      <c r="O319" t="n">
        <v>4</v>
      </c>
      <c r="P319" t="n">
        <v>0</v>
      </c>
      <c r="Q319" t="n">
        <v>5</v>
      </c>
      <c r="R319" s="2" t="inlineStr">
        <is>
          <t>Garnlav
Spillkråka
Tretåig hackspett
Violmussling
Vedticka</t>
        </is>
      </c>
      <c r="S319">
        <f>HYPERLINK("https://klasma.github.io/Logging_2518/artfynd/A 22380-2024 artfynd.xlsx", "A 22380-2024")</f>
        <v/>
      </c>
      <c r="T319">
        <f>HYPERLINK("https://klasma.github.io/Logging_2518/kartor/A 22380-2024 karta.png", "A 22380-2024")</f>
        <v/>
      </c>
      <c r="V319">
        <f>HYPERLINK("https://klasma.github.io/Logging_2518/klagomål/A 22380-2024 FSC-klagomål.docx", "A 22380-2024")</f>
        <v/>
      </c>
      <c r="W319">
        <f>HYPERLINK("https://klasma.github.io/Logging_2518/klagomålsmail/A 22380-2024 FSC-klagomål mail.docx", "A 22380-2024")</f>
        <v/>
      </c>
      <c r="X319">
        <f>HYPERLINK("https://klasma.github.io/Logging_2518/tillsyn/A 22380-2024 tillsynsbegäran.docx", "A 22380-2024")</f>
        <v/>
      </c>
      <c r="Y319">
        <f>HYPERLINK("https://klasma.github.io/Logging_2518/tillsynsmail/A 22380-2024 tillsynsbegäran mail.docx", "A 22380-2024")</f>
        <v/>
      </c>
      <c r="Z319">
        <f>HYPERLINK("https://klasma.github.io/Logging_2518/fåglar/A 22380-2024 prioriterade fågelarter.docx", "A 22380-2024")</f>
        <v/>
      </c>
    </row>
    <row r="320" ht="15" customHeight="1">
      <c r="A320" t="inlineStr">
        <is>
          <t>A 24948-2024</t>
        </is>
      </c>
      <c r="B320" s="1" t="n">
        <v>45461</v>
      </c>
      <c r="C320" s="1" t="n">
        <v>45798</v>
      </c>
      <c r="D320" t="inlineStr">
        <is>
          <t>NORRBOTTENS LÄN</t>
        </is>
      </c>
      <c r="E320" t="inlineStr">
        <is>
          <t>PAJALA</t>
        </is>
      </c>
      <c r="F320" t="inlineStr">
        <is>
          <t>Sveaskog</t>
        </is>
      </c>
      <c r="G320" t="n">
        <v>10.8</v>
      </c>
      <c r="H320" t="n">
        <v>1</v>
      </c>
      <c r="I320" t="n">
        <v>1</v>
      </c>
      <c r="J320" t="n">
        <v>4</v>
      </c>
      <c r="K320" t="n">
        <v>0</v>
      </c>
      <c r="L320" t="n">
        <v>0</v>
      </c>
      <c r="M320" t="n">
        <v>0</v>
      </c>
      <c r="N320" t="n">
        <v>0</v>
      </c>
      <c r="O320" t="n">
        <v>4</v>
      </c>
      <c r="P320" t="n">
        <v>0</v>
      </c>
      <c r="Q320" t="n">
        <v>5</v>
      </c>
      <c r="R320" s="2" t="inlineStr">
        <is>
          <t>Blå taggsvamp
Garnlav
Svart taggsvamp
Tretåig hackspett
Dropptaggsvamp</t>
        </is>
      </c>
      <c r="S320">
        <f>HYPERLINK("https://klasma.github.io/Logging_2521/artfynd/A 24948-2024 artfynd.xlsx", "A 24948-2024")</f>
        <v/>
      </c>
      <c r="T320">
        <f>HYPERLINK("https://klasma.github.io/Logging_2521/kartor/A 24948-2024 karta.png", "A 24948-2024")</f>
        <v/>
      </c>
      <c r="V320">
        <f>HYPERLINK("https://klasma.github.io/Logging_2521/klagomål/A 24948-2024 FSC-klagomål.docx", "A 24948-2024")</f>
        <v/>
      </c>
      <c r="W320">
        <f>HYPERLINK("https://klasma.github.io/Logging_2521/klagomålsmail/A 24948-2024 FSC-klagomål mail.docx", "A 24948-2024")</f>
        <v/>
      </c>
      <c r="X320">
        <f>HYPERLINK("https://klasma.github.io/Logging_2521/tillsyn/A 24948-2024 tillsynsbegäran.docx", "A 24948-2024")</f>
        <v/>
      </c>
      <c r="Y320">
        <f>HYPERLINK("https://klasma.github.io/Logging_2521/tillsynsmail/A 24948-2024 tillsynsbegäran mail.docx", "A 24948-2024")</f>
        <v/>
      </c>
      <c r="Z320">
        <f>HYPERLINK("https://klasma.github.io/Logging_2521/fåglar/A 24948-2024 prioriterade fågelarter.docx", "A 24948-2024")</f>
        <v/>
      </c>
    </row>
    <row r="321" ht="15" customHeight="1">
      <c r="A321" t="inlineStr">
        <is>
          <t>A 30846-2024</t>
        </is>
      </c>
      <c r="B321" s="1" t="n">
        <v>45497</v>
      </c>
      <c r="C321" s="1" t="n">
        <v>45798</v>
      </c>
      <c r="D321" t="inlineStr">
        <is>
          <t>NORRBOTTENS LÄN</t>
        </is>
      </c>
      <c r="E321" t="inlineStr">
        <is>
          <t>GÄLLIVARE</t>
        </is>
      </c>
      <c r="F321" t="inlineStr">
        <is>
          <t>Sveaskog</t>
        </is>
      </c>
      <c r="G321" t="n">
        <v>22.1</v>
      </c>
      <c r="H321" t="n">
        <v>1</v>
      </c>
      <c r="I321" t="n">
        <v>2</v>
      </c>
      <c r="J321" t="n">
        <v>3</v>
      </c>
      <c r="K321" t="n">
        <v>0</v>
      </c>
      <c r="L321" t="n">
        <v>0</v>
      </c>
      <c r="M321" t="n">
        <v>0</v>
      </c>
      <c r="N321" t="n">
        <v>0</v>
      </c>
      <c r="O321" t="n">
        <v>3</v>
      </c>
      <c r="P321" t="n">
        <v>0</v>
      </c>
      <c r="Q321" t="n">
        <v>5</v>
      </c>
      <c r="R321" s="2" t="inlineStr">
        <is>
          <t>Garnlav
Kolflarnlav
Talltita
Dropptaggsvamp
Stuplav</t>
        </is>
      </c>
      <c r="S321">
        <f>HYPERLINK("https://klasma.github.io/Logging_2523/artfynd/A 30846-2024 artfynd.xlsx", "A 30846-2024")</f>
        <v/>
      </c>
      <c r="T321">
        <f>HYPERLINK("https://klasma.github.io/Logging_2523/kartor/A 30846-2024 karta.png", "A 30846-2024")</f>
        <v/>
      </c>
      <c r="V321">
        <f>HYPERLINK("https://klasma.github.io/Logging_2523/klagomål/A 30846-2024 FSC-klagomål.docx", "A 30846-2024")</f>
        <v/>
      </c>
      <c r="W321">
        <f>HYPERLINK("https://klasma.github.io/Logging_2523/klagomålsmail/A 30846-2024 FSC-klagomål mail.docx", "A 30846-2024")</f>
        <v/>
      </c>
      <c r="X321">
        <f>HYPERLINK("https://klasma.github.io/Logging_2523/tillsyn/A 30846-2024 tillsynsbegäran.docx", "A 30846-2024")</f>
        <v/>
      </c>
      <c r="Y321">
        <f>HYPERLINK("https://klasma.github.io/Logging_2523/tillsynsmail/A 30846-2024 tillsynsbegäran mail.docx", "A 30846-2024")</f>
        <v/>
      </c>
      <c r="Z321">
        <f>HYPERLINK("https://klasma.github.io/Logging_2523/fåglar/A 30846-2024 prioriterade fågelarter.docx", "A 30846-2024")</f>
        <v/>
      </c>
    </row>
    <row r="322" ht="15" customHeight="1">
      <c r="A322" t="inlineStr">
        <is>
          <t>A 32325-2024</t>
        </is>
      </c>
      <c r="B322" s="1" t="n">
        <v>45512</v>
      </c>
      <c r="C322" s="1" t="n">
        <v>45798</v>
      </c>
      <c r="D322" t="inlineStr">
        <is>
          <t>NORRBOTTENS LÄN</t>
        </is>
      </c>
      <c r="E322" t="inlineStr">
        <is>
          <t>BODEN</t>
        </is>
      </c>
      <c r="F322" t="inlineStr">
        <is>
          <t>Övriga Aktiebolag</t>
        </is>
      </c>
      <c r="G322" t="n">
        <v>36.5</v>
      </c>
      <c r="H322" t="n">
        <v>1</v>
      </c>
      <c r="I322" t="n">
        <v>2</v>
      </c>
      <c r="J322" t="n">
        <v>2</v>
      </c>
      <c r="K322" t="n">
        <v>1</v>
      </c>
      <c r="L322" t="n">
        <v>0</v>
      </c>
      <c r="M322" t="n">
        <v>0</v>
      </c>
      <c r="N322" t="n">
        <v>0</v>
      </c>
      <c r="O322" t="n">
        <v>3</v>
      </c>
      <c r="P322" t="n">
        <v>1</v>
      </c>
      <c r="Q322" t="n">
        <v>5</v>
      </c>
      <c r="R322" s="2" t="inlineStr">
        <is>
          <t>Knärot
Gammelgransskål
Garnlav
Luddlav
Skinnlav</t>
        </is>
      </c>
      <c r="S322">
        <f>HYPERLINK("https://klasma.github.io/Logging_2582/artfynd/A 32325-2024 artfynd.xlsx", "A 32325-2024")</f>
        <v/>
      </c>
      <c r="T322">
        <f>HYPERLINK("https://klasma.github.io/Logging_2582/kartor/A 32325-2024 karta.png", "A 32325-2024")</f>
        <v/>
      </c>
      <c r="U322">
        <f>HYPERLINK("https://klasma.github.io/Logging_2582/knärot/A 32325-2024 karta knärot.png", "A 32325-2024")</f>
        <v/>
      </c>
      <c r="V322">
        <f>HYPERLINK("https://klasma.github.io/Logging_2582/klagomål/A 32325-2024 FSC-klagomål.docx", "A 32325-2024")</f>
        <v/>
      </c>
      <c r="W322">
        <f>HYPERLINK("https://klasma.github.io/Logging_2582/klagomålsmail/A 32325-2024 FSC-klagomål mail.docx", "A 32325-2024")</f>
        <v/>
      </c>
      <c r="X322">
        <f>HYPERLINK("https://klasma.github.io/Logging_2582/tillsyn/A 32325-2024 tillsynsbegäran.docx", "A 32325-2024")</f>
        <v/>
      </c>
      <c r="Y322">
        <f>HYPERLINK("https://klasma.github.io/Logging_2582/tillsynsmail/A 32325-2024 tillsynsbegäran mail.docx", "A 32325-2024")</f>
        <v/>
      </c>
    </row>
    <row r="323" ht="15" customHeight="1">
      <c r="A323" t="inlineStr">
        <is>
          <t>A 33135-2024</t>
        </is>
      </c>
      <c r="B323" s="1" t="n">
        <v>45518</v>
      </c>
      <c r="C323" s="1" t="n">
        <v>45798</v>
      </c>
      <c r="D323" t="inlineStr">
        <is>
          <t>NORRBOTTENS LÄN</t>
        </is>
      </c>
      <c r="E323" t="inlineStr">
        <is>
          <t>PITEÅ</t>
        </is>
      </c>
      <c r="G323" t="n">
        <v>8.800000000000001</v>
      </c>
      <c r="H323" t="n">
        <v>2</v>
      </c>
      <c r="I323" t="n">
        <v>0</v>
      </c>
      <c r="J323" t="n">
        <v>5</v>
      </c>
      <c r="K323" t="n">
        <v>0</v>
      </c>
      <c r="L323" t="n">
        <v>0</v>
      </c>
      <c r="M323" t="n">
        <v>0</v>
      </c>
      <c r="N323" t="n">
        <v>0</v>
      </c>
      <c r="O323" t="n">
        <v>5</v>
      </c>
      <c r="P323" t="n">
        <v>0</v>
      </c>
      <c r="Q323" t="n">
        <v>5</v>
      </c>
      <c r="R323" s="2" t="inlineStr">
        <is>
          <t>Igelkott
Spillkråka
Stjärntagging
Tretåig hackspett
Vitgrynig nållav</t>
        </is>
      </c>
      <c r="S323">
        <f>HYPERLINK("https://klasma.github.io/Logging_2581/artfynd/A 33135-2024 artfynd.xlsx", "A 33135-2024")</f>
        <v/>
      </c>
      <c r="T323">
        <f>HYPERLINK("https://klasma.github.io/Logging_2581/kartor/A 33135-2024 karta.png", "A 33135-2024")</f>
        <v/>
      </c>
      <c r="V323">
        <f>HYPERLINK("https://klasma.github.io/Logging_2581/klagomål/A 33135-2024 FSC-klagomål.docx", "A 33135-2024")</f>
        <v/>
      </c>
      <c r="W323">
        <f>HYPERLINK("https://klasma.github.io/Logging_2581/klagomålsmail/A 33135-2024 FSC-klagomål mail.docx", "A 33135-2024")</f>
        <v/>
      </c>
      <c r="X323">
        <f>HYPERLINK("https://klasma.github.io/Logging_2581/tillsyn/A 33135-2024 tillsynsbegäran.docx", "A 33135-2024")</f>
        <v/>
      </c>
      <c r="Y323">
        <f>HYPERLINK("https://klasma.github.io/Logging_2581/tillsynsmail/A 33135-2024 tillsynsbegäran mail.docx", "A 33135-2024")</f>
        <v/>
      </c>
      <c r="Z323">
        <f>HYPERLINK("https://klasma.github.io/Logging_2581/fåglar/A 33135-2024 prioriterade fågelarter.docx", "A 33135-2024")</f>
        <v/>
      </c>
    </row>
    <row r="324" ht="15" customHeight="1">
      <c r="A324" t="inlineStr">
        <is>
          <t>A 34596-2024</t>
        </is>
      </c>
      <c r="B324" s="1" t="n">
        <v>45526</v>
      </c>
      <c r="C324" s="1" t="n">
        <v>45798</v>
      </c>
      <c r="D324" t="inlineStr">
        <is>
          <t>NORRBOTTENS LÄN</t>
        </is>
      </c>
      <c r="E324" t="inlineStr">
        <is>
          <t>GÄLLIVARE</t>
        </is>
      </c>
      <c r="F324" t="inlineStr">
        <is>
          <t>Sveaskog</t>
        </is>
      </c>
      <c r="G324" t="n">
        <v>12.4</v>
      </c>
      <c r="H324" t="n">
        <v>2</v>
      </c>
      <c r="I324" t="n">
        <v>2</v>
      </c>
      <c r="J324" t="n">
        <v>2</v>
      </c>
      <c r="K324" t="n">
        <v>1</v>
      </c>
      <c r="L324" t="n">
        <v>0</v>
      </c>
      <c r="M324" t="n">
        <v>0</v>
      </c>
      <c r="N324" t="n">
        <v>0</v>
      </c>
      <c r="O324" t="n">
        <v>3</v>
      </c>
      <c r="P324" t="n">
        <v>1</v>
      </c>
      <c r="Q324" t="n">
        <v>5</v>
      </c>
      <c r="R324" s="2" t="inlineStr">
        <is>
          <t>Knärot
Kolflarnlav
Violmussling
Dropptaggsvamp
Plattlummer</t>
        </is>
      </c>
      <c r="S324">
        <f>HYPERLINK("https://klasma.github.io/Logging_2523/artfynd/A 34596-2024 artfynd.xlsx", "A 34596-2024")</f>
        <v/>
      </c>
      <c r="T324">
        <f>HYPERLINK("https://klasma.github.io/Logging_2523/kartor/A 34596-2024 karta.png", "A 34596-2024")</f>
        <v/>
      </c>
      <c r="U324">
        <f>HYPERLINK("https://klasma.github.io/Logging_2523/knärot/A 34596-2024 karta knärot.png", "A 34596-2024")</f>
        <v/>
      </c>
      <c r="V324">
        <f>HYPERLINK("https://klasma.github.io/Logging_2523/klagomål/A 34596-2024 FSC-klagomål.docx", "A 34596-2024")</f>
        <v/>
      </c>
      <c r="W324">
        <f>HYPERLINK("https://klasma.github.io/Logging_2523/klagomålsmail/A 34596-2024 FSC-klagomål mail.docx", "A 34596-2024")</f>
        <v/>
      </c>
      <c r="X324">
        <f>HYPERLINK("https://klasma.github.io/Logging_2523/tillsyn/A 34596-2024 tillsynsbegäran.docx", "A 34596-2024")</f>
        <v/>
      </c>
      <c r="Y324">
        <f>HYPERLINK("https://klasma.github.io/Logging_2523/tillsynsmail/A 34596-2024 tillsynsbegäran mail.docx", "A 34596-2024")</f>
        <v/>
      </c>
    </row>
    <row r="325" ht="15" customHeight="1">
      <c r="A325" t="inlineStr">
        <is>
          <t>A 39991-2024</t>
        </is>
      </c>
      <c r="B325" s="1" t="n">
        <v>45553</v>
      </c>
      <c r="C325" s="1" t="n">
        <v>45798</v>
      </c>
      <c r="D325" t="inlineStr">
        <is>
          <t>NORRBOTTENS LÄN</t>
        </is>
      </c>
      <c r="E325" t="inlineStr">
        <is>
          <t>BODEN</t>
        </is>
      </c>
      <c r="F325" t="inlineStr">
        <is>
          <t>Sveaskog</t>
        </is>
      </c>
      <c r="G325" t="n">
        <v>10.8</v>
      </c>
      <c r="H325" t="n">
        <v>0</v>
      </c>
      <c r="I325" t="n">
        <v>2</v>
      </c>
      <c r="J325" t="n">
        <v>3</v>
      </c>
      <c r="K325" t="n">
        <v>0</v>
      </c>
      <c r="L325" t="n">
        <v>0</v>
      </c>
      <c r="M325" t="n">
        <v>0</v>
      </c>
      <c r="N325" t="n">
        <v>0</v>
      </c>
      <c r="O325" t="n">
        <v>3</v>
      </c>
      <c r="P325" t="n">
        <v>0</v>
      </c>
      <c r="Q325" t="n">
        <v>5</v>
      </c>
      <c r="R325" s="2" t="inlineStr">
        <is>
          <t>Blå taggsvamp
Orange taggsvamp
Svart taggsvamp
Dropptaggsvamp
Skarp dropptaggsvamp</t>
        </is>
      </c>
      <c r="S325">
        <f>HYPERLINK("https://klasma.github.io/Logging_2582/artfynd/A 39991-2024 artfynd.xlsx", "A 39991-2024")</f>
        <v/>
      </c>
      <c r="T325">
        <f>HYPERLINK("https://klasma.github.io/Logging_2582/kartor/A 39991-2024 karta.png", "A 39991-2024")</f>
        <v/>
      </c>
      <c r="V325">
        <f>HYPERLINK("https://klasma.github.io/Logging_2582/klagomål/A 39991-2024 FSC-klagomål.docx", "A 39991-2024")</f>
        <v/>
      </c>
      <c r="W325">
        <f>HYPERLINK("https://klasma.github.io/Logging_2582/klagomålsmail/A 39991-2024 FSC-klagomål mail.docx", "A 39991-2024")</f>
        <v/>
      </c>
      <c r="X325">
        <f>HYPERLINK("https://klasma.github.io/Logging_2582/tillsyn/A 39991-2024 tillsynsbegäran.docx", "A 39991-2024")</f>
        <v/>
      </c>
      <c r="Y325">
        <f>HYPERLINK("https://klasma.github.io/Logging_2582/tillsynsmail/A 39991-2024 tillsynsbegäran mail.docx", "A 39991-2024")</f>
        <v/>
      </c>
    </row>
    <row r="326" ht="15" customHeight="1">
      <c r="A326" t="inlineStr">
        <is>
          <t>A 43537-2024</t>
        </is>
      </c>
      <c r="B326" s="1" t="n">
        <v>45569</v>
      </c>
      <c r="C326" s="1" t="n">
        <v>45798</v>
      </c>
      <c r="D326" t="inlineStr">
        <is>
          <t>NORRBOTTENS LÄN</t>
        </is>
      </c>
      <c r="E326" t="inlineStr">
        <is>
          <t>ÖVERTORNEÅ</t>
        </is>
      </c>
      <c r="G326" t="n">
        <v>5.6</v>
      </c>
      <c r="H326" t="n">
        <v>4</v>
      </c>
      <c r="I326" t="n">
        <v>2</v>
      </c>
      <c r="J326" t="n">
        <v>2</v>
      </c>
      <c r="K326" t="n">
        <v>0</v>
      </c>
      <c r="L326" t="n">
        <v>0</v>
      </c>
      <c r="M326" t="n">
        <v>0</v>
      </c>
      <c r="N326" t="n">
        <v>0</v>
      </c>
      <c r="O326" t="n">
        <v>2</v>
      </c>
      <c r="P326" t="n">
        <v>0</v>
      </c>
      <c r="Q326" t="n">
        <v>5</v>
      </c>
      <c r="R326" s="2" t="inlineStr">
        <is>
          <t>Garnlav
Tretåig hackspett
Plattlummer
Spindelblomster
Revlummer</t>
        </is>
      </c>
      <c r="S326">
        <f>HYPERLINK("https://klasma.github.io/Logging_2518/artfynd/A 43537-2024 artfynd.xlsx", "A 43537-2024")</f>
        <v/>
      </c>
      <c r="T326">
        <f>HYPERLINK("https://klasma.github.io/Logging_2518/kartor/A 43537-2024 karta.png", "A 43537-2024")</f>
        <v/>
      </c>
      <c r="V326">
        <f>HYPERLINK("https://klasma.github.io/Logging_2518/klagomål/A 43537-2024 FSC-klagomål.docx", "A 43537-2024")</f>
        <v/>
      </c>
      <c r="W326">
        <f>HYPERLINK("https://klasma.github.io/Logging_2518/klagomålsmail/A 43537-2024 FSC-klagomål mail.docx", "A 43537-2024")</f>
        <v/>
      </c>
      <c r="X326">
        <f>HYPERLINK("https://klasma.github.io/Logging_2518/tillsyn/A 43537-2024 tillsynsbegäran.docx", "A 43537-2024")</f>
        <v/>
      </c>
      <c r="Y326">
        <f>HYPERLINK("https://klasma.github.io/Logging_2518/tillsynsmail/A 43537-2024 tillsynsbegäran mail.docx", "A 43537-2024")</f>
        <v/>
      </c>
      <c r="Z326">
        <f>HYPERLINK("https://klasma.github.io/Logging_2518/fåglar/A 43537-2024 prioriterade fågelarter.docx", "A 43537-2024")</f>
        <v/>
      </c>
    </row>
    <row r="327" ht="15" customHeight="1">
      <c r="A327" t="inlineStr">
        <is>
          <t>A 44319-2024</t>
        </is>
      </c>
      <c r="B327" s="1" t="n">
        <v>45573</v>
      </c>
      <c r="C327" s="1" t="n">
        <v>45798</v>
      </c>
      <c r="D327" t="inlineStr">
        <is>
          <t>NORRBOTTENS LÄN</t>
        </is>
      </c>
      <c r="E327" t="inlineStr">
        <is>
          <t>GÄLLIVARE</t>
        </is>
      </c>
      <c r="F327" t="inlineStr">
        <is>
          <t>Sveaskog</t>
        </is>
      </c>
      <c r="G327" t="n">
        <v>5</v>
      </c>
      <c r="H327" t="n">
        <v>0</v>
      </c>
      <c r="I327" t="n">
        <v>0</v>
      </c>
      <c r="J327" t="n">
        <v>4</v>
      </c>
      <c r="K327" t="n">
        <v>1</v>
      </c>
      <c r="L327" t="n">
        <v>0</v>
      </c>
      <c r="M327" t="n">
        <v>0</v>
      </c>
      <c r="N327" t="n">
        <v>0</v>
      </c>
      <c r="O327" t="n">
        <v>5</v>
      </c>
      <c r="P327" t="n">
        <v>1</v>
      </c>
      <c r="Q327" t="n">
        <v>5</v>
      </c>
      <c r="R327" s="2" t="inlineStr">
        <is>
          <t>Goliatmusseron
Blå taggsvamp
Skrovlig taggsvamp
Talltaggsvamp
Vaddporing</t>
        </is>
      </c>
      <c r="S327">
        <f>HYPERLINK("https://klasma.github.io/Logging_2523/artfynd/A 44319-2024 artfynd.xlsx", "A 44319-2024")</f>
        <v/>
      </c>
      <c r="T327">
        <f>HYPERLINK("https://klasma.github.io/Logging_2523/kartor/A 44319-2024 karta.png", "A 44319-2024")</f>
        <v/>
      </c>
      <c r="V327">
        <f>HYPERLINK("https://klasma.github.io/Logging_2523/klagomål/A 44319-2024 FSC-klagomål.docx", "A 44319-2024")</f>
        <v/>
      </c>
      <c r="W327">
        <f>HYPERLINK("https://klasma.github.io/Logging_2523/klagomålsmail/A 44319-2024 FSC-klagomål mail.docx", "A 44319-2024")</f>
        <v/>
      </c>
      <c r="X327">
        <f>HYPERLINK("https://klasma.github.io/Logging_2523/tillsyn/A 44319-2024 tillsynsbegäran.docx", "A 44319-2024")</f>
        <v/>
      </c>
      <c r="Y327">
        <f>HYPERLINK("https://klasma.github.io/Logging_2523/tillsynsmail/A 44319-2024 tillsynsbegäran mail.docx", "A 44319-2024")</f>
        <v/>
      </c>
    </row>
    <row r="328" ht="15" customHeight="1">
      <c r="A328" t="inlineStr">
        <is>
          <t>A 44252-2024</t>
        </is>
      </c>
      <c r="B328" s="1" t="n">
        <v>45573</v>
      </c>
      <c r="C328" s="1" t="n">
        <v>45798</v>
      </c>
      <c r="D328" t="inlineStr">
        <is>
          <t>NORRBOTTENS LÄN</t>
        </is>
      </c>
      <c r="E328" t="inlineStr">
        <is>
          <t>ÄLVSBYN</t>
        </is>
      </c>
      <c r="F328" t="inlineStr">
        <is>
          <t>Sveaskog</t>
        </is>
      </c>
      <c r="G328" t="n">
        <v>12.2</v>
      </c>
      <c r="H328" t="n">
        <v>0</v>
      </c>
      <c r="I328" t="n">
        <v>3</v>
      </c>
      <c r="J328" t="n">
        <v>2</v>
      </c>
      <c r="K328" t="n">
        <v>0</v>
      </c>
      <c r="L328" t="n">
        <v>0</v>
      </c>
      <c r="M328" t="n">
        <v>0</v>
      </c>
      <c r="N328" t="n">
        <v>0</v>
      </c>
      <c r="O328" t="n">
        <v>2</v>
      </c>
      <c r="P328" t="n">
        <v>0</v>
      </c>
      <c r="Q328" t="n">
        <v>5</v>
      </c>
      <c r="R328" s="2" t="inlineStr">
        <is>
          <t>Kolflarnlav
Orange taggsvamp
Dropptaggsvamp
Skarp dropptaggsvamp
Stuplav</t>
        </is>
      </c>
      <c r="S328">
        <f>HYPERLINK("https://klasma.github.io/Logging_2560/artfynd/A 44252-2024 artfynd.xlsx", "A 44252-2024")</f>
        <v/>
      </c>
      <c r="T328">
        <f>HYPERLINK("https://klasma.github.io/Logging_2560/kartor/A 44252-2024 karta.png", "A 44252-2024")</f>
        <v/>
      </c>
      <c r="V328">
        <f>HYPERLINK("https://klasma.github.io/Logging_2560/klagomål/A 44252-2024 FSC-klagomål.docx", "A 44252-2024")</f>
        <v/>
      </c>
      <c r="W328">
        <f>HYPERLINK("https://klasma.github.io/Logging_2560/klagomålsmail/A 44252-2024 FSC-klagomål mail.docx", "A 44252-2024")</f>
        <v/>
      </c>
      <c r="X328">
        <f>HYPERLINK("https://klasma.github.io/Logging_2560/tillsyn/A 44252-2024 tillsynsbegäran.docx", "A 44252-2024")</f>
        <v/>
      </c>
      <c r="Y328">
        <f>HYPERLINK("https://klasma.github.io/Logging_2560/tillsynsmail/A 44252-2024 tillsynsbegäran mail.docx", "A 44252-2024")</f>
        <v/>
      </c>
    </row>
    <row r="329" ht="15" customHeight="1">
      <c r="A329" t="inlineStr">
        <is>
          <t>A 55301-2024</t>
        </is>
      </c>
      <c r="B329" s="1" t="n">
        <v>45621</v>
      </c>
      <c r="C329" s="1" t="n">
        <v>45798</v>
      </c>
      <c r="D329" t="inlineStr">
        <is>
          <t>NORRBOTTENS LÄN</t>
        </is>
      </c>
      <c r="E329" t="inlineStr">
        <is>
          <t>GÄLLIVARE</t>
        </is>
      </c>
      <c r="F329" t="inlineStr">
        <is>
          <t>Sveaskog</t>
        </is>
      </c>
      <c r="G329" t="n">
        <v>26.5</v>
      </c>
      <c r="H329" t="n">
        <v>0</v>
      </c>
      <c r="I329" t="n">
        <v>0</v>
      </c>
      <c r="J329" t="n">
        <v>5</v>
      </c>
      <c r="K329" t="n">
        <v>0</v>
      </c>
      <c r="L329" t="n">
        <v>0</v>
      </c>
      <c r="M329" t="n">
        <v>0</v>
      </c>
      <c r="N329" t="n">
        <v>0</v>
      </c>
      <c r="O329" t="n">
        <v>5</v>
      </c>
      <c r="P329" t="n">
        <v>0</v>
      </c>
      <c r="Q329" t="n">
        <v>5</v>
      </c>
      <c r="R329" s="2" t="inlineStr">
        <is>
          <t>Garnlav
Kolflarnlav
Mörk kolflarnlav
Ullticka
Vedskivlav</t>
        </is>
      </c>
      <c r="S329">
        <f>HYPERLINK("https://klasma.github.io/Logging_2523/artfynd/A 55301-2024 artfynd.xlsx", "A 55301-2024")</f>
        <v/>
      </c>
      <c r="T329">
        <f>HYPERLINK("https://klasma.github.io/Logging_2523/kartor/A 55301-2024 karta.png", "A 55301-2024")</f>
        <v/>
      </c>
      <c r="V329">
        <f>HYPERLINK("https://klasma.github.io/Logging_2523/klagomål/A 55301-2024 FSC-klagomål.docx", "A 55301-2024")</f>
        <v/>
      </c>
      <c r="W329">
        <f>HYPERLINK("https://klasma.github.io/Logging_2523/klagomålsmail/A 55301-2024 FSC-klagomål mail.docx", "A 55301-2024")</f>
        <v/>
      </c>
      <c r="X329">
        <f>HYPERLINK("https://klasma.github.io/Logging_2523/tillsyn/A 55301-2024 tillsynsbegäran.docx", "A 55301-2024")</f>
        <v/>
      </c>
      <c r="Y329">
        <f>HYPERLINK("https://klasma.github.io/Logging_2523/tillsynsmail/A 55301-2024 tillsynsbegäran mail.docx", "A 55301-2024")</f>
        <v/>
      </c>
    </row>
    <row r="330" ht="15" customHeight="1">
      <c r="A330" t="inlineStr">
        <is>
          <t>A 57808-2024</t>
        </is>
      </c>
      <c r="B330" s="1" t="n">
        <v>45631</v>
      </c>
      <c r="C330" s="1" t="n">
        <v>45798</v>
      </c>
      <c r="D330" t="inlineStr">
        <is>
          <t>NORRBOTTENS LÄN</t>
        </is>
      </c>
      <c r="E330" t="inlineStr">
        <is>
          <t>PITEÅ</t>
        </is>
      </c>
      <c r="G330" t="n">
        <v>17.4</v>
      </c>
      <c r="H330" t="n">
        <v>1</v>
      </c>
      <c r="I330" t="n">
        <v>0</v>
      </c>
      <c r="J330" t="n">
        <v>5</v>
      </c>
      <c r="K330" t="n">
        <v>0</v>
      </c>
      <c r="L330" t="n">
        <v>0</v>
      </c>
      <c r="M330" t="n">
        <v>0</v>
      </c>
      <c r="N330" t="n">
        <v>0</v>
      </c>
      <c r="O330" t="n">
        <v>5</v>
      </c>
      <c r="P330" t="n">
        <v>0</v>
      </c>
      <c r="Q330" t="n">
        <v>5</v>
      </c>
      <c r="R330" s="2" t="inlineStr">
        <is>
          <t>Garnlav
Granticka
Lunglav
Spillkråka
Ullticka</t>
        </is>
      </c>
      <c r="S330">
        <f>HYPERLINK("https://klasma.github.io/Logging_2581/artfynd/A 57808-2024 artfynd.xlsx", "A 57808-2024")</f>
        <v/>
      </c>
      <c r="T330">
        <f>HYPERLINK("https://klasma.github.io/Logging_2581/kartor/A 57808-2024 karta.png", "A 57808-2024")</f>
        <v/>
      </c>
      <c r="V330">
        <f>HYPERLINK("https://klasma.github.io/Logging_2581/klagomål/A 57808-2024 FSC-klagomål.docx", "A 57808-2024")</f>
        <v/>
      </c>
      <c r="W330">
        <f>HYPERLINK("https://klasma.github.io/Logging_2581/klagomålsmail/A 57808-2024 FSC-klagomål mail.docx", "A 57808-2024")</f>
        <v/>
      </c>
      <c r="X330">
        <f>HYPERLINK("https://klasma.github.io/Logging_2581/tillsyn/A 57808-2024 tillsynsbegäran.docx", "A 57808-2024")</f>
        <v/>
      </c>
      <c r="Y330">
        <f>HYPERLINK("https://klasma.github.io/Logging_2581/tillsynsmail/A 57808-2024 tillsynsbegäran mail.docx", "A 57808-2024")</f>
        <v/>
      </c>
      <c r="Z330">
        <f>HYPERLINK("https://klasma.github.io/Logging_2581/fåglar/A 57808-2024 prioriterade fågelarter.docx", "A 57808-2024")</f>
        <v/>
      </c>
    </row>
    <row r="331" ht="15" customHeight="1">
      <c r="A331" t="inlineStr">
        <is>
          <t>A 60411-2024</t>
        </is>
      </c>
      <c r="B331" s="1" t="n">
        <v>45643</v>
      </c>
      <c r="C331" s="1" t="n">
        <v>45798</v>
      </c>
      <c r="D331" t="inlineStr">
        <is>
          <t>NORRBOTTENS LÄN</t>
        </is>
      </c>
      <c r="E331" t="inlineStr">
        <is>
          <t>PAJALA</t>
        </is>
      </c>
      <c r="G331" t="n">
        <v>2.5</v>
      </c>
      <c r="H331" t="n">
        <v>0</v>
      </c>
      <c r="I331" t="n">
        <v>0</v>
      </c>
      <c r="J331" t="n">
        <v>5</v>
      </c>
      <c r="K331" t="n">
        <v>0</v>
      </c>
      <c r="L331" t="n">
        <v>0</v>
      </c>
      <c r="M331" t="n">
        <v>0</v>
      </c>
      <c r="N331" t="n">
        <v>0</v>
      </c>
      <c r="O331" t="n">
        <v>5</v>
      </c>
      <c r="P331" t="n">
        <v>0</v>
      </c>
      <c r="Q331" t="n">
        <v>5</v>
      </c>
      <c r="R331" s="2" t="inlineStr">
        <is>
          <t>Gammelgransskål
Garnlav
Granticka
Ullticka
Vitskaftad svartspik</t>
        </is>
      </c>
      <c r="S331">
        <f>HYPERLINK("https://klasma.github.io/Logging_2521/artfynd/A 60411-2024 artfynd.xlsx", "A 60411-2024")</f>
        <v/>
      </c>
      <c r="T331">
        <f>HYPERLINK("https://klasma.github.io/Logging_2521/kartor/A 60411-2024 karta.png", "A 60411-2024")</f>
        <v/>
      </c>
      <c r="V331">
        <f>HYPERLINK("https://klasma.github.io/Logging_2521/klagomål/A 60411-2024 FSC-klagomål.docx", "A 60411-2024")</f>
        <v/>
      </c>
      <c r="W331">
        <f>HYPERLINK("https://klasma.github.io/Logging_2521/klagomålsmail/A 60411-2024 FSC-klagomål mail.docx", "A 60411-2024")</f>
        <v/>
      </c>
      <c r="X331">
        <f>HYPERLINK("https://klasma.github.io/Logging_2521/tillsyn/A 60411-2024 tillsynsbegäran.docx", "A 60411-2024")</f>
        <v/>
      </c>
      <c r="Y331">
        <f>HYPERLINK("https://klasma.github.io/Logging_2521/tillsynsmail/A 60411-2024 tillsynsbegäran mail.docx", "A 60411-2024")</f>
        <v/>
      </c>
    </row>
    <row r="332" ht="15" customHeight="1">
      <c r="A332" t="inlineStr">
        <is>
          <t>A 1855-2025</t>
        </is>
      </c>
      <c r="B332" s="1" t="n">
        <v>45671</v>
      </c>
      <c r="C332" s="1" t="n">
        <v>45798</v>
      </c>
      <c r="D332" t="inlineStr">
        <is>
          <t>NORRBOTTENS LÄN</t>
        </is>
      </c>
      <c r="E332" t="inlineStr">
        <is>
          <t>HAPARANDA</t>
        </is>
      </c>
      <c r="G332" t="n">
        <v>4.2</v>
      </c>
      <c r="H332" t="n">
        <v>1</v>
      </c>
      <c r="I332" t="n">
        <v>1</v>
      </c>
      <c r="J332" t="n">
        <v>4</v>
      </c>
      <c r="K332" t="n">
        <v>0</v>
      </c>
      <c r="L332" t="n">
        <v>0</v>
      </c>
      <c r="M332" t="n">
        <v>0</v>
      </c>
      <c r="N332" t="n">
        <v>0</v>
      </c>
      <c r="O332" t="n">
        <v>4</v>
      </c>
      <c r="P332" t="n">
        <v>0</v>
      </c>
      <c r="Q332" t="n">
        <v>5</v>
      </c>
      <c r="R332" s="2" t="inlineStr">
        <is>
          <t>Gammelgransskål
Granticka
Tretåig hackspett
Ullticka
Stuplav</t>
        </is>
      </c>
      <c r="S332">
        <f>HYPERLINK("https://klasma.github.io/Logging_2583/artfynd/A 1855-2025 artfynd.xlsx", "A 1855-2025")</f>
        <v/>
      </c>
      <c r="T332">
        <f>HYPERLINK("https://klasma.github.io/Logging_2583/kartor/A 1855-2025 karta.png", "A 1855-2025")</f>
        <v/>
      </c>
      <c r="U332">
        <f>HYPERLINK("https://klasma.github.io/Logging_2583/knärot/A 1855-2025 karta knärot.png", "A 1855-2025")</f>
        <v/>
      </c>
      <c r="V332">
        <f>HYPERLINK("https://klasma.github.io/Logging_2583/klagomål/A 1855-2025 FSC-klagomål.docx", "A 1855-2025")</f>
        <v/>
      </c>
      <c r="W332">
        <f>HYPERLINK("https://klasma.github.io/Logging_2583/klagomålsmail/A 1855-2025 FSC-klagomål mail.docx", "A 1855-2025")</f>
        <v/>
      </c>
      <c r="X332">
        <f>HYPERLINK("https://klasma.github.io/Logging_2583/tillsyn/A 1855-2025 tillsynsbegäran.docx", "A 1855-2025")</f>
        <v/>
      </c>
      <c r="Y332">
        <f>HYPERLINK("https://klasma.github.io/Logging_2583/tillsynsmail/A 1855-2025 tillsynsbegäran mail.docx", "A 1855-2025")</f>
        <v/>
      </c>
      <c r="Z332">
        <f>HYPERLINK("https://klasma.github.io/Logging_2583/fåglar/A 1855-2025 prioriterade fågelarter.docx", "A 1855-2025")</f>
        <v/>
      </c>
    </row>
    <row r="333" ht="15" customHeight="1">
      <c r="A333" t="inlineStr">
        <is>
          <t>A 11762-2025</t>
        </is>
      </c>
      <c r="B333" s="1" t="n">
        <v>45727</v>
      </c>
      <c r="C333" s="1" t="n">
        <v>45798</v>
      </c>
      <c r="D333" t="inlineStr">
        <is>
          <t>NORRBOTTENS LÄN</t>
        </is>
      </c>
      <c r="E333" t="inlineStr">
        <is>
          <t>KALIX</t>
        </is>
      </c>
      <c r="G333" t="n">
        <v>10</v>
      </c>
      <c r="H333" t="n">
        <v>0</v>
      </c>
      <c r="I333" t="n">
        <v>2</v>
      </c>
      <c r="J333" t="n">
        <v>3</v>
      </c>
      <c r="K333" t="n">
        <v>0</v>
      </c>
      <c r="L333" t="n">
        <v>0</v>
      </c>
      <c r="M333" t="n">
        <v>0</v>
      </c>
      <c r="N333" t="n">
        <v>0</v>
      </c>
      <c r="O333" t="n">
        <v>3</v>
      </c>
      <c r="P333" t="n">
        <v>0</v>
      </c>
      <c r="Q333" t="n">
        <v>5</v>
      </c>
      <c r="R333" s="2" t="inlineStr">
        <is>
          <t>Blå taggsvamp
Orange taggsvamp
Svart taggsvamp
Dropptaggsvamp
Skinnlav</t>
        </is>
      </c>
      <c r="S333">
        <f>HYPERLINK("https://klasma.github.io/Logging_252514/artfynd/A 11762-2025 artfynd.xlsx", "A 11762-2025")</f>
        <v/>
      </c>
      <c r="T333">
        <f>HYPERLINK("https://klasma.github.io/Logging_252514/kartor/A 11762-2025 karta.png", "A 11762-2025")</f>
        <v/>
      </c>
      <c r="V333">
        <f>HYPERLINK("https://klasma.github.io/Logging_252514/klagomål/A 11762-2025 FSC-klagomål.docx", "A 11762-2025")</f>
        <v/>
      </c>
      <c r="W333">
        <f>HYPERLINK("https://klasma.github.io/Logging_252514/klagomålsmail/A 11762-2025 FSC-klagomål mail.docx", "A 11762-2025")</f>
        <v/>
      </c>
      <c r="X333">
        <f>HYPERLINK("https://klasma.github.io/Logging_252514/tillsyn/A 11762-2025 tillsynsbegäran.docx", "A 11762-2025")</f>
        <v/>
      </c>
      <c r="Y333">
        <f>HYPERLINK("https://klasma.github.io/Logging_252514/tillsynsmail/A 11762-2025 tillsynsbegäran mail.docx", "A 11762-2025")</f>
        <v/>
      </c>
    </row>
    <row r="334" ht="15" customHeight="1">
      <c r="A334" t="inlineStr">
        <is>
          <t>A 20570-2025</t>
        </is>
      </c>
      <c r="B334" s="1" t="n">
        <v>45775</v>
      </c>
      <c r="C334" s="1" t="n">
        <v>45798</v>
      </c>
      <c r="D334" t="inlineStr">
        <is>
          <t>NORRBOTTENS LÄN</t>
        </is>
      </c>
      <c r="E334" t="inlineStr">
        <is>
          <t>KIRUNA</t>
        </is>
      </c>
      <c r="F334" t="inlineStr">
        <is>
          <t>Sveaskog</t>
        </is>
      </c>
      <c r="G334" t="n">
        <v>31.4</v>
      </c>
      <c r="H334" t="n">
        <v>1</v>
      </c>
      <c r="I334" t="n">
        <v>2</v>
      </c>
      <c r="J334" t="n">
        <v>3</v>
      </c>
      <c r="K334" t="n">
        <v>0</v>
      </c>
      <c r="L334" t="n">
        <v>0</v>
      </c>
      <c r="M334" t="n">
        <v>0</v>
      </c>
      <c r="N334" t="n">
        <v>0</v>
      </c>
      <c r="O334" t="n">
        <v>3</v>
      </c>
      <c r="P334" t="n">
        <v>0</v>
      </c>
      <c r="Q334" t="n">
        <v>5</v>
      </c>
      <c r="R334" s="2" t="inlineStr">
        <is>
          <t>Garnlav
Harticka
Knottrig blåslav
Lappranunkel
Stuplav</t>
        </is>
      </c>
      <c r="S334">
        <f>HYPERLINK("https://klasma.github.io/Logging_252584/artfynd/A 20570-2025 artfynd.xlsx", "A 20570-2025")</f>
        <v/>
      </c>
      <c r="T334">
        <f>HYPERLINK("https://klasma.github.io/Logging_252584/kartor/A 20570-2025 karta.png", "A 20570-2025")</f>
        <v/>
      </c>
      <c r="V334">
        <f>HYPERLINK("https://klasma.github.io/Logging_252584/klagomål/A 20570-2025 FSC-klagomål.docx", "A 20570-2025")</f>
        <v/>
      </c>
      <c r="W334">
        <f>HYPERLINK("https://klasma.github.io/Logging_252584/klagomålsmail/A 20570-2025 FSC-klagomål mail.docx", "A 20570-2025")</f>
        <v/>
      </c>
      <c r="X334">
        <f>HYPERLINK("https://klasma.github.io/Logging_252584/tillsyn/A 20570-2025 tillsynsbegäran.docx", "A 20570-2025")</f>
        <v/>
      </c>
      <c r="Y334">
        <f>HYPERLINK("https://klasma.github.io/Logging_252584/tillsynsmail/A 20570-2025 tillsynsbegäran mail.docx", "A 20570-2025")</f>
        <v/>
      </c>
    </row>
    <row r="335" ht="15" customHeight="1">
      <c r="A335" t="inlineStr">
        <is>
          <t>A 20477-2019</t>
        </is>
      </c>
      <c r="B335" s="1" t="n">
        <v>43572</v>
      </c>
      <c r="C335" s="1" t="n">
        <v>45798</v>
      </c>
      <c r="D335" t="inlineStr">
        <is>
          <t>NORRBOTTENS LÄN</t>
        </is>
      </c>
      <c r="E335" t="inlineStr">
        <is>
          <t>BODEN</t>
        </is>
      </c>
      <c r="F335" t="inlineStr">
        <is>
          <t>Sveaskog</t>
        </is>
      </c>
      <c r="G335" t="n">
        <v>56.2</v>
      </c>
      <c r="H335" t="n">
        <v>1</v>
      </c>
      <c r="I335" t="n">
        <v>0</v>
      </c>
      <c r="J335" t="n">
        <v>3</v>
      </c>
      <c r="K335" t="n">
        <v>1</v>
      </c>
      <c r="L335" t="n">
        <v>0</v>
      </c>
      <c r="M335" t="n">
        <v>0</v>
      </c>
      <c r="N335" t="n">
        <v>0</v>
      </c>
      <c r="O335" t="n">
        <v>4</v>
      </c>
      <c r="P335" t="n">
        <v>1</v>
      </c>
      <c r="Q335" t="n">
        <v>4</v>
      </c>
      <c r="R335" s="2" t="inlineStr">
        <is>
          <t>Doftticka
Garnlav
Lunglav
Mörk kolflarnlav</t>
        </is>
      </c>
      <c r="S335">
        <f>HYPERLINK("https://klasma.github.io/Logging_2582/artfynd/A 20477-2019 artfynd.xlsx", "A 20477-2019")</f>
        <v/>
      </c>
      <c r="T335">
        <f>HYPERLINK("https://klasma.github.io/Logging_2582/kartor/A 20477-2019 karta.png", "A 20477-2019")</f>
        <v/>
      </c>
      <c r="V335">
        <f>HYPERLINK("https://klasma.github.io/Logging_2582/klagomål/A 20477-2019 FSC-klagomål.docx", "A 20477-2019")</f>
        <v/>
      </c>
      <c r="W335">
        <f>HYPERLINK("https://klasma.github.io/Logging_2582/klagomålsmail/A 20477-2019 FSC-klagomål mail.docx", "A 20477-2019")</f>
        <v/>
      </c>
      <c r="X335">
        <f>HYPERLINK("https://klasma.github.io/Logging_2582/tillsyn/A 20477-2019 tillsynsbegäran.docx", "A 20477-2019")</f>
        <v/>
      </c>
      <c r="Y335">
        <f>HYPERLINK("https://klasma.github.io/Logging_2582/tillsynsmail/A 20477-2019 tillsynsbegäran mail.docx", "A 20477-2019")</f>
        <v/>
      </c>
    </row>
    <row r="336" ht="15" customHeight="1">
      <c r="A336" t="inlineStr">
        <is>
          <t>A 50860-2019</t>
        </is>
      </c>
      <c r="B336" s="1" t="n">
        <v>43738</v>
      </c>
      <c r="C336" s="1" t="n">
        <v>45798</v>
      </c>
      <c r="D336" t="inlineStr">
        <is>
          <t>NORRBOTTENS LÄN</t>
        </is>
      </c>
      <c r="E336" t="inlineStr">
        <is>
          <t>KALIX</t>
        </is>
      </c>
      <c r="G336" t="n">
        <v>4.9</v>
      </c>
      <c r="H336" t="n">
        <v>2</v>
      </c>
      <c r="I336" t="n">
        <v>1</v>
      </c>
      <c r="J336" t="n">
        <v>3</v>
      </c>
      <c r="K336" t="n">
        <v>0</v>
      </c>
      <c r="L336" t="n">
        <v>0</v>
      </c>
      <c r="M336" t="n">
        <v>0</v>
      </c>
      <c r="N336" t="n">
        <v>0</v>
      </c>
      <c r="O336" t="n">
        <v>3</v>
      </c>
      <c r="P336" t="n">
        <v>0</v>
      </c>
      <c r="Q336" t="n">
        <v>4</v>
      </c>
      <c r="R336" s="2" t="inlineStr">
        <is>
          <t>Mindre hackspett
Tretåig hackspett
Ullticka
Svavelriska</t>
        </is>
      </c>
      <c r="S336">
        <f>HYPERLINK("https://klasma.github.io/Logging_2514/artfynd/A 50860-2019 artfynd.xlsx", "A 50860-2019")</f>
        <v/>
      </c>
      <c r="T336">
        <f>HYPERLINK("https://klasma.github.io/Logging_2514/kartor/A 50860-2019 karta.png", "A 50860-2019")</f>
        <v/>
      </c>
      <c r="V336">
        <f>HYPERLINK("https://klasma.github.io/Logging_2514/klagomål/A 50860-2019 FSC-klagomål.docx", "A 50860-2019")</f>
        <v/>
      </c>
      <c r="W336">
        <f>HYPERLINK("https://klasma.github.io/Logging_2514/klagomålsmail/A 50860-2019 FSC-klagomål mail.docx", "A 50860-2019")</f>
        <v/>
      </c>
      <c r="X336">
        <f>HYPERLINK("https://klasma.github.io/Logging_2514/tillsyn/A 50860-2019 tillsynsbegäran.docx", "A 50860-2019")</f>
        <v/>
      </c>
      <c r="Y336">
        <f>HYPERLINK("https://klasma.github.io/Logging_2514/tillsynsmail/A 50860-2019 tillsynsbegäran mail.docx", "A 50860-2019")</f>
        <v/>
      </c>
      <c r="Z336">
        <f>HYPERLINK("https://klasma.github.io/Logging_2514/fåglar/A 50860-2019 prioriterade fågelarter.docx", "A 50860-2019")</f>
        <v/>
      </c>
    </row>
    <row r="337" ht="15" customHeight="1">
      <c r="A337" t="inlineStr">
        <is>
          <t>A 56355-2019</t>
        </is>
      </c>
      <c r="B337" s="1" t="n">
        <v>43762</v>
      </c>
      <c r="C337" s="1" t="n">
        <v>45798</v>
      </c>
      <c r="D337" t="inlineStr">
        <is>
          <t>NORRBOTTENS LÄN</t>
        </is>
      </c>
      <c r="E337" t="inlineStr">
        <is>
          <t>BODEN</t>
        </is>
      </c>
      <c r="F337" t="inlineStr">
        <is>
          <t>Sveaskog</t>
        </is>
      </c>
      <c r="G337" t="n">
        <v>34.5</v>
      </c>
      <c r="H337" t="n">
        <v>4</v>
      </c>
      <c r="I337" t="n">
        <v>0</v>
      </c>
      <c r="J337" t="n">
        <v>3</v>
      </c>
      <c r="K337" t="n">
        <v>0</v>
      </c>
      <c r="L337" t="n">
        <v>0</v>
      </c>
      <c r="M337" t="n">
        <v>0</v>
      </c>
      <c r="N337" t="n">
        <v>0</v>
      </c>
      <c r="O337" t="n">
        <v>3</v>
      </c>
      <c r="P337" t="n">
        <v>0</v>
      </c>
      <c r="Q337" t="n">
        <v>4</v>
      </c>
      <c r="R337" s="2" t="inlineStr">
        <is>
          <t>Järpe
Spillkråka
Talltita
Kungsfågel</t>
        </is>
      </c>
      <c r="S337">
        <f>HYPERLINK("https://klasma.github.io/Logging_2582/artfynd/A 56355-2019 artfynd.xlsx", "A 56355-2019")</f>
        <v/>
      </c>
      <c r="T337">
        <f>HYPERLINK("https://klasma.github.io/Logging_2582/kartor/A 56355-2019 karta.png", "A 56355-2019")</f>
        <v/>
      </c>
      <c r="V337">
        <f>HYPERLINK("https://klasma.github.io/Logging_2582/klagomål/A 56355-2019 FSC-klagomål.docx", "A 56355-2019")</f>
        <v/>
      </c>
      <c r="W337">
        <f>HYPERLINK("https://klasma.github.io/Logging_2582/klagomålsmail/A 56355-2019 FSC-klagomål mail.docx", "A 56355-2019")</f>
        <v/>
      </c>
      <c r="X337">
        <f>HYPERLINK("https://klasma.github.io/Logging_2582/tillsyn/A 56355-2019 tillsynsbegäran.docx", "A 56355-2019")</f>
        <v/>
      </c>
      <c r="Y337">
        <f>HYPERLINK("https://klasma.github.io/Logging_2582/tillsynsmail/A 56355-2019 tillsynsbegäran mail.docx", "A 56355-2019")</f>
        <v/>
      </c>
      <c r="Z337">
        <f>HYPERLINK("https://klasma.github.io/Logging_2582/fåglar/A 56355-2019 prioriterade fågelarter.docx", "A 56355-2019")</f>
        <v/>
      </c>
    </row>
    <row r="338" ht="15" customHeight="1">
      <c r="A338" t="inlineStr">
        <is>
          <t>A 16356-2020</t>
        </is>
      </c>
      <c r="B338" s="1" t="n">
        <v>43908</v>
      </c>
      <c r="C338" s="1" t="n">
        <v>45798</v>
      </c>
      <c r="D338" t="inlineStr">
        <is>
          <t>NORRBOTTENS LÄN</t>
        </is>
      </c>
      <c r="E338" t="inlineStr">
        <is>
          <t>PITEÅ</t>
        </is>
      </c>
      <c r="G338" t="n">
        <v>8.699999999999999</v>
      </c>
      <c r="H338" t="n">
        <v>0</v>
      </c>
      <c r="I338" t="n">
        <v>1</v>
      </c>
      <c r="J338" t="n">
        <v>3</v>
      </c>
      <c r="K338" t="n">
        <v>0</v>
      </c>
      <c r="L338" t="n">
        <v>0</v>
      </c>
      <c r="M338" t="n">
        <v>0</v>
      </c>
      <c r="N338" t="n">
        <v>0</v>
      </c>
      <c r="O338" t="n">
        <v>3</v>
      </c>
      <c r="P338" t="n">
        <v>0</v>
      </c>
      <c r="Q338" t="n">
        <v>4</v>
      </c>
      <c r="R338" s="2" t="inlineStr">
        <is>
          <t>Garnlav
Skrovlig taggsvamp
Tallriska
Trådticka</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20515-2020</t>
        </is>
      </c>
      <c r="B339" s="1" t="n">
        <v>43945</v>
      </c>
      <c r="C339" s="1" t="n">
        <v>45798</v>
      </c>
      <c r="D339" t="inlineStr">
        <is>
          <t>NORRBOTTENS LÄN</t>
        </is>
      </c>
      <c r="E339" t="inlineStr">
        <is>
          <t>ÖVERKALIX</t>
        </is>
      </c>
      <c r="G339" t="n">
        <v>23.3</v>
      </c>
      <c r="H339" t="n">
        <v>1</v>
      </c>
      <c r="I339" t="n">
        <v>0</v>
      </c>
      <c r="J339" t="n">
        <v>2</v>
      </c>
      <c r="K339" t="n">
        <v>1</v>
      </c>
      <c r="L339" t="n">
        <v>1</v>
      </c>
      <c r="M339" t="n">
        <v>0</v>
      </c>
      <c r="N339" t="n">
        <v>0</v>
      </c>
      <c r="O339" t="n">
        <v>4</v>
      </c>
      <c r="P339" t="n">
        <v>2</v>
      </c>
      <c r="Q339" t="n">
        <v>4</v>
      </c>
      <c r="R339" s="2" t="inlineStr">
        <is>
          <t>Flodpärlmussla
Doftticka
Granticka
Harticka</t>
        </is>
      </c>
      <c r="S339">
        <f>HYPERLINK("https://klasma.github.io/Logging_2513/artfynd/A 20515-2020 artfynd.xlsx", "A 20515-2020")</f>
        <v/>
      </c>
      <c r="T339">
        <f>HYPERLINK("https://klasma.github.io/Logging_2513/kartor/A 20515-2020 karta.png", "A 20515-2020")</f>
        <v/>
      </c>
      <c r="V339">
        <f>HYPERLINK("https://klasma.github.io/Logging_2513/klagomål/A 20515-2020 FSC-klagomål.docx", "A 20515-2020")</f>
        <v/>
      </c>
      <c r="W339">
        <f>HYPERLINK("https://klasma.github.io/Logging_2513/klagomålsmail/A 20515-2020 FSC-klagomål mail.docx", "A 20515-2020")</f>
        <v/>
      </c>
      <c r="X339">
        <f>HYPERLINK("https://klasma.github.io/Logging_2513/tillsyn/A 20515-2020 tillsynsbegäran.docx", "A 20515-2020")</f>
        <v/>
      </c>
      <c r="Y339">
        <f>HYPERLINK("https://klasma.github.io/Logging_2513/tillsynsmail/A 20515-2020 tillsynsbegäran mail.docx", "A 20515-2020")</f>
        <v/>
      </c>
    </row>
    <row r="340" ht="15" customHeight="1">
      <c r="A340" t="inlineStr">
        <is>
          <t>A 27084-2020</t>
        </is>
      </c>
      <c r="B340" s="1" t="n">
        <v>43991</v>
      </c>
      <c r="C340" s="1" t="n">
        <v>45798</v>
      </c>
      <c r="D340" t="inlineStr">
        <is>
          <t>NORRBOTTENS LÄN</t>
        </is>
      </c>
      <c r="E340" t="inlineStr">
        <is>
          <t>BODEN</t>
        </is>
      </c>
      <c r="F340" t="inlineStr">
        <is>
          <t>Sveaskog</t>
        </is>
      </c>
      <c r="G340" t="n">
        <v>1.2</v>
      </c>
      <c r="H340" t="n">
        <v>0</v>
      </c>
      <c r="I340" t="n">
        <v>1</v>
      </c>
      <c r="J340" t="n">
        <v>3</v>
      </c>
      <c r="K340" t="n">
        <v>0</v>
      </c>
      <c r="L340" t="n">
        <v>0</v>
      </c>
      <c r="M340" t="n">
        <v>0</v>
      </c>
      <c r="N340" t="n">
        <v>0</v>
      </c>
      <c r="O340" t="n">
        <v>3</v>
      </c>
      <c r="P340" t="n">
        <v>0</v>
      </c>
      <c r="Q340" t="n">
        <v>4</v>
      </c>
      <c r="R340" s="2" t="inlineStr">
        <is>
          <t>Garnlav
Knottrig blåslav
Vedskivlav
Vedticka</t>
        </is>
      </c>
      <c r="S340">
        <f>HYPERLINK("https://klasma.github.io/Logging_2582/artfynd/A 27084-2020 artfynd.xlsx", "A 27084-2020")</f>
        <v/>
      </c>
      <c r="T340">
        <f>HYPERLINK("https://klasma.github.io/Logging_2582/kartor/A 27084-2020 karta.png", "A 27084-2020")</f>
        <v/>
      </c>
      <c r="V340">
        <f>HYPERLINK("https://klasma.github.io/Logging_2582/klagomål/A 27084-2020 FSC-klagomål.docx", "A 27084-2020")</f>
        <v/>
      </c>
      <c r="W340">
        <f>HYPERLINK("https://klasma.github.io/Logging_2582/klagomålsmail/A 27084-2020 FSC-klagomål mail.docx", "A 27084-2020")</f>
        <v/>
      </c>
      <c r="X340">
        <f>HYPERLINK("https://klasma.github.io/Logging_2582/tillsyn/A 27084-2020 tillsynsbegäran.docx", "A 27084-2020")</f>
        <v/>
      </c>
      <c r="Y340">
        <f>HYPERLINK("https://klasma.github.io/Logging_2582/tillsynsmail/A 27084-2020 tillsynsbegäran mail.docx", "A 27084-2020")</f>
        <v/>
      </c>
    </row>
    <row r="341" ht="15" customHeight="1">
      <c r="A341" t="inlineStr">
        <is>
          <t>A 27955-2020</t>
        </is>
      </c>
      <c r="B341" s="1" t="n">
        <v>43993</v>
      </c>
      <c r="C341" s="1" t="n">
        <v>45798</v>
      </c>
      <c r="D341" t="inlineStr">
        <is>
          <t>NORRBOTTENS LÄN</t>
        </is>
      </c>
      <c r="E341" t="inlineStr">
        <is>
          <t>KIRUNA</t>
        </is>
      </c>
      <c r="G341" t="n">
        <v>46.5</v>
      </c>
      <c r="H341" t="n">
        <v>0</v>
      </c>
      <c r="I341" t="n">
        <v>2</v>
      </c>
      <c r="J341" t="n">
        <v>1</v>
      </c>
      <c r="K341" t="n">
        <v>1</v>
      </c>
      <c r="L341" t="n">
        <v>0</v>
      </c>
      <c r="M341" t="n">
        <v>0</v>
      </c>
      <c r="N341" t="n">
        <v>0</v>
      </c>
      <c r="O341" t="n">
        <v>2</v>
      </c>
      <c r="P341" t="n">
        <v>1</v>
      </c>
      <c r="Q341" t="n">
        <v>4</v>
      </c>
      <c r="R341" s="2" t="inlineStr">
        <is>
          <t>Fläckporing
Granticka
Vedticka
Ögonpyrola</t>
        </is>
      </c>
      <c r="S341">
        <f>HYPERLINK("https://klasma.github.io/Logging_2584/artfynd/A 27955-2020 artfynd.xlsx", "A 27955-2020")</f>
        <v/>
      </c>
      <c r="T341">
        <f>HYPERLINK("https://klasma.github.io/Logging_2584/kartor/A 27955-2020 karta.png", "A 27955-2020")</f>
        <v/>
      </c>
      <c r="V341">
        <f>HYPERLINK("https://klasma.github.io/Logging_2584/klagomål/A 27955-2020 FSC-klagomål.docx", "A 27955-2020")</f>
        <v/>
      </c>
      <c r="W341">
        <f>HYPERLINK("https://klasma.github.io/Logging_2584/klagomålsmail/A 27955-2020 FSC-klagomål mail.docx", "A 27955-2020")</f>
        <v/>
      </c>
      <c r="X341">
        <f>HYPERLINK("https://klasma.github.io/Logging_2584/tillsyn/A 27955-2020 tillsynsbegäran.docx", "A 27955-2020")</f>
        <v/>
      </c>
      <c r="Y341">
        <f>HYPERLINK("https://klasma.github.io/Logging_2584/tillsynsmail/A 27955-2020 tillsynsbegäran mail.docx", "A 27955-2020")</f>
        <v/>
      </c>
    </row>
    <row r="342" ht="15" customHeight="1">
      <c r="A342" t="inlineStr">
        <is>
          <t>A 30786-2020</t>
        </is>
      </c>
      <c r="B342" s="1" t="n">
        <v>44010</v>
      </c>
      <c r="C342" s="1" t="n">
        <v>45798</v>
      </c>
      <c r="D342" t="inlineStr">
        <is>
          <t>NORRBOTTENS LÄN</t>
        </is>
      </c>
      <c r="E342" t="inlineStr">
        <is>
          <t>BODEN</t>
        </is>
      </c>
      <c r="F342" t="inlineStr">
        <is>
          <t>Sveaskog</t>
        </is>
      </c>
      <c r="G342" t="n">
        <v>3.5</v>
      </c>
      <c r="H342" t="n">
        <v>0</v>
      </c>
      <c r="I342" t="n">
        <v>1</v>
      </c>
      <c r="J342" t="n">
        <v>2</v>
      </c>
      <c r="K342" t="n">
        <v>1</v>
      </c>
      <c r="L342" t="n">
        <v>0</v>
      </c>
      <c r="M342" t="n">
        <v>0</v>
      </c>
      <c r="N342" t="n">
        <v>0</v>
      </c>
      <c r="O342" t="n">
        <v>3</v>
      </c>
      <c r="P342" t="n">
        <v>1</v>
      </c>
      <c r="Q342" t="n">
        <v>4</v>
      </c>
      <c r="R342" s="2" t="inlineStr">
        <is>
          <t>Rynkskinn
Rosenticka
Ullticka
Stuplav</t>
        </is>
      </c>
      <c r="S342">
        <f>HYPERLINK("https://klasma.github.io/Logging_2582/artfynd/A 30786-2020 artfynd.xlsx", "A 30786-2020")</f>
        <v/>
      </c>
      <c r="T342">
        <f>HYPERLINK("https://klasma.github.io/Logging_2582/kartor/A 30786-2020 karta.png", "A 30786-2020")</f>
        <v/>
      </c>
      <c r="V342">
        <f>HYPERLINK("https://klasma.github.io/Logging_2582/klagomål/A 30786-2020 FSC-klagomål.docx", "A 30786-2020")</f>
        <v/>
      </c>
      <c r="W342">
        <f>HYPERLINK("https://klasma.github.io/Logging_2582/klagomålsmail/A 30786-2020 FSC-klagomål mail.docx", "A 30786-2020")</f>
        <v/>
      </c>
      <c r="X342">
        <f>HYPERLINK("https://klasma.github.io/Logging_2582/tillsyn/A 30786-2020 tillsynsbegäran.docx", "A 30786-2020")</f>
        <v/>
      </c>
      <c r="Y342">
        <f>HYPERLINK("https://klasma.github.io/Logging_2582/tillsynsmail/A 30786-2020 tillsynsbegäran mail.docx", "A 30786-2020")</f>
        <v/>
      </c>
    </row>
    <row r="343" ht="15" customHeight="1">
      <c r="A343" t="inlineStr">
        <is>
          <t>A 33313-2020</t>
        </is>
      </c>
      <c r="B343" s="1" t="n">
        <v>44022</v>
      </c>
      <c r="C343" s="1" t="n">
        <v>45798</v>
      </c>
      <c r="D343" t="inlineStr">
        <is>
          <t>NORRBOTTENS LÄN</t>
        </is>
      </c>
      <c r="E343" t="inlineStr">
        <is>
          <t>PAJALA</t>
        </is>
      </c>
      <c r="F343" t="inlineStr">
        <is>
          <t>Sveaskog</t>
        </is>
      </c>
      <c r="G343" t="n">
        <v>7.3</v>
      </c>
      <c r="H343" t="n">
        <v>1</v>
      </c>
      <c r="I343" t="n">
        <v>0</v>
      </c>
      <c r="J343" t="n">
        <v>4</v>
      </c>
      <c r="K343" t="n">
        <v>0</v>
      </c>
      <c r="L343" t="n">
        <v>0</v>
      </c>
      <c r="M343" t="n">
        <v>0</v>
      </c>
      <c r="N343" t="n">
        <v>0</v>
      </c>
      <c r="O343" t="n">
        <v>4</v>
      </c>
      <c r="P343" t="n">
        <v>0</v>
      </c>
      <c r="Q343" t="n">
        <v>4</v>
      </c>
      <c r="R343" s="2" t="inlineStr">
        <is>
          <t>Gammelgransskål
Garnlav
Talltita
Ullticka</t>
        </is>
      </c>
      <c r="S343">
        <f>HYPERLINK("https://klasma.github.io/Logging_2521/artfynd/A 33313-2020 artfynd.xlsx", "A 33313-2020")</f>
        <v/>
      </c>
      <c r="T343">
        <f>HYPERLINK("https://klasma.github.io/Logging_2521/kartor/A 33313-2020 karta.png", "A 33313-2020")</f>
        <v/>
      </c>
      <c r="V343">
        <f>HYPERLINK("https://klasma.github.io/Logging_2521/klagomål/A 33313-2020 FSC-klagomål.docx", "A 33313-2020")</f>
        <v/>
      </c>
      <c r="W343">
        <f>HYPERLINK("https://klasma.github.io/Logging_2521/klagomålsmail/A 33313-2020 FSC-klagomål mail.docx", "A 33313-2020")</f>
        <v/>
      </c>
      <c r="X343">
        <f>HYPERLINK("https://klasma.github.io/Logging_2521/tillsyn/A 33313-2020 tillsynsbegäran.docx", "A 33313-2020")</f>
        <v/>
      </c>
      <c r="Y343">
        <f>HYPERLINK("https://klasma.github.io/Logging_2521/tillsynsmail/A 33313-2020 tillsynsbegäran mail.docx", "A 33313-2020")</f>
        <v/>
      </c>
      <c r="Z343">
        <f>HYPERLINK("https://klasma.github.io/Logging_2521/fåglar/A 33313-2020 prioriterade fågelarter.docx", "A 33313-2020")</f>
        <v/>
      </c>
    </row>
    <row r="344" ht="15" customHeight="1">
      <c r="A344" t="inlineStr">
        <is>
          <t>A 42512-2020</t>
        </is>
      </c>
      <c r="B344" s="1" t="n">
        <v>44074</v>
      </c>
      <c r="C344" s="1" t="n">
        <v>45798</v>
      </c>
      <c r="D344" t="inlineStr">
        <is>
          <t>NORRBOTTENS LÄN</t>
        </is>
      </c>
      <c r="E344" t="inlineStr">
        <is>
          <t>KIRUNA</t>
        </is>
      </c>
      <c r="F344" t="inlineStr">
        <is>
          <t>Sveaskog</t>
        </is>
      </c>
      <c r="G344" t="n">
        <v>14</v>
      </c>
      <c r="H344" t="n">
        <v>1</v>
      </c>
      <c r="I344" t="n">
        <v>1</v>
      </c>
      <c r="J344" t="n">
        <v>3</v>
      </c>
      <c r="K344" t="n">
        <v>0</v>
      </c>
      <c r="L344" t="n">
        <v>0</v>
      </c>
      <c r="M344" t="n">
        <v>0</v>
      </c>
      <c r="N344" t="n">
        <v>0</v>
      </c>
      <c r="O344" t="n">
        <v>3</v>
      </c>
      <c r="P344" t="n">
        <v>0</v>
      </c>
      <c r="Q344" t="n">
        <v>4</v>
      </c>
      <c r="R344" s="2" t="inlineStr">
        <is>
          <t>Granticka
Knottrig blåslav
Vitplätt
Plattlummer</t>
        </is>
      </c>
      <c r="S344">
        <f>HYPERLINK("https://klasma.github.io/Logging_2584/artfynd/A 42512-2020 artfynd.xlsx", "A 42512-2020")</f>
        <v/>
      </c>
      <c r="T344">
        <f>HYPERLINK("https://klasma.github.io/Logging_2584/kartor/A 42512-2020 karta.png", "A 42512-2020")</f>
        <v/>
      </c>
      <c r="V344">
        <f>HYPERLINK("https://klasma.github.io/Logging_2584/klagomål/A 42512-2020 FSC-klagomål.docx", "A 42512-2020")</f>
        <v/>
      </c>
      <c r="W344">
        <f>HYPERLINK("https://klasma.github.io/Logging_2584/klagomålsmail/A 42512-2020 FSC-klagomål mail.docx", "A 42512-2020")</f>
        <v/>
      </c>
      <c r="X344">
        <f>HYPERLINK("https://klasma.github.io/Logging_2584/tillsyn/A 42512-2020 tillsynsbegäran.docx", "A 42512-2020")</f>
        <v/>
      </c>
      <c r="Y344">
        <f>HYPERLINK("https://klasma.github.io/Logging_2584/tillsynsmail/A 42512-2020 tillsynsbegäran mail.docx", "A 42512-2020")</f>
        <v/>
      </c>
    </row>
    <row r="345" ht="15" customHeight="1">
      <c r="A345" t="inlineStr">
        <is>
          <t>A 42532-2020</t>
        </is>
      </c>
      <c r="B345" s="1" t="n">
        <v>44074</v>
      </c>
      <c r="C345" s="1" t="n">
        <v>45798</v>
      </c>
      <c r="D345" t="inlineStr">
        <is>
          <t>NORRBOTTENS LÄN</t>
        </is>
      </c>
      <c r="E345" t="inlineStr">
        <is>
          <t>KIRUNA</t>
        </is>
      </c>
      <c r="F345" t="inlineStr">
        <is>
          <t>Sveaskog</t>
        </is>
      </c>
      <c r="G345" t="n">
        <v>24.6</v>
      </c>
      <c r="H345" t="n">
        <v>1</v>
      </c>
      <c r="I345" t="n">
        <v>0</v>
      </c>
      <c r="J345" t="n">
        <v>3</v>
      </c>
      <c r="K345" t="n">
        <v>1</v>
      </c>
      <c r="L345" t="n">
        <v>0</v>
      </c>
      <c r="M345" t="n">
        <v>0</v>
      </c>
      <c r="N345" t="n">
        <v>0</v>
      </c>
      <c r="O345" t="n">
        <v>4</v>
      </c>
      <c r="P345" t="n">
        <v>1</v>
      </c>
      <c r="Q345" t="n">
        <v>4</v>
      </c>
      <c r="R345" s="2" t="inlineStr">
        <is>
          <t>Doftticka
Knottrig blåslav
Skrovellav
Vitplätt</t>
        </is>
      </c>
      <c r="S345">
        <f>HYPERLINK("https://klasma.github.io/Logging_2584/artfynd/A 42532-2020 artfynd.xlsx", "A 42532-2020")</f>
        <v/>
      </c>
      <c r="T345">
        <f>HYPERLINK("https://klasma.github.io/Logging_2584/kartor/A 42532-2020 karta.png", "A 42532-2020")</f>
        <v/>
      </c>
      <c r="V345">
        <f>HYPERLINK("https://klasma.github.io/Logging_2584/klagomål/A 42532-2020 FSC-klagomål.docx", "A 42532-2020")</f>
        <v/>
      </c>
      <c r="W345">
        <f>HYPERLINK("https://klasma.github.io/Logging_2584/klagomålsmail/A 42532-2020 FSC-klagomål mail.docx", "A 42532-2020")</f>
        <v/>
      </c>
      <c r="X345">
        <f>HYPERLINK("https://klasma.github.io/Logging_2584/tillsyn/A 42532-2020 tillsynsbegäran.docx", "A 42532-2020")</f>
        <v/>
      </c>
      <c r="Y345">
        <f>HYPERLINK("https://klasma.github.io/Logging_2584/tillsynsmail/A 42532-2020 tillsynsbegäran mail.docx", "A 42532-2020")</f>
        <v/>
      </c>
    </row>
    <row r="346" ht="15" customHeight="1">
      <c r="A346" t="inlineStr">
        <is>
          <t>A 62075-2020</t>
        </is>
      </c>
      <c r="B346" s="1" t="n">
        <v>44158</v>
      </c>
      <c r="C346" s="1" t="n">
        <v>45798</v>
      </c>
      <c r="D346" t="inlineStr">
        <is>
          <t>NORRBOTTENS LÄN</t>
        </is>
      </c>
      <c r="E346" t="inlineStr">
        <is>
          <t>BODEN</t>
        </is>
      </c>
      <c r="G346" t="n">
        <v>6.9</v>
      </c>
      <c r="H346" t="n">
        <v>0</v>
      </c>
      <c r="I346" t="n">
        <v>0</v>
      </c>
      <c r="J346" t="n">
        <v>3</v>
      </c>
      <c r="K346" t="n">
        <v>1</v>
      </c>
      <c r="L346" t="n">
        <v>0</v>
      </c>
      <c r="M346" t="n">
        <v>0</v>
      </c>
      <c r="N346" t="n">
        <v>0</v>
      </c>
      <c r="O346" t="n">
        <v>4</v>
      </c>
      <c r="P346" t="n">
        <v>1</v>
      </c>
      <c r="Q346" t="n">
        <v>4</v>
      </c>
      <c r="R346" s="2" t="inlineStr">
        <is>
          <t>Liten hornflikmossa
Veckticka
Vedflikmossa
Vedtrappmossa</t>
        </is>
      </c>
      <c r="S346">
        <f>HYPERLINK("https://klasma.github.io/Logging_2582/artfynd/A 62075-2020 artfynd.xlsx", "A 62075-2020")</f>
        <v/>
      </c>
      <c r="T346">
        <f>HYPERLINK("https://klasma.github.io/Logging_2582/kartor/A 62075-2020 karta.png", "A 62075-2020")</f>
        <v/>
      </c>
      <c r="V346">
        <f>HYPERLINK("https://klasma.github.io/Logging_2582/klagomål/A 62075-2020 FSC-klagomål.docx", "A 62075-2020")</f>
        <v/>
      </c>
      <c r="W346">
        <f>HYPERLINK("https://klasma.github.io/Logging_2582/klagomålsmail/A 62075-2020 FSC-klagomål mail.docx", "A 62075-2020")</f>
        <v/>
      </c>
      <c r="X346">
        <f>HYPERLINK("https://klasma.github.io/Logging_2582/tillsyn/A 62075-2020 tillsynsbegäran.docx", "A 62075-2020")</f>
        <v/>
      </c>
      <c r="Y346">
        <f>HYPERLINK("https://klasma.github.io/Logging_2582/tillsynsmail/A 62075-2020 tillsynsbegäran mail.docx", "A 62075-2020")</f>
        <v/>
      </c>
    </row>
    <row r="347" ht="15" customHeight="1">
      <c r="A347" t="inlineStr">
        <is>
          <t>A 67415-2020</t>
        </is>
      </c>
      <c r="B347" s="1" t="n">
        <v>44181</v>
      </c>
      <c r="C347" s="1" t="n">
        <v>45798</v>
      </c>
      <c r="D347" t="inlineStr">
        <is>
          <t>NORRBOTTENS LÄN</t>
        </is>
      </c>
      <c r="E347" t="inlineStr">
        <is>
          <t>ÖVERKALIX</t>
        </is>
      </c>
      <c r="G347" t="n">
        <v>6.9</v>
      </c>
      <c r="H347" t="n">
        <v>1</v>
      </c>
      <c r="I347" t="n">
        <v>0</v>
      </c>
      <c r="J347" t="n">
        <v>3</v>
      </c>
      <c r="K347" t="n">
        <v>0</v>
      </c>
      <c r="L347" t="n">
        <v>0</v>
      </c>
      <c r="M347" t="n">
        <v>0</v>
      </c>
      <c r="N347" t="n">
        <v>0</v>
      </c>
      <c r="O347" t="n">
        <v>3</v>
      </c>
      <c r="P347" t="n">
        <v>0</v>
      </c>
      <c r="Q347" t="n">
        <v>4</v>
      </c>
      <c r="R347" s="2" t="inlineStr">
        <is>
          <t>Dvärgbägarlav
Garnlav
Vedflamlav
Revlummer</t>
        </is>
      </c>
      <c r="S347">
        <f>HYPERLINK("https://klasma.github.io/Logging_2513/artfynd/A 67415-2020 artfynd.xlsx", "A 67415-2020")</f>
        <v/>
      </c>
      <c r="T347">
        <f>HYPERLINK("https://klasma.github.io/Logging_2513/kartor/A 67415-2020 karta.png", "A 67415-2020")</f>
        <v/>
      </c>
      <c r="V347">
        <f>HYPERLINK("https://klasma.github.io/Logging_2513/klagomål/A 67415-2020 FSC-klagomål.docx", "A 67415-2020")</f>
        <v/>
      </c>
      <c r="W347">
        <f>HYPERLINK("https://klasma.github.io/Logging_2513/klagomålsmail/A 67415-2020 FSC-klagomål mail.docx", "A 67415-2020")</f>
        <v/>
      </c>
      <c r="X347">
        <f>HYPERLINK("https://klasma.github.io/Logging_2513/tillsyn/A 67415-2020 tillsynsbegäran.docx", "A 67415-2020")</f>
        <v/>
      </c>
      <c r="Y347">
        <f>HYPERLINK("https://klasma.github.io/Logging_2513/tillsynsmail/A 67415-2020 tillsynsbegäran mail.docx", "A 67415-2020")</f>
        <v/>
      </c>
    </row>
    <row r="348" ht="15" customHeight="1">
      <c r="A348" t="inlineStr">
        <is>
          <t>A 14856-2021</t>
        </is>
      </c>
      <c r="B348" s="1" t="n">
        <v>44280</v>
      </c>
      <c r="C348" s="1" t="n">
        <v>45798</v>
      </c>
      <c r="D348" t="inlineStr">
        <is>
          <t>NORRBOTTENS LÄN</t>
        </is>
      </c>
      <c r="E348" t="inlineStr">
        <is>
          <t>PITEÅ</t>
        </is>
      </c>
      <c r="F348" t="inlineStr">
        <is>
          <t>SCA</t>
        </is>
      </c>
      <c r="G348" t="n">
        <v>2.8</v>
      </c>
      <c r="H348" t="n">
        <v>0</v>
      </c>
      <c r="I348" t="n">
        <v>0</v>
      </c>
      <c r="J348" t="n">
        <v>3</v>
      </c>
      <c r="K348" t="n">
        <v>1</v>
      </c>
      <c r="L348" t="n">
        <v>0</v>
      </c>
      <c r="M348" t="n">
        <v>0</v>
      </c>
      <c r="N348" t="n">
        <v>0</v>
      </c>
      <c r="O348" t="n">
        <v>4</v>
      </c>
      <c r="P348" t="n">
        <v>1</v>
      </c>
      <c r="Q348" t="n">
        <v>4</v>
      </c>
      <c r="R348" s="2" t="inlineStr">
        <is>
          <t>Sprickporing
Gammelgransskål
Granticka
Ullticka</t>
        </is>
      </c>
      <c r="S348">
        <f>HYPERLINK("https://klasma.github.io/Logging_2581/artfynd/A 14856-2021 artfynd.xlsx", "A 14856-2021")</f>
        <v/>
      </c>
      <c r="T348">
        <f>HYPERLINK("https://klasma.github.io/Logging_2581/kartor/A 14856-2021 karta.png", "A 14856-2021")</f>
        <v/>
      </c>
      <c r="V348">
        <f>HYPERLINK("https://klasma.github.io/Logging_2581/klagomål/A 14856-2021 FSC-klagomål.docx", "A 14856-2021")</f>
        <v/>
      </c>
      <c r="W348">
        <f>HYPERLINK("https://klasma.github.io/Logging_2581/klagomålsmail/A 14856-2021 FSC-klagomål mail.docx", "A 14856-2021")</f>
        <v/>
      </c>
      <c r="X348">
        <f>HYPERLINK("https://klasma.github.io/Logging_2581/tillsyn/A 14856-2021 tillsynsbegäran.docx", "A 14856-2021")</f>
        <v/>
      </c>
      <c r="Y348">
        <f>HYPERLINK("https://klasma.github.io/Logging_2581/tillsynsmail/A 14856-2021 tillsynsbegäran mail.docx", "A 14856-2021")</f>
        <v/>
      </c>
    </row>
    <row r="349" ht="15" customHeight="1">
      <c r="A349" t="inlineStr">
        <is>
          <t>A 30541-2021</t>
        </is>
      </c>
      <c r="B349" s="1" t="n">
        <v>44364</v>
      </c>
      <c r="C349" s="1" t="n">
        <v>45798</v>
      </c>
      <c r="D349" t="inlineStr">
        <is>
          <t>NORRBOTTENS LÄN</t>
        </is>
      </c>
      <c r="E349" t="inlineStr">
        <is>
          <t>BODEN</t>
        </is>
      </c>
      <c r="G349" t="n">
        <v>5</v>
      </c>
      <c r="H349" t="n">
        <v>2</v>
      </c>
      <c r="I349" t="n">
        <v>1</v>
      </c>
      <c r="J349" t="n">
        <v>1</v>
      </c>
      <c r="K349" t="n">
        <v>0</v>
      </c>
      <c r="L349" t="n">
        <v>0</v>
      </c>
      <c r="M349" t="n">
        <v>0</v>
      </c>
      <c r="N349" t="n">
        <v>0</v>
      </c>
      <c r="O349" t="n">
        <v>1</v>
      </c>
      <c r="P349" t="n">
        <v>0</v>
      </c>
      <c r="Q349" t="n">
        <v>4</v>
      </c>
      <c r="R349" s="2" t="inlineStr">
        <is>
          <t>Älvstarr
Bollvitmossa
Vanlig padda
Revlummer</t>
        </is>
      </c>
      <c r="S349">
        <f>HYPERLINK("https://klasma.github.io/Logging_2582/artfynd/A 30541-2021 artfynd.xlsx", "A 30541-2021")</f>
        <v/>
      </c>
      <c r="T349">
        <f>HYPERLINK("https://klasma.github.io/Logging_2582/kartor/A 30541-2021 karta.png", "A 30541-2021")</f>
        <v/>
      </c>
      <c r="V349">
        <f>HYPERLINK("https://klasma.github.io/Logging_2582/klagomål/A 30541-2021 FSC-klagomål.docx", "A 30541-2021")</f>
        <v/>
      </c>
      <c r="W349">
        <f>HYPERLINK("https://klasma.github.io/Logging_2582/klagomålsmail/A 30541-2021 FSC-klagomål mail.docx", "A 30541-2021")</f>
        <v/>
      </c>
      <c r="X349">
        <f>HYPERLINK("https://klasma.github.io/Logging_2582/tillsyn/A 30541-2021 tillsynsbegäran.docx", "A 30541-2021")</f>
        <v/>
      </c>
      <c r="Y349">
        <f>HYPERLINK("https://klasma.github.io/Logging_2582/tillsynsmail/A 30541-2021 tillsynsbegäran mail.docx", "A 30541-2021")</f>
        <v/>
      </c>
    </row>
    <row r="350" ht="15" customHeight="1">
      <c r="A350" t="inlineStr">
        <is>
          <t>A 31708-2021</t>
        </is>
      </c>
      <c r="B350" s="1" t="n">
        <v>44369</v>
      </c>
      <c r="C350" s="1" t="n">
        <v>45798</v>
      </c>
      <c r="D350" t="inlineStr">
        <is>
          <t>NORRBOTTENS LÄN</t>
        </is>
      </c>
      <c r="E350" t="inlineStr">
        <is>
          <t>KALIX</t>
        </is>
      </c>
      <c r="G350" t="n">
        <v>4.9</v>
      </c>
      <c r="H350" t="n">
        <v>1</v>
      </c>
      <c r="I350" t="n">
        <v>3</v>
      </c>
      <c r="J350" t="n">
        <v>1</v>
      </c>
      <c r="K350" t="n">
        <v>0</v>
      </c>
      <c r="L350" t="n">
        <v>0</v>
      </c>
      <c r="M350" t="n">
        <v>0</v>
      </c>
      <c r="N350" t="n">
        <v>0</v>
      </c>
      <c r="O350" t="n">
        <v>1</v>
      </c>
      <c r="P350" t="n">
        <v>0</v>
      </c>
      <c r="Q350" t="n">
        <v>4</v>
      </c>
      <c r="R350" s="2" t="inlineStr">
        <is>
          <t>Motaggsvamp
Guckusko
Rödgul trumpetsvamp
Svavelriska</t>
        </is>
      </c>
      <c r="S350">
        <f>HYPERLINK("https://klasma.github.io/Logging_2514/artfynd/A 31708-2021 artfynd.xlsx", "A 31708-2021")</f>
        <v/>
      </c>
      <c r="T350">
        <f>HYPERLINK("https://klasma.github.io/Logging_2514/kartor/A 31708-2021 karta.png", "A 31708-2021")</f>
        <v/>
      </c>
      <c r="V350">
        <f>HYPERLINK("https://klasma.github.io/Logging_2514/klagomål/A 31708-2021 FSC-klagomål.docx", "A 31708-2021")</f>
        <v/>
      </c>
      <c r="W350">
        <f>HYPERLINK("https://klasma.github.io/Logging_2514/klagomålsmail/A 31708-2021 FSC-klagomål mail.docx", "A 31708-2021")</f>
        <v/>
      </c>
      <c r="X350">
        <f>HYPERLINK("https://klasma.github.io/Logging_2514/tillsyn/A 31708-2021 tillsynsbegäran.docx", "A 31708-2021")</f>
        <v/>
      </c>
      <c r="Y350">
        <f>HYPERLINK("https://klasma.github.io/Logging_2514/tillsynsmail/A 31708-2021 tillsynsbegäran mail.docx", "A 31708-2021")</f>
        <v/>
      </c>
    </row>
    <row r="351" ht="15" customHeight="1">
      <c r="A351" t="inlineStr">
        <is>
          <t>A 46059-2021</t>
        </is>
      </c>
      <c r="B351" s="1" t="n">
        <v>44442</v>
      </c>
      <c r="C351" s="1" t="n">
        <v>45798</v>
      </c>
      <c r="D351" t="inlineStr">
        <is>
          <t>NORRBOTTENS LÄN</t>
        </is>
      </c>
      <c r="E351" t="inlineStr">
        <is>
          <t>JOKKMOKK</t>
        </is>
      </c>
      <c r="F351" t="inlineStr">
        <is>
          <t>SCA</t>
        </is>
      </c>
      <c r="G351" t="n">
        <v>3.1</v>
      </c>
      <c r="H351" t="n">
        <v>0</v>
      </c>
      <c r="I351" t="n">
        <v>1</v>
      </c>
      <c r="J351" t="n">
        <v>2</v>
      </c>
      <c r="K351" t="n">
        <v>1</v>
      </c>
      <c r="L351" t="n">
        <v>0</v>
      </c>
      <c r="M351" t="n">
        <v>0</v>
      </c>
      <c r="N351" t="n">
        <v>0</v>
      </c>
      <c r="O351" t="n">
        <v>3</v>
      </c>
      <c r="P351" t="n">
        <v>1</v>
      </c>
      <c r="Q351" t="n">
        <v>4</v>
      </c>
      <c r="R351" s="2" t="inlineStr">
        <is>
          <t>Rynkskinn
Granticka
Vitskaftad svartspik
Skinnlav</t>
        </is>
      </c>
      <c r="S351">
        <f>HYPERLINK("https://klasma.github.io/Logging_2510/artfynd/A 46059-2021 artfynd.xlsx", "A 46059-2021")</f>
        <v/>
      </c>
      <c r="T351">
        <f>HYPERLINK("https://klasma.github.io/Logging_2510/kartor/A 46059-2021 karta.png", "A 46059-2021")</f>
        <v/>
      </c>
      <c r="V351">
        <f>HYPERLINK("https://klasma.github.io/Logging_2510/klagomål/A 46059-2021 FSC-klagomål.docx", "A 46059-2021")</f>
        <v/>
      </c>
      <c r="W351">
        <f>HYPERLINK("https://klasma.github.io/Logging_2510/klagomålsmail/A 46059-2021 FSC-klagomål mail.docx", "A 46059-2021")</f>
        <v/>
      </c>
      <c r="X351">
        <f>HYPERLINK("https://klasma.github.io/Logging_2510/tillsyn/A 46059-2021 tillsynsbegäran.docx", "A 46059-2021")</f>
        <v/>
      </c>
      <c r="Y351">
        <f>HYPERLINK("https://klasma.github.io/Logging_2510/tillsynsmail/A 46059-2021 tillsynsbegäran mail.docx", "A 46059-2021")</f>
        <v/>
      </c>
    </row>
    <row r="352" ht="15" customHeight="1">
      <c r="A352" t="inlineStr">
        <is>
          <t>A 54960-2021</t>
        </is>
      </c>
      <c r="B352" s="1" t="n">
        <v>44474</v>
      </c>
      <c r="C352" s="1" t="n">
        <v>45798</v>
      </c>
      <c r="D352" t="inlineStr">
        <is>
          <t>NORRBOTTENS LÄN</t>
        </is>
      </c>
      <c r="E352" t="inlineStr">
        <is>
          <t>JOKKMOKK</t>
        </is>
      </c>
      <c r="F352" t="inlineStr">
        <is>
          <t>Allmännings- och besparingsskogar</t>
        </is>
      </c>
      <c r="G352" t="n">
        <v>52.4</v>
      </c>
      <c r="H352" t="n">
        <v>1</v>
      </c>
      <c r="I352" t="n">
        <v>0</v>
      </c>
      <c r="J352" t="n">
        <v>4</v>
      </c>
      <c r="K352" t="n">
        <v>0</v>
      </c>
      <c r="L352" t="n">
        <v>0</v>
      </c>
      <c r="M352" t="n">
        <v>0</v>
      </c>
      <c r="N352" t="n">
        <v>0</v>
      </c>
      <c r="O352" t="n">
        <v>4</v>
      </c>
      <c r="P352" t="n">
        <v>0</v>
      </c>
      <c r="Q352" t="n">
        <v>4</v>
      </c>
      <c r="R352" s="2" t="inlineStr">
        <is>
          <t>Lunglav
Stiftgelélav
Tretåig hackspett
Ullticka</t>
        </is>
      </c>
      <c r="S352">
        <f>HYPERLINK("https://klasma.github.io/Logging_2510/artfynd/A 54960-2021 artfynd.xlsx", "A 54960-2021")</f>
        <v/>
      </c>
      <c r="T352">
        <f>HYPERLINK("https://klasma.github.io/Logging_2510/kartor/A 54960-2021 karta.png", "A 54960-2021")</f>
        <v/>
      </c>
      <c r="V352">
        <f>HYPERLINK("https://klasma.github.io/Logging_2510/klagomål/A 54960-2021 FSC-klagomål.docx", "A 54960-2021")</f>
        <v/>
      </c>
      <c r="W352">
        <f>HYPERLINK("https://klasma.github.io/Logging_2510/klagomålsmail/A 54960-2021 FSC-klagomål mail.docx", "A 54960-2021")</f>
        <v/>
      </c>
      <c r="X352">
        <f>HYPERLINK("https://klasma.github.io/Logging_2510/tillsyn/A 54960-2021 tillsynsbegäran.docx", "A 54960-2021")</f>
        <v/>
      </c>
      <c r="Y352">
        <f>HYPERLINK("https://klasma.github.io/Logging_2510/tillsynsmail/A 54960-2021 tillsynsbegäran mail.docx", "A 54960-2021")</f>
        <v/>
      </c>
      <c r="Z352">
        <f>HYPERLINK("https://klasma.github.io/Logging_2510/fåglar/A 54960-2021 prioriterade fågelarter.docx", "A 54960-2021")</f>
        <v/>
      </c>
    </row>
    <row r="353" ht="15" customHeight="1">
      <c r="A353" t="inlineStr">
        <is>
          <t>A 59298-2021</t>
        </is>
      </c>
      <c r="B353" s="1" t="n">
        <v>44490</v>
      </c>
      <c r="C353" s="1" t="n">
        <v>45798</v>
      </c>
      <c r="D353" t="inlineStr">
        <is>
          <t>NORRBOTTENS LÄN</t>
        </is>
      </c>
      <c r="E353" t="inlineStr">
        <is>
          <t>LULEÅ</t>
        </is>
      </c>
      <c r="G353" t="n">
        <v>9.199999999999999</v>
      </c>
      <c r="H353" t="n">
        <v>0</v>
      </c>
      <c r="I353" t="n">
        <v>1</v>
      </c>
      <c r="J353" t="n">
        <v>3</v>
      </c>
      <c r="K353" t="n">
        <v>0</v>
      </c>
      <c r="L353" t="n">
        <v>0</v>
      </c>
      <c r="M353" t="n">
        <v>0</v>
      </c>
      <c r="N353" t="n">
        <v>0</v>
      </c>
      <c r="O353" t="n">
        <v>3</v>
      </c>
      <c r="P353" t="n">
        <v>0</v>
      </c>
      <c r="Q353" t="n">
        <v>4</v>
      </c>
      <c r="R353" s="2" t="inlineStr">
        <is>
          <t>Garnlav
Granticka
Stiftgelélav
Skinnlav</t>
        </is>
      </c>
      <c r="S353">
        <f>HYPERLINK("https://klasma.github.io/Logging_2580/artfynd/A 59298-2021 artfynd.xlsx", "A 59298-2021")</f>
        <v/>
      </c>
      <c r="T353">
        <f>HYPERLINK("https://klasma.github.io/Logging_2580/kartor/A 59298-2021 karta.png", "A 59298-2021")</f>
        <v/>
      </c>
      <c r="V353">
        <f>HYPERLINK("https://klasma.github.io/Logging_2580/klagomål/A 59298-2021 FSC-klagomål.docx", "A 59298-2021")</f>
        <v/>
      </c>
      <c r="W353">
        <f>HYPERLINK("https://klasma.github.io/Logging_2580/klagomålsmail/A 59298-2021 FSC-klagomål mail.docx", "A 59298-2021")</f>
        <v/>
      </c>
      <c r="X353">
        <f>HYPERLINK("https://klasma.github.io/Logging_2580/tillsyn/A 59298-2021 tillsynsbegäran.docx", "A 59298-2021")</f>
        <v/>
      </c>
      <c r="Y353">
        <f>HYPERLINK("https://klasma.github.io/Logging_2580/tillsynsmail/A 59298-2021 tillsynsbegäran mail.docx", "A 59298-2021")</f>
        <v/>
      </c>
    </row>
    <row r="354" ht="15" customHeight="1">
      <c r="A354" t="inlineStr">
        <is>
          <t>A 64290-2021</t>
        </is>
      </c>
      <c r="B354" s="1" t="n">
        <v>44510</v>
      </c>
      <c r="C354" s="1" t="n">
        <v>45798</v>
      </c>
      <c r="D354" t="inlineStr">
        <is>
          <t>NORRBOTTENS LÄN</t>
        </is>
      </c>
      <c r="E354" t="inlineStr">
        <is>
          <t>KALIX</t>
        </is>
      </c>
      <c r="F354" t="inlineStr">
        <is>
          <t>Sveaskog</t>
        </is>
      </c>
      <c r="G354" t="n">
        <v>52.9</v>
      </c>
      <c r="H354" t="n">
        <v>3</v>
      </c>
      <c r="I354" t="n">
        <v>0</v>
      </c>
      <c r="J354" t="n">
        <v>2</v>
      </c>
      <c r="K354" t="n">
        <v>0</v>
      </c>
      <c r="L354" t="n">
        <v>0</v>
      </c>
      <c r="M354" t="n">
        <v>0</v>
      </c>
      <c r="N354" t="n">
        <v>0</v>
      </c>
      <c r="O354" t="n">
        <v>2</v>
      </c>
      <c r="P354" t="n">
        <v>0</v>
      </c>
      <c r="Q354" t="n">
        <v>4</v>
      </c>
      <c r="R354" s="2" t="inlineStr">
        <is>
          <t>Blek fingersvamp
Spillkråka
Strandviva
Dactylorhiza incarnata subsp. incarnata</t>
        </is>
      </c>
      <c r="S354">
        <f>HYPERLINK("https://klasma.github.io/Logging_2514/artfynd/A 64290-2021 artfynd.xlsx", "A 64290-2021")</f>
        <v/>
      </c>
      <c r="T354">
        <f>HYPERLINK("https://klasma.github.io/Logging_2514/kartor/A 64290-2021 karta.png", "A 64290-2021")</f>
        <v/>
      </c>
      <c r="V354">
        <f>HYPERLINK("https://klasma.github.io/Logging_2514/klagomål/A 64290-2021 FSC-klagomål.docx", "A 64290-2021")</f>
        <v/>
      </c>
      <c r="W354">
        <f>HYPERLINK("https://klasma.github.io/Logging_2514/klagomålsmail/A 64290-2021 FSC-klagomål mail.docx", "A 64290-2021")</f>
        <v/>
      </c>
      <c r="X354">
        <f>HYPERLINK("https://klasma.github.io/Logging_2514/tillsyn/A 64290-2021 tillsynsbegäran.docx", "A 64290-2021")</f>
        <v/>
      </c>
      <c r="Y354">
        <f>HYPERLINK("https://klasma.github.io/Logging_2514/tillsynsmail/A 64290-2021 tillsynsbegäran mail.docx", "A 64290-2021")</f>
        <v/>
      </c>
      <c r="Z354">
        <f>HYPERLINK("https://klasma.github.io/Logging_2514/fåglar/A 64290-2021 prioriterade fågelarter.docx", "A 64290-2021")</f>
        <v/>
      </c>
    </row>
    <row r="355" ht="15" customHeight="1">
      <c r="A355" t="inlineStr">
        <is>
          <t>A 66957-2021</t>
        </is>
      </c>
      <c r="B355" s="1" t="n">
        <v>44522</v>
      </c>
      <c r="C355" s="1" t="n">
        <v>45798</v>
      </c>
      <c r="D355" t="inlineStr">
        <is>
          <t>NORRBOTTENS LÄN</t>
        </is>
      </c>
      <c r="E355" t="inlineStr">
        <is>
          <t>GÄLLIVARE</t>
        </is>
      </c>
      <c r="F355" t="inlineStr">
        <is>
          <t>Allmännings- och besparingsskogar</t>
        </is>
      </c>
      <c r="G355" t="n">
        <v>54</v>
      </c>
      <c r="H355" t="n">
        <v>0</v>
      </c>
      <c r="I355" t="n">
        <v>3</v>
      </c>
      <c r="J355" t="n">
        <v>1</v>
      </c>
      <c r="K355" t="n">
        <v>0</v>
      </c>
      <c r="L355" t="n">
        <v>0</v>
      </c>
      <c r="M355" t="n">
        <v>0</v>
      </c>
      <c r="N355" t="n">
        <v>0</v>
      </c>
      <c r="O355" t="n">
        <v>1</v>
      </c>
      <c r="P355" t="n">
        <v>0</v>
      </c>
      <c r="Q355" t="n">
        <v>4</v>
      </c>
      <c r="R355" s="2" t="inlineStr">
        <is>
          <t>Vedtrappmossa
Källpraktmossa
Skinnlav
Stuplav</t>
        </is>
      </c>
      <c r="S355">
        <f>HYPERLINK("https://klasma.github.io/Logging_2523/artfynd/A 66957-2021 artfynd.xlsx", "A 66957-2021")</f>
        <v/>
      </c>
      <c r="T355">
        <f>HYPERLINK("https://klasma.github.io/Logging_2523/kartor/A 66957-2021 karta.png", "A 66957-2021")</f>
        <v/>
      </c>
      <c r="V355">
        <f>HYPERLINK("https://klasma.github.io/Logging_2523/klagomål/A 66957-2021 FSC-klagomål.docx", "A 66957-2021")</f>
        <v/>
      </c>
      <c r="W355">
        <f>HYPERLINK("https://klasma.github.io/Logging_2523/klagomålsmail/A 66957-2021 FSC-klagomål mail.docx", "A 66957-2021")</f>
        <v/>
      </c>
      <c r="X355">
        <f>HYPERLINK("https://klasma.github.io/Logging_2523/tillsyn/A 66957-2021 tillsynsbegäran.docx", "A 66957-2021")</f>
        <v/>
      </c>
      <c r="Y355">
        <f>HYPERLINK("https://klasma.github.io/Logging_2523/tillsynsmail/A 66957-2021 tillsynsbegäran mail.docx", "A 66957-2021")</f>
        <v/>
      </c>
    </row>
    <row r="356" ht="15" customHeight="1">
      <c r="A356" t="inlineStr">
        <is>
          <t>A 73023-2021</t>
        </is>
      </c>
      <c r="B356" s="1" t="n">
        <v>44550</v>
      </c>
      <c r="C356" s="1" t="n">
        <v>45798</v>
      </c>
      <c r="D356" t="inlineStr">
        <is>
          <t>NORRBOTTENS LÄN</t>
        </is>
      </c>
      <c r="E356" t="inlineStr">
        <is>
          <t>PITEÅ</t>
        </is>
      </c>
      <c r="F356" t="inlineStr">
        <is>
          <t>Övriga Aktiebolag</t>
        </is>
      </c>
      <c r="G356" t="n">
        <v>10.3</v>
      </c>
      <c r="H356" t="n">
        <v>1</v>
      </c>
      <c r="I356" t="n">
        <v>0</v>
      </c>
      <c r="J356" t="n">
        <v>3</v>
      </c>
      <c r="K356" t="n">
        <v>1</v>
      </c>
      <c r="L356" t="n">
        <v>0</v>
      </c>
      <c r="M356" t="n">
        <v>0</v>
      </c>
      <c r="N356" t="n">
        <v>0</v>
      </c>
      <c r="O356" t="n">
        <v>4</v>
      </c>
      <c r="P356" t="n">
        <v>1</v>
      </c>
      <c r="Q356" t="n">
        <v>4</v>
      </c>
      <c r="R356" s="2" t="inlineStr">
        <is>
          <t>Knärot
Garnlav
Lunglav
Ullticka</t>
        </is>
      </c>
      <c r="S356">
        <f>HYPERLINK("https://klasma.github.io/Logging_2581/artfynd/A 73023-2021 artfynd.xlsx", "A 73023-2021")</f>
        <v/>
      </c>
      <c r="T356">
        <f>HYPERLINK("https://klasma.github.io/Logging_2581/kartor/A 73023-2021 karta.png", "A 73023-2021")</f>
        <v/>
      </c>
      <c r="U356">
        <f>HYPERLINK("https://klasma.github.io/Logging_2581/knärot/A 73023-2021 karta knärot.png", "A 73023-2021")</f>
        <v/>
      </c>
      <c r="V356">
        <f>HYPERLINK("https://klasma.github.io/Logging_2581/klagomål/A 73023-2021 FSC-klagomål.docx", "A 73023-2021")</f>
        <v/>
      </c>
      <c r="W356">
        <f>HYPERLINK("https://klasma.github.io/Logging_2581/klagomålsmail/A 73023-2021 FSC-klagomål mail.docx", "A 73023-2021")</f>
        <v/>
      </c>
      <c r="X356">
        <f>HYPERLINK("https://klasma.github.io/Logging_2581/tillsyn/A 73023-2021 tillsynsbegäran.docx", "A 73023-2021")</f>
        <v/>
      </c>
      <c r="Y356">
        <f>HYPERLINK("https://klasma.github.io/Logging_2581/tillsynsmail/A 73023-2021 tillsynsbegäran mail.docx", "A 73023-2021")</f>
        <v/>
      </c>
    </row>
    <row r="357" ht="15" customHeight="1">
      <c r="A357" t="inlineStr">
        <is>
          <t>A 7955-2022</t>
        </is>
      </c>
      <c r="B357" s="1" t="n">
        <v>44608</v>
      </c>
      <c r="C357" s="1" t="n">
        <v>45798</v>
      </c>
      <c r="D357" t="inlineStr">
        <is>
          <t>NORRBOTTENS LÄN</t>
        </is>
      </c>
      <c r="E357" t="inlineStr">
        <is>
          <t>PAJALA</t>
        </is>
      </c>
      <c r="F357" t="inlineStr">
        <is>
          <t>SCA</t>
        </is>
      </c>
      <c r="G357" t="n">
        <v>4.8</v>
      </c>
      <c r="H357" t="n">
        <v>0</v>
      </c>
      <c r="I357" t="n">
        <v>0</v>
      </c>
      <c r="J357" t="n">
        <v>4</v>
      </c>
      <c r="K357" t="n">
        <v>0</v>
      </c>
      <c r="L357" t="n">
        <v>0</v>
      </c>
      <c r="M357" t="n">
        <v>0</v>
      </c>
      <c r="N357" t="n">
        <v>0</v>
      </c>
      <c r="O357" t="n">
        <v>4</v>
      </c>
      <c r="P357" t="n">
        <v>0</v>
      </c>
      <c r="Q357" t="n">
        <v>4</v>
      </c>
      <c r="R357" s="2" t="inlineStr">
        <is>
          <t>Gammelgransskål
Granticka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36753-2022</t>
        </is>
      </c>
      <c r="B358" s="1" t="n">
        <v>44805</v>
      </c>
      <c r="C358" s="1" t="n">
        <v>45798</v>
      </c>
      <c r="D358" t="inlineStr">
        <is>
          <t>NORRBOTTENS LÄN</t>
        </is>
      </c>
      <c r="E358" t="inlineStr">
        <is>
          <t>KALIX</t>
        </is>
      </c>
      <c r="G358" t="n">
        <v>5</v>
      </c>
      <c r="H358" t="n">
        <v>2</v>
      </c>
      <c r="I358" t="n">
        <v>2</v>
      </c>
      <c r="J358" t="n">
        <v>0</v>
      </c>
      <c r="K358" t="n">
        <v>2</v>
      </c>
      <c r="L358" t="n">
        <v>0</v>
      </c>
      <c r="M358" t="n">
        <v>0</v>
      </c>
      <c r="N358" t="n">
        <v>0</v>
      </c>
      <c r="O358" t="n">
        <v>2</v>
      </c>
      <c r="P358" t="n">
        <v>2</v>
      </c>
      <c r="Q358" t="n">
        <v>4</v>
      </c>
      <c r="R358" s="2" t="inlineStr">
        <is>
          <t>Knärot
Liten aspgelélav
Guckusko
Svart trolldruva</t>
        </is>
      </c>
      <c r="S358">
        <f>HYPERLINK("https://klasma.github.io/Logging_2514/artfynd/A 36753-2022 artfynd.xlsx", "A 36753-2022")</f>
        <v/>
      </c>
      <c r="T358">
        <f>HYPERLINK("https://klasma.github.io/Logging_2514/kartor/A 36753-2022 karta.png", "A 36753-2022")</f>
        <v/>
      </c>
      <c r="U358">
        <f>HYPERLINK("https://klasma.github.io/Logging_2514/knärot/A 36753-2022 karta knärot.png", "A 36753-2022")</f>
        <v/>
      </c>
      <c r="V358">
        <f>HYPERLINK("https://klasma.github.io/Logging_2514/klagomål/A 36753-2022 FSC-klagomål.docx", "A 36753-2022")</f>
        <v/>
      </c>
      <c r="W358">
        <f>HYPERLINK("https://klasma.github.io/Logging_2514/klagomålsmail/A 36753-2022 FSC-klagomål mail.docx", "A 36753-2022")</f>
        <v/>
      </c>
      <c r="X358">
        <f>HYPERLINK("https://klasma.github.io/Logging_2514/tillsyn/A 36753-2022 tillsynsbegäran.docx", "A 36753-2022")</f>
        <v/>
      </c>
      <c r="Y358">
        <f>HYPERLINK("https://klasma.github.io/Logging_2514/tillsynsmail/A 36753-2022 tillsynsbegäran mail.docx", "A 36753-2022")</f>
        <v/>
      </c>
    </row>
    <row r="359" ht="15" customHeight="1">
      <c r="A359" t="inlineStr">
        <is>
          <t>A 39288-2022</t>
        </is>
      </c>
      <c r="B359" s="1" t="n">
        <v>44817</v>
      </c>
      <c r="C359" s="1" t="n">
        <v>45798</v>
      </c>
      <c r="D359" t="inlineStr">
        <is>
          <t>NORRBOTTENS LÄN</t>
        </is>
      </c>
      <c r="E359" t="inlineStr">
        <is>
          <t>ARVIDSJAUR</t>
        </is>
      </c>
      <c r="G359" t="n">
        <v>2</v>
      </c>
      <c r="H359" t="n">
        <v>1</v>
      </c>
      <c r="I359" t="n">
        <v>0</v>
      </c>
      <c r="J359" t="n">
        <v>4</v>
      </c>
      <c r="K359" t="n">
        <v>0</v>
      </c>
      <c r="L359" t="n">
        <v>0</v>
      </c>
      <c r="M359" t="n">
        <v>0</v>
      </c>
      <c r="N359" t="n">
        <v>0</v>
      </c>
      <c r="O359" t="n">
        <v>4</v>
      </c>
      <c r="P359" t="n">
        <v>0</v>
      </c>
      <c r="Q359" t="n">
        <v>4</v>
      </c>
      <c r="R359" s="2" t="inlineStr">
        <is>
          <t>Gammelgransskål
Garnlav
Granticka
Tretåig hackspett</t>
        </is>
      </c>
      <c r="S359">
        <f>HYPERLINK("https://klasma.github.io/Logging_2505/artfynd/A 39288-2022 artfynd.xlsx", "A 39288-2022")</f>
        <v/>
      </c>
      <c r="T359">
        <f>HYPERLINK("https://klasma.github.io/Logging_2505/kartor/A 39288-2022 karta.png", "A 39288-2022")</f>
        <v/>
      </c>
      <c r="V359">
        <f>HYPERLINK("https://klasma.github.io/Logging_2505/klagomål/A 39288-2022 FSC-klagomål.docx", "A 39288-2022")</f>
        <v/>
      </c>
      <c r="W359">
        <f>HYPERLINK("https://klasma.github.io/Logging_2505/klagomålsmail/A 39288-2022 FSC-klagomål mail.docx", "A 39288-2022")</f>
        <v/>
      </c>
      <c r="X359">
        <f>HYPERLINK("https://klasma.github.io/Logging_2505/tillsyn/A 39288-2022 tillsynsbegäran.docx", "A 39288-2022")</f>
        <v/>
      </c>
      <c r="Y359">
        <f>HYPERLINK("https://klasma.github.io/Logging_2505/tillsynsmail/A 39288-2022 tillsynsbegäran mail.docx", "A 39288-2022")</f>
        <v/>
      </c>
      <c r="Z359">
        <f>HYPERLINK("https://klasma.github.io/Logging_2505/fåglar/A 39288-2022 prioriterade fågelarter.docx", "A 39288-2022")</f>
        <v/>
      </c>
    </row>
    <row r="360" ht="15" customHeight="1">
      <c r="A360" t="inlineStr">
        <is>
          <t>A 55208-2022</t>
        </is>
      </c>
      <c r="B360" s="1" t="n">
        <v>44886</v>
      </c>
      <c r="C360" s="1" t="n">
        <v>45798</v>
      </c>
      <c r="D360" t="inlineStr">
        <is>
          <t>NORRBOTTENS LÄN</t>
        </is>
      </c>
      <c r="E360" t="inlineStr">
        <is>
          <t>GÄLLIVARE</t>
        </is>
      </c>
      <c r="F360" t="inlineStr">
        <is>
          <t>SCA</t>
        </is>
      </c>
      <c r="G360" t="n">
        <v>4.6</v>
      </c>
      <c r="H360" t="n">
        <v>0</v>
      </c>
      <c r="I360" t="n">
        <v>0</v>
      </c>
      <c r="J360" t="n">
        <v>3</v>
      </c>
      <c r="K360" t="n">
        <v>1</v>
      </c>
      <c r="L360" t="n">
        <v>0</v>
      </c>
      <c r="M360" t="n">
        <v>0</v>
      </c>
      <c r="N360" t="n">
        <v>0</v>
      </c>
      <c r="O360" t="n">
        <v>4</v>
      </c>
      <c r="P360" t="n">
        <v>1</v>
      </c>
      <c r="Q360" t="n">
        <v>4</v>
      </c>
      <c r="R360" s="2" t="inlineStr">
        <is>
          <t>Tallgråticka
Blå taggsvamp
Tallriska
Talltaggsvamp</t>
        </is>
      </c>
      <c r="S360">
        <f>HYPERLINK("https://klasma.github.io/Logging_2523/artfynd/A 55208-2022 artfynd.xlsx", "A 55208-2022")</f>
        <v/>
      </c>
      <c r="T360">
        <f>HYPERLINK("https://klasma.github.io/Logging_2523/kartor/A 55208-2022 karta.png", "A 55208-2022")</f>
        <v/>
      </c>
      <c r="V360">
        <f>HYPERLINK("https://klasma.github.io/Logging_2523/klagomål/A 55208-2022 FSC-klagomål.docx", "A 55208-2022")</f>
        <v/>
      </c>
      <c r="W360">
        <f>HYPERLINK("https://klasma.github.io/Logging_2523/klagomålsmail/A 55208-2022 FSC-klagomål mail.docx", "A 55208-2022")</f>
        <v/>
      </c>
      <c r="X360">
        <f>HYPERLINK("https://klasma.github.io/Logging_2523/tillsyn/A 55208-2022 tillsynsbegäran.docx", "A 55208-2022")</f>
        <v/>
      </c>
      <c r="Y360">
        <f>HYPERLINK("https://klasma.github.io/Logging_2523/tillsynsmail/A 55208-2022 tillsynsbegäran mail.docx", "A 55208-2022")</f>
        <v/>
      </c>
    </row>
    <row r="361" ht="15" customHeight="1">
      <c r="A361" t="inlineStr">
        <is>
          <t>A 5288-2023</t>
        </is>
      </c>
      <c r="B361" s="1" t="n">
        <v>44959</v>
      </c>
      <c r="C361" s="1" t="n">
        <v>45798</v>
      </c>
      <c r="D361" t="inlineStr">
        <is>
          <t>NORRBOTTENS LÄN</t>
        </is>
      </c>
      <c r="E361" t="inlineStr">
        <is>
          <t>GÄLLIVARE</t>
        </is>
      </c>
      <c r="F361" t="inlineStr">
        <is>
          <t>SCA</t>
        </is>
      </c>
      <c r="G361" t="n">
        <v>12.2</v>
      </c>
      <c r="H361" t="n">
        <v>1</v>
      </c>
      <c r="I361" t="n">
        <v>1</v>
      </c>
      <c r="J361" t="n">
        <v>0</v>
      </c>
      <c r="K361" t="n">
        <v>2</v>
      </c>
      <c r="L361" t="n">
        <v>0</v>
      </c>
      <c r="M361" t="n">
        <v>0</v>
      </c>
      <c r="N361" t="n">
        <v>0</v>
      </c>
      <c r="O361" t="n">
        <v>2</v>
      </c>
      <c r="P361" t="n">
        <v>2</v>
      </c>
      <c r="Q361" t="n">
        <v>4</v>
      </c>
      <c r="R361" s="2" t="inlineStr">
        <is>
          <t>Smultronkantarell
Tallstocksticka
Stuplav
Tjäder</t>
        </is>
      </c>
      <c r="S361">
        <f>HYPERLINK("https://klasma.github.io/Logging_2523/artfynd/A 5288-2023 artfynd.xlsx", "A 5288-2023")</f>
        <v/>
      </c>
      <c r="T361">
        <f>HYPERLINK("https://klasma.github.io/Logging_2523/kartor/A 5288-2023 karta.png", "A 5288-2023")</f>
        <v/>
      </c>
      <c r="V361">
        <f>HYPERLINK("https://klasma.github.io/Logging_2523/klagomål/A 5288-2023 FSC-klagomål.docx", "A 5288-2023")</f>
        <v/>
      </c>
      <c r="W361">
        <f>HYPERLINK("https://klasma.github.io/Logging_2523/klagomålsmail/A 5288-2023 FSC-klagomål mail.docx", "A 5288-2023")</f>
        <v/>
      </c>
      <c r="X361">
        <f>HYPERLINK("https://klasma.github.io/Logging_2523/tillsyn/A 5288-2023 tillsynsbegäran.docx", "A 5288-2023")</f>
        <v/>
      </c>
      <c r="Y361">
        <f>HYPERLINK("https://klasma.github.io/Logging_2523/tillsynsmail/A 5288-2023 tillsynsbegäran mail.docx", "A 5288-2023")</f>
        <v/>
      </c>
      <c r="Z361">
        <f>HYPERLINK("https://klasma.github.io/Logging_2523/fåglar/A 5288-2023 prioriterade fågelarter.docx", "A 5288-2023")</f>
        <v/>
      </c>
    </row>
    <row r="362" ht="15" customHeight="1">
      <c r="A362" t="inlineStr">
        <is>
          <t>A 26723-2023</t>
        </is>
      </c>
      <c r="B362" s="1" t="n">
        <v>45093</v>
      </c>
      <c r="C362" s="1" t="n">
        <v>45798</v>
      </c>
      <c r="D362" t="inlineStr">
        <is>
          <t>NORRBOTTENS LÄN</t>
        </is>
      </c>
      <c r="E362" t="inlineStr">
        <is>
          <t>GÄLLIVARE</t>
        </is>
      </c>
      <c r="F362" t="inlineStr">
        <is>
          <t>Sveaskog</t>
        </is>
      </c>
      <c r="G362" t="n">
        <v>10.4</v>
      </c>
      <c r="H362" t="n">
        <v>1</v>
      </c>
      <c r="I362" t="n">
        <v>0</v>
      </c>
      <c r="J362" t="n">
        <v>3</v>
      </c>
      <c r="K362" t="n">
        <v>0</v>
      </c>
      <c r="L362" t="n">
        <v>0</v>
      </c>
      <c r="M362" t="n">
        <v>0</v>
      </c>
      <c r="N362" t="n">
        <v>0</v>
      </c>
      <c r="O362" t="n">
        <v>3</v>
      </c>
      <c r="P362" t="n">
        <v>0</v>
      </c>
      <c r="Q362" t="n">
        <v>4</v>
      </c>
      <c r="R362" s="2" t="inlineStr">
        <is>
          <t>Granticka
Ullticka
Violmussling
Kungsfågel</t>
        </is>
      </c>
      <c r="S362">
        <f>HYPERLINK("https://klasma.github.io/Logging_2523/artfynd/A 26723-2023 artfynd.xlsx", "A 26723-2023")</f>
        <v/>
      </c>
      <c r="T362">
        <f>HYPERLINK("https://klasma.github.io/Logging_2523/kartor/A 26723-2023 karta.png", "A 26723-2023")</f>
        <v/>
      </c>
      <c r="V362">
        <f>HYPERLINK("https://klasma.github.io/Logging_2523/klagomål/A 26723-2023 FSC-klagomål.docx", "A 26723-2023")</f>
        <v/>
      </c>
      <c r="W362">
        <f>HYPERLINK("https://klasma.github.io/Logging_2523/klagomålsmail/A 26723-2023 FSC-klagomål mail.docx", "A 26723-2023")</f>
        <v/>
      </c>
      <c r="X362">
        <f>HYPERLINK("https://klasma.github.io/Logging_2523/tillsyn/A 26723-2023 tillsynsbegäran.docx", "A 26723-2023")</f>
        <v/>
      </c>
      <c r="Y362">
        <f>HYPERLINK("https://klasma.github.io/Logging_2523/tillsynsmail/A 26723-2023 tillsynsbegäran mail.docx", "A 26723-2023")</f>
        <v/>
      </c>
      <c r="Z362">
        <f>HYPERLINK("https://klasma.github.io/Logging_2523/fåglar/A 26723-2023 prioriterade fågelarter.docx", "A 26723-2023")</f>
        <v/>
      </c>
    </row>
    <row r="363" ht="15" customHeight="1">
      <c r="A363" t="inlineStr">
        <is>
          <t>A 32990-2023</t>
        </is>
      </c>
      <c r="B363" s="1" t="n">
        <v>45113</v>
      </c>
      <c r="C363" s="1" t="n">
        <v>45798</v>
      </c>
      <c r="D363" t="inlineStr">
        <is>
          <t>NORRBOTTENS LÄN</t>
        </is>
      </c>
      <c r="E363" t="inlineStr">
        <is>
          <t>JOKKMOKK</t>
        </is>
      </c>
      <c r="F363" t="inlineStr">
        <is>
          <t>Övriga statliga verk och myndigheter</t>
        </is>
      </c>
      <c r="G363" t="n">
        <v>22.7</v>
      </c>
      <c r="H363" t="n">
        <v>0</v>
      </c>
      <c r="I363" t="n">
        <v>0</v>
      </c>
      <c r="J363" t="n">
        <v>3</v>
      </c>
      <c r="K363" t="n">
        <v>0</v>
      </c>
      <c r="L363" t="n">
        <v>1</v>
      </c>
      <c r="M363" t="n">
        <v>0</v>
      </c>
      <c r="N363" t="n">
        <v>0</v>
      </c>
      <c r="O363" t="n">
        <v>4</v>
      </c>
      <c r="P363" t="n">
        <v>1</v>
      </c>
      <c r="Q363" t="n">
        <v>4</v>
      </c>
      <c r="R363" s="2" t="inlineStr">
        <is>
          <t>Urskogsporing
Dvärgbägarlav
Vedflamlav
Vedskivlav</t>
        </is>
      </c>
      <c r="S363">
        <f>HYPERLINK("https://klasma.github.io/Logging_2510/artfynd/A 32990-2023 artfynd.xlsx", "A 32990-2023")</f>
        <v/>
      </c>
      <c r="T363">
        <f>HYPERLINK("https://klasma.github.io/Logging_2510/kartor/A 32990-2023 karta.png", "A 32990-2023")</f>
        <v/>
      </c>
      <c r="V363">
        <f>HYPERLINK("https://klasma.github.io/Logging_2510/klagomål/A 32990-2023 FSC-klagomål.docx", "A 32990-2023")</f>
        <v/>
      </c>
      <c r="W363">
        <f>HYPERLINK("https://klasma.github.io/Logging_2510/klagomålsmail/A 32990-2023 FSC-klagomål mail.docx", "A 32990-2023")</f>
        <v/>
      </c>
      <c r="X363">
        <f>HYPERLINK("https://klasma.github.io/Logging_2510/tillsyn/A 32990-2023 tillsynsbegäran.docx", "A 32990-2023")</f>
        <v/>
      </c>
      <c r="Y363">
        <f>HYPERLINK("https://klasma.github.io/Logging_2510/tillsynsmail/A 32990-2023 tillsynsbegäran mail.docx", "A 32990-2023")</f>
        <v/>
      </c>
    </row>
    <row r="364" ht="15" customHeight="1">
      <c r="A364" t="inlineStr">
        <is>
          <t>A 32155-2023</t>
        </is>
      </c>
      <c r="B364" s="1" t="n">
        <v>45119</v>
      </c>
      <c r="C364" s="1" t="n">
        <v>45798</v>
      </c>
      <c r="D364" t="inlineStr">
        <is>
          <t>NORRBOTTENS LÄN</t>
        </is>
      </c>
      <c r="E364" t="inlineStr">
        <is>
          <t>PITEÅ</t>
        </is>
      </c>
      <c r="F364" t="inlineStr">
        <is>
          <t>Sveaskog</t>
        </is>
      </c>
      <c r="G364" t="n">
        <v>4</v>
      </c>
      <c r="H364" t="n">
        <v>0</v>
      </c>
      <c r="I364" t="n">
        <v>0</v>
      </c>
      <c r="J364" t="n">
        <v>4</v>
      </c>
      <c r="K364" t="n">
        <v>0</v>
      </c>
      <c r="L364" t="n">
        <v>0</v>
      </c>
      <c r="M364" t="n">
        <v>0</v>
      </c>
      <c r="N364" t="n">
        <v>0</v>
      </c>
      <c r="O364" t="n">
        <v>4</v>
      </c>
      <c r="P364" t="n">
        <v>0</v>
      </c>
      <c r="Q364" t="n">
        <v>4</v>
      </c>
      <c r="R364" s="2" t="inlineStr">
        <is>
          <t>Harticka
Kolflarnlav
Tallticka
Violmussling</t>
        </is>
      </c>
      <c r="S364">
        <f>HYPERLINK("https://klasma.github.io/Logging_2581/artfynd/A 32155-2023 artfynd.xlsx", "A 32155-2023")</f>
        <v/>
      </c>
      <c r="T364">
        <f>HYPERLINK("https://klasma.github.io/Logging_2581/kartor/A 32155-2023 karta.png", "A 32155-2023")</f>
        <v/>
      </c>
      <c r="V364">
        <f>HYPERLINK("https://klasma.github.io/Logging_2581/klagomål/A 32155-2023 FSC-klagomål.docx", "A 32155-2023")</f>
        <v/>
      </c>
      <c r="W364">
        <f>HYPERLINK("https://klasma.github.io/Logging_2581/klagomålsmail/A 32155-2023 FSC-klagomål mail.docx", "A 32155-2023")</f>
        <v/>
      </c>
      <c r="X364">
        <f>HYPERLINK("https://klasma.github.io/Logging_2581/tillsyn/A 32155-2023 tillsynsbegäran.docx", "A 32155-2023")</f>
        <v/>
      </c>
      <c r="Y364">
        <f>HYPERLINK("https://klasma.github.io/Logging_2581/tillsynsmail/A 32155-2023 tillsynsbegäran mail.docx", "A 32155-2023")</f>
        <v/>
      </c>
    </row>
    <row r="365" ht="15" customHeight="1">
      <c r="A365" t="inlineStr">
        <is>
          <t>A 49513-2023</t>
        </is>
      </c>
      <c r="B365" s="1" t="n">
        <v>45211</v>
      </c>
      <c r="C365" s="1" t="n">
        <v>45798</v>
      </c>
      <c r="D365" t="inlineStr">
        <is>
          <t>NORRBOTTENS LÄN</t>
        </is>
      </c>
      <c r="E365" t="inlineStr">
        <is>
          <t>JOKKMOKK</t>
        </is>
      </c>
      <c r="F365" t="inlineStr">
        <is>
          <t>Sveaskog</t>
        </is>
      </c>
      <c r="G365" t="n">
        <v>34.1</v>
      </c>
      <c r="H365" t="n">
        <v>1</v>
      </c>
      <c r="I365" t="n">
        <v>2</v>
      </c>
      <c r="J365" t="n">
        <v>2</v>
      </c>
      <c r="K365" t="n">
        <v>0</v>
      </c>
      <c r="L365" t="n">
        <v>0</v>
      </c>
      <c r="M365" t="n">
        <v>0</v>
      </c>
      <c r="N365" t="n">
        <v>0</v>
      </c>
      <c r="O365" t="n">
        <v>2</v>
      </c>
      <c r="P365" t="n">
        <v>0</v>
      </c>
      <c r="Q365" t="n">
        <v>4</v>
      </c>
      <c r="R365" s="2" t="inlineStr">
        <is>
          <t>Garnlav
Tallriska
Plattlummer
Stuplav</t>
        </is>
      </c>
      <c r="S365">
        <f>HYPERLINK("https://klasma.github.io/Logging_2510/artfynd/A 49513-2023 artfynd.xlsx", "A 49513-2023")</f>
        <v/>
      </c>
      <c r="T365">
        <f>HYPERLINK("https://klasma.github.io/Logging_2510/kartor/A 49513-2023 karta.png", "A 49513-2023")</f>
        <v/>
      </c>
      <c r="V365">
        <f>HYPERLINK("https://klasma.github.io/Logging_2510/klagomål/A 49513-2023 FSC-klagomål.docx", "A 49513-2023")</f>
        <v/>
      </c>
      <c r="W365">
        <f>HYPERLINK("https://klasma.github.io/Logging_2510/klagomålsmail/A 49513-2023 FSC-klagomål mail.docx", "A 49513-2023")</f>
        <v/>
      </c>
      <c r="X365">
        <f>HYPERLINK("https://klasma.github.io/Logging_2510/tillsyn/A 49513-2023 tillsynsbegäran.docx", "A 49513-2023")</f>
        <v/>
      </c>
      <c r="Y365">
        <f>HYPERLINK("https://klasma.github.io/Logging_2510/tillsynsmail/A 49513-2023 tillsynsbegäran mail.docx", "A 49513-2023")</f>
        <v/>
      </c>
    </row>
    <row r="366" ht="15" customHeight="1">
      <c r="A366" t="inlineStr">
        <is>
          <t>A 49803-2023</t>
        </is>
      </c>
      <c r="B366" s="1" t="n">
        <v>45212</v>
      </c>
      <c r="C366" s="1" t="n">
        <v>45798</v>
      </c>
      <c r="D366" t="inlineStr">
        <is>
          <t>NORRBOTTENS LÄN</t>
        </is>
      </c>
      <c r="E366" t="inlineStr">
        <is>
          <t>BODEN</t>
        </is>
      </c>
      <c r="F366" t="inlineStr">
        <is>
          <t>Sveaskog</t>
        </is>
      </c>
      <c r="G366" t="n">
        <v>2.1</v>
      </c>
      <c r="H366" t="n">
        <v>1</v>
      </c>
      <c r="I366" t="n">
        <v>2</v>
      </c>
      <c r="J366" t="n">
        <v>2</v>
      </c>
      <c r="K366" t="n">
        <v>0</v>
      </c>
      <c r="L366" t="n">
        <v>0</v>
      </c>
      <c r="M366" t="n">
        <v>0</v>
      </c>
      <c r="N366" t="n">
        <v>0</v>
      </c>
      <c r="O366" t="n">
        <v>2</v>
      </c>
      <c r="P366" t="n">
        <v>0</v>
      </c>
      <c r="Q366" t="n">
        <v>4</v>
      </c>
      <c r="R366" s="2" t="inlineStr">
        <is>
          <t>Kolflarnlav
Skrovlig taggsvamp
Dropptaggsvamp
Plattlummer</t>
        </is>
      </c>
      <c r="S366">
        <f>HYPERLINK("https://klasma.github.io/Logging_2582/artfynd/A 49803-2023 artfynd.xlsx", "A 49803-2023")</f>
        <v/>
      </c>
      <c r="T366">
        <f>HYPERLINK("https://klasma.github.io/Logging_2582/kartor/A 49803-2023 karta.png", "A 49803-2023")</f>
        <v/>
      </c>
      <c r="V366">
        <f>HYPERLINK("https://klasma.github.io/Logging_2582/klagomål/A 49803-2023 FSC-klagomål.docx", "A 49803-2023")</f>
        <v/>
      </c>
      <c r="W366">
        <f>HYPERLINK("https://klasma.github.io/Logging_2582/klagomålsmail/A 49803-2023 FSC-klagomål mail.docx", "A 49803-2023")</f>
        <v/>
      </c>
      <c r="X366">
        <f>HYPERLINK("https://klasma.github.io/Logging_2582/tillsyn/A 49803-2023 tillsynsbegäran.docx", "A 49803-2023")</f>
        <v/>
      </c>
      <c r="Y366">
        <f>HYPERLINK("https://klasma.github.io/Logging_2582/tillsynsmail/A 49803-2023 tillsynsbegäran mail.docx", "A 49803-2023")</f>
        <v/>
      </c>
    </row>
    <row r="367" ht="15" customHeight="1">
      <c r="A367" t="inlineStr">
        <is>
          <t>A 52332-2023</t>
        </is>
      </c>
      <c r="B367" s="1" t="n">
        <v>45217</v>
      </c>
      <c r="C367" s="1" t="n">
        <v>45798</v>
      </c>
      <c r="D367" t="inlineStr">
        <is>
          <t>NORRBOTTENS LÄN</t>
        </is>
      </c>
      <c r="E367" t="inlineStr">
        <is>
          <t>JOKKMOKK</t>
        </is>
      </c>
      <c r="F367" t="inlineStr">
        <is>
          <t>Övriga statliga verk och myndigheter</t>
        </is>
      </c>
      <c r="G367" t="n">
        <v>23.3</v>
      </c>
      <c r="H367" t="n">
        <v>1</v>
      </c>
      <c r="I367" t="n">
        <v>1</v>
      </c>
      <c r="J367" t="n">
        <v>2</v>
      </c>
      <c r="K367" t="n">
        <v>0</v>
      </c>
      <c r="L367" t="n">
        <v>0</v>
      </c>
      <c r="M367" t="n">
        <v>0</v>
      </c>
      <c r="N367" t="n">
        <v>0</v>
      </c>
      <c r="O367" t="n">
        <v>2</v>
      </c>
      <c r="P367" t="n">
        <v>0</v>
      </c>
      <c r="Q367" t="n">
        <v>4</v>
      </c>
      <c r="R367" s="2" t="inlineStr">
        <is>
          <t>Vedflamlav
Vedskivlav
Dropptaggsvamp
Fjällummer</t>
        </is>
      </c>
      <c r="S367">
        <f>HYPERLINK("https://klasma.github.io/Logging_2510/artfynd/A 52332-2023 artfynd.xlsx", "A 52332-2023")</f>
        <v/>
      </c>
      <c r="T367">
        <f>HYPERLINK("https://klasma.github.io/Logging_2510/kartor/A 52332-2023 karta.png", "A 52332-2023")</f>
        <v/>
      </c>
      <c r="V367">
        <f>HYPERLINK("https://klasma.github.io/Logging_2510/klagomål/A 52332-2023 FSC-klagomål.docx", "A 52332-2023")</f>
        <v/>
      </c>
      <c r="W367">
        <f>HYPERLINK("https://klasma.github.io/Logging_2510/klagomålsmail/A 52332-2023 FSC-klagomål mail.docx", "A 52332-2023")</f>
        <v/>
      </c>
      <c r="X367">
        <f>HYPERLINK("https://klasma.github.io/Logging_2510/tillsyn/A 52332-2023 tillsynsbegäran.docx", "A 52332-2023")</f>
        <v/>
      </c>
      <c r="Y367">
        <f>HYPERLINK("https://klasma.github.io/Logging_2510/tillsynsmail/A 52332-2023 tillsynsbegäran mail.docx", "A 52332-2023")</f>
        <v/>
      </c>
    </row>
    <row r="368" ht="15" customHeight="1">
      <c r="A368" t="inlineStr">
        <is>
          <t>A 52523-2023</t>
        </is>
      </c>
      <c r="B368" s="1" t="n">
        <v>45218</v>
      </c>
      <c r="C368" s="1" t="n">
        <v>45798</v>
      </c>
      <c r="D368" t="inlineStr">
        <is>
          <t>NORRBOTTENS LÄN</t>
        </is>
      </c>
      <c r="E368" t="inlineStr">
        <is>
          <t>JOKKMOKK</t>
        </is>
      </c>
      <c r="F368" t="inlineStr">
        <is>
          <t>Övriga statliga verk och myndigheter</t>
        </is>
      </c>
      <c r="G368" t="n">
        <v>12.9</v>
      </c>
      <c r="H368" t="n">
        <v>0</v>
      </c>
      <c r="I368" t="n">
        <v>2</v>
      </c>
      <c r="J368" t="n">
        <v>2</v>
      </c>
      <c r="K368" t="n">
        <v>0</v>
      </c>
      <c r="L368" t="n">
        <v>0</v>
      </c>
      <c r="M368" t="n">
        <v>0</v>
      </c>
      <c r="N368" t="n">
        <v>0</v>
      </c>
      <c r="O368" t="n">
        <v>2</v>
      </c>
      <c r="P368" t="n">
        <v>0</v>
      </c>
      <c r="Q368" t="n">
        <v>4</v>
      </c>
      <c r="R368" s="2" t="inlineStr">
        <is>
          <t>Motaggsvamp
Vaddporing
Dropptaggsvamp
Vedticka</t>
        </is>
      </c>
      <c r="S368">
        <f>HYPERLINK("https://klasma.github.io/Logging_2510/artfynd/A 52523-2023 artfynd.xlsx", "A 52523-2023")</f>
        <v/>
      </c>
      <c r="T368">
        <f>HYPERLINK("https://klasma.github.io/Logging_2510/kartor/A 52523-2023 karta.png", "A 52523-2023")</f>
        <v/>
      </c>
      <c r="V368">
        <f>HYPERLINK("https://klasma.github.io/Logging_2510/klagomål/A 52523-2023 FSC-klagomål.docx", "A 52523-2023")</f>
        <v/>
      </c>
      <c r="W368">
        <f>HYPERLINK("https://klasma.github.io/Logging_2510/klagomålsmail/A 52523-2023 FSC-klagomål mail.docx", "A 52523-2023")</f>
        <v/>
      </c>
      <c r="X368">
        <f>HYPERLINK("https://klasma.github.io/Logging_2510/tillsyn/A 52523-2023 tillsynsbegäran.docx", "A 52523-2023")</f>
        <v/>
      </c>
      <c r="Y368">
        <f>HYPERLINK("https://klasma.github.io/Logging_2510/tillsynsmail/A 52523-2023 tillsynsbegäran mail.docx", "A 52523-2023")</f>
        <v/>
      </c>
    </row>
    <row r="369" ht="15" customHeight="1">
      <c r="A369" t="inlineStr">
        <is>
          <t>A 62895-2023</t>
        </is>
      </c>
      <c r="B369" s="1" t="n">
        <v>45272</v>
      </c>
      <c r="C369" s="1" t="n">
        <v>45798</v>
      </c>
      <c r="D369" t="inlineStr">
        <is>
          <t>NORRBOTTENS LÄN</t>
        </is>
      </c>
      <c r="E369" t="inlineStr">
        <is>
          <t>GÄLLIVARE</t>
        </is>
      </c>
      <c r="F369" t="inlineStr">
        <is>
          <t>Sveaskog</t>
        </is>
      </c>
      <c r="G369" t="n">
        <v>14.3</v>
      </c>
      <c r="H369" t="n">
        <v>0</v>
      </c>
      <c r="I369" t="n">
        <v>2</v>
      </c>
      <c r="J369" t="n">
        <v>2</v>
      </c>
      <c r="K369" t="n">
        <v>0</v>
      </c>
      <c r="L369" t="n">
        <v>0</v>
      </c>
      <c r="M369" t="n">
        <v>0</v>
      </c>
      <c r="N369" t="n">
        <v>0</v>
      </c>
      <c r="O369" t="n">
        <v>2</v>
      </c>
      <c r="P369" t="n">
        <v>0</v>
      </c>
      <c r="Q369" t="n">
        <v>4</v>
      </c>
      <c r="R369" s="2" t="inlineStr">
        <is>
          <t>Blå taggsvamp
Orange taggsvamp
Dropptaggsvamp
Skarp dropptaggsvamp</t>
        </is>
      </c>
      <c r="S369">
        <f>HYPERLINK("https://klasma.github.io/Logging_2523/artfynd/A 62895-2023 artfynd.xlsx", "A 62895-2023")</f>
        <v/>
      </c>
      <c r="T369">
        <f>HYPERLINK("https://klasma.github.io/Logging_2523/kartor/A 62895-2023 karta.png", "A 62895-2023")</f>
        <v/>
      </c>
      <c r="V369">
        <f>HYPERLINK("https://klasma.github.io/Logging_2523/klagomål/A 62895-2023 FSC-klagomål.docx", "A 62895-2023")</f>
        <v/>
      </c>
      <c r="W369">
        <f>HYPERLINK("https://klasma.github.io/Logging_2523/klagomålsmail/A 62895-2023 FSC-klagomål mail.docx", "A 62895-2023")</f>
        <v/>
      </c>
      <c r="X369">
        <f>HYPERLINK("https://klasma.github.io/Logging_2523/tillsyn/A 62895-2023 tillsynsbegäran.docx", "A 62895-2023")</f>
        <v/>
      </c>
      <c r="Y369">
        <f>HYPERLINK("https://klasma.github.io/Logging_2523/tillsynsmail/A 62895-2023 tillsynsbegäran mail.docx", "A 62895-2023")</f>
        <v/>
      </c>
    </row>
    <row r="370" ht="15" customHeight="1">
      <c r="A370" t="inlineStr">
        <is>
          <t>A 64803-2023</t>
        </is>
      </c>
      <c r="B370" s="1" t="n">
        <v>45281</v>
      </c>
      <c r="C370" s="1" t="n">
        <v>45798</v>
      </c>
      <c r="D370" t="inlineStr">
        <is>
          <t>NORRBOTTENS LÄN</t>
        </is>
      </c>
      <c r="E370" t="inlineStr">
        <is>
          <t>ARJEPLOG</t>
        </is>
      </c>
      <c r="G370" t="n">
        <v>43</v>
      </c>
      <c r="H370" t="n">
        <v>0</v>
      </c>
      <c r="I370" t="n">
        <v>0</v>
      </c>
      <c r="J370" t="n">
        <v>4</v>
      </c>
      <c r="K370" t="n">
        <v>0</v>
      </c>
      <c r="L370" t="n">
        <v>0</v>
      </c>
      <c r="M370" t="n">
        <v>0</v>
      </c>
      <c r="N370" t="n">
        <v>0</v>
      </c>
      <c r="O370" t="n">
        <v>4</v>
      </c>
      <c r="P370" t="n">
        <v>0</v>
      </c>
      <c r="Q370" t="n">
        <v>4</v>
      </c>
      <c r="R370" s="2" t="inlineStr">
        <is>
          <t>Gullmurkling
Lunglav
Rosenticka
Ullticka</t>
        </is>
      </c>
      <c r="S370">
        <f>HYPERLINK("https://klasma.github.io/Logging_2506/artfynd/A 64803-2023 artfynd.xlsx", "A 64803-2023")</f>
        <v/>
      </c>
      <c r="T370">
        <f>HYPERLINK("https://klasma.github.io/Logging_2506/kartor/A 64803-2023 karta.png", "A 64803-2023")</f>
        <v/>
      </c>
      <c r="V370">
        <f>HYPERLINK("https://klasma.github.io/Logging_2506/klagomål/A 64803-2023 FSC-klagomål.docx", "A 64803-2023")</f>
        <v/>
      </c>
      <c r="W370">
        <f>HYPERLINK("https://klasma.github.io/Logging_2506/klagomålsmail/A 64803-2023 FSC-klagomål mail.docx", "A 64803-2023")</f>
        <v/>
      </c>
      <c r="X370">
        <f>HYPERLINK("https://klasma.github.io/Logging_2506/tillsyn/A 64803-2023 tillsynsbegäran.docx", "A 64803-2023")</f>
        <v/>
      </c>
      <c r="Y370">
        <f>HYPERLINK("https://klasma.github.io/Logging_2506/tillsynsmail/A 64803-2023 tillsynsbegäran mail.docx", "A 64803-2023")</f>
        <v/>
      </c>
    </row>
    <row r="371" ht="15" customHeight="1">
      <c r="A371" t="inlineStr">
        <is>
          <t>A 142-2024</t>
        </is>
      </c>
      <c r="B371" s="1" t="n">
        <v>45293</v>
      </c>
      <c r="C371" s="1" t="n">
        <v>45798</v>
      </c>
      <c r="D371" t="inlineStr">
        <is>
          <t>NORRBOTTENS LÄN</t>
        </is>
      </c>
      <c r="E371" t="inlineStr">
        <is>
          <t>ÖVERTORNEÅ</t>
        </is>
      </c>
      <c r="G371" t="n">
        <v>9</v>
      </c>
      <c r="H371" t="n">
        <v>1</v>
      </c>
      <c r="I371" t="n">
        <v>1</v>
      </c>
      <c r="J371" t="n">
        <v>3</v>
      </c>
      <c r="K371" t="n">
        <v>0</v>
      </c>
      <c r="L371" t="n">
        <v>0</v>
      </c>
      <c r="M371" t="n">
        <v>0</v>
      </c>
      <c r="N371" t="n">
        <v>0</v>
      </c>
      <c r="O371" t="n">
        <v>3</v>
      </c>
      <c r="P371" t="n">
        <v>0</v>
      </c>
      <c r="Q371" t="n">
        <v>4</v>
      </c>
      <c r="R371" s="2" t="inlineStr">
        <is>
          <t>Garnlav
Granticka
Spillkråka
Stuplav</t>
        </is>
      </c>
      <c r="S371">
        <f>HYPERLINK("https://klasma.github.io/Logging_2518/artfynd/A 142-2024 artfynd.xlsx", "A 142-2024")</f>
        <v/>
      </c>
      <c r="T371">
        <f>HYPERLINK("https://klasma.github.io/Logging_2518/kartor/A 142-2024 karta.png", "A 142-2024")</f>
        <v/>
      </c>
      <c r="V371">
        <f>HYPERLINK("https://klasma.github.io/Logging_2518/klagomål/A 142-2024 FSC-klagomål.docx", "A 142-2024")</f>
        <v/>
      </c>
      <c r="W371">
        <f>HYPERLINK("https://klasma.github.io/Logging_2518/klagomålsmail/A 142-2024 FSC-klagomål mail.docx", "A 142-2024")</f>
        <v/>
      </c>
      <c r="X371">
        <f>HYPERLINK("https://klasma.github.io/Logging_2518/tillsyn/A 142-2024 tillsynsbegäran.docx", "A 142-2024")</f>
        <v/>
      </c>
      <c r="Y371">
        <f>HYPERLINK("https://klasma.github.io/Logging_2518/tillsynsmail/A 142-2024 tillsynsbegäran mail.docx", "A 142-2024")</f>
        <v/>
      </c>
      <c r="Z371">
        <f>HYPERLINK("https://klasma.github.io/Logging_2518/fåglar/A 142-2024 prioriterade fågelarter.docx", "A 142-2024")</f>
        <v/>
      </c>
    </row>
    <row r="372" ht="15" customHeight="1">
      <c r="A372" t="inlineStr">
        <is>
          <t>A 390-2024</t>
        </is>
      </c>
      <c r="B372" s="1" t="n">
        <v>45296</v>
      </c>
      <c r="C372" s="1" t="n">
        <v>45798</v>
      </c>
      <c r="D372" t="inlineStr">
        <is>
          <t>NORRBOTTENS LÄN</t>
        </is>
      </c>
      <c r="E372" t="inlineStr">
        <is>
          <t>PITEÅ</t>
        </is>
      </c>
      <c r="G372" t="n">
        <v>4.9</v>
      </c>
      <c r="H372" t="n">
        <v>2</v>
      </c>
      <c r="I372" t="n">
        <v>0</v>
      </c>
      <c r="J372" t="n">
        <v>4</v>
      </c>
      <c r="K372" t="n">
        <v>0</v>
      </c>
      <c r="L372" t="n">
        <v>0</v>
      </c>
      <c r="M372" t="n">
        <v>0</v>
      </c>
      <c r="N372" t="n">
        <v>0</v>
      </c>
      <c r="O372" t="n">
        <v>4</v>
      </c>
      <c r="P372" t="n">
        <v>0</v>
      </c>
      <c r="Q372" t="n">
        <v>4</v>
      </c>
      <c r="R372" s="2" t="inlineStr">
        <is>
          <t>Garnlav
Spillkråka
Talltita
Ullticka</t>
        </is>
      </c>
      <c r="S372">
        <f>HYPERLINK("https://klasma.github.io/Logging_2581/artfynd/A 390-2024 artfynd.xlsx", "A 390-2024")</f>
        <v/>
      </c>
      <c r="T372">
        <f>HYPERLINK("https://klasma.github.io/Logging_2581/kartor/A 390-2024 karta.png", "A 390-2024")</f>
        <v/>
      </c>
      <c r="V372">
        <f>HYPERLINK("https://klasma.github.io/Logging_2581/klagomål/A 390-2024 FSC-klagomål.docx", "A 390-2024")</f>
        <v/>
      </c>
      <c r="W372">
        <f>HYPERLINK("https://klasma.github.io/Logging_2581/klagomålsmail/A 390-2024 FSC-klagomål mail.docx", "A 390-2024")</f>
        <v/>
      </c>
      <c r="X372">
        <f>HYPERLINK("https://klasma.github.io/Logging_2581/tillsyn/A 390-2024 tillsynsbegäran.docx", "A 390-2024")</f>
        <v/>
      </c>
      <c r="Y372">
        <f>HYPERLINK("https://klasma.github.io/Logging_2581/tillsynsmail/A 390-2024 tillsynsbegäran mail.docx", "A 390-2024")</f>
        <v/>
      </c>
      <c r="Z372">
        <f>HYPERLINK("https://klasma.github.io/Logging_2581/fåglar/A 390-2024 prioriterade fågelarter.docx", "A 390-2024")</f>
        <v/>
      </c>
    </row>
    <row r="373" ht="15" customHeight="1">
      <c r="A373" t="inlineStr">
        <is>
          <t>A 1879-2024</t>
        </is>
      </c>
      <c r="B373" s="1" t="n">
        <v>45307</v>
      </c>
      <c r="C373" s="1" t="n">
        <v>45798</v>
      </c>
      <c r="D373" t="inlineStr">
        <is>
          <t>NORRBOTTENS LÄN</t>
        </is>
      </c>
      <c r="E373" t="inlineStr">
        <is>
          <t>BODEN</t>
        </is>
      </c>
      <c r="F373" t="inlineStr">
        <is>
          <t>SCA</t>
        </is>
      </c>
      <c r="G373" t="n">
        <v>4.5</v>
      </c>
      <c r="H373" t="n">
        <v>0</v>
      </c>
      <c r="I373" t="n">
        <v>1</v>
      </c>
      <c r="J373" t="n">
        <v>2</v>
      </c>
      <c r="K373" t="n">
        <v>1</v>
      </c>
      <c r="L373" t="n">
        <v>0</v>
      </c>
      <c r="M373" t="n">
        <v>0</v>
      </c>
      <c r="N373" t="n">
        <v>0</v>
      </c>
      <c r="O373" t="n">
        <v>3</v>
      </c>
      <c r="P373" t="n">
        <v>1</v>
      </c>
      <c r="Q373" t="n">
        <v>4</v>
      </c>
      <c r="R373" s="2" t="inlineStr">
        <is>
          <t>Ringlav
Garnlav
Skogshare
Bårdlav</t>
        </is>
      </c>
      <c r="S373">
        <f>HYPERLINK("https://klasma.github.io/Logging_2582/artfynd/A 1879-2024 artfynd.xlsx", "A 1879-2024")</f>
        <v/>
      </c>
      <c r="T373">
        <f>HYPERLINK("https://klasma.github.io/Logging_2582/kartor/A 1879-2024 karta.png", "A 1879-2024")</f>
        <v/>
      </c>
      <c r="V373">
        <f>HYPERLINK("https://klasma.github.io/Logging_2582/klagomål/A 1879-2024 FSC-klagomål.docx", "A 1879-2024")</f>
        <v/>
      </c>
      <c r="W373">
        <f>HYPERLINK("https://klasma.github.io/Logging_2582/klagomålsmail/A 1879-2024 FSC-klagomål mail.docx", "A 1879-2024")</f>
        <v/>
      </c>
      <c r="X373">
        <f>HYPERLINK("https://klasma.github.io/Logging_2582/tillsyn/A 1879-2024 tillsynsbegäran.docx", "A 1879-2024")</f>
        <v/>
      </c>
      <c r="Y373">
        <f>HYPERLINK("https://klasma.github.io/Logging_2582/tillsynsmail/A 1879-2024 tillsynsbegäran mail.docx", "A 1879-2024")</f>
        <v/>
      </c>
    </row>
    <row r="374" ht="15" customHeight="1">
      <c r="A374" t="inlineStr">
        <is>
          <t>A 11851-2024</t>
        </is>
      </c>
      <c r="B374" s="1" t="n">
        <v>45376</v>
      </c>
      <c r="C374" s="1" t="n">
        <v>45798</v>
      </c>
      <c r="D374" t="inlineStr">
        <is>
          <t>NORRBOTTENS LÄN</t>
        </is>
      </c>
      <c r="E374" t="inlineStr">
        <is>
          <t>LULEÅ</t>
        </is>
      </c>
      <c r="G374" t="n">
        <v>6.1</v>
      </c>
      <c r="H374" t="n">
        <v>1</v>
      </c>
      <c r="I374" t="n">
        <v>0</v>
      </c>
      <c r="J374" t="n">
        <v>3</v>
      </c>
      <c r="K374" t="n">
        <v>0</v>
      </c>
      <c r="L374" t="n">
        <v>0</v>
      </c>
      <c r="M374" t="n">
        <v>0</v>
      </c>
      <c r="N374" t="n">
        <v>0</v>
      </c>
      <c r="O374" t="n">
        <v>3</v>
      </c>
      <c r="P374" t="n">
        <v>0</v>
      </c>
      <c r="Q374" t="n">
        <v>4</v>
      </c>
      <c r="R374" s="2" t="inlineStr">
        <is>
          <t>Garnlav
Granticka
Stjärntagging
Gråspett</t>
        </is>
      </c>
      <c r="S374">
        <f>HYPERLINK("https://klasma.github.io/Logging_2580/artfynd/A 11851-2024 artfynd.xlsx", "A 11851-2024")</f>
        <v/>
      </c>
      <c r="T374">
        <f>HYPERLINK("https://klasma.github.io/Logging_2580/kartor/A 11851-2024 karta.png", "A 11851-2024")</f>
        <v/>
      </c>
      <c r="V374">
        <f>HYPERLINK("https://klasma.github.io/Logging_2580/klagomål/A 11851-2024 FSC-klagomål.docx", "A 11851-2024")</f>
        <v/>
      </c>
      <c r="W374">
        <f>HYPERLINK("https://klasma.github.io/Logging_2580/klagomålsmail/A 11851-2024 FSC-klagomål mail.docx", "A 11851-2024")</f>
        <v/>
      </c>
      <c r="X374">
        <f>HYPERLINK("https://klasma.github.io/Logging_2580/tillsyn/A 11851-2024 tillsynsbegäran.docx", "A 11851-2024")</f>
        <v/>
      </c>
      <c r="Y374">
        <f>HYPERLINK("https://klasma.github.io/Logging_2580/tillsynsmail/A 11851-2024 tillsynsbegäran mail.docx", "A 11851-2024")</f>
        <v/>
      </c>
      <c r="Z374">
        <f>HYPERLINK("https://klasma.github.io/Logging_2580/fåglar/A 11851-2024 prioriterade fågelarter.docx", "A 11851-2024")</f>
        <v/>
      </c>
    </row>
    <row r="375" ht="15" customHeight="1">
      <c r="A375" t="inlineStr">
        <is>
          <t>A 16456-2024</t>
        </is>
      </c>
      <c r="B375" s="1" t="n">
        <v>45407</v>
      </c>
      <c r="C375" s="1" t="n">
        <v>45798</v>
      </c>
      <c r="D375" t="inlineStr">
        <is>
          <t>NORRBOTTENS LÄN</t>
        </is>
      </c>
      <c r="E375" t="inlineStr">
        <is>
          <t>ÖVERTORNEÅ</t>
        </is>
      </c>
      <c r="G375" t="n">
        <v>11.3</v>
      </c>
      <c r="H375" t="n">
        <v>3</v>
      </c>
      <c r="I375" t="n">
        <v>0</v>
      </c>
      <c r="J375" t="n">
        <v>3</v>
      </c>
      <c r="K375" t="n">
        <v>0</v>
      </c>
      <c r="L375" t="n">
        <v>0</v>
      </c>
      <c r="M375" t="n">
        <v>0</v>
      </c>
      <c r="N375" t="n">
        <v>0</v>
      </c>
      <c r="O375" t="n">
        <v>3</v>
      </c>
      <c r="P375" t="n">
        <v>0</v>
      </c>
      <c r="Q375" t="n">
        <v>4</v>
      </c>
      <c r="R375" s="2" t="inlineStr">
        <is>
          <t>Garnlav
Spillkråka
Tretåig hackspett
Revlummer</t>
        </is>
      </c>
      <c r="S375">
        <f>HYPERLINK("https://klasma.github.io/Logging_2518/artfynd/A 16456-2024 artfynd.xlsx", "A 16456-2024")</f>
        <v/>
      </c>
      <c r="T375">
        <f>HYPERLINK("https://klasma.github.io/Logging_2518/kartor/A 16456-2024 karta.png", "A 16456-2024")</f>
        <v/>
      </c>
      <c r="V375">
        <f>HYPERLINK("https://klasma.github.io/Logging_2518/klagomål/A 16456-2024 FSC-klagomål.docx", "A 16456-2024")</f>
        <v/>
      </c>
      <c r="W375">
        <f>HYPERLINK("https://klasma.github.io/Logging_2518/klagomålsmail/A 16456-2024 FSC-klagomål mail.docx", "A 16456-2024")</f>
        <v/>
      </c>
      <c r="X375">
        <f>HYPERLINK("https://klasma.github.io/Logging_2518/tillsyn/A 16456-2024 tillsynsbegäran.docx", "A 16456-2024")</f>
        <v/>
      </c>
      <c r="Y375">
        <f>HYPERLINK("https://klasma.github.io/Logging_2518/tillsynsmail/A 16456-2024 tillsynsbegäran mail.docx", "A 16456-2024")</f>
        <v/>
      </c>
      <c r="Z375">
        <f>HYPERLINK("https://klasma.github.io/Logging_2518/fåglar/A 16456-2024 prioriterade fågelarter.docx", "A 16456-2024")</f>
        <v/>
      </c>
    </row>
    <row r="376" ht="15" customHeight="1">
      <c r="A376" t="inlineStr">
        <is>
          <t>A 19587-2024</t>
        </is>
      </c>
      <c r="B376" s="1" t="n">
        <v>45430</v>
      </c>
      <c r="C376" s="1" t="n">
        <v>45798</v>
      </c>
      <c r="D376" t="inlineStr">
        <is>
          <t>NORRBOTTENS LÄN</t>
        </is>
      </c>
      <c r="E376" t="inlineStr">
        <is>
          <t>PITEÅ</t>
        </is>
      </c>
      <c r="F376" t="inlineStr">
        <is>
          <t>SCA</t>
        </is>
      </c>
      <c r="G376" t="n">
        <v>4.1</v>
      </c>
      <c r="H376" t="n">
        <v>2</v>
      </c>
      <c r="I376" t="n">
        <v>0</v>
      </c>
      <c r="J376" t="n">
        <v>4</v>
      </c>
      <c r="K376" t="n">
        <v>0</v>
      </c>
      <c r="L376" t="n">
        <v>0</v>
      </c>
      <c r="M376" t="n">
        <v>0</v>
      </c>
      <c r="N376" t="n">
        <v>0</v>
      </c>
      <c r="O376" t="n">
        <v>4</v>
      </c>
      <c r="P376" t="n">
        <v>0</v>
      </c>
      <c r="Q376" t="n">
        <v>4</v>
      </c>
      <c r="R376" s="2" t="inlineStr">
        <is>
          <t>Gammelgransskål
Rödvingetrast
Spillkråka
Ullticka</t>
        </is>
      </c>
      <c r="S376">
        <f>HYPERLINK("https://klasma.github.io/Logging_2581/artfynd/A 19587-2024 artfynd.xlsx", "A 19587-2024")</f>
        <v/>
      </c>
      <c r="T376">
        <f>HYPERLINK("https://klasma.github.io/Logging_2581/kartor/A 19587-2024 karta.png", "A 19587-2024")</f>
        <v/>
      </c>
      <c r="V376">
        <f>HYPERLINK("https://klasma.github.io/Logging_2581/klagomål/A 19587-2024 FSC-klagomål.docx", "A 19587-2024")</f>
        <v/>
      </c>
      <c r="W376">
        <f>HYPERLINK("https://klasma.github.io/Logging_2581/klagomålsmail/A 19587-2024 FSC-klagomål mail.docx", "A 19587-2024")</f>
        <v/>
      </c>
      <c r="X376">
        <f>HYPERLINK("https://klasma.github.io/Logging_2581/tillsyn/A 19587-2024 tillsynsbegäran.docx", "A 19587-2024")</f>
        <v/>
      </c>
      <c r="Y376">
        <f>HYPERLINK("https://klasma.github.io/Logging_2581/tillsynsmail/A 19587-2024 tillsynsbegäran mail.docx", "A 19587-2024")</f>
        <v/>
      </c>
      <c r="Z376">
        <f>HYPERLINK("https://klasma.github.io/Logging_2581/fåglar/A 19587-2024 prioriterade fågelarter.docx", "A 19587-2024")</f>
        <v/>
      </c>
    </row>
    <row r="377" ht="15" customHeight="1">
      <c r="A377" t="inlineStr">
        <is>
          <t>A 21352-2024</t>
        </is>
      </c>
      <c r="B377" s="1" t="n">
        <v>45440</v>
      </c>
      <c r="C377" s="1" t="n">
        <v>45798</v>
      </c>
      <c r="D377" t="inlineStr">
        <is>
          <t>NORRBOTTENS LÄN</t>
        </is>
      </c>
      <c r="E377" t="inlineStr">
        <is>
          <t>JOKKMOKK</t>
        </is>
      </c>
      <c r="F377" t="inlineStr">
        <is>
          <t>SCA</t>
        </is>
      </c>
      <c r="G377" t="n">
        <v>2.7</v>
      </c>
      <c r="H377" t="n">
        <v>2</v>
      </c>
      <c r="I377" t="n">
        <v>0</v>
      </c>
      <c r="J377" t="n">
        <v>3</v>
      </c>
      <c r="K377" t="n">
        <v>0</v>
      </c>
      <c r="L377" t="n">
        <v>0</v>
      </c>
      <c r="M377" t="n">
        <v>0</v>
      </c>
      <c r="N377" t="n">
        <v>0</v>
      </c>
      <c r="O377" t="n">
        <v>3</v>
      </c>
      <c r="P377" t="n">
        <v>0</v>
      </c>
      <c r="Q377" t="n">
        <v>4</v>
      </c>
      <c r="R377" s="2" t="inlineStr">
        <is>
          <t>Gammelgransskål
Stjärntagging
Tretåig hackspett
Fläcknycklar</t>
        </is>
      </c>
      <c r="S377">
        <f>HYPERLINK("https://klasma.github.io/Logging_2510/artfynd/A 21352-2024 artfynd.xlsx", "A 21352-2024")</f>
        <v/>
      </c>
      <c r="T377">
        <f>HYPERLINK("https://klasma.github.io/Logging_2510/kartor/A 21352-2024 karta.png", "A 21352-2024")</f>
        <v/>
      </c>
      <c r="V377">
        <f>HYPERLINK("https://klasma.github.io/Logging_2510/klagomål/A 21352-2024 FSC-klagomål.docx", "A 21352-2024")</f>
        <v/>
      </c>
      <c r="W377">
        <f>HYPERLINK("https://klasma.github.io/Logging_2510/klagomålsmail/A 21352-2024 FSC-klagomål mail.docx", "A 21352-2024")</f>
        <v/>
      </c>
      <c r="X377">
        <f>HYPERLINK("https://klasma.github.io/Logging_2510/tillsyn/A 21352-2024 tillsynsbegäran.docx", "A 21352-2024")</f>
        <v/>
      </c>
      <c r="Y377">
        <f>HYPERLINK("https://klasma.github.io/Logging_2510/tillsynsmail/A 21352-2024 tillsynsbegäran mail.docx", "A 21352-2024")</f>
        <v/>
      </c>
      <c r="Z377">
        <f>HYPERLINK("https://klasma.github.io/Logging_2510/fåglar/A 21352-2024 prioriterade fågelarter.docx", "A 21352-2024")</f>
        <v/>
      </c>
    </row>
    <row r="378" ht="15" customHeight="1">
      <c r="A378" t="inlineStr">
        <is>
          <t>A 22474-2024</t>
        </is>
      </c>
      <c r="B378" s="1" t="n">
        <v>45447</v>
      </c>
      <c r="C378" s="1" t="n">
        <v>45798</v>
      </c>
      <c r="D378" t="inlineStr">
        <is>
          <t>NORRBOTTENS LÄN</t>
        </is>
      </c>
      <c r="E378" t="inlineStr">
        <is>
          <t>PITEÅ</t>
        </is>
      </c>
      <c r="F378" t="inlineStr">
        <is>
          <t>SCA</t>
        </is>
      </c>
      <c r="G378" t="n">
        <v>6.5</v>
      </c>
      <c r="H378" t="n">
        <v>1</v>
      </c>
      <c r="I378" t="n">
        <v>1</v>
      </c>
      <c r="J378" t="n">
        <v>3</v>
      </c>
      <c r="K378" t="n">
        <v>0</v>
      </c>
      <c r="L378" t="n">
        <v>0</v>
      </c>
      <c r="M378" t="n">
        <v>0</v>
      </c>
      <c r="N378" t="n">
        <v>0</v>
      </c>
      <c r="O378" t="n">
        <v>3</v>
      </c>
      <c r="P378" t="n">
        <v>0</v>
      </c>
      <c r="Q378" t="n">
        <v>4</v>
      </c>
      <c r="R378" s="2" t="inlineStr">
        <is>
          <t>Gammelgransskål
Granticka
Spillkråka
Tibast</t>
        </is>
      </c>
      <c r="S378">
        <f>HYPERLINK("https://klasma.github.io/Logging_2581/artfynd/A 22474-2024 artfynd.xlsx", "A 22474-2024")</f>
        <v/>
      </c>
      <c r="T378">
        <f>HYPERLINK("https://klasma.github.io/Logging_2581/kartor/A 22474-2024 karta.png", "A 22474-2024")</f>
        <v/>
      </c>
      <c r="V378">
        <f>HYPERLINK("https://klasma.github.io/Logging_2581/klagomål/A 22474-2024 FSC-klagomål.docx", "A 22474-2024")</f>
        <v/>
      </c>
      <c r="W378">
        <f>HYPERLINK("https://klasma.github.io/Logging_2581/klagomålsmail/A 22474-2024 FSC-klagomål mail.docx", "A 22474-2024")</f>
        <v/>
      </c>
      <c r="X378">
        <f>HYPERLINK("https://klasma.github.io/Logging_2581/tillsyn/A 22474-2024 tillsynsbegäran.docx", "A 22474-2024")</f>
        <v/>
      </c>
      <c r="Y378">
        <f>HYPERLINK("https://klasma.github.io/Logging_2581/tillsynsmail/A 22474-2024 tillsynsbegäran mail.docx", "A 22474-2024")</f>
        <v/>
      </c>
      <c r="Z378">
        <f>HYPERLINK("https://klasma.github.io/Logging_2581/fåglar/A 22474-2024 prioriterade fågelarter.docx", "A 22474-2024")</f>
        <v/>
      </c>
    </row>
    <row r="379" ht="15" customHeight="1">
      <c r="A379" t="inlineStr">
        <is>
          <t>A 25922-2024</t>
        </is>
      </c>
      <c r="B379" s="1" t="n">
        <v>45467</v>
      </c>
      <c r="C379" s="1" t="n">
        <v>45798</v>
      </c>
      <c r="D379" t="inlineStr">
        <is>
          <t>NORRBOTTENS LÄN</t>
        </is>
      </c>
      <c r="E379" t="inlineStr">
        <is>
          <t>GÄLLIVARE</t>
        </is>
      </c>
      <c r="G379" t="n">
        <v>9.300000000000001</v>
      </c>
      <c r="H379" t="n">
        <v>4</v>
      </c>
      <c r="I379" t="n">
        <v>0</v>
      </c>
      <c r="J379" t="n">
        <v>2</v>
      </c>
      <c r="K379" t="n">
        <v>1</v>
      </c>
      <c r="L379" t="n">
        <v>0</v>
      </c>
      <c r="M379" t="n">
        <v>0</v>
      </c>
      <c r="N379" t="n">
        <v>0</v>
      </c>
      <c r="O379" t="n">
        <v>3</v>
      </c>
      <c r="P379" t="n">
        <v>1</v>
      </c>
      <c r="Q379" t="n">
        <v>4</v>
      </c>
      <c r="R379" s="2" t="inlineStr">
        <is>
          <t>Kricka
Buskskvätta
Svartsnäppa
Huggorm</t>
        </is>
      </c>
      <c r="S379">
        <f>HYPERLINK("https://klasma.github.io/Logging_2523/artfynd/A 25922-2024 artfynd.xlsx", "A 25922-2024")</f>
        <v/>
      </c>
      <c r="T379">
        <f>HYPERLINK("https://klasma.github.io/Logging_2523/kartor/A 25922-2024 karta.png", "A 25922-2024")</f>
        <v/>
      </c>
      <c r="V379">
        <f>HYPERLINK("https://klasma.github.io/Logging_2523/klagomål/A 25922-2024 FSC-klagomål.docx", "A 25922-2024")</f>
        <v/>
      </c>
      <c r="W379">
        <f>HYPERLINK("https://klasma.github.io/Logging_2523/klagomålsmail/A 25922-2024 FSC-klagomål mail.docx", "A 25922-2024")</f>
        <v/>
      </c>
      <c r="X379">
        <f>HYPERLINK("https://klasma.github.io/Logging_2523/tillsyn/A 25922-2024 tillsynsbegäran.docx", "A 25922-2024")</f>
        <v/>
      </c>
      <c r="Y379">
        <f>HYPERLINK("https://klasma.github.io/Logging_2523/tillsynsmail/A 25922-2024 tillsynsbegäran mail.docx", "A 25922-2024")</f>
        <v/>
      </c>
      <c r="Z379">
        <f>HYPERLINK("https://klasma.github.io/Logging_2523/fåglar/A 25922-2024 prioriterade fågelarter.docx", "A 25922-2024")</f>
        <v/>
      </c>
    </row>
    <row r="380" ht="15" customHeight="1">
      <c r="A380" t="inlineStr">
        <is>
          <t>A 30563-2024</t>
        </is>
      </c>
      <c r="B380" s="1" t="n">
        <v>45493</v>
      </c>
      <c r="C380" s="1" t="n">
        <v>45798</v>
      </c>
      <c r="D380" t="inlineStr">
        <is>
          <t>NORRBOTTENS LÄN</t>
        </is>
      </c>
      <c r="E380" t="inlineStr">
        <is>
          <t>LULEÅ</t>
        </is>
      </c>
      <c r="G380" t="n">
        <v>3.2</v>
      </c>
      <c r="H380" t="n">
        <v>2</v>
      </c>
      <c r="I380" t="n">
        <v>2</v>
      </c>
      <c r="J380" t="n">
        <v>2</v>
      </c>
      <c r="K380" t="n">
        <v>0</v>
      </c>
      <c r="L380" t="n">
        <v>0</v>
      </c>
      <c r="M380" t="n">
        <v>0</v>
      </c>
      <c r="N380" t="n">
        <v>0</v>
      </c>
      <c r="O380" t="n">
        <v>2</v>
      </c>
      <c r="P380" t="n">
        <v>0</v>
      </c>
      <c r="Q380" t="n">
        <v>4</v>
      </c>
      <c r="R380" s="2" t="inlineStr">
        <is>
          <t>Talltita
Tretåig hackspett
Källpraktmossa
Vedticka</t>
        </is>
      </c>
      <c r="S380">
        <f>HYPERLINK("https://klasma.github.io/Logging_2580/artfynd/A 30563-2024 artfynd.xlsx", "A 30563-2024")</f>
        <v/>
      </c>
      <c r="T380">
        <f>HYPERLINK("https://klasma.github.io/Logging_2580/kartor/A 30563-2024 karta.png", "A 30563-2024")</f>
        <v/>
      </c>
      <c r="V380">
        <f>HYPERLINK("https://klasma.github.io/Logging_2580/klagomål/A 30563-2024 FSC-klagomål.docx", "A 30563-2024")</f>
        <v/>
      </c>
      <c r="W380">
        <f>HYPERLINK("https://klasma.github.io/Logging_2580/klagomålsmail/A 30563-2024 FSC-klagomål mail.docx", "A 30563-2024")</f>
        <v/>
      </c>
      <c r="X380">
        <f>HYPERLINK("https://klasma.github.io/Logging_2580/tillsyn/A 30563-2024 tillsynsbegäran.docx", "A 30563-2024")</f>
        <v/>
      </c>
      <c r="Y380">
        <f>HYPERLINK("https://klasma.github.io/Logging_2580/tillsynsmail/A 30563-2024 tillsynsbegäran mail.docx", "A 30563-2024")</f>
        <v/>
      </c>
      <c r="Z380">
        <f>HYPERLINK("https://klasma.github.io/Logging_2580/fåglar/A 30563-2024 prioriterade fågelarter.docx", "A 30563-2024")</f>
        <v/>
      </c>
    </row>
    <row r="381" ht="15" customHeight="1">
      <c r="A381" t="inlineStr">
        <is>
          <t>A 34599-2024</t>
        </is>
      </c>
      <c r="B381" s="1" t="n">
        <v>45526</v>
      </c>
      <c r="C381" s="1" t="n">
        <v>45798</v>
      </c>
      <c r="D381" t="inlineStr">
        <is>
          <t>NORRBOTTENS LÄN</t>
        </is>
      </c>
      <c r="E381" t="inlineStr">
        <is>
          <t>GÄLLIVARE</t>
        </is>
      </c>
      <c r="F381" t="inlineStr">
        <is>
          <t>Sveaskog</t>
        </is>
      </c>
      <c r="G381" t="n">
        <v>16.8</v>
      </c>
      <c r="H381" t="n">
        <v>0</v>
      </c>
      <c r="I381" t="n">
        <v>1</v>
      </c>
      <c r="J381" t="n">
        <v>3</v>
      </c>
      <c r="K381" t="n">
        <v>0</v>
      </c>
      <c r="L381" t="n">
        <v>0</v>
      </c>
      <c r="M381" t="n">
        <v>0</v>
      </c>
      <c r="N381" t="n">
        <v>0</v>
      </c>
      <c r="O381" t="n">
        <v>3</v>
      </c>
      <c r="P381" t="n">
        <v>0</v>
      </c>
      <c r="Q381" t="n">
        <v>4</v>
      </c>
      <c r="R381" s="2" t="inlineStr">
        <is>
          <t>Kolflarnlav
Mörk kolflarnlav
Vaddporing
Skarp dropptaggsvamp</t>
        </is>
      </c>
      <c r="S381">
        <f>HYPERLINK("https://klasma.github.io/Logging_2523/artfynd/A 34599-2024 artfynd.xlsx", "A 34599-2024")</f>
        <v/>
      </c>
      <c r="T381">
        <f>HYPERLINK("https://klasma.github.io/Logging_2523/kartor/A 34599-2024 karta.png", "A 34599-2024")</f>
        <v/>
      </c>
      <c r="V381">
        <f>HYPERLINK("https://klasma.github.io/Logging_2523/klagomål/A 34599-2024 FSC-klagomål.docx", "A 34599-2024")</f>
        <v/>
      </c>
      <c r="W381">
        <f>HYPERLINK("https://klasma.github.io/Logging_2523/klagomålsmail/A 34599-2024 FSC-klagomål mail.docx", "A 34599-2024")</f>
        <v/>
      </c>
      <c r="X381">
        <f>HYPERLINK("https://klasma.github.io/Logging_2523/tillsyn/A 34599-2024 tillsynsbegäran.docx", "A 34599-2024")</f>
        <v/>
      </c>
      <c r="Y381">
        <f>HYPERLINK("https://klasma.github.io/Logging_2523/tillsynsmail/A 34599-2024 tillsynsbegäran mail.docx", "A 34599-2024")</f>
        <v/>
      </c>
    </row>
    <row r="382" ht="15" customHeight="1">
      <c r="A382" t="inlineStr">
        <is>
          <t>A 44484-2024</t>
        </is>
      </c>
      <c r="B382" s="1" t="n">
        <v>45574</v>
      </c>
      <c r="C382" s="1" t="n">
        <v>45798</v>
      </c>
      <c r="D382" t="inlineStr">
        <is>
          <t>NORRBOTTENS LÄN</t>
        </is>
      </c>
      <c r="E382" t="inlineStr">
        <is>
          <t>GÄLLIVARE</t>
        </is>
      </c>
      <c r="F382" t="inlineStr">
        <is>
          <t>Sveaskog</t>
        </is>
      </c>
      <c r="G382" t="n">
        <v>3.5</v>
      </c>
      <c r="H382" t="n">
        <v>0</v>
      </c>
      <c r="I382" t="n">
        <v>1</v>
      </c>
      <c r="J382" t="n">
        <v>2</v>
      </c>
      <c r="K382" t="n">
        <v>1</v>
      </c>
      <c r="L382" t="n">
        <v>0</v>
      </c>
      <c r="M382" t="n">
        <v>0</v>
      </c>
      <c r="N382" t="n">
        <v>0</v>
      </c>
      <c r="O382" t="n">
        <v>3</v>
      </c>
      <c r="P382" t="n">
        <v>1</v>
      </c>
      <c r="Q382" t="n">
        <v>4</v>
      </c>
      <c r="R382" s="2" t="inlineStr">
        <is>
          <t>Goliatmusseron
Blå taggsvamp
Orange taggsvamp
Dropptaggsvamp</t>
        </is>
      </c>
      <c r="S382">
        <f>HYPERLINK("https://klasma.github.io/Logging_2523/artfynd/A 44484-2024 artfynd.xlsx", "A 44484-2024")</f>
        <v/>
      </c>
      <c r="T382">
        <f>HYPERLINK("https://klasma.github.io/Logging_2523/kartor/A 44484-2024 karta.png", "A 44484-2024")</f>
        <v/>
      </c>
      <c r="V382">
        <f>HYPERLINK("https://klasma.github.io/Logging_2523/klagomål/A 44484-2024 FSC-klagomål.docx", "A 44484-2024")</f>
        <v/>
      </c>
      <c r="W382">
        <f>HYPERLINK("https://klasma.github.io/Logging_2523/klagomålsmail/A 44484-2024 FSC-klagomål mail.docx", "A 44484-2024")</f>
        <v/>
      </c>
      <c r="X382">
        <f>HYPERLINK("https://klasma.github.io/Logging_2523/tillsyn/A 44484-2024 tillsynsbegäran.docx", "A 44484-2024")</f>
        <v/>
      </c>
      <c r="Y382">
        <f>HYPERLINK("https://klasma.github.io/Logging_2523/tillsynsmail/A 44484-2024 tillsynsbegäran mail.docx", "A 44484-2024")</f>
        <v/>
      </c>
    </row>
    <row r="383" ht="15" customHeight="1">
      <c r="A383" t="inlineStr">
        <is>
          <t>A 51295-2024</t>
        </is>
      </c>
      <c r="B383" s="1" t="n">
        <v>45603</v>
      </c>
      <c r="C383" s="1" t="n">
        <v>45798</v>
      </c>
      <c r="D383" t="inlineStr">
        <is>
          <t>NORRBOTTENS LÄN</t>
        </is>
      </c>
      <c r="E383" t="inlineStr">
        <is>
          <t>BODEN</t>
        </is>
      </c>
      <c r="G383" t="n">
        <v>10.3</v>
      </c>
      <c r="H383" t="n">
        <v>4</v>
      </c>
      <c r="I383" t="n">
        <v>0</v>
      </c>
      <c r="J383" t="n">
        <v>3</v>
      </c>
      <c r="K383" t="n">
        <v>0</v>
      </c>
      <c r="L383" t="n">
        <v>0</v>
      </c>
      <c r="M383" t="n">
        <v>0</v>
      </c>
      <c r="N383" t="n">
        <v>0</v>
      </c>
      <c r="O383" t="n">
        <v>3</v>
      </c>
      <c r="P383" t="n">
        <v>0</v>
      </c>
      <c r="Q383" t="n">
        <v>4</v>
      </c>
      <c r="R383" s="2" t="inlineStr">
        <is>
          <t>Gulsparv
Spillkråka
Talltita
Järnsparv</t>
        </is>
      </c>
      <c r="S383">
        <f>HYPERLINK("https://klasma.github.io/Logging_2582/artfynd/A 51295-2024 artfynd.xlsx", "A 51295-2024")</f>
        <v/>
      </c>
      <c r="T383">
        <f>HYPERLINK("https://klasma.github.io/Logging_2582/kartor/A 51295-2024 karta.png", "A 51295-2024")</f>
        <v/>
      </c>
      <c r="V383">
        <f>HYPERLINK("https://klasma.github.io/Logging_2582/klagomål/A 51295-2024 FSC-klagomål.docx", "A 51295-2024")</f>
        <v/>
      </c>
      <c r="W383">
        <f>HYPERLINK("https://klasma.github.io/Logging_2582/klagomålsmail/A 51295-2024 FSC-klagomål mail.docx", "A 51295-2024")</f>
        <v/>
      </c>
      <c r="X383">
        <f>HYPERLINK("https://klasma.github.io/Logging_2582/tillsyn/A 51295-2024 tillsynsbegäran.docx", "A 51295-2024")</f>
        <v/>
      </c>
      <c r="Y383">
        <f>HYPERLINK("https://klasma.github.io/Logging_2582/tillsynsmail/A 51295-2024 tillsynsbegäran mail.docx", "A 51295-2024")</f>
        <v/>
      </c>
      <c r="Z383">
        <f>HYPERLINK("https://klasma.github.io/Logging_2582/fåglar/A 51295-2024 prioriterade fågelarter.docx", "A 51295-2024")</f>
        <v/>
      </c>
    </row>
    <row r="384" ht="15" customHeight="1">
      <c r="A384" t="inlineStr">
        <is>
          <t>A 55870-2024</t>
        </is>
      </c>
      <c r="B384" s="1" t="n">
        <v>45622</v>
      </c>
      <c r="C384" s="1" t="n">
        <v>45798</v>
      </c>
      <c r="D384" t="inlineStr">
        <is>
          <t>NORRBOTTENS LÄN</t>
        </is>
      </c>
      <c r="E384" t="inlineStr">
        <is>
          <t>ÄLVSBYN</t>
        </is>
      </c>
      <c r="G384" t="n">
        <v>20</v>
      </c>
      <c r="H384" t="n">
        <v>3</v>
      </c>
      <c r="I384" t="n">
        <v>3</v>
      </c>
      <c r="J384" t="n">
        <v>0</v>
      </c>
      <c r="K384" t="n">
        <v>1</v>
      </c>
      <c r="L384" t="n">
        <v>0</v>
      </c>
      <c r="M384" t="n">
        <v>0</v>
      </c>
      <c r="N384" t="n">
        <v>0</v>
      </c>
      <c r="O384" t="n">
        <v>1</v>
      </c>
      <c r="P384" t="n">
        <v>1</v>
      </c>
      <c r="Q384" t="n">
        <v>4</v>
      </c>
      <c r="R384" s="2" t="inlineStr">
        <is>
          <t>Knärot
Lappranunkel
Spindelblomster
Spädstarr</t>
        </is>
      </c>
      <c r="S384">
        <f>HYPERLINK("https://klasma.github.io/Logging_2560/artfynd/A 55870-2024 artfynd.xlsx", "A 55870-2024")</f>
        <v/>
      </c>
      <c r="T384">
        <f>HYPERLINK("https://klasma.github.io/Logging_2560/kartor/A 55870-2024 karta.png", "A 55870-2024")</f>
        <v/>
      </c>
      <c r="U384">
        <f>HYPERLINK("https://klasma.github.io/Logging_2560/knärot/A 55870-2024 karta knärot.png", "A 55870-2024")</f>
        <v/>
      </c>
      <c r="V384">
        <f>HYPERLINK("https://klasma.github.io/Logging_2560/klagomål/A 55870-2024 FSC-klagomål.docx", "A 55870-2024")</f>
        <v/>
      </c>
      <c r="W384">
        <f>HYPERLINK("https://klasma.github.io/Logging_2560/klagomålsmail/A 55870-2024 FSC-klagomål mail.docx", "A 55870-2024")</f>
        <v/>
      </c>
      <c r="X384">
        <f>HYPERLINK("https://klasma.github.io/Logging_2560/tillsyn/A 55870-2024 tillsynsbegäran.docx", "A 55870-2024")</f>
        <v/>
      </c>
      <c r="Y384">
        <f>HYPERLINK("https://klasma.github.io/Logging_2560/tillsynsmail/A 55870-2024 tillsynsbegäran mail.docx", "A 55870-2024")</f>
        <v/>
      </c>
    </row>
    <row r="385" ht="15" customHeight="1">
      <c r="A385" t="inlineStr">
        <is>
          <t>A 11630-2025</t>
        </is>
      </c>
      <c r="B385" s="1" t="n">
        <v>45726</v>
      </c>
      <c r="C385" s="1" t="n">
        <v>45798</v>
      </c>
      <c r="D385" t="inlineStr">
        <is>
          <t>NORRBOTTENS LÄN</t>
        </is>
      </c>
      <c r="E385" t="inlineStr">
        <is>
          <t>ARVIDSJAUR</t>
        </is>
      </c>
      <c r="F385" t="inlineStr">
        <is>
          <t>Allmännings- och besparingsskogar</t>
        </is>
      </c>
      <c r="G385" t="n">
        <v>7.7</v>
      </c>
      <c r="H385" t="n">
        <v>0</v>
      </c>
      <c r="I385" t="n">
        <v>1</v>
      </c>
      <c r="J385" t="n">
        <v>2</v>
      </c>
      <c r="K385" t="n">
        <v>1</v>
      </c>
      <c r="L385" t="n">
        <v>0</v>
      </c>
      <c r="M385" t="n">
        <v>0</v>
      </c>
      <c r="N385" t="n">
        <v>0</v>
      </c>
      <c r="O385" t="n">
        <v>3</v>
      </c>
      <c r="P385" t="n">
        <v>1</v>
      </c>
      <c r="Q385" t="n">
        <v>4</v>
      </c>
      <c r="R385" s="2" t="inlineStr">
        <is>
          <t>Smalfotad taggsvamp
Blanksvart spiklav
Svart taggsvamp
Dropptaggsvamp</t>
        </is>
      </c>
      <c r="S385">
        <f>HYPERLINK("https://klasma.github.io/Logging_252505/artfynd/A 11630-2025 artfynd.xlsx", "A 11630-2025")</f>
        <v/>
      </c>
      <c r="T385">
        <f>HYPERLINK("https://klasma.github.io/Logging_252505/kartor/A 11630-2025 karta.png", "A 11630-2025")</f>
        <v/>
      </c>
      <c r="V385">
        <f>HYPERLINK("https://klasma.github.io/Logging_252505/klagomål/A 11630-2025 FSC-klagomål.docx", "A 11630-2025")</f>
        <v/>
      </c>
      <c r="W385">
        <f>HYPERLINK("https://klasma.github.io/Logging_252505/klagomålsmail/A 11630-2025 FSC-klagomål mail.docx", "A 11630-2025")</f>
        <v/>
      </c>
      <c r="X385">
        <f>HYPERLINK("https://klasma.github.io/Logging_252505/tillsyn/A 11630-2025 tillsynsbegäran.docx", "A 11630-2025")</f>
        <v/>
      </c>
      <c r="Y385">
        <f>HYPERLINK("https://klasma.github.io/Logging_252505/tillsynsmail/A 11630-2025 tillsynsbegäran mail.docx", "A 11630-2025")</f>
        <v/>
      </c>
    </row>
    <row r="386" ht="15" customHeight="1">
      <c r="A386" t="inlineStr">
        <is>
          <t>A 15152-2025</t>
        </is>
      </c>
      <c r="B386" s="1" t="n">
        <v>45744</v>
      </c>
      <c r="C386" s="1" t="n">
        <v>45798</v>
      </c>
      <c r="D386" t="inlineStr">
        <is>
          <t>NORRBOTTENS LÄN</t>
        </is>
      </c>
      <c r="E386" t="inlineStr">
        <is>
          <t>GÄLLIVARE</t>
        </is>
      </c>
      <c r="F386" t="inlineStr">
        <is>
          <t>Sveaskog</t>
        </is>
      </c>
      <c r="G386" t="n">
        <v>0.4</v>
      </c>
      <c r="H386" t="n">
        <v>0</v>
      </c>
      <c r="I386" t="n">
        <v>0</v>
      </c>
      <c r="J386" t="n">
        <v>3</v>
      </c>
      <c r="K386" t="n">
        <v>1</v>
      </c>
      <c r="L386" t="n">
        <v>0</v>
      </c>
      <c r="M386" t="n">
        <v>0</v>
      </c>
      <c r="N386" t="n">
        <v>0</v>
      </c>
      <c r="O386" t="n">
        <v>4</v>
      </c>
      <c r="P386" t="n">
        <v>1</v>
      </c>
      <c r="Q386" t="n">
        <v>4</v>
      </c>
      <c r="R386" s="2" t="inlineStr">
        <is>
          <t>Tallmusseron
Blå taggsvamp
Skrovlig taggsvamp
Talltaggsvamp</t>
        </is>
      </c>
      <c r="S386">
        <f>HYPERLINK("https://klasma.github.io/Logging_252523/artfynd/A 15152-2025 artfynd.xlsx", "A 15152-2025")</f>
        <v/>
      </c>
      <c r="T386">
        <f>HYPERLINK("https://klasma.github.io/Logging_252523/kartor/A 15152-2025 karta.png", "A 15152-2025")</f>
        <v/>
      </c>
      <c r="V386">
        <f>HYPERLINK("https://klasma.github.io/Logging_252523/klagomål/A 15152-2025 FSC-klagomål.docx", "A 15152-2025")</f>
        <v/>
      </c>
      <c r="W386">
        <f>HYPERLINK("https://klasma.github.io/Logging_252523/klagomålsmail/A 15152-2025 FSC-klagomål mail.docx", "A 15152-2025")</f>
        <v/>
      </c>
      <c r="X386">
        <f>HYPERLINK("https://klasma.github.io/Logging_252523/tillsyn/A 15152-2025 tillsynsbegäran.docx", "A 15152-2025")</f>
        <v/>
      </c>
      <c r="Y386">
        <f>HYPERLINK("https://klasma.github.io/Logging_252523/tillsynsmail/A 15152-2025 tillsynsbegäran mail.docx", "A 15152-2025")</f>
        <v/>
      </c>
    </row>
    <row r="387" ht="15" customHeight="1">
      <c r="A387" t="inlineStr">
        <is>
          <t>A 20961-2025</t>
        </is>
      </c>
      <c r="B387" s="1" t="n">
        <v>45777</v>
      </c>
      <c r="C387" s="1" t="n">
        <v>45798</v>
      </c>
      <c r="D387" t="inlineStr">
        <is>
          <t>NORRBOTTENS LÄN</t>
        </is>
      </c>
      <c r="E387" t="inlineStr">
        <is>
          <t>PITEÅ</t>
        </is>
      </c>
      <c r="G387" t="n">
        <v>24.7</v>
      </c>
      <c r="H387" t="n">
        <v>4</v>
      </c>
      <c r="I387" t="n">
        <v>0</v>
      </c>
      <c r="J387" t="n">
        <v>2</v>
      </c>
      <c r="K387" t="n">
        <v>1</v>
      </c>
      <c r="L387" t="n">
        <v>0</v>
      </c>
      <c r="M387" t="n">
        <v>0</v>
      </c>
      <c r="N387" t="n">
        <v>0</v>
      </c>
      <c r="O387" t="n">
        <v>3</v>
      </c>
      <c r="P387" t="n">
        <v>1</v>
      </c>
      <c r="Q387" t="n">
        <v>4</v>
      </c>
      <c r="R387" s="2" t="inlineStr">
        <is>
          <t>Knärot
Järpe
Videsparv
Kungsfågel</t>
        </is>
      </c>
      <c r="S387">
        <f>HYPERLINK("https://klasma.github.io/Logging_252581/artfynd/A 20961-2025 artfynd.xlsx", "A 20961-2025")</f>
        <v/>
      </c>
      <c r="T387">
        <f>HYPERLINK("https://klasma.github.io/Logging_252581/kartor/A 20961-2025 karta.png", "A 20961-2025")</f>
        <v/>
      </c>
      <c r="U387">
        <f>HYPERLINK("https://klasma.github.io/Logging_252581/knärot/A 20961-2025 karta knärot.png", "A 20961-2025")</f>
        <v/>
      </c>
      <c r="V387">
        <f>HYPERLINK("https://klasma.github.io/Logging_252581/klagomål/A 20961-2025 FSC-klagomål.docx", "A 20961-2025")</f>
        <v/>
      </c>
      <c r="W387">
        <f>HYPERLINK("https://klasma.github.io/Logging_252581/klagomålsmail/A 20961-2025 FSC-klagomål mail.docx", "A 20961-2025")</f>
        <v/>
      </c>
      <c r="X387">
        <f>HYPERLINK("https://klasma.github.io/Logging_252581/tillsyn/A 20961-2025 tillsynsbegäran.docx", "A 20961-2025")</f>
        <v/>
      </c>
      <c r="Y387">
        <f>HYPERLINK("https://klasma.github.io/Logging_252581/tillsynsmail/A 20961-2025 tillsynsbegäran mail.docx", "A 20961-2025")</f>
        <v/>
      </c>
      <c r="Z387">
        <f>HYPERLINK("https://klasma.github.io/Logging_252581/fåglar/A 20961-2025 prioriterade fågelarter.docx", "A 20961-2025")</f>
        <v/>
      </c>
    </row>
    <row r="388" ht="15" customHeight="1">
      <c r="A388" t="inlineStr">
        <is>
          <t>A 22862-2025</t>
        </is>
      </c>
      <c r="B388" s="1" t="n">
        <v>45790</v>
      </c>
      <c r="C388" s="1" t="n">
        <v>45798</v>
      </c>
      <c r="D388" t="inlineStr">
        <is>
          <t>NORRBOTTENS LÄN</t>
        </is>
      </c>
      <c r="E388" t="inlineStr">
        <is>
          <t>ÄLVSBYN</t>
        </is>
      </c>
      <c r="F388" t="inlineStr">
        <is>
          <t>Sveaskog</t>
        </is>
      </c>
      <c r="G388" t="n">
        <v>18.7</v>
      </c>
      <c r="H388" t="n">
        <v>0</v>
      </c>
      <c r="I388" t="n">
        <v>2</v>
      </c>
      <c r="J388" t="n">
        <v>2</v>
      </c>
      <c r="K388" t="n">
        <v>0</v>
      </c>
      <c r="L388" t="n">
        <v>0</v>
      </c>
      <c r="M388" t="n">
        <v>0</v>
      </c>
      <c r="N388" t="n">
        <v>0</v>
      </c>
      <c r="O388" t="n">
        <v>2</v>
      </c>
      <c r="P388" t="n">
        <v>0</v>
      </c>
      <c r="Q388" t="n">
        <v>4</v>
      </c>
      <c r="R388" s="2" t="inlineStr">
        <is>
          <t>Kolflarnlav
Orange taggsvamp
Dropptaggsvamp
Skarp dropptaggsvamp</t>
        </is>
      </c>
      <c r="S388">
        <f>HYPERLINK("https://klasma.github.io/Logging_252560/artfynd/A 22862-2025 artfynd.xlsx", "A 22862-2025")</f>
        <v/>
      </c>
      <c r="T388">
        <f>HYPERLINK("https://klasma.github.io/Logging_252560/kartor/A 22862-2025 karta.png", "A 22862-2025")</f>
        <v/>
      </c>
      <c r="V388">
        <f>HYPERLINK("https://klasma.github.io/Logging_252560/klagomål/A 22862-2025 FSC-klagomål.docx", "A 22862-2025")</f>
        <v/>
      </c>
      <c r="W388">
        <f>HYPERLINK("https://klasma.github.io/Logging_252560/klagomålsmail/A 22862-2025 FSC-klagomål mail.docx", "A 22862-2025")</f>
        <v/>
      </c>
      <c r="X388">
        <f>HYPERLINK("https://klasma.github.io/Logging_252560/tillsyn/A 22862-2025 tillsynsbegäran.docx", "A 22862-2025")</f>
        <v/>
      </c>
      <c r="Y388">
        <f>HYPERLINK("https://klasma.github.io/Logging_252560/tillsynsmail/A 22862-2025 tillsynsbegäran mail.docx", "A 22862-2025")</f>
        <v/>
      </c>
    </row>
    <row r="389" ht="15" customHeight="1">
      <c r="A389" t="inlineStr">
        <is>
          <t>A 24185-2025</t>
        </is>
      </c>
      <c r="B389" s="1" t="n">
        <v>45796</v>
      </c>
      <c r="C389" s="1" t="n">
        <v>45798</v>
      </c>
      <c r="D389" t="inlineStr">
        <is>
          <t>NORRBOTTENS LÄN</t>
        </is>
      </c>
      <c r="E389" t="inlineStr">
        <is>
          <t>GÄLLIVARE</t>
        </is>
      </c>
      <c r="F389" t="inlineStr">
        <is>
          <t>Allmännings- och besparingsskogar</t>
        </is>
      </c>
      <c r="G389" t="n">
        <v>10.6</v>
      </c>
      <c r="H389" t="n">
        <v>1</v>
      </c>
      <c r="I389" t="n">
        <v>2</v>
      </c>
      <c r="J389" t="n">
        <v>1</v>
      </c>
      <c r="K389" t="n">
        <v>0</v>
      </c>
      <c r="L389" t="n">
        <v>0</v>
      </c>
      <c r="M389" t="n">
        <v>0</v>
      </c>
      <c r="N389" t="n">
        <v>0</v>
      </c>
      <c r="O389" t="n">
        <v>1</v>
      </c>
      <c r="P389" t="n">
        <v>0</v>
      </c>
      <c r="Q389" t="n">
        <v>4</v>
      </c>
      <c r="R389" s="2" t="inlineStr">
        <is>
          <t>Garnlav
Grönpyrola
Nästlav
Revlummer</t>
        </is>
      </c>
      <c r="S389">
        <f>HYPERLINK("https://klasma.github.io/Logging_252523/artfynd/A 24185-2025 artfynd.xlsx", "A 24185-2025")</f>
        <v/>
      </c>
      <c r="T389">
        <f>HYPERLINK("https://klasma.github.io/Logging_252523/kartor/A 24185-2025 karta.png", "A 24185-2025")</f>
        <v/>
      </c>
      <c r="V389">
        <f>HYPERLINK("https://klasma.github.io/Logging_252523/klagomål/A 24185-2025 FSC-klagomål.docx", "A 24185-2025")</f>
        <v/>
      </c>
      <c r="W389">
        <f>HYPERLINK("https://klasma.github.io/Logging_252523/klagomålsmail/A 24185-2025 FSC-klagomål mail.docx", "A 24185-2025")</f>
        <v/>
      </c>
      <c r="X389">
        <f>HYPERLINK("https://klasma.github.io/Logging_252523/tillsyn/A 24185-2025 tillsynsbegäran.docx", "A 24185-2025")</f>
        <v/>
      </c>
      <c r="Y389">
        <f>HYPERLINK("https://klasma.github.io/Logging_252523/tillsynsmail/A 24185-2025 tillsynsbegäran mail.docx", "A 24185-2025")</f>
        <v/>
      </c>
    </row>
    <row r="390" ht="15" customHeight="1">
      <c r="A390" t="inlineStr">
        <is>
          <t>A 18165-2019</t>
        </is>
      </c>
      <c r="B390" s="1" t="n">
        <v>43558</v>
      </c>
      <c r="C390" s="1" t="n">
        <v>45798</v>
      </c>
      <c r="D390" t="inlineStr">
        <is>
          <t>NORRBOTTENS LÄN</t>
        </is>
      </c>
      <c r="E390" t="inlineStr">
        <is>
          <t>ÖVERKALIX</t>
        </is>
      </c>
      <c r="F390" t="inlineStr">
        <is>
          <t>Sveaskog</t>
        </is>
      </c>
      <c r="G390" t="n">
        <v>61.9</v>
      </c>
      <c r="H390" t="n">
        <v>3</v>
      </c>
      <c r="I390" t="n">
        <v>1</v>
      </c>
      <c r="J390" t="n">
        <v>0</v>
      </c>
      <c r="K390" t="n">
        <v>0</v>
      </c>
      <c r="L390" t="n">
        <v>0</v>
      </c>
      <c r="M390" t="n">
        <v>0</v>
      </c>
      <c r="N390" t="n">
        <v>0</v>
      </c>
      <c r="O390" t="n">
        <v>0</v>
      </c>
      <c r="P390" t="n">
        <v>0</v>
      </c>
      <c r="Q390" t="n">
        <v>3</v>
      </c>
      <c r="R390" s="2" t="inlineStr">
        <is>
          <t>Plattlummer
Mattlummer
Revlummer</t>
        </is>
      </c>
      <c r="S390">
        <f>HYPERLINK("https://klasma.github.io/Logging_2513/artfynd/A 18165-2019 artfynd.xlsx", "A 18165-2019")</f>
        <v/>
      </c>
      <c r="T390">
        <f>HYPERLINK("https://klasma.github.io/Logging_2513/kartor/A 18165-2019 karta.png", "A 18165-2019")</f>
        <v/>
      </c>
      <c r="V390">
        <f>HYPERLINK("https://klasma.github.io/Logging_2513/klagomål/A 18165-2019 FSC-klagomål.docx", "A 18165-2019")</f>
        <v/>
      </c>
      <c r="W390">
        <f>HYPERLINK("https://klasma.github.io/Logging_2513/klagomålsmail/A 18165-2019 FSC-klagomål mail.docx", "A 18165-2019")</f>
        <v/>
      </c>
      <c r="X390">
        <f>HYPERLINK("https://klasma.github.io/Logging_2513/tillsyn/A 18165-2019 tillsynsbegäran.docx", "A 18165-2019")</f>
        <v/>
      </c>
      <c r="Y390">
        <f>HYPERLINK("https://klasma.github.io/Logging_2513/tillsynsmail/A 18165-2019 tillsynsbegäran mail.docx", "A 18165-2019")</f>
        <v/>
      </c>
    </row>
    <row r="391" ht="15" customHeight="1">
      <c r="A391" t="inlineStr">
        <is>
          <t>A 25619-2019</t>
        </is>
      </c>
      <c r="B391" s="1" t="n">
        <v>43602</v>
      </c>
      <c r="C391" s="1" t="n">
        <v>45798</v>
      </c>
      <c r="D391" t="inlineStr">
        <is>
          <t>NORRBOTTENS LÄN</t>
        </is>
      </c>
      <c r="E391" t="inlineStr">
        <is>
          <t>JOKKMOKK</t>
        </is>
      </c>
      <c r="F391" t="inlineStr">
        <is>
          <t>Allmännings- och besparingsskogar</t>
        </is>
      </c>
      <c r="G391" t="n">
        <v>37.3</v>
      </c>
      <c r="H391" t="n">
        <v>0</v>
      </c>
      <c r="I391" t="n">
        <v>0</v>
      </c>
      <c r="J391" t="n">
        <v>3</v>
      </c>
      <c r="K391" t="n">
        <v>0</v>
      </c>
      <c r="L391" t="n">
        <v>0</v>
      </c>
      <c r="M391" t="n">
        <v>0</v>
      </c>
      <c r="N391" t="n">
        <v>0</v>
      </c>
      <c r="O391" t="n">
        <v>3</v>
      </c>
      <c r="P391" t="n">
        <v>0</v>
      </c>
      <c r="Q391" t="n">
        <v>3</v>
      </c>
      <c r="R391" s="2" t="inlineStr">
        <is>
          <t>Gammelgransskål
Motaggsvamp
Vaddporing</t>
        </is>
      </c>
      <c r="S391">
        <f>HYPERLINK("https://klasma.github.io/Logging_2510/artfynd/A 25619-2019 artfynd.xlsx", "A 25619-2019")</f>
        <v/>
      </c>
      <c r="T391">
        <f>HYPERLINK("https://klasma.github.io/Logging_2510/kartor/A 25619-2019 karta.png", "A 25619-2019")</f>
        <v/>
      </c>
      <c r="V391">
        <f>HYPERLINK("https://klasma.github.io/Logging_2510/klagomål/A 25619-2019 FSC-klagomål.docx", "A 25619-2019")</f>
        <v/>
      </c>
      <c r="W391">
        <f>HYPERLINK("https://klasma.github.io/Logging_2510/klagomålsmail/A 25619-2019 FSC-klagomål mail.docx", "A 25619-2019")</f>
        <v/>
      </c>
      <c r="X391">
        <f>HYPERLINK("https://klasma.github.io/Logging_2510/tillsyn/A 25619-2019 tillsynsbegäran.docx", "A 25619-2019")</f>
        <v/>
      </c>
      <c r="Y391">
        <f>HYPERLINK("https://klasma.github.io/Logging_2510/tillsynsmail/A 25619-2019 tillsynsbegäran mail.docx", "A 25619-2019")</f>
        <v/>
      </c>
    </row>
    <row r="392" ht="15" customHeight="1">
      <c r="A392" t="inlineStr">
        <is>
          <t>A 26313-2019</t>
        </is>
      </c>
      <c r="B392" s="1" t="n">
        <v>43609</v>
      </c>
      <c r="C392" s="1" t="n">
        <v>45798</v>
      </c>
      <c r="D392" t="inlineStr">
        <is>
          <t>NORRBOTTENS LÄN</t>
        </is>
      </c>
      <c r="E392" t="inlineStr">
        <is>
          <t>LULEÅ</t>
        </is>
      </c>
      <c r="F392" t="inlineStr">
        <is>
          <t>Övriga statliga verk och myndigheter</t>
        </is>
      </c>
      <c r="G392" t="n">
        <v>1.9</v>
      </c>
      <c r="H392" t="n">
        <v>1</v>
      </c>
      <c r="I392" t="n">
        <v>2</v>
      </c>
      <c r="J392" t="n">
        <v>0</v>
      </c>
      <c r="K392" t="n">
        <v>0</v>
      </c>
      <c r="L392" t="n">
        <v>0</v>
      </c>
      <c r="M392" t="n">
        <v>0</v>
      </c>
      <c r="N392" t="n">
        <v>0</v>
      </c>
      <c r="O392" t="n">
        <v>0</v>
      </c>
      <c r="P392" t="n">
        <v>0</v>
      </c>
      <c r="Q392" t="n">
        <v>3</v>
      </c>
      <c r="R392" s="2" t="inlineStr">
        <is>
          <t>Strutbräken
Ögonpyrola
Revlummer</t>
        </is>
      </c>
      <c r="S392">
        <f>HYPERLINK("https://klasma.github.io/Logging_2580/artfynd/A 26313-2019 artfynd.xlsx", "A 26313-2019")</f>
        <v/>
      </c>
      <c r="T392">
        <f>HYPERLINK("https://klasma.github.io/Logging_2580/kartor/A 26313-2019 karta.png", "A 26313-2019")</f>
        <v/>
      </c>
      <c r="V392">
        <f>HYPERLINK("https://klasma.github.io/Logging_2580/klagomål/A 26313-2019 FSC-klagomål.docx", "A 26313-2019")</f>
        <v/>
      </c>
      <c r="W392">
        <f>HYPERLINK("https://klasma.github.io/Logging_2580/klagomålsmail/A 26313-2019 FSC-klagomål mail.docx", "A 26313-2019")</f>
        <v/>
      </c>
      <c r="X392">
        <f>HYPERLINK("https://klasma.github.io/Logging_2580/tillsyn/A 26313-2019 tillsynsbegäran.docx", "A 26313-2019")</f>
        <v/>
      </c>
      <c r="Y392">
        <f>HYPERLINK("https://klasma.github.io/Logging_2580/tillsynsmail/A 26313-2019 tillsynsbegäran mail.docx", "A 26313-2019")</f>
        <v/>
      </c>
    </row>
    <row r="393" ht="15" customHeight="1">
      <c r="A393" t="inlineStr">
        <is>
          <t>A 31744-2019</t>
        </is>
      </c>
      <c r="B393" s="1" t="n">
        <v>43642</v>
      </c>
      <c r="C393" s="1" t="n">
        <v>45798</v>
      </c>
      <c r="D393" t="inlineStr">
        <is>
          <t>NORRBOTTENS LÄN</t>
        </is>
      </c>
      <c r="E393" t="inlineStr">
        <is>
          <t>ÖVERKALIX</t>
        </is>
      </c>
      <c r="F393" t="inlineStr">
        <is>
          <t>Sveaskog</t>
        </is>
      </c>
      <c r="G393" t="n">
        <v>4.4</v>
      </c>
      <c r="H393" t="n">
        <v>0</v>
      </c>
      <c r="I393" t="n">
        <v>0</v>
      </c>
      <c r="J393" t="n">
        <v>3</v>
      </c>
      <c r="K393" t="n">
        <v>0</v>
      </c>
      <c r="L393" t="n">
        <v>0</v>
      </c>
      <c r="M393" t="n">
        <v>0</v>
      </c>
      <c r="N393" t="n">
        <v>0</v>
      </c>
      <c r="O393" t="n">
        <v>3</v>
      </c>
      <c r="P393" t="n">
        <v>0</v>
      </c>
      <c r="Q393" t="n">
        <v>3</v>
      </c>
      <c r="R393" s="2" t="inlineStr">
        <is>
          <t>Gammelgransskål
Granticka
Violmussling</t>
        </is>
      </c>
      <c r="S393">
        <f>HYPERLINK("https://klasma.github.io/Logging_2513/artfynd/A 31744-2019 artfynd.xlsx", "A 31744-2019")</f>
        <v/>
      </c>
      <c r="T393">
        <f>HYPERLINK("https://klasma.github.io/Logging_2513/kartor/A 31744-2019 karta.png", "A 31744-2019")</f>
        <v/>
      </c>
      <c r="V393">
        <f>HYPERLINK("https://klasma.github.io/Logging_2513/klagomål/A 31744-2019 FSC-klagomål.docx", "A 31744-2019")</f>
        <v/>
      </c>
      <c r="W393">
        <f>HYPERLINK("https://klasma.github.io/Logging_2513/klagomålsmail/A 31744-2019 FSC-klagomål mail.docx", "A 31744-2019")</f>
        <v/>
      </c>
      <c r="X393">
        <f>HYPERLINK("https://klasma.github.io/Logging_2513/tillsyn/A 31744-2019 tillsynsbegäran.docx", "A 31744-2019")</f>
        <v/>
      </c>
      <c r="Y393">
        <f>HYPERLINK("https://klasma.github.io/Logging_2513/tillsynsmail/A 31744-2019 tillsynsbegäran mail.docx", "A 31744-2019")</f>
        <v/>
      </c>
    </row>
    <row r="394" ht="15" customHeight="1">
      <c r="A394" t="inlineStr">
        <is>
          <t>A 55138-2019</t>
        </is>
      </c>
      <c r="B394" s="1" t="n">
        <v>43756</v>
      </c>
      <c r="C394" s="1" t="n">
        <v>45798</v>
      </c>
      <c r="D394" t="inlineStr">
        <is>
          <t>NORRBOTTENS LÄN</t>
        </is>
      </c>
      <c r="E394" t="inlineStr">
        <is>
          <t>GÄLLIVARE</t>
        </is>
      </c>
      <c r="F394" t="inlineStr">
        <is>
          <t>Sveaskog</t>
        </is>
      </c>
      <c r="G394" t="n">
        <v>14</v>
      </c>
      <c r="H394" t="n">
        <v>0</v>
      </c>
      <c r="I394" t="n">
        <v>0</v>
      </c>
      <c r="J394" t="n">
        <v>2</v>
      </c>
      <c r="K394" t="n">
        <v>1</v>
      </c>
      <c r="L394" t="n">
        <v>0</v>
      </c>
      <c r="M394" t="n">
        <v>0</v>
      </c>
      <c r="N394" t="n">
        <v>0</v>
      </c>
      <c r="O394" t="n">
        <v>3</v>
      </c>
      <c r="P394" t="n">
        <v>1</v>
      </c>
      <c r="Q394" t="n">
        <v>3</v>
      </c>
      <c r="R394" s="2" t="inlineStr">
        <is>
          <t>Fläckporing
Talltaggsvamp
Violmussling</t>
        </is>
      </c>
      <c r="S394">
        <f>HYPERLINK("https://klasma.github.io/Logging_2523/artfynd/A 55138-2019 artfynd.xlsx", "A 55138-2019")</f>
        <v/>
      </c>
      <c r="T394">
        <f>HYPERLINK("https://klasma.github.io/Logging_2523/kartor/A 55138-2019 karta.png", "A 55138-2019")</f>
        <v/>
      </c>
      <c r="V394">
        <f>HYPERLINK("https://klasma.github.io/Logging_2523/klagomål/A 55138-2019 FSC-klagomål.docx", "A 55138-2019")</f>
        <v/>
      </c>
      <c r="W394">
        <f>HYPERLINK("https://klasma.github.io/Logging_2523/klagomålsmail/A 55138-2019 FSC-klagomål mail.docx", "A 55138-2019")</f>
        <v/>
      </c>
      <c r="X394">
        <f>HYPERLINK("https://klasma.github.io/Logging_2523/tillsyn/A 55138-2019 tillsynsbegäran.docx", "A 55138-2019")</f>
        <v/>
      </c>
      <c r="Y394">
        <f>HYPERLINK("https://klasma.github.io/Logging_2523/tillsynsmail/A 55138-2019 tillsynsbegäran mail.docx", "A 55138-2019")</f>
        <v/>
      </c>
    </row>
    <row r="395" ht="15" customHeight="1">
      <c r="A395" t="inlineStr">
        <is>
          <t>A 62167-2019</t>
        </is>
      </c>
      <c r="B395" s="1" t="n">
        <v>43787</v>
      </c>
      <c r="C395" s="1" t="n">
        <v>45798</v>
      </c>
      <c r="D395" t="inlineStr">
        <is>
          <t>NORRBOTTENS LÄN</t>
        </is>
      </c>
      <c r="E395" t="inlineStr">
        <is>
          <t>BODEN</t>
        </is>
      </c>
      <c r="F395" t="inlineStr">
        <is>
          <t>SCA</t>
        </is>
      </c>
      <c r="G395" t="n">
        <v>14.8</v>
      </c>
      <c r="H395" t="n">
        <v>1</v>
      </c>
      <c r="I395" t="n">
        <v>0</v>
      </c>
      <c r="J395" t="n">
        <v>2</v>
      </c>
      <c r="K395" t="n">
        <v>1</v>
      </c>
      <c r="L395" t="n">
        <v>0</v>
      </c>
      <c r="M395" t="n">
        <v>0</v>
      </c>
      <c r="N395" t="n">
        <v>0</v>
      </c>
      <c r="O395" t="n">
        <v>3</v>
      </c>
      <c r="P395" t="n">
        <v>1</v>
      </c>
      <c r="Q395" t="n">
        <v>3</v>
      </c>
      <c r="R395" s="2" t="inlineStr">
        <is>
          <t>Knärot
Blågrå svartspik
Kolflarnlav</t>
        </is>
      </c>
      <c r="S395">
        <f>HYPERLINK("https://klasma.github.io/Logging_2582/artfynd/A 62167-2019 artfynd.xlsx", "A 62167-2019")</f>
        <v/>
      </c>
      <c r="T395">
        <f>HYPERLINK("https://klasma.github.io/Logging_2582/kartor/A 62167-2019 karta.png", "A 62167-2019")</f>
        <v/>
      </c>
      <c r="U395">
        <f>HYPERLINK("https://klasma.github.io/Logging_2582/knärot/A 62167-2019 karta knärot.png", "A 62167-2019")</f>
        <v/>
      </c>
      <c r="V395">
        <f>HYPERLINK("https://klasma.github.io/Logging_2582/klagomål/A 62167-2019 FSC-klagomål.docx", "A 62167-2019")</f>
        <v/>
      </c>
      <c r="W395">
        <f>HYPERLINK("https://klasma.github.io/Logging_2582/klagomålsmail/A 62167-2019 FSC-klagomål mail.docx", "A 62167-2019")</f>
        <v/>
      </c>
      <c r="X395">
        <f>HYPERLINK("https://klasma.github.io/Logging_2582/tillsyn/A 62167-2019 tillsynsbegäran.docx", "A 62167-2019")</f>
        <v/>
      </c>
      <c r="Y395">
        <f>HYPERLINK("https://klasma.github.io/Logging_2582/tillsynsmail/A 62167-2019 tillsynsbegäran mail.docx", "A 62167-2019")</f>
        <v/>
      </c>
    </row>
    <row r="396" ht="15" customHeight="1">
      <c r="A396" t="inlineStr">
        <is>
          <t>A 62172-2019</t>
        </is>
      </c>
      <c r="B396" s="1" t="n">
        <v>43787</v>
      </c>
      <c r="C396" s="1" t="n">
        <v>45798</v>
      </c>
      <c r="D396" t="inlineStr">
        <is>
          <t>NORRBOTTENS LÄN</t>
        </is>
      </c>
      <c r="E396" t="inlineStr">
        <is>
          <t>BODEN</t>
        </is>
      </c>
      <c r="F396" t="inlineStr">
        <is>
          <t>SCA</t>
        </is>
      </c>
      <c r="G396" t="n">
        <v>1.8</v>
      </c>
      <c r="H396" t="n">
        <v>0</v>
      </c>
      <c r="I396" t="n">
        <v>0</v>
      </c>
      <c r="J396" t="n">
        <v>3</v>
      </c>
      <c r="K396" t="n">
        <v>0</v>
      </c>
      <c r="L396" t="n">
        <v>0</v>
      </c>
      <c r="M396" t="n">
        <v>0</v>
      </c>
      <c r="N396" t="n">
        <v>0</v>
      </c>
      <c r="O396" t="n">
        <v>3</v>
      </c>
      <c r="P396" t="n">
        <v>0</v>
      </c>
      <c r="Q396" t="n">
        <v>3</v>
      </c>
      <c r="R396" s="2" t="inlineStr">
        <is>
          <t>Brunpudrad nållav
Garnlav
Vitgrynig nållav</t>
        </is>
      </c>
      <c r="S396">
        <f>HYPERLINK("https://klasma.github.io/Logging_2582/artfynd/A 62172-2019 artfynd.xlsx", "A 62172-2019")</f>
        <v/>
      </c>
      <c r="T396">
        <f>HYPERLINK("https://klasma.github.io/Logging_2582/kartor/A 62172-2019 karta.png", "A 62172-2019")</f>
        <v/>
      </c>
      <c r="V396">
        <f>HYPERLINK("https://klasma.github.io/Logging_2582/klagomål/A 62172-2019 FSC-klagomål.docx", "A 62172-2019")</f>
        <v/>
      </c>
      <c r="W396">
        <f>HYPERLINK("https://klasma.github.io/Logging_2582/klagomålsmail/A 62172-2019 FSC-klagomål mail.docx", "A 62172-2019")</f>
        <v/>
      </c>
      <c r="X396">
        <f>HYPERLINK("https://klasma.github.io/Logging_2582/tillsyn/A 62172-2019 tillsynsbegäran.docx", "A 62172-2019")</f>
        <v/>
      </c>
      <c r="Y396">
        <f>HYPERLINK("https://klasma.github.io/Logging_2582/tillsynsmail/A 62172-2019 tillsynsbegäran mail.docx", "A 62172-2019")</f>
        <v/>
      </c>
    </row>
    <row r="397" ht="15" customHeight="1">
      <c r="A397" t="inlineStr">
        <is>
          <t>A 65081-2019</t>
        </is>
      </c>
      <c r="B397" s="1" t="n">
        <v>43802</v>
      </c>
      <c r="C397" s="1" t="n">
        <v>45798</v>
      </c>
      <c r="D397" t="inlineStr">
        <is>
          <t>NORRBOTTENS LÄN</t>
        </is>
      </c>
      <c r="E397" t="inlineStr">
        <is>
          <t>BODEN</t>
        </is>
      </c>
      <c r="F397" t="inlineStr">
        <is>
          <t>Kommuner</t>
        </is>
      </c>
      <c r="G397" t="n">
        <v>31.7</v>
      </c>
      <c r="H397" t="n">
        <v>2</v>
      </c>
      <c r="I397" t="n">
        <v>1</v>
      </c>
      <c r="J397" t="n">
        <v>2</v>
      </c>
      <c r="K397" t="n">
        <v>0</v>
      </c>
      <c r="L397" t="n">
        <v>0</v>
      </c>
      <c r="M397" t="n">
        <v>0</v>
      </c>
      <c r="N397" t="n">
        <v>0</v>
      </c>
      <c r="O397" t="n">
        <v>2</v>
      </c>
      <c r="P397" t="n">
        <v>0</v>
      </c>
      <c r="Q397" t="n">
        <v>3</v>
      </c>
      <c r="R397" s="2" t="inlineStr">
        <is>
          <t>Spillkråka
Tretåig hackspett
Strutbräken</t>
        </is>
      </c>
      <c r="S397">
        <f>HYPERLINK("https://klasma.github.io/Logging_2582/artfynd/A 65081-2019 artfynd.xlsx", "A 65081-2019")</f>
        <v/>
      </c>
      <c r="T397">
        <f>HYPERLINK("https://klasma.github.io/Logging_2582/kartor/A 65081-2019 karta.png", "A 65081-2019")</f>
        <v/>
      </c>
      <c r="V397">
        <f>HYPERLINK("https://klasma.github.io/Logging_2582/klagomål/A 65081-2019 FSC-klagomål.docx", "A 65081-2019")</f>
        <v/>
      </c>
      <c r="W397">
        <f>HYPERLINK("https://klasma.github.io/Logging_2582/klagomålsmail/A 65081-2019 FSC-klagomål mail.docx", "A 65081-2019")</f>
        <v/>
      </c>
      <c r="X397">
        <f>HYPERLINK("https://klasma.github.io/Logging_2582/tillsyn/A 65081-2019 tillsynsbegäran.docx", "A 65081-2019")</f>
        <v/>
      </c>
      <c r="Y397">
        <f>HYPERLINK("https://klasma.github.io/Logging_2582/tillsynsmail/A 65081-2019 tillsynsbegäran mail.docx", "A 65081-2019")</f>
        <v/>
      </c>
      <c r="Z397">
        <f>HYPERLINK("https://klasma.github.io/Logging_2582/fåglar/A 65081-2019 prioriterade fågelarter.docx", "A 65081-2019")</f>
        <v/>
      </c>
    </row>
    <row r="398" ht="15" customHeight="1">
      <c r="A398" t="inlineStr">
        <is>
          <t>A 24420-2020</t>
        </is>
      </c>
      <c r="B398" s="1" t="n">
        <v>43976</v>
      </c>
      <c r="C398" s="1" t="n">
        <v>45798</v>
      </c>
      <c r="D398" t="inlineStr">
        <is>
          <t>NORRBOTTENS LÄN</t>
        </is>
      </c>
      <c r="E398" t="inlineStr">
        <is>
          <t>JOKKMOKK</t>
        </is>
      </c>
      <c r="F398" t="inlineStr">
        <is>
          <t>SCA</t>
        </is>
      </c>
      <c r="G398" t="n">
        <v>2.9</v>
      </c>
      <c r="H398" t="n">
        <v>0</v>
      </c>
      <c r="I398" t="n">
        <v>0</v>
      </c>
      <c r="J398" t="n">
        <v>0</v>
      </c>
      <c r="K398" t="n">
        <v>3</v>
      </c>
      <c r="L398" t="n">
        <v>0</v>
      </c>
      <c r="M398" t="n">
        <v>0</v>
      </c>
      <c r="N398" t="n">
        <v>0</v>
      </c>
      <c r="O398" t="n">
        <v>3</v>
      </c>
      <c r="P398" t="n">
        <v>3</v>
      </c>
      <c r="Q398" t="n">
        <v>3</v>
      </c>
      <c r="R398" s="2" t="inlineStr">
        <is>
          <t>Goliatmusseron
Gräddporing
Tallgråticka</t>
        </is>
      </c>
      <c r="S398">
        <f>HYPERLINK("https://klasma.github.io/Logging_2510/artfynd/A 24420-2020 artfynd.xlsx", "A 24420-2020")</f>
        <v/>
      </c>
      <c r="T398">
        <f>HYPERLINK("https://klasma.github.io/Logging_2510/kartor/A 24420-2020 karta.png", "A 24420-2020")</f>
        <v/>
      </c>
      <c r="V398">
        <f>HYPERLINK("https://klasma.github.io/Logging_2510/klagomål/A 24420-2020 FSC-klagomål.docx", "A 24420-2020")</f>
        <v/>
      </c>
      <c r="W398">
        <f>HYPERLINK("https://klasma.github.io/Logging_2510/klagomålsmail/A 24420-2020 FSC-klagomål mail.docx", "A 24420-2020")</f>
        <v/>
      </c>
      <c r="X398">
        <f>HYPERLINK("https://klasma.github.io/Logging_2510/tillsyn/A 24420-2020 tillsynsbegäran.docx", "A 24420-2020")</f>
        <v/>
      </c>
      <c r="Y398">
        <f>HYPERLINK("https://klasma.github.io/Logging_2510/tillsynsmail/A 24420-2020 tillsynsbegäran mail.docx", "A 24420-2020")</f>
        <v/>
      </c>
    </row>
    <row r="399" ht="15" customHeight="1">
      <c r="A399" t="inlineStr">
        <is>
          <t>A 27642-2020</t>
        </is>
      </c>
      <c r="B399" s="1" t="n">
        <v>43993</v>
      </c>
      <c r="C399" s="1" t="n">
        <v>45798</v>
      </c>
      <c r="D399" t="inlineStr">
        <is>
          <t>NORRBOTTENS LÄN</t>
        </is>
      </c>
      <c r="E399" t="inlineStr">
        <is>
          <t>KIRUNA</t>
        </is>
      </c>
      <c r="G399" t="n">
        <v>31.9</v>
      </c>
      <c r="H399" t="n">
        <v>1</v>
      </c>
      <c r="I399" t="n">
        <v>0</v>
      </c>
      <c r="J399" t="n">
        <v>1</v>
      </c>
      <c r="K399" t="n">
        <v>1</v>
      </c>
      <c r="L399" t="n">
        <v>0</v>
      </c>
      <c r="M399" t="n">
        <v>0</v>
      </c>
      <c r="N399" t="n">
        <v>0</v>
      </c>
      <c r="O399" t="n">
        <v>2</v>
      </c>
      <c r="P399" t="n">
        <v>1</v>
      </c>
      <c r="Q399" t="n">
        <v>3</v>
      </c>
      <c r="R399" s="2" t="inlineStr">
        <is>
          <t>Gräddporing
Röd trolldruva
Brudsporre</t>
        </is>
      </c>
      <c r="S399">
        <f>HYPERLINK("https://klasma.github.io/Logging_2584/artfynd/A 27642-2020 artfynd.xlsx", "A 27642-2020")</f>
        <v/>
      </c>
      <c r="T399">
        <f>HYPERLINK("https://klasma.github.io/Logging_2584/kartor/A 27642-2020 karta.png", "A 27642-2020")</f>
        <v/>
      </c>
      <c r="V399">
        <f>HYPERLINK("https://klasma.github.io/Logging_2584/klagomål/A 27642-2020 FSC-klagomål.docx", "A 27642-2020")</f>
        <v/>
      </c>
      <c r="W399">
        <f>HYPERLINK("https://klasma.github.io/Logging_2584/klagomålsmail/A 27642-2020 FSC-klagomål mail.docx", "A 27642-2020")</f>
        <v/>
      </c>
      <c r="X399">
        <f>HYPERLINK("https://klasma.github.io/Logging_2584/tillsyn/A 27642-2020 tillsynsbegäran.docx", "A 27642-2020")</f>
        <v/>
      </c>
      <c r="Y399">
        <f>HYPERLINK("https://klasma.github.io/Logging_2584/tillsynsmail/A 27642-2020 tillsynsbegäran mail.docx", "A 27642-2020")</f>
        <v/>
      </c>
    </row>
    <row r="400" ht="15" customHeight="1">
      <c r="A400" t="inlineStr">
        <is>
          <t>A 31881-2020</t>
        </is>
      </c>
      <c r="B400" s="1" t="n">
        <v>44014</v>
      </c>
      <c r="C400" s="1" t="n">
        <v>45798</v>
      </c>
      <c r="D400" t="inlineStr">
        <is>
          <t>NORRBOTTENS LÄN</t>
        </is>
      </c>
      <c r="E400" t="inlineStr">
        <is>
          <t>PITEÅ</t>
        </is>
      </c>
      <c r="F400" t="inlineStr">
        <is>
          <t>Sveaskog</t>
        </is>
      </c>
      <c r="G400" t="n">
        <v>26</v>
      </c>
      <c r="H400" t="n">
        <v>0</v>
      </c>
      <c r="I400" t="n">
        <v>1</v>
      </c>
      <c r="J400" t="n">
        <v>2</v>
      </c>
      <c r="K400" t="n">
        <v>0</v>
      </c>
      <c r="L400" t="n">
        <v>0</v>
      </c>
      <c r="M400" t="n">
        <v>0</v>
      </c>
      <c r="N400" t="n">
        <v>0</v>
      </c>
      <c r="O400" t="n">
        <v>2</v>
      </c>
      <c r="P400" t="n">
        <v>0</v>
      </c>
      <c r="Q400" t="n">
        <v>3</v>
      </c>
      <c r="R400" s="2" t="inlineStr">
        <is>
          <t>Mörk kolflarnlav
Vedflamlav
Dropptaggsvamp</t>
        </is>
      </c>
      <c r="S400">
        <f>HYPERLINK("https://klasma.github.io/Logging_2581/artfynd/A 31881-2020 artfynd.xlsx", "A 31881-2020")</f>
        <v/>
      </c>
      <c r="T400">
        <f>HYPERLINK("https://klasma.github.io/Logging_2581/kartor/A 31881-2020 karta.png", "A 31881-2020")</f>
        <v/>
      </c>
      <c r="V400">
        <f>HYPERLINK("https://klasma.github.io/Logging_2581/klagomål/A 31881-2020 FSC-klagomål.docx", "A 31881-2020")</f>
        <v/>
      </c>
      <c r="W400">
        <f>HYPERLINK("https://klasma.github.io/Logging_2581/klagomålsmail/A 31881-2020 FSC-klagomål mail.docx", "A 31881-2020")</f>
        <v/>
      </c>
      <c r="X400">
        <f>HYPERLINK("https://klasma.github.io/Logging_2581/tillsyn/A 31881-2020 tillsynsbegäran.docx", "A 31881-2020")</f>
        <v/>
      </c>
      <c r="Y400">
        <f>HYPERLINK("https://klasma.github.io/Logging_2581/tillsynsmail/A 31881-2020 tillsynsbegäran mail.docx", "A 31881-2020")</f>
        <v/>
      </c>
    </row>
    <row r="401" ht="15" customHeight="1">
      <c r="A401" t="inlineStr">
        <is>
          <t>A 33836-2020</t>
        </is>
      </c>
      <c r="B401" s="1" t="n">
        <v>44022</v>
      </c>
      <c r="C401" s="1" t="n">
        <v>45798</v>
      </c>
      <c r="D401" t="inlineStr">
        <is>
          <t>NORRBOTTENS LÄN</t>
        </is>
      </c>
      <c r="E401" t="inlineStr">
        <is>
          <t>PAJALA</t>
        </is>
      </c>
      <c r="G401" t="n">
        <v>35.7</v>
      </c>
      <c r="H401" t="n">
        <v>1</v>
      </c>
      <c r="I401" t="n">
        <v>0</v>
      </c>
      <c r="J401" t="n">
        <v>3</v>
      </c>
      <c r="K401" t="n">
        <v>0</v>
      </c>
      <c r="L401" t="n">
        <v>0</v>
      </c>
      <c r="M401" t="n">
        <v>0</v>
      </c>
      <c r="N401" t="n">
        <v>0</v>
      </c>
      <c r="O401" t="n">
        <v>3</v>
      </c>
      <c r="P401" t="n">
        <v>0</v>
      </c>
      <c r="Q401" t="n">
        <v>3</v>
      </c>
      <c r="R401" s="2" t="inlineStr">
        <is>
          <t>Knottrig blåslav
Tretåig hackspett
Vitplätt</t>
        </is>
      </c>
      <c r="S401">
        <f>HYPERLINK("https://klasma.github.io/Logging_2521/artfynd/A 33836-2020 artfynd.xlsx", "A 33836-2020")</f>
        <v/>
      </c>
      <c r="T401">
        <f>HYPERLINK("https://klasma.github.io/Logging_2521/kartor/A 33836-2020 karta.png", "A 33836-2020")</f>
        <v/>
      </c>
      <c r="V401">
        <f>HYPERLINK("https://klasma.github.io/Logging_2521/klagomål/A 33836-2020 FSC-klagomål.docx", "A 33836-2020")</f>
        <v/>
      </c>
      <c r="W401">
        <f>HYPERLINK("https://klasma.github.io/Logging_2521/klagomålsmail/A 33836-2020 FSC-klagomål mail.docx", "A 33836-2020")</f>
        <v/>
      </c>
      <c r="X401">
        <f>HYPERLINK("https://klasma.github.io/Logging_2521/tillsyn/A 33836-2020 tillsynsbegäran.docx", "A 33836-2020")</f>
        <v/>
      </c>
      <c r="Y401">
        <f>HYPERLINK("https://klasma.github.io/Logging_2521/tillsynsmail/A 33836-2020 tillsynsbegäran mail.docx", "A 33836-2020")</f>
        <v/>
      </c>
      <c r="Z401">
        <f>HYPERLINK("https://klasma.github.io/Logging_2521/fåglar/A 33836-2020 prioriterade fågelarter.docx", "A 33836-2020")</f>
        <v/>
      </c>
    </row>
    <row r="402" ht="15" customHeight="1">
      <c r="A402" t="inlineStr">
        <is>
          <t>A 38334-2020</t>
        </is>
      </c>
      <c r="B402" s="1" t="n">
        <v>44060</v>
      </c>
      <c r="C402" s="1" t="n">
        <v>45798</v>
      </c>
      <c r="D402" t="inlineStr">
        <is>
          <t>NORRBOTTENS LÄN</t>
        </is>
      </c>
      <c r="E402" t="inlineStr">
        <is>
          <t>KIRUNA</t>
        </is>
      </c>
      <c r="F402" t="inlineStr">
        <is>
          <t>Allmännings- och besparingsskogar</t>
        </is>
      </c>
      <c r="G402" t="n">
        <v>13</v>
      </c>
      <c r="H402" t="n">
        <v>0</v>
      </c>
      <c r="I402" t="n">
        <v>0</v>
      </c>
      <c r="J402" t="n">
        <v>2</v>
      </c>
      <c r="K402" t="n">
        <v>1</v>
      </c>
      <c r="L402" t="n">
        <v>0</v>
      </c>
      <c r="M402" t="n">
        <v>0</v>
      </c>
      <c r="N402" t="n">
        <v>0</v>
      </c>
      <c r="O402" t="n">
        <v>3</v>
      </c>
      <c r="P402" t="n">
        <v>1</v>
      </c>
      <c r="Q402" t="n">
        <v>3</v>
      </c>
      <c r="R402" s="2" t="inlineStr">
        <is>
          <t>Torrmusseron
Blå taggsvamp
Talltaggsvamp</t>
        </is>
      </c>
      <c r="S402">
        <f>HYPERLINK("https://klasma.github.io/Logging_2584/artfynd/A 38334-2020 artfynd.xlsx", "A 38334-2020")</f>
        <v/>
      </c>
      <c r="T402">
        <f>HYPERLINK("https://klasma.github.io/Logging_2584/kartor/A 38334-2020 karta.png", "A 38334-2020")</f>
        <v/>
      </c>
      <c r="V402">
        <f>HYPERLINK("https://klasma.github.io/Logging_2584/klagomål/A 38334-2020 FSC-klagomål.docx", "A 38334-2020")</f>
        <v/>
      </c>
      <c r="W402">
        <f>HYPERLINK("https://klasma.github.io/Logging_2584/klagomålsmail/A 38334-2020 FSC-klagomål mail.docx", "A 38334-2020")</f>
        <v/>
      </c>
      <c r="X402">
        <f>HYPERLINK("https://klasma.github.io/Logging_2584/tillsyn/A 38334-2020 tillsynsbegäran.docx", "A 38334-2020")</f>
        <v/>
      </c>
      <c r="Y402">
        <f>HYPERLINK("https://klasma.github.io/Logging_2584/tillsynsmail/A 38334-2020 tillsynsbegäran mail.docx", "A 38334-2020")</f>
        <v/>
      </c>
    </row>
    <row r="403" ht="15" customHeight="1">
      <c r="A403" t="inlineStr">
        <is>
          <t>A 42509-2020</t>
        </is>
      </c>
      <c r="B403" s="1" t="n">
        <v>44074</v>
      </c>
      <c r="C403" s="1" t="n">
        <v>45798</v>
      </c>
      <c r="D403" t="inlineStr">
        <is>
          <t>NORRBOTTENS LÄN</t>
        </is>
      </c>
      <c r="E403" t="inlineStr">
        <is>
          <t>KIRUNA</t>
        </is>
      </c>
      <c r="F403" t="inlineStr">
        <is>
          <t>Sveaskog</t>
        </is>
      </c>
      <c r="G403" t="n">
        <v>25.3</v>
      </c>
      <c r="H403" t="n">
        <v>0</v>
      </c>
      <c r="I403" t="n">
        <v>0</v>
      </c>
      <c r="J403" t="n">
        <v>3</v>
      </c>
      <c r="K403" t="n">
        <v>0</v>
      </c>
      <c r="L403" t="n">
        <v>0</v>
      </c>
      <c r="M403" t="n">
        <v>0</v>
      </c>
      <c r="N403" t="n">
        <v>0</v>
      </c>
      <c r="O403" t="n">
        <v>3</v>
      </c>
      <c r="P403" t="n">
        <v>0</v>
      </c>
      <c r="Q403" t="n">
        <v>3</v>
      </c>
      <c r="R403" s="2" t="inlineStr">
        <is>
          <t>Granticka
Harticka
Knottrig blåslav</t>
        </is>
      </c>
      <c r="S403">
        <f>HYPERLINK("https://klasma.github.io/Logging_2584/artfynd/A 42509-2020 artfynd.xlsx", "A 42509-2020")</f>
        <v/>
      </c>
      <c r="T403">
        <f>HYPERLINK("https://klasma.github.io/Logging_2584/kartor/A 42509-2020 karta.png", "A 42509-2020")</f>
        <v/>
      </c>
      <c r="V403">
        <f>HYPERLINK("https://klasma.github.io/Logging_2584/klagomål/A 42509-2020 FSC-klagomål.docx", "A 42509-2020")</f>
        <v/>
      </c>
      <c r="W403">
        <f>HYPERLINK("https://klasma.github.io/Logging_2584/klagomålsmail/A 42509-2020 FSC-klagomål mail.docx", "A 42509-2020")</f>
        <v/>
      </c>
      <c r="X403">
        <f>HYPERLINK("https://klasma.github.io/Logging_2584/tillsyn/A 42509-2020 tillsynsbegäran.docx", "A 42509-2020")</f>
        <v/>
      </c>
      <c r="Y403">
        <f>HYPERLINK("https://klasma.github.io/Logging_2584/tillsynsmail/A 42509-2020 tillsynsbegäran mail.docx", "A 42509-2020")</f>
        <v/>
      </c>
    </row>
    <row r="404" ht="15" customHeight="1">
      <c r="A404" t="inlineStr">
        <is>
          <t>A 43640-2020</t>
        </is>
      </c>
      <c r="B404" s="1" t="n">
        <v>44082</v>
      </c>
      <c r="C404" s="1" t="n">
        <v>45798</v>
      </c>
      <c r="D404" t="inlineStr">
        <is>
          <t>NORRBOTTENS LÄN</t>
        </is>
      </c>
      <c r="E404" t="inlineStr">
        <is>
          <t>BODEN</t>
        </is>
      </c>
      <c r="F404" t="inlineStr">
        <is>
          <t>Sveaskog</t>
        </is>
      </c>
      <c r="G404" t="n">
        <v>0.9</v>
      </c>
      <c r="H404" t="n">
        <v>0</v>
      </c>
      <c r="I404" t="n">
        <v>1</v>
      </c>
      <c r="J404" t="n">
        <v>2</v>
      </c>
      <c r="K404" t="n">
        <v>0</v>
      </c>
      <c r="L404" t="n">
        <v>0</v>
      </c>
      <c r="M404" t="n">
        <v>0</v>
      </c>
      <c r="N404" t="n">
        <v>0</v>
      </c>
      <c r="O404" t="n">
        <v>2</v>
      </c>
      <c r="P404" t="n">
        <v>0</v>
      </c>
      <c r="Q404" t="n">
        <v>3</v>
      </c>
      <c r="R404" s="2" t="inlineStr">
        <is>
          <t>Blå taggsvamp
Garnlav
Dropptaggsvamp</t>
        </is>
      </c>
      <c r="S404">
        <f>HYPERLINK("https://klasma.github.io/Logging_2582/artfynd/A 43640-2020 artfynd.xlsx", "A 43640-2020")</f>
        <v/>
      </c>
      <c r="T404">
        <f>HYPERLINK("https://klasma.github.io/Logging_2582/kartor/A 43640-2020 karta.png", "A 43640-2020")</f>
        <v/>
      </c>
      <c r="V404">
        <f>HYPERLINK("https://klasma.github.io/Logging_2582/klagomål/A 43640-2020 FSC-klagomål.docx", "A 43640-2020")</f>
        <v/>
      </c>
      <c r="W404">
        <f>HYPERLINK("https://klasma.github.io/Logging_2582/klagomålsmail/A 43640-2020 FSC-klagomål mail.docx", "A 43640-2020")</f>
        <v/>
      </c>
      <c r="X404">
        <f>HYPERLINK("https://klasma.github.io/Logging_2582/tillsyn/A 43640-2020 tillsynsbegäran.docx", "A 43640-2020")</f>
        <v/>
      </c>
      <c r="Y404">
        <f>HYPERLINK("https://klasma.github.io/Logging_2582/tillsynsmail/A 43640-2020 tillsynsbegäran mail.docx", "A 43640-2020")</f>
        <v/>
      </c>
    </row>
    <row r="405" ht="15" customHeight="1">
      <c r="A405" t="inlineStr">
        <is>
          <t>A 44419-2020</t>
        </is>
      </c>
      <c r="B405" s="1" t="n">
        <v>44084</v>
      </c>
      <c r="C405" s="1" t="n">
        <v>45798</v>
      </c>
      <c r="D405" t="inlineStr">
        <is>
          <t>NORRBOTTENS LÄN</t>
        </is>
      </c>
      <c r="E405" t="inlineStr">
        <is>
          <t>BODEN</t>
        </is>
      </c>
      <c r="F405" t="inlineStr">
        <is>
          <t>Sveaskog</t>
        </is>
      </c>
      <c r="G405" t="n">
        <v>3.1</v>
      </c>
      <c r="H405" t="n">
        <v>1</v>
      </c>
      <c r="I405" t="n">
        <v>0</v>
      </c>
      <c r="J405" t="n">
        <v>3</v>
      </c>
      <c r="K405" t="n">
        <v>0</v>
      </c>
      <c r="L405" t="n">
        <v>0</v>
      </c>
      <c r="M405" t="n">
        <v>0</v>
      </c>
      <c r="N405" t="n">
        <v>0</v>
      </c>
      <c r="O405" t="n">
        <v>3</v>
      </c>
      <c r="P405" t="n">
        <v>0</v>
      </c>
      <c r="Q405" t="n">
        <v>3</v>
      </c>
      <c r="R405" s="2" t="inlineStr">
        <is>
          <t>Garnlav
Tretåig hackspett
Vedskivlav</t>
        </is>
      </c>
      <c r="S405">
        <f>HYPERLINK("https://klasma.github.io/Logging_2582/artfynd/A 44419-2020 artfynd.xlsx", "A 44419-2020")</f>
        <v/>
      </c>
      <c r="T405">
        <f>HYPERLINK("https://klasma.github.io/Logging_2582/kartor/A 44419-2020 karta.png", "A 44419-2020")</f>
        <v/>
      </c>
      <c r="V405">
        <f>HYPERLINK("https://klasma.github.io/Logging_2582/klagomål/A 44419-2020 FSC-klagomål.docx", "A 44419-2020")</f>
        <v/>
      </c>
      <c r="W405">
        <f>HYPERLINK("https://klasma.github.io/Logging_2582/klagomålsmail/A 44419-2020 FSC-klagomål mail.docx", "A 44419-2020")</f>
        <v/>
      </c>
      <c r="X405">
        <f>HYPERLINK("https://klasma.github.io/Logging_2582/tillsyn/A 44419-2020 tillsynsbegäran.docx", "A 44419-2020")</f>
        <v/>
      </c>
      <c r="Y405">
        <f>HYPERLINK("https://klasma.github.io/Logging_2582/tillsynsmail/A 44419-2020 tillsynsbegäran mail.docx", "A 44419-2020")</f>
        <v/>
      </c>
      <c r="Z405">
        <f>HYPERLINK("https://klasma.github.io/Logging_2582/fåglar/A 44419-2020 prioriterade fågelarter.docx", "A 44419-2020")</f>
        <v/>
      </c>
    </row>
    <row r="406" ht="15" customHeight="1">
      <c r="A406" t="inlineStr">
        <is>
          <t>A 55246-2020</t>
        </is>
      </c>
      <c r="B406" s="1" t="n">
        <v>44130</v>
      </c>
      <c r="C406" s="1" t="n">
        <v>45798</v>
      </c>
      <c r="D406" t="inlineStr">
        <is>
          <t>NORRBOTTENS LÄN</t>
        </is>
      </c>
      <c r="E406" t="inlineStr">
        <is>
          <t>BODEN</t>
        </is>
      </c>
      <c r="F406" t="inlineStr">
        <is>
          <t>Sveaskog</t>
        </is>
      </c>
      <c r="G406" t="n">
        <v>4.5</v>
      </c>
      <c r="H406" t="n">
        <v>0</v>
      </c>
      <c r="I406" t="n">
        <v>1</v>
      </c>
      <c r="J406" t="n">
        <v>2</v>
      </c>
      <c r="K406" t="n">
        <v>0</v>
      </c>
      <c r="L406" t="n">
        <v>0</v>
      </c>
      <c r="M406" t="n">
        <v>0</v>
      </c>
      <c r="N406" t="n">
        <v>0</v>
      </c>
      <c r="O406" t="n">
        <v>2</v>
      </c>
      <c r="P406" t="n">
        <v>0</v>
      </c>
      <c r="Q406" t="n">
        <v>3</v>
      </c>
      <c r="R406" s="2" t="inlineStr">
        <is>
          <t>Gammelgransskål
Lunglav
Bronshjon</t>
        </is>
      </c>
      <c r="S406">
        <f>HYPERLINK("https://klasma.github.io/Logging_2582/artfynd/A 55246-2020 artfynd.xlsx", "A 55246-2020")</f>
        <v/>
      </c>
      <c r="T406">
        <f>HYPERLINK("https://klasma.github.io/Logging_2582/kartor/A 55246-2020 karta.png", "A 55246-2020")</f>
        <v/>
      </c>
      <c r="V406">
        <f>HYPERLINK("https://klasma.github.io/Logging_2582/klagomål/A 55246-2020 FSC-klagomål.docx", "A 55246-2020")</f>
        <v/>
      </c>
      <c r="W406">
        <f>HYPERLINK("https://klasma.github.io/Logging_2582/klagomålsmail/A 55246-2020 FSC-klagomål mail.docx", "A 55246-2020")</f>
        <v/>
      </c>
      <c r="X406">
        <f>HYPERLINK("https://klasma.github.io/Logging_2582/tillsyn/A 55246-2020 tillsynsbegäran.docx", "A 55246-2020")</f>
        <v/>
      </c>
      <c r="Y406">
        <f>HYPERLINK("https://klasma.github.io/Logging_2582/tillsynsmail/A 55246-2020 tillsynsbegäran mail.docx", "A 55246-2020")</f>
        <v/>
      </c>
    </row>
    <row r="407" ht="15" customHeight="1">
      <c r="A407" t="inlineStr">
        <is>
          <t>A 3458-2021</t>
        </is>
      </c>
      <c r="B407" s="1" t="n">
        <v>44216</v>
      </c>
      <c r="C407" s="1" t="n">
        <v>45798</v>
      </c>
      <c r="D407" t="inlineStr">
        <is>
          <t>NORRBOTTENS LÄN</t>
        </is>
      </c>
      <c r="E407" t="inlineStr">
        <is>
          <t>ÖVERTORNEÅ</t>
        </is>
      </c>
      <c r="G407" t="n">
        <v>3</v>
      </c>
      <c r="H407" t="n">
        <v>1</v>
      </c>
      <c r="I407" t="n">
        <v>1</v>
      </c>
      <c r="J407" t="n">
        <v>1</v>
      </c>
      <c r="K407" t="n">
        <v>1</v>
      </c>
      <c r="L407" t="n">
        <v>0</v>
      </c>
      <c r="M407" t="n">
        <v>0</v>
      </c>
      <c r="N407" t="n">
        <v>0</v>
      </c>
      <c r="O407" t="n">
        <v>2</v>
      </c>
      <c r="P407" t="n">
        <v>1</v>
      </c>
      <c r="Q407" t="n">
        <v>3</v>
      </c>
      <c r="R407" s="2" t="inlineStr">
        <is>
          <t>Knärot
Doftskinn
Gulnål</t>
        </is>
      </c>
      <c r="S407">
        <f>HYPERLINK("https://klasma.github.io/Logging_2518/artfynd/A 3458-2021 artfynd.xlsx", "A 3458-2021")</f>
        <v/>
      </c>
      <c r="T407">
        <f>HYPERLINK("https://klasma.github.io/Logging_2518/kartor/A 3458-2021 karta.png", "A 3458-2021")</f>
        <v/>
      </c>
      <c r="U407">
        <f>HYPERLINK("https://klasma.github.io/Logging_2518/knärot/A 3458-2021 karta knärot.png", "A 3458-2021")</f>
        <v/>
      </c>
      <c r="V407">
        <f>HYPERLINK("https://klasma.github.io/Logging_2518/klagomål/A 3458-2021 FSC-klagomål.docx", "A 3458-2021")</f>
        <v/>
      </c>
      <c r="W407">
        <f>HYPERLINK("https://klasma.github.io/Logging_2518/klagomålsmail/A 3458-2021 FSC-klagomål mail.docx", "A 3458-2021")</f>
        <v/>
      </c>
      <c r="X407">
        <f>HYPERLINK("https://klasma.github.io/Logging_2518/tillsyn/A 3458-2021 tillsynsbegäran.docx", "A 3458-2021")</f>
        <v/>
      </c>
      <c r="Y407">
        <f>HYPERLINK("https://klasma.github.io/Logging_2518/tillsynsmail/A 3458-2021 tillsynsbegäran mail.docx", "A 3458-2021")</f>
        <v/>
      </c>
    </row>
    <row r="408" ht="15" customHeight="1">
      <c r="A408" t="inlineStr">
        <is>
          <t>A 24447-2021</t>
        </is>
      </c>
      <c r="B408" s="1" t="n">
        <v>44337</v>
      </c>
      <c r="C408" s="1" t="n">
        <v>45798</v>
      </c>
      <c r="D408" t="inlineStr">
        <is>
          <t>NORRBOTTENS LÄN</t>
        </is>
      </c>
      <c r="E408" t="inlineStr">
        <is>
          <t>BODEN</t>
        </is>
      </c>
      <c r="F408" t="inlineStr">
        <is>
          <t>Sveaskog</t>
        </is>
      </c>
      <c r="G408" t="n">
        <v>3.7</v>
      </c>
      <c r="H408" t="n">
        <v>0</v>
      </c>
      <c r="I408" t="n">
        <v>2</v>
      </c>
      <c r="J408" t="n">
        <v>1</v>
      </c>
      <c r="K408" t="n">
        <v>0</v>
      </c>
      <c r="L408" t="n">
        <v>0</v>
      </c>
      <c r="M408" t="n">
        <v>0</v>
      </c>
      <c r="N408" t="n">
        <v>0</v>
      </c>
      <c r="O408" t="n">
        <v>1</v>
      </c>
      <c r="P408" t="n">
        <v>0</v>
      </c>
      <c r="Q408" t="n">
        <v>3</v>
      </c>
      <c r="R408" s="2" t="inlineStr">
        <is>
          <t>Lunglav
Bårdlav
Stuplav</t>
        </is>
      </c>
      <c r="S408">
        <f>HYPERLINK("https://klasma.github.io/Logging_2582/artfynd/A 24447-2021 artfynd.xlsx", "A 24447-2021")</f>
        <v/>
      </c>
      <c r="T408">
        <f>HYPERLINK("https://klasma.github.io/Logging_2582/kartor/A 24447-2021 karta.png", "A 24447-2021")</f>
        <v/>
      </c>
      <c r="V408">
        <f>HYPERLINK("https://klasma.github.io/Logging_2582/klagomål/A 24447-2021 FSC-klagomål.docx", "A 24447-2021")</f>
        <v/>
      </c>
      <c r="W408">
        <f>HYPERLINK("https://klasma.github.io/Logging_2582/klagomålsmail/A 24447-2021 FSC-klagomål mail.docx", "A 24447-2021")</f>
        <v/>
      </c>
      <c r="X408">
        <f>HYPERLINK("https://klasma.github.io/Logging_2582/tillsyn/A 24447-2021 tillsynsbegäran.docx", "A 24447-2021")</f>
        <v/>
      </c>
      <c r="Y408">
        <f>HYPERLINK("https://klasma.github.io/Logging_2582/tillsynsmail/A 24447-2021 tillsynsbegäran mail.docx", "A 24447-2021")</f>
        <v/>
      </c>
    </row>
    <row r="409" ht="15" customHeight="1">
      <c r="A409" t="inlineStr">
        <is>
          <t>A 46019-2021</t>
        </is>
      </c>
      <c r="B409" s="1" t="n">
        <v>44441</v>
      </c>
      <c r="C409" s="1" t="n">
        <v>45798</v>
      </c>
      <c r="D409" t="inlineStr">
        <is>
          <t>NORRBOTTENS LÄN</t>
        </is>
      </c>
      <c r="E409" t="inlineStr">
        <is>
          <t>ÖVERTORNEÅ</t>
        </is>
      </c>
      <c r="G409" t="n">
        <v>2.7</v>
      </c>
      <c r="H409" t="n">
        <v>1</v>
      </c>
      <c r="I409" t="n">
        <v>1</v>
      </c>
      <c r="J409" t="n">
        <v>1</v>
      </c>
      <c r="K409" t="n">
        <v>1</v>
      </c>
      <c r="L409" t="n">
        <v>0</v>
      </c>
      <c r="M409" t="n">
        <v>0</v>
      </c>
      <c r="N409" t="n">
        <v>0</v>
      </c>
      <c r="O409" t="n">
        <v>2</v>
      </c>
      <c r="P409" t="n">
        <v>1</v>
      </c>
      <c r="Q409" t="n">
        <v>3</v>
      </c>
      <c r="R409" s="2" t="inlineStr">
        <is>
          <t>Knärot
Doftskinn
Gulnål</t>
        </is>
      </c>
      <c r="S409">
        <f>HYPERLINK("https://klasma.github.io/Logging_2518/artfynd/A 46019-2021 artfynd.xlsx", "A 46019-2021")</f>
        <v/>
      </c>
      <c r="T409">
        <f>HYPERLINK("https://klasma.github.io/Logging_2518/kartor/A 46019-2021 karta.png", "A 46019-2021")</f>
        <v/>
      </c>
      <c r="U409">
        <f>HYPERLINK("https://klasma.github.io/Logging_2518/knärot/A 46019-2021 karta knärot.png", "A 46019-2021")</f>
        <v/>
      </c>
      <c r="V409">
        <f>HYPERLINK("https://klasma.github.io/Logging_2518/klagomål/A 46019-2021 FSC-klagomål.docx", "A 46019-2021")</f>
        <v/>
      </c>
      <c r="W409">
        <f>HYPERLINK("https://klasma.github.io/Logging_2518/klagomålsmail/A 46019-2021 FSC-klagomål mail.docx", "A 46019-2021")</f>
        <v/>
      </c>
      <c r="X409">
        <f>HYPERLINK("https://klasma.github.io/Logging_2518/tillsyn/A 46019-2021 tillsynsbegäran.docx", "A 46019-2021")</f>
        <v/>
      </c>
      <c r="Y409">
        <f>HYPERLINK("https://klasma.github.io/Logging_2518/tillsynsmail/A 46019-2021 tillsynsbegäran mail.docx", "A 46019-2021")</f>
        <v/>
      </c>
    </row>
    <row r="410" ht="15" customHeight="1">
      <c r="A410" t="inlineStr">
        <is>
          <t>A 52078-2021</t>
        </is>
      </c>
      <c r="B410" s="1" t="n">
        <v>44463</v>
      </c>
      <c r="C410" s="1" t="n">
        <v>45798</v>
      </c>
      <c r="D410" t="inlineStr">
        <is>
          <t>NORRBOTTENS LÄN</t>
        </is>
      </c>
      <c r="E410" t="inlineStr">
        <is>
          <t>BODEN</t>
        </is>
      </c>
      <c r="F410" t="inlineStr">
        <is>
          <t>Sveaskog</t>
        </is>
      </c>
      <c r="G410" t="n">
        <v>0.5</v>
      </c>
      <c r="H410" t="n">
        <v>1</v>
      </c>
      <c r="I410" t="n">
        <v>0</v>
      </c>
      <c r="J410" t="n">
        <v>2</v>
      </c>
      <c r="K410" t="n">
        <v>1</v>
      </c>
      <c r="L410" t="n">
        <v>0</v>
      </c>
      <c r="M410" t="n">
        <v>0</v>
      </c>
      <c r="N410" t="n">
        <v>0</v>
      </c>
      <c r="O410" t="n">
        <v>3</v>
      </c>
      <c r="P410" t="n">
        <v>1</v>
      </c>
      <c r="Q410" t="n">
        <v>3</v>
      </c>
      <c r="R410" s="2" t="inlineStr">
        <is>
          <t>Knärot
Granticka
Lunglav</t>
        </is>
      </c>
      <c r="S410">
        <f>HYPERLINK("https://klasma.github.io/Logging_2582/artfynd/A 52078-2021 artfynd.xlsx", "A 52078-2021")</f>
        <v/>
      </c>
      <c r="T410">
        <f>HYPERLINK("https://klasma.github.io/Logging_2582/kartor/A 52078-2021 karta.png", "A 52078-2021")</f>
        <v/>
      </c>
      <c r="U410">
        <f>HYPERLINK("https://klasma.github.io/Logging_2582/knärot/A 52078-2021 karta knärot.png", "A 52078-2021")</f>
        <v/>
      </c>
      <c r="V410">
        <f>HYPERLINK("https://klasma.github.io/Logging_2582/klagomål/A 52078-2021 FSC-klagomål.docx", "A 52078-2021")</f>
        <v/>
      </c>
      <c r="W410">
        <f>HYPERLINK("https://klasma.github.io/Logging_2582/klagomålsmail/A 52078-2021 FSC-klagomål mail.docx", "A 52078-2021")</f>
        <v/>
      </c>
      <c r="X410">
        <f>HYPERLINK("https://klasma.github.io/Logging_2582/tillsyn/A 52078-2021 tillsynsbegäran.docx", "A 52078-2021")</f>
        <v/>
      </c>
      <c r="Y410">
        <f>HYPERLINK("https://klasma.github.io/Logging_2582/tillsynsmail/A 52078-2021 tillsynsbegäran mail.docx", "A 52078-2021")</f>
        <v/>
      </c>
    </row>
    <row r="411" ht="15" customHeight="1">
      <c r="A411" t="inlineStr">
        <is>
          <t>A 60554-2021</t>
        </is>
      </c>
      <c r="B411" s="1" t="n">
        <v>44496</v>
      </c>
      <c r="C411" s="1" t="n">
        <v>45798</v>
      </c>
      <c r="D411" t="inlineStr">
        <is>
          <t>NORRBOTTENS LÄN</t>
        </is>
      </c>
      <c r="E411" t="inlineStr">
        <is>
          <t>ÖVERKALIX</t>
        </is>
      </c>
      <c r="F411" t="inlineStr">
        <is>
          <t>Sveaskog</t>
        </is>
      </c>
      <c r="G411" t="n">
        <v>7.4</v>
      </c>
      <c r="H411" t="n">
        <v>1</v>
      </c>
      <c r="I411" t="n">
        <v>1</v>
      </c>
      <c r="J411" t="n">
        <v>2</v>
      </c>
      <c r="K411" t="n">
        <v>0</v>
      </c>
      <c r="L411" t="n">
        <v>0</v>
      </c>
      <c r="M411" t="n">
        <v>0</v>
      </c>
      <c r="N411" t="n">
        <v>0</v>
      </c>
      <c r="O411" t="n">
        <v>2</v>
      </c>
      <c r="P411" t="n">
        <v>0</v>
      </c>
      <c r="Q411" t="n">
        <v>3</v>
      </c>
      <c r="R411" s="2" t="inlineStr">
        <is>
          <t>Tretåig hackspett
Veckticka
Luddlav</t>
        </is>
      </c>
      <c r="S411">
        <f>HYPERLINK("https://klasma.github.io/Logging_2513/artfynd/A 60554-2021 artfynd.xlsx", "A 60554-2021")</f>
        <v/>
      </c>
      <c r="T411">
        <f>HYPERLINK("https://klasma.github.io/Logging_2513/kartor/A 60554-2021 karta.png", "A 60554-2021")</f>
        <v/>
      </c>
      <c r="V411">
        <f>HYPERLINK("https://klasma.github.io/Logging_2513/klagomål/A 60554-2021 FSC-klagomål.docx", "A 60554-2021")</f>
        <v/>
      </c>
      <c r="W411">
        <f>HYPERLINK("https://klasma.github.io/Logging_2513/klagomålsmail/A 60554-2021 FSC-klagomål mail.docx", "A 60554-2021")</f>
        <v/>
      </c>
      <c r="X411">
        <f>HYPERLINK("https://klasma.github.io/Logging_2513/tillsyn/A 60554-2021 tillsynsbegäran.docx", "A 60554-2021")</f>
        <v/>
      </c>
      <c r="Y411">
        <f>HYPERLINK("https://klasma.github.io/Logging_2513/tillsynsmail/A 60554-2021 tillsynsbegäran mail.docx", "A 60554-2021")</f>
        <v/>
      </c>
      <c r="Z411">
        <f>HYPERLINK("https://klasma.github.io/Logging_2513/fåglar/A 60554-2021 prioriterade fågelarter.docx", "A 60554-2021")</f>
        <v/>
      </c>
    </row>
    <row r="412" ht="15" customHeight="1">
      <c r="A412" t="inlineStr">
        <is>
          <t>A 62610-2021</t>
        </is>
      </c>
      <c r="B412" s="1" t="n">
        <v>44503</v>
      </c>
      <c r="C412" s="1" t="n">
        <v>45798</v>
      </c>
      <c r="D412" t="inlineStr">
        <is>
          <t>NORRBOTTENS LÄN</t>
        </is>
      </c>
      <c r="E412" t="inlineStr">
        <is>
          <t>PAJALA</t>
        </is>
      </c>
      <c r="F412" t="inlineStr">
        <is>
          <t>Sveaskog</t>
        </is>
      </c>
      <c r="G412" t="n">
        <v>1.6</v>
      </c>
      <c r="H412" t="n">
        <v>2</v>
      </c>
      <c r="I412" t="n">
        <v>1</v>
      </c>
      <c r="J412" t="n">
        <v>2</v>
      </c>
      <c r="K412" t="n">
        <v>0</v>
      </c>
      <c r="L412" t="n">
        <v>0</v>
      </c>
      <c r="M412" t="n">
        <v>0</v>
      </c>
      <c r="N412" t="n">
        <v>0</v>
      </c>
      <c r="O412" t="n">
        <v>2</v>
      </c>
      <c r="P412" t="n">
        <v>0</v>
      </c>
      <c r="Q412" t="n">
        <v>3</v>
      </c>
      <c r="R412" s="2" t="inlineStr">
        <is>
          <t>Kolflarnlav
Spillkråka
Plattlummer</t>
        </is>
      </c>
      <c r="S412">
        <f>HYPERLINK("https://klasma.github.io/Logging_2521/artfynd/A 62610-2021 artfynd.xlsx", "A 62610-2021")</f>
        <v/>
      </c>
      <c r="T412">
        <f>HYPERLINK("https://klasma.github.io/Logging_2521/kartor/A 62610-2021 karta.png", "A 62610-2021")</f>
        <v/>
      </c>
      <c r="V412">
        <f>HYPERLINK("https://klasma.github.io/Logging_2521/klagomål/A 62610-2021 FSC-klagomål.docx", "A 62610-2021")</f>
        <v/>
      </c>
      <c r="W412">
        <f>HYPERLINK("https://klasma.github.io/Logging_2521/klagomålsmail/A 62610-2021 FSC-klagomål mail.docx", "A 62610-2021")</f>
        <v/>
      </c>
      <c r="X412">
        <f>HYPERLINK("https://klasma.github.io/Logging_2521/tillsyn/A 62610-2021 tillsynsbegäran.docx", "A 62610-2021")</f>
        <v/>
      </c>
      <c r="Y412">
        <f>HYPERLINK("https://klasma.github.io/Logging_2521/tillsynsmail/A 62610-2021 tillsynsbegäran mail.docx", "A 62610-2021")</f>
        <v/>
      </c>
      <c r="Z412">
        <f>HYPERLINK("https://klasma.github.io/Logging_2521/fåglar/A 62610-2021 prioriterade fågelarter.docx", "A 62610-2021")</f>
        <v/>
      </c>
    </row>
    <row r="413" ht="15" customHeight="1">
      <c r="A413" t="inlineStr">
        <is>
          <t>A 64289-2021</t>
        </is>
      </c>
      <c r="B413" s="1" t="n">
        <v>44510</v>
      </c>
      <c r="C413" s="1" t="n">
        <v>45798</v>
      </c>
      <c r="D413" t="inlineStr">
        <is>
          <t>NORRBOTTENS LÄN</t>
        </is>
      </c>
      <c r="E413" t="inlineStr">
        <is>
          <t>KALIX</t>
        </is>
      </c>
      <c r="F413" t="inlineStr">
        <is>
          <t>Sveaskog</t>
        </is>
      </c>
      <c r="G413" t="n">
        <v>18.9</v>
      </c>
      <c r="H413" t="n">
        <v>3</v>
      </c>
      <c r="I413" t="n">
        <v>0</v>
      </c>
      <c r="J413" t="n">
        <v>2</v>
      </c>
      <c r="K413" t="n">
        <v>0</v>
      </c>
      <c r="L413" t="n">
        <v>1</v>
      </c>
      <c r="M413" t="n">
        <v>0</v>
      </c>
      <c r="N413" t="n">
        <v>0</v>
      </c>
      <c r="O413" t="n">
        <v>3</v>
      </c>
      <c r="P413" t="n">
        <v>1</v>
      </c>
      <c r="Q413" t="n">
        <v>3</v>
      </c>
      <c r="R413" s="2" t="inlineStr">
        <is>
          <t>Grönfink
Spillkråka
Talltita</t>
        </is>
      </c>
      <c r="S413">
        <f>HYPERLINK("https://klasma.github.io/Logging_2514/artfynd/A 64289-2021 artfynd.xlsx", "A 64289-2021")</f>
        <v/>
      </c>
      <c r="T413">
        <f>HYPERLINK("https://klasma.github.io/Logging_2514/kartor/A 64289-2021 karta.png", "A 64289-2021")</f>
        <v/>
      </c>
      <c r="V413">
        <f>HYPERLINK("https://klasma.github.io/Logging_2514/klagomål/A 64289-2021 FSC-klagomål.docx", "A 64289-2021")</f>
        <v/>
      </c>
      <c r="W413">
        <f>HYPERLINK("https://klasma.github.io/Logging_2514/klagomålsmail/A 64289-2021 FSC-klagomål mail.docx", "A 64289-2021")</f>
        <v/>
      </c>
      <c r="X413">
        <f>HYPERLINK("https://klasma.github.io/Logging_2514/tillsyn/A 64289-2021 tillsynsbegäran.docx", "A 64289-2021")</f>
        <v/>
      </c>
      <c r="Y413">
        <f>HYPERLINK("https://klasma.github.io/Logging_2514/tillsynsmail/A 64289-2021 tillsynsbegäran mail.docx", "A 64289-2021")</f>
        <v/>
      </c>
      <c r="Z413">
        <f>HYPERLINK("https://klasma.github.io/Logging_2514/fåglar/A 64289-2021 prioriterade fågelarter.docx", "A 64289-2021")</f>
        <v/>
      </c>
    </row>
    <row r="414" ht="15" customHeight="1">
      <c r="A414" t="inlineStr">
        <is>
          <t>A 66859-2021</t>
        </is>
      </c>
      <c r="B414" s="1" t="n">
        <v>44522</v>
      </c>
      <c r="C414" s="1" t="n">
        <v>45798</v>
      </c>
      <c r="D414" t="inlineStr">
        <is>
          <t>NORRBOTTENS LÄN</t>
        </is>
      </c>
      <c r="E414" t="inlineStr">
        <is>
          <t>PITEÅ</t>
        </is>
      </c>
      <c r="F414" t="inlineStr">
        <is>
          <t>Sveaskog</t>
        </is>
      </c>
      <c r="G414" t="n">
        <v>0.9</v>
      </c>
      <c r="H414" t="n">
        <v>1</v>
      </c>
      <c r="I414" t="n">
        <v>2</v>
      </c>
      <c r="J414" t="n">
        <v>0</v>
      </c>
      <c r="K414" t="n">
        <v>0</v>
      </c>
      <c r="L414" t="n">
        <v>0</v>
      </c>
      <c r="M414" t="n">
        <v>0</v>
      </c>
      <c r="N414" t="n">
        <v>0</v>
      </c>
      <c r="O414" t="n">
        <v>0</v>
      </c>
      <c r="P414" t="n">
        <v>0</v>
      </c>
      <c r="Q414" t="n">
        <v>3</v>
      </c>
      <c r="R414" s="2" t="inlineStr">
        <is>
          <t>Hårjordtunga
Ögonpyrola
Nattviol</t>
        </is>
      </c>
      <c r="S414">
        <f>HYPERLINK("https://klasma.github.io/Logging_2581/artfynd/A 66859-2021 artfynd.xlsx", "A 66859-2021")</f>
        <v/>
      </c>
      <c r="T414">
        <f>HYPERLINK("https://klasma.github.io/Logging_2581/kartor/A 66859-2021 karta.png", "A 66859-2021")</f>
        <v/>
      </c>
      <c r="V414">
        <f>HYPERLINK("https://klasma.github.io/Logging_2581/klagomål/A 66859-2021 FSC-klagomål.docx", "A 66859-2021")</f>
        <v/>
      </c>
      <c r="W414">
        <f>HYPERLINK("https://klasma.github.io/Logging_2581/klagomålsmail/A 66859-2021 FSC-klagomål mail.docx", "A 66859-2021")</f>
        <v/>
      </c>
      <c r="X414">
        <f>HYPERLINK("https://klasma.github.io/Logging_2581/tillsyn/A 66859-2021 tillsynsbegäran.docx", "A 66859-2021")</f>
        <v/>
      </c>
      <c r="Y414">
        <f>HYPERLINK("https://klasma.github.io/Logging_2581/tillsynsmail/A 66859-2021 tillsynsbegäran mail.docx", "A 66859-2021")</f>
        <v/>
      </c>
    </row>
    <row r="415" ht="15" customHeight="1">
      <c r="A415" t="inlineStr">
        <is>
          <t>A 68201-2021</t>
        </is>
      </c>
      <c r="B415" s="1" t="n">
        <v>44526</v>
      </c>
      <c r="C415" s="1" t="n">
        <v>45798</v>
      </c>
      <c r="D415" t="inlineStr">
        <is>
          <t>NORRBOTTENS LÄN</t>
        </is>
      </c>
      <c r="E415" t="inlineStr">
        <is>
          <t>PITEÅ</t>
        </is>
      </c>
      <c r="G415" t="n">
        <v>6.3</v>
      </c>
      <c r="H415" t="n">
        <v>1</v>
      </c>
      <c r="I415" t="n">
        <v>0</v>
      </c>
      <c r="J415" t="n">
        <v>3</v>
      </c>
      <c r="K415" t="n">
        <v>0</v>
      </c>
      <c r="L415" t="n">
        <v>0</v>
      </c>
      <c r="M415" t="n">
        <v>0</v>
      </c>
      <c r="N415" t="n">
        <v>0</v>
      </c>
      <c r="O415" t="n">
        <v>3</v>
      </c>
      <c r="P415" t="n">
        <v>0</v>
      </c>
      <c r="Q415" t="n">
        <v>3</v>
      </c>
      <c r="R415" s="2" t="inlineStr">
        <is>
          <t>Gammelgransskål
Lunglav
Spillkråka</t>
        </is>
      </c>
      <c r="S415">
        <f>HYPERLINK("https://klasma.github.io/Logging_2581/artfynd/A 68201-2021 artfynd.xlsx", "A 68201-2021")</f>
        <v/>
      </c>
      <c r="T415">
        <f>HYPERLINK("https://klasma.github.io/Logging_2581/kartor/A 68201-2021 karta.png", "A 68201-2021")</f>
        <v/>
      </c>
      <c r="V415">
        <f>HYPERLINK("https://klasma.github.io/Logging_2581/klagomål/A 68201-2021 FSC-klagomål.docx", "A 68201-2021")</f>
        <v/>
      </c>
      <c r="W415">
        <f>HYPERLINK("https://klasma.github.io/Logging_2581/klagomålsmail/A 68201-2021 FSC-klagomål mail.docx", "A 68201-2021")</f>
        <v/>
      </c>
      <c r="X415">
        <f>HYPERLINK("https://klasma.github.io/Logging_2581/tillsyn/A 68201-2021 tillsynsbegäran.docx", "A 68201-2021")</f>
        <v/>
      </c>
      <c r="Y415">
        <f>HYPERLINK("https://klasma.github.io/Logging_2581/tillsynsmail/A 68201-2021 tillsynsbegäran mail.docx", "A 68201-2021")</f>
        <v/>
      </c>
      <c r="Z415">
        <f>HYPERLINK("https://klasma.github.io/Logging_2581/fåglar/A 68201-2021 prioriterade fågelarter.docx", "A 68201-2021")</f>
        <v/>
      </c>
    </row>
    <row r="416" ht="15" customHeight="1">
      <c r="A416" t="inlineStr">
        <is>
          <t>A 72477-2021</t>
        </is>
      </c>
      <c r="B416" s="1" t="n">
        <v>44545</v>
      </c>
      <c r="C416" s="1" t="n">
        <v>45798</v>
      </c>
      <c r="D416" t="inlineStr">
        <is>
          <t>NORRBOTTENS LÄN</t>
        </is>
      </c>
      <c r="E416" t="inlineStr">
        <is>
          <t>JOKKMOKK</t>
        </is>
      </c>
      <c r="G416" t="n">
        <v>18.1</v>
      </c>
      <c r="H416" t="n">
        <v>0</v>
      </c>
      <c r="I416" t="n">
        <v>0</v>
      </c>
      <c r="J416" t="n">
        <v>2</v>
      </c>
      <c r="K416" t="n">
        <v>1</v>
      </c>
      <c r="L416" t="n">
        <v>0</v>
      </c>
      <c r="M416" t="n">
        <v>0</v>
      </c>
      <c r="N416" t="n">
        <v>0</v>
      </c>
      <c r="O416" t="n">
        <v>3</v>
      </c>
      <c r="P416" t="n">
        <v>1</v>
      </c>
      <c r="Q416" t="n">
        <v>3</v>
      </c>
      <c r="R416" s="2" t="inlineStr">
        <is>
          <t>Gräddporing
Blågrå svartspik
Ladlav</t>
        </is>
      </c>
      <c r="S416">
        <f>HYPERLINK("https://klasma.github.io/Logging_2510/artfynd/A 72477-2021 artfynd.xlsx", "A 72477-2021")</f>
        <v/>
      </c>
      <c r="T416">
        <f>HYPERLINK("https://klasma.github.io/Logging_2510/kartor/A 72477-2021 karta.png", "A 72477-2021")</f>
        <v/>
      </c>
      <c r="V416">
        <f>HYPERLINK("https://klasma.github.io/Logging_2510/klagomål/A 72477-2021 FSC-klagomål.docx", "A 72477-2021")</f>
        <v/>
      </c>
      <c r="W416">
        <f>HYPERLINK("https://klasma.github.io/Logging_2510/klagomålsmail/A 72477-2021 FSC-klagomål mail.docx", "A 72477-2021")</f>
        <v/>
      </c>
      <c r="X416">
        <f>HYPERLINK("https://klasma.github.io/Logging_2510/tillsyn/A 72477-2021 tillsynsbegäran.docx", "A 72477-2021")</f>
        <v/>
      </c>
      <c r="Y416">
        <f>HYPERLINK("https://klasma.github.io/Logging_2510/tillsynsmail/A 72477-2021 tillsynsbegäran mail.docx", "A 72477-2021")</f>
        <v/>
      </c>
    </row>
    <row r="417" ht="15" customHeight="1">
      <c r="A417" t="inlineStr">
        <is>
          <t>A 73971-2021</t>
        </is>
      </c>
      <c r="B417" s="1" t="n">
        <v>44553</v>
      </c>
      <c r="C417" s="1" t="n">
        <v>45798</v>
      </c>
      <c r="D417" t="inlineStr">
        <is>
          <t>NORRBOTTENS LÄN</t>
        </is>
      </c>
      <c r="E417" t="inlineStr">
        <is>
          <t>PITEÅ</t>
        </is>
      </c>
      <c r="F417" t="inlineStr">
        <is>
          <t>Kyrkan</t>
        </is>
      </c>
      <c r="G417" t="n">
        <v>54.7</v>
      </c>
      <c r="H417" t="n">
        <v>2</v>
      </c>
      <c r="I417" t="n">
        <v>0</v>
      </c>
      <c r="J417" t="n">
        <v>3</v>
      </c>
      <c r="K417" t="n">
        <v>0</v>
      </c>
      <c r="L417" t="n">
        <v>0</v>
      </c>
      <c r="M417" t="n">
        <v>0</v>
      </c>
      <c r="N417" t="n">
        <v>0</v>
      </c>
      <c r="O417" t="n">
        <v>3</v>
      </c>
      <c r="P417" t="n">
        <v>0</v>
      </c>
      <c r="Q417" t="n">
        <v>3</v>
      </c>
      <c r="R417" s="2" t="inlineStr">
        <is>
          <t>Spillkråka
Tretåig hackspett
Ullticka</t>
        </is>
      </c>
      <c r="S417">
        <f>HYPERLINK("https://klasma.github.io/Logging_2581/artfynd/A 73971-2021 artfynd.xlsx", "A 73971-2021")</f>
        <v/>
      </c>
      <c r="T417">
        <f>HYPERLINK("https://klasma.github.io/Logging_2581/kartor/A 73971-2021 karta.png", "A 73971-2021")</f>
        <v/>
      </c>
      <c r="V417">
        <f>HYPERLINK("https://klasma.github.io/Logging_2581/klagomål/A 73971-2021 FSC-klagomål.docx", "A 73971-2021")</f>
        <v/>
      </c>
      <c r="W417">
        <f>HYPERLINK("https://klasma.github.io/Logging_2581/klagomålsmail/A 73971-2021 FSC-klagomål mail.docx", "A 73971-2021")</f>
        <v/>
      </c>
      <c r="X417">
        <f>HYPERLINK("https://klasma.github.io/Logging_2581/tillsyn/A 73971-2021 tillsynsbegäran.docx", "A 73971-2021")</f>
        <v/>
      </c>
      <c r="Y417">
        <f>HYPERLINK("https://klasma.github.io/Logging_2581/tillsynsmail/A 73971-2021 tillsynsbegäran mail.docx", "A 73971-2021")</f>
        <v/>
      </c>
      <c r="Z417">
        <f>HYPERLINK("https://klasma.github.io/Logging_2581/fåglar/A 73971-2021 prioriterade fågelarter.docx", "A 73971-2021")</f>
        <v/>
      </c>
    </row>
    <row r="418" ht="15" customHeight="1">
      <c r="A418" t="inlineStr">
        <is>
          <t>A 3786-2022</t>
        </is>
      </c>
      <c r="B418" s="1" t="n">
        <v>44586</v>
      </c>
      <c r="C418" s="1" t="n">
        <v>45798</v>
      </c>
      <c r="D418" t="inlineStr">
        <is>
          <t>NORRBOTTENS LÄN</t>
        </is>
      </c>
      <c r="E418" t="inlineStr">
        <is>
          <t>JOKKMOKK</t>
        </is>
      </c>
      <c r="F418" t="inlineStr">
        <is>
          <t>SCA</t>
        </is>
      </c>
      <c r="G418" t="n">
        <v>12</v>
      </c>
      <c r="H418" t="n">
        <v>1</v>
      </c>
      <c r="I418" t="n">
        <v>2</v>
      </c>
      <c r="J418" t="n">
        <v>1</v>
      </c>
      <c r="K418" t="n">
        <v>0</v>
      </c>
      <c r="L418" t="n">
        <v>0</v>
      </c>
      <c r="M418" t="n">
        <v>0</v>
      </c>
      <c r="N418" t="n">
        <v>0</v>
      </c>
      <c r="O418" t="n">
        <v>1</v>
      </c>
      <c r="P418" t="n">
        <v>0</v>
      </c>
      <c r="Q418" t="n">
        <v>3</v>
      </c>
      <c r="R418" s="2" t="inlineStr">
        <is>
          <t>Talltita
Dropptaggsvamp
Tibast</t>
        </is>
      </c>
      <c r="S418">
        <f>HYPERLINK("https://klasma.github.io/Logging_2510/artfynd/A 3786-2022 artfynd.xlsx", "A 3786-2022")</f>
        <v/>
      </c>
      <c r="T418">
        <f>HYPERLINK("https://klasma.github.io/Logging_2510/kartor/A 3786-2022 karta.png", "A 3786-2022")</f>
        <v/>
      </c>
      <c r="V418">
        <f>HYPERLINK("https://klasma.github.io/Logging_2510/klagomål/A 3786-2022 FSC-klagomål.docx", "A 3786-2022")</f>
        <v/>
      </c>
      <c r="W418">
        <f>HYPERLINK("https://klasma.github.io/Logging_2510/klagomålsmail/A 3786-2022 FSC-klagomål mail.docx", "A 3786-2022")</f>
        <v/>
      </c>
      <c r="X418">
        <f>HYPERLINK("https://klasma.github.io/Logging_2510/tillsyn/A 3786-2022 tillsynsbegäran.docx", "A 3786-2022")</f>
        <v/>
      </c>
      <c r="Y418">
        <f>HYPERLINK("https://klasma.github.io/Logging_2510/tillsynsmail/A 3786-2022 tillsynsbegäran mail.docx", "A 3786-2022")</f>
        <v/>
      </c>
      <c r="Z418">
        <f>HYPERLINK("https://klasma.github.io/Logging_2510/fåglar/A 3786-2022 prioriterade fågelarter.docx", "A 3786-2022")</f>
        <v/>
      </c>
    </row>
    <row r="419" ht="15" customHeight="1">
      <c r="A419" t="inlineStr">
        <is>
          <t>A 7959-2022</t>
        </is>
      </c>
      <c r="B419" s="1" t="n">
        <v>44608</v>
      </c>
      <c r="C419" s="1" t="n">
        <v>45798</v>
      </c>
      <c r="D419" t="inlineStr">
        <is>
          <t>NORRBOTTENS LÄN</t>
        </is>
      </c>
      <c r="E419" t="inlineStr">
        <is>
          <t>PAJALA</t>
        </is>
      </c>
      <c r="F419" t="inlineStr">
        <is>
          <t>SCA</t>
        </is>
      </c>
      <c r="G419" t="n">
        <v>3</v>
      </c>
      <c r="H419" t="n">
        <v>0</v>
      </c>
      <c r="I419" t="n">
        <v>0</v>
      </c>
      <c r="J419" t="n">
        <v>3</v>
      </c>
      <c r="K419" t="n">
        <v>0</v>
      </c>
      <c r="L419" t="n">
        <v>0</v>
      </c>
      <c r="M419" t="n">
        <v>0</v>
      </c>
      <c r="N419" t="n">
        <v>0</v>
      </c>
      <c r="O419" t="n">
        <v>3</v>
      </c>
      <c r="P419" t="n">
        <v>0</v>
      </c>
      <c r="Q419" t="n">
        <v>3</v>
      </c>
      <c r="R419" s="2" t="inlineStr">
        <is>
          <t>Knottrig blåslav
Svartvit taggsvamp
Talltaggsvamp</t>
        </is>
      </c>
      <c r="S419">
        <f>HYPERLINK("https://klasma.github.io/Logging_2521/artfynd/A 7959-2022 artfynd.xlsx", "A 7959-2022")</f>
        <v/>
      </c>
      <c r="T419">
        <f>HYPERLINK("https://klasma.github.io/Logging_2521/kartor/A 7959-2022 karta.png", "A 7959-2022")</f>
        <v/>
      </c>
      <c r="V419">
        <f>HYPERLINK("https://klasma.github.io/Logging_2521/klagomål/A 7959-2022 FSC-klagomål.docx", "A 7959-2022")</f>
        <v/>
      </c>
      <c r="W419">
        <f>HYPERLINK("https://klasma.github.io/Logging_2521/klagomålsmail/A 7959-2022 FSC-klagomål mail.docx", "A 7959-2022")</f>
        <v/>
      </c>
      <c r="X419">
        <f>HYPERLINK("https://klasma.github.io/Logging_2521/tillsyn/A 7959-2022 tillsynsbegäran.docx", "A 7959-2022")</f>
        <v/>
      </c>
      <c r="Y419">
        <f>HYPERLINK("https://klasma.github.io/Logging_2521/tillsynsmail/A 7959-2022 tillsynsbegäran mail.docx", "A 7959-2022")</f>
        <v/>
      </c>
    </row>
    <row r="420" ht="15" customHeight="1">
      <c r="A420" t="inlineStr">
        <is>
          <t>A 15171-2022</t>
        </is>
      </c>
      <c r="B420" s="1" t="n">
        <v>44658</v>
      </c>
      <c r="C420" s="1" t="n">
        <v>45798</v>
      </c>
      <c r="D420" t="inlineStr">
        <is>
          <t>NORRBOTTENS LÄN</t>
        </is>
      </c>
      <c r="E420" t="inlineStr">
        <is>
          <t>ARJEPLOG</t>
        </is>
      </c>
      <c r="G420" t="n">
        <v>48</v>
      </c>
      <c r="H420" t="n">
        <v>1</v>
      </c>
      <c r="I420" t="n">
        <v>0</v>
      </c>
      <c r="J420" t="n">
        <v>3</v>
      </c>
      <c r="K420" t="n">
        <v>0</v>
      </c>
      <c r="L420" t="n">
        <v>0</v>
      </c>
      <c r="M420" t="n">
        <v>0</v>
      </c>
      <c r="N420" t="n">
        <v>0</v>
      </c>
      <c r="O420" t="n">
        <v>3</v>
      </c>
      <c r="P420" t="n">
        <v>0</v>
      </c>
      <c r="Q420" t="n">
        <v>3</v>
      </c>
      <c r="R420" s="2" t="inlineStr">
        <is>
          <t>Granticka
Lunglav
Tretåig hackspett</t>
        </is>
      </c>
      <c r="S420">
        <f>HYPERLINK("https://klasma.github.io/Logging_2506/artfynd/A 15171-2022 artfynd.xlsx", "A 15171-2022")</f>
        <v/>
      </c>
      <c r="T420">
        <f>HYPERLINK("https://klasma.github.io/Logging_2506/kartor/A 15171-2022 karta.png", "A 15171-2022")</f>
        <v/>
      </c>
      <c r="V420">
        <f>HYPERLINK("https://klasma.github.io/Logging_2506/klagomål/A 15171-2022 FSC-klagomål.docx", "A 15171-2022")</f>
        <v/>
      </c>
      <c r="W420">
        <f>HYPERLINK("https://klasma.github.io/Logging_2506/klagomålsmail/A 15171-2022 FSC-klagomål mail.docx", "A 15171-2022")</f>
        <v/>
      </c>
      <c r="X420">
        <f>HYPERLINK("https://klasma.github.io/Logging_2506/tillsyn/A 15171-2022 tillsynsbegäran.docx", "A 15171-2022")</f>
        <v/>
      </c>
      <c r="Y420">
        <f>HYPERLINK("https://klasma.github.io/Logging_2506/tillsynsmail/A 15171-2022 tillsynsbegäran mail.docx", "A 15171-2022")</f>
        <v/>
      </c>
      <c r="Z420">
        <f>HYPERLINK("https://klasma.github.io/Logging_2506/fåglar/A 15171-2022 prioriterade fågelarter.docx", "A 15171-2022")</f>
        <v/>
      </c>
    </row>
    <row r="421" ht="15" customHeight="1">
      <c r="A421" t="inlineStr">
        <is>
          <t>A 16752-2022</t>
        </is>
      </c>
      <c r="B421" s="1" t="n">
        <v>44673</v>
      </c>
      <c r="C421" s="1" t="n">
        <v>45798</v>
      </c>
      <c r="D421" t="inlineStr">
        <is>
          <t>NORRBOTTENS LÄN</t>
        </is>
      </c>
      <c r="E421" t="inlineStr">
        <is>
          <t>LULEÅ</t>
        </is>
      </c>
      <c r="G421" t="n">
        <v>14</v>
      </c>
      <c r="H421" t="n">
        <v>1</v>
      </c>
      <c r="I421" t="n">
        <v>1</v>
      </c>
      <c r="J421" t="n">
        <v>1</v>
      </c>
      <c r="K421" t="n">
        <v>0</v>
      </c>
      <c r="L421" t="n">
        <v>0</v>
      </c>
      <c r="M421" t="n">
        <v>0</v>
      </c>
      <c r="N421" t="n">
        <v>0</v>
      </c>
      <c r="O421" t="n">
        <v>1</v>
      </c>
      <c r="P421" t="n">
        <v>0</v>
      </c>
      <c r="Q421" t="n">
        <v>3</v>
      </c>
      <c r="R421" s="2" t="inlineStr">
        <is>
          <t>Vedskivlav
Nästlav
Fläcknycklar</t>
        </is>
      </c>
      <c r="S421">
        <f>HYPERLINK("https://klasma.github.io/Logging_2580/artfynd/A 16752-2022 artfynd.xlsx", "A 16752-2022")</f>
        <v/>
      </c>
      <c r="T421">
        <f>HYPERLINK("https://klasma.github.io/Logging_2580/kartor/A 16752-2022 karta.png", "A 16752-2022")</f>
        <v/>
      </c>
      <c r="V421">
        <f>HYPERLINK("https://klasma.github.io/Logging_2580/klagomål/A 16752-2022 FSC-klagomål.docx", "A 16752-2022")</f>
        <v/>
      </c>
      <c r="W421">
        <f>HYPERLINK("https://klasma.github.io/Logging_2580/klagomålsmail/A 16752-2022 FSC-klagomål mail.docx", "A 16752-2022")</f>
        <v/>
      </c>
      <c r="X421">
        <f>HYPERLINK("https://klasma.github.io/Logging_2580/tillsyn/A 16752-2022 tillsynsbegäran.docx", "A 16752-2022")</f>
        <v/>
      </c>
      <c r="Y421">
        <f>HYPERLINK("https://klasma.github.io/Logging_2580/tillsynsmail/A 16752-2022 tillsynsbegäran mail.docx", "A 16752-2022")</f>
        <v/>
      </c>
    </row>
    <row r="422" ht="15" customHeight="1">
      <c r="A422" t="inlineStr">
        <is>
          <t>A 30324-2022</t>
        </is>
      </c>
      <c r="B422" s="1" t="n">
        <v>44760</v>
      </c>
      <c r="C422" s="1" t="n">
        <v>45798</v>
      </c>
      <c r="D422" t="inlineStr">
        <is>
          <t>NORRBOTTENS LÄN</t>
        </is>
      </c>
      <c r="E422" t="inlineStr">
        <is>
          <t>PAJALA</t>
        </is>
      </c>
      <c r="G422" t="n">
        <v>19.5</v>
      </c>
      <c r="H422" t="n">
        <v>3</v>
      </c>
      <c r="I422" t="n">
        <v>0</v>
      </c>
      <c r="J422" t="n">
        <v>1</v>
      </c>
      <c r="K422" t="n">
        <v>0</v>
      </c>
      <c r="L422" t="n">
        <v>0</v>
      </c>
      <c r="M422" t="n">
        <v>0</v>
      </c>
      <c r="N422" t="n">
        <v>0</v>
      </c>
      <c r="O422" t="n">
        <v>1</v>
      </c>
      <c r="P422" t="n">
        <v>0</v>
      </c>
      <c r="Q422" t="n">
        <v>3</v>
      </c>
      <c r="R422" s="2" t="inlineStr">
        <is>
          <t>Rödvingetrast
Grönsiska
Tjäder</t>
        </is>
      </c>
      <c r="S422">
        <f>HYPERLINK("https://klasma.github.io/Logging_2521/artfynd/A 30324-2022 artfynd.xlsx", "A 30324-2022")</f>
        <v/>
      </c>
      <c r="T422">
        <f>HYPERLINK("https://klasma.github.io/Logging_2521/kartor/A 30324-2022 karta.png", "A 30324-2022")</f>
        <v/>
      </c>
      <c r="V422">
        <f>HYPERLINK("https://klasma.github.io/Logging_2521/klagomål/A 30324-2022 FSC-klagomål.docx", "A 30324-2022")</f>
        <v/>
      </c>
      <c r="W422">
        <f>HYPERLINK("https://klasma.github.io/Logging_2521/klagomålsmail/A 30324-2022 FSC-klagomål mail.docx", "A 30324-2022")</f>
        <v/>
      </c>
      <c r="X422">
        <f>HYPERLINK("https://klasma.github.io/Logging_2521/tillsyn/A 30324-2022 tillsynsbegäran.docx", "A 30324-2022")</f>
        <v/>
      </c>
      <c r="Y422">
        <f>HYPERLINK("https://klasma.github.io/Logging_2521/tillsynsmail/A 30324-2022 tillsynsbegäran mail.docx", "A 30324-2022")</f>
        <v/>
      </c>
      <c r="Z422">
        <f>HYPERLINK("https://klasma.github.io/Logging_2521/fåglar/A 30324-2022 prioriterade fågelarter.docx", "A 30324-2022")</f>
        <v/>
      </c>
    </row>
    <row r="423" ht="15" customHeight="1">
      <c r="A423" t="inlineStr">
        <is>
          <t>A 33453-2022</t>
        </is>
      </c>
      <c r="B423" s="1" t="n">
        <v>44788</v>
      </c>
      <c r="C423" s="1" t="n">
        <v>45798</v>
      </c>
      <c r="D423" t="inlineStr">
        <is>
          <t>NORRBOTTENS LÄN</t>
        </is>
      </c>
      <c r="E423" t="inlineStr">
        <is>
          <t>ARVIDSJAUR</t>
        </is>
      </c>
      <c r="F423" t="inlineStr">
        <is>
          <t>Allmännings- och besparingsskogar</t>
        </is>
      </c>
      <c r="G423" t="n">
        <v>18</v>
      </c>
      <c r="H423" t="n">
        <v>0</v>
      </c>
      <c r="I423" t="n">
        <v>0</v>
      </c>
      <c r="J423" t="n">
        <v>2</v>
      </c>
      <c r="K423" t="n">
        <v>1</v>
      </c>
      <c r="L423" t="n">
        <v>0</v>
      </c>
      <c r="M423" t="n">
        <v>0</v>
      </c>
      <c r="N423" t="n">
        <v>0</v>
      </c>
      <c r="O423" t="n">
        <v>3</v>
      </c>
      <c r="P423" t="n">
        <v>1</v>
      </c>
      <c r="Q423" t="n">
        <v>3</v>
      </c>
      <c r="R423" s="2" t="inlineStr">
        <is>
          <t>Fläckporing
Gränsticka
Nordtagging</t>
        </is>
      </c>
      <c r="S423">
        <f>HYPERLINK("https://klasma.github.io/Logging_2505/artfynd/A 33453-2022 artfynd.xlsx", "A 33453-2022")</f>
        <v/>
      </c>
      <c r="T423">
        <f>HYPERLINK("https://klasma.github.io/Logging_2505/kartor/A 33453-2022 karta.png", "A 33453-2022")</f>
        <v/>
      </c>
      <c r="V423">
        <f>HYPERLINK("https://klasma.github.io/Logging_2505/klagomål/A 33453-2022 FSC-klagomål.docx", "A 33453-2022")</f>
        <v/>
      </c>
      <c r="W423">
        <f>HYPERLINK("https://klasma.github.io/Logging_2505/klagomålsmail/A 33453-2022 FSC-klagomål mail.docx", "A 33453-2022")</f>
        <v/>
      </c>
      <c r="X423">
        <f>HYPERLINK("https://klasma.github.io/Logging_2505/tillsyn/A 33453-2022 tillsynsbegäran.docx", "A 33453-2022")</f>
        <v/>
      </c>
      <c r="Y423">
        <f>HYPERLINK("https://klasma.github.io/Logging_2505/tillsynsmail/A 33453-2022 tillsynsbegäran mail.docx", "A 33453-2022")</f>
        <v/>
      </c>
    </row>
    <row r="424" ht="15" customHeight="1">
      <c r="A424" t="inlineStr">
        <is>
          <t>A 33873-2022</t>
        </is>
      </c>
      <c r="B424" s="1" t="n">
        <v>44790</v>
      </c>
      <c r="C424" s="1" t="n">
        <v>45798</v>
      </c>
      <c r="D424" t="inlineStr">
        <is>
          <t>NORRBOTTENS LÄN</t>
        </is>
      </c>
      <c r="E424" t="inlineStr">
        <is>
          <t>ARVIDSJAUR</t>
        </is>
      </c>
      <c r="F424" t="inlineStr">
        <is>
          <t>Sveaskog</t>
        </is>
      </c>
      <c r="G424" t="n">
        <v>15.8</v>
      </c>
      <c r="H424" t="n">
        <v>1</v>
      </c>
      <c r="I424" t="n">
        <v>1</v>
      </c>
      <c r="J424" t="n">
        <v>1</v>
      </c>
      <c r="K424" t="n">
        <v>1</v>
      </c>
      <c r="L424" t="n">
        <v>0</v>
      </c>
      <c r="M424" t="n">
        <v>0</v>
      </c>
      <c r="N424" t="n">
        <v>0</v>
      </c>
      <c r="O424" t="n">
        <v>2</v>
      </c>
      <c r="P424" t="n">
        <v>1</v>
      </c>
      <c r="Q424" t="n">
        <v>3</v>
      </c>
      <c r="R424" s="2" t="inlineStr">
        <is>
          <t>Smalfotad taggsvamp
Tretåig hackspett
Dropptaggsvamp</t>
        </is>
      </c>
      <c r="S424">
        <f>HYPERLINK("https://klasma.github.io/Logging_2505/artfynd/A 33873-2022 artfynd.xlsx", "A 33873-2022")</f>
        <v/>
      </c>
      <c r="T424">
        <f>HYPERLINK("https://klasma.github.io/Logging_2505/kartor/A 33873-2022 karta.png", "A 33873-2022")</f>
        <v/>
      </c>
      <c r="V424">
        <f>HYPERLINK("https://klasma.github.io/Logging_2505/klagomål/A 33873-2022 FSC-klagomål.docx", "A 33873-2022")</f>
        <v/>
      </c>
      <c r="W424">
        <f>HYPERLINK("https://klasma.github.io/Logging_2505/klagomålsmail/A 33873-2022 FSC-klagomål mail.docx", "A 33873-2022")</f>
        <v/>
      </c>
      <c r="X424">
        <f>HYPERLINK("https://klasma.github.io/Logging_2505/tillsyn/A 33873-2022 tillsynsbegäran.docx", "A 33873-2022")</f>
        <v/>
      </c>
      <c r="Y424">
        <f>HYPERLINK("https://klasma.github.io/Logging_2505/tillsynsmail/A 33873-2022 tillsynsbegäran mail.docx", "A 33873-2022")</f>
        <v/>
      </c>
      <c r="Z424">
        <f>HYPERLINK("https://klasma.github.io/Logging_2505/fåglar/A 33873-2022 prioriterade fågelarter.docx", "A 33873-2022")</f>
        <v/>
      </c>
    </row>
    <row r="425" ht="15" customHeight="1">
      <c r="A425" t="inlineStr">
        <is>
          <t>A 35090-2022</t>
        </is>
      </c>
      <c r="B425" s="1" t="n">
        <v>44797</v>
      </c>
      <c r="C425" s="1" t="n">
        <v>45798</v>
      </c>
      <c r="D425" t="inlineStr">
        <is>
          <t>NORRBOTTENS LÄN</t>
        </is>
      </c>
      <c r="E425" t="inlineStr">
        <is>
          <t>GÄLLIVARE</t>
        </is>
      </c>
      <c r="G425" t="n">
        <v>6.8</v>
      </c>
      <c r="H425" t="n">
        <v>0</v>
      </c>
      <c r="I425" t="n">
        <v>0</v>
      </c>
      <c r="J425" t="n">
        <v>2</v>
      </c>
      <c r="K425" t="n">
        <v>1</v>
      </c>
      <c r="L425" t="n">
        <v>0</v>
      </c>
      <c r="M425" t="n">
        <v>0</v>
      </c>
      <c r="N425" t="n">
        <v>0</v>
      </c>
      <c r="O425" t="n">
        <v>3</v>
      </c>
      <c r="P425" t="n">
        <v>1</v>
      </c>
      <c r="Q425" t="n">
        <v>3</v>
      </c>
      <c r="R425" s="2" t="inlineStr">
        <is>
          <t>Fläckporing
Garnlav
Violmussling</t>
        </is>
      </c>
      <c r="S425">
        <f>HYPERLINK("https://klasma.github.io/Logging_2523/artfynd/A 35090-2022 artfynd.xlsx", "A 35090-2022")</f>
        <v/>
      </c>
      <c r="T425">
        <f>HYPERLINK("https://klasma.github.io/Logging_2523/kartor/A 35090-2022 karta.png", "A 35090-2022")</f>
        <v/>
      </c>
      <c r="V425">
        <f>HYPERLINK("https://klasma.github.io/Logging_2523/klagomål/A 35090-2022 FSC-klagomål.docx", "A 35090-2022")</f>
        <v/>
      </c>
      <c r="W425">
        <f>HYPERLINK("https://klasma.github.io/Logging_2523/klagomålsmail/A 35090-2022 FSC-klagomål mail.docx", "A 35090-2022")</f>
        <v/>
      </c>
      <c r="X425">
        <f>HYPERLINK("https://klasma.github.io/Logging_2523/tillsyn/A 35090-2022 tillsynsbegäran.docx", "A 35090-2022")</f>
        <v/>
      </c>
      <c r="Y425">
        <f>HYPERLINK("https://klasma.github.io/Logging_2523/tillsynsmail/A 35090-2022 tillsynsbegäran mail.docx", "A 35090-2022")</f>
        <v/>
      </c>
    </row>
    <row r="426" ht="15" customHeight="1">
      <c r="A426" t="inlineStr">
        <is>
          <t>A 37113-2022</t>
        </is>
      </c>
      <c r="B426" s="1" t="n">
        <v>44806</v>
      </c>
      <c r="C426" s="1" t="n">
        <v>45798</v>
      </c>
      <c r="D426" t="inlineStr">
        <is>
          <t>NORRBOTTENS LÄN</t>
        </is>
      </c>
      <c r="E426" t="inlineStr">
        <is>
          <t>ARVIDSJAUR</t>
        </is>
      </c>
      <c r="F426" t="inlineStr">
        <is>
          <t>Sveaskog</t>
        </is>
      </c>
      <c r="G426" t="n">
        <v>6.6</v>
      </c>
      <c r="H426" t="n">
        <v>0</v>
      </c>
      <c r="I426" t="n">
        <v>1</v>
      </c>
      <c r="J426" t="n">
        <v>1</v>
      </c>
      <c r="K426" t="n">
        <v>1</v>
      </c>
      <c r="L426" t="n">
        <v>0</v>
      </c>
      <c r="M426" t="n">
        <v>0</v>
      </c>
      <c r="N426" t="n">
        <v>0</v>
      </c>
      <c r="O426" t="n">
        <v>2</v>
      </c>
      <c r="P426" t="n">
        <v>1</v>
      </c>
      <c r="Q426" t="n">
        <v>3</v>
      </c>
      <c r="R426" s="2" t="inlineStr">
        <is>
          <t>Gräddporing
Svart taggsvamp
Dropptaggsvamp</t>
        </is>
      </c>
      <c r="S426">
        <f>HYPERLINK("https://klasma.github.io/Logging_2505/artfynd/A 37113-2022 artfynd.xlsx", "A 37113-2022")</f>
        <v/>
      </c>
      <c r="T426">
        <f>HYPERLINK("https://klasma.github.io/Logging_2505/kartor/A 37113-2022 karta.png", "A 37113-2022")</f>
        <v/>
      </c>
      <c r="V426">
        <f>HYPERLINK("https://klasma.github.io/Logging_2505/klagomål/A 37113-2022 FSC-klagomål.docx", "A 37113-2022")</f>
        <v/>
      </c>
      <c r="W426">
        <f>HYPERLINK("https://klasma.github.io/Logging_2505/klagomålsmail/A 37113-2022 FSC-klagomål mail.docx", "A 37113-2022")</f>
        <v/>
      </c>
      <c r="X426">
        <f>HYPERLINK("https://klasma.github.io/Logging_2505/tillsyn/A 37113-2022 tillsynsbegäran.docx", "A 37113-2022")</f>
        <v/>
      </c>
      <c r="Y426">
        <f>HYPERLINK("https://klasma.github.io/Logging_2505/tillsynsmail/A 37113-2022 tillsynsbegäran mail.docx", "A 37113-2022")</f>
        <v/>
      </c>
    </row>
    <row r="427" ht="15" customHeight="1">
      <c r="A427" t="inlineStr">
        <is>
          <t>A 37703-2022</t>
        </is>
      </c>
      <c r="B427" s="1" t="n">
        <v>44810</v>
      </c>
      <c r="C427" s="1" t="n">
        <v>45798</v>
      </c>
      <c r="D427" t="inlineStr">
        <is>
          <t>NORRBOTTENS LÄN</t>
        </is>
      </c>
      <c r="E427" t="inlineStr">
        <is>
          <t>PITEÅ</t>
        </is>
      </c>
      <c r="F427" t="inlineStr">
        <is>
          <t>Sveaskog</t>
        </is>
      </c>
      <c r="G427" t="n">
        <v>11.6</v>
      </c>
      <c r="H427" t="n">
        <v>0</v>
      </c>
      <c r="I427" t="n">
        <v>1</v>
      </c>
      <c r="J427" t="n">
        <v>2</v>
      </c>
      <c r="K427" t="n">
        <v>0</v>
      </c>
      <c r="L427" t="n">
        <v>0</v>
      </c>
      <c r="M427" t="n">
        <v>0</v>
      </c>
      <c r="N427" t="n">
        <v>0</v>
      </c>
      <c r="O427" t="n">
        <v>2</v>
      </c>
      <c r="P427" t="n">
        <v>0</v>
      </c>
      <c r="Q427" t="n">
        <v>3</v>
      </c>
      <c r="R427" s="2" t="inlineStr">
        <is>
          <t>Nordtagging
Tallticka
Skarp dropptaggsvamp</t>
        </is>
      </c>
      <c r="S427">
        <f>HYPERLINK("https://klasma.github.io/Logging_2581/artfynd/A 37703-2022 artfynd.xlsx", "A 37703-2022")</f>
        <v/>
      </c>
      <c r="T427">
        <f>HYPERLINK("https://klasma.github.io/Logging_2581/kartor/A 37703-2022 karta.png", "A 37703-2022")</f>
        <v/>
      </c>
      <c r="V427">
        <f>HYPERLINK("https://klasma.github.io/Logging_2581/klagomål/A 37703-2022 FSC-klagomål.docx", "A 37703-2022")</f>
        <v/>
      </c>
      <c r="W427">
        <f>HYPERLINK("https://klasma.github.io/Logging_2581/klagomålsmail/A 37703-2022 FSC-klagomål mail.docx", "A 37703-2022")</f>
        <v/>
      </c>
      <c r="X427">
        <f>HYPERLINK("https://klasma.github.io/Logging_2581/tillsyn/A 37703-2022 tillsynsbegäran.docx", "A 37703-2022")</f>
        <v/>
      </c>
      <c r="Y427">
        <f>HYPERLINK("https://klasma.github.io/Logging_2581/tillsynsmail/A 37703-2022 tillsynsbegäran mail.docx", "A 37703-2022")</f>
        <v/>
      </c>
    </row>
    <row r="428" ht="15" customHeight="1">
      <c r="A428" t="inlineStr">
        <is>
          <t>A 38022-2022</t>
        </is>
      </c>
      <c r="B428" s="1" t="n">
        <v>44811</v>
      </c>
      <c r="C428" s="1" t="n">
        <v>45798</v>
      </c>
      <c r="D428" t="inlineStr">
        <is>
          <t>NORRBOTTENS LÄN</t>
        </is>
      </c>
      <c r="E428" t="inlineStr">
        <is>
          <t>ÖVERKALIX</t>
        </is>
      </c>
      <c r="F428" t="inlineStr">
        <is>
          <t>Sveaskog</t>
        </is>
      </c>
      <c r="G428" t="n">
        <v>28</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HYPERLINK("https://klasma.github.io/Logging_2513/artfynd/A 38022-2022 artfynd.xlsx", "A 38022-2022")</f>
        <v/>
      </c>
      <c r="T428">
        <f>HYPERLINK("https://klasma.github.io/Logging_2513/kartor/A 38022-2022 karta.png", "A 38022-2022")</f>
        <v/>
      </c>
      <c r="V428">
        <f>HYPERLINK("https://klasma.github.io/Logging_2513/klagomål/A 38022-2022 FSC-klagomål.docx", "A 38022-2022")</f>
        <v/>
      </c>
      <c r="W428">
        <f>HYPERLINK("https://klasma.github.io/Logging_2513/klagomålsmail/A 38022-2022 FSC-klagomål mail.docx", "A 38022-2022")</f>
        <v/>
      </c>
      <c r="X428">
        <f>HYPERLINK("https://klasma.github.io/Logging_2513/tillsyn/A 38022-2022 tillsynsbegäran.docx", "A 38022-2022")</f>
        <v/>
      </c>
      <c r="Y428">
        <f>HYPERLINK("https://klasma.github.io/Logging_2513/tillsynsmail/A 38022-2022 tillsynsbegäran mail.docx", "A 38022-2022")</f>
        <v/>
      </c>
    </row>
    <row r="429" ht="15" customHeight="1">
      <c r="A429" t="inlineStr">
        <is>
          <t>A 51247-2022</t>
        </is>
      </c>
      <c r="B429" s="1" t="n">
        <v>44868</v>
      </c>
      <c r="C429" s="1" t="n">
        <v>45798</v>
      </c>
      <c r="D429" t="inlineStr">
        <is>
          <t>NORRBOTTENS LÄN</t>
        </is>
      </c>
      <c r="E429" t="inlineStr">
        <is>
          <t>BODEN</t>
        </is>
      </c>
      <c r="F429" t="inlineStr">
        <is>
          <t>Sveaskog</t>
        </is>
      </c>
      <c r="G429" t="n">
        <v>9.800000000000001</v>
      </c>
      <c r="H429" t="n">
        <v>1</v>
      </c>
      <c r="I429" t="n">
        <v>0</v>
      </c>
      <c r="J429" t="n">
        <v>2</v>
      </c>
      <c r="K429" t="n">
        <v>1</v>
      </c>
      <c r="L429" t="n">
        <v>0</v>
      </c>
      <c r="M429" t="n">
        <v>0</v>
      </c>
      <c r="N429" t="n">
        <v>0</v>
      </c>
      <c r="O429" t="n">
        <v>3</v>
      </c>
      <c r="P429" t="n">
        <v>1</v>
      </c>
      <c r="Q429" t="n">
        <v>3</v>
      </c>
      <c r="R429" s="2" t="inlineStr">
        <is>
          <t>Doftticka
Koralltaggsvamp
Lunglav</t>
        </is>
      </c>
      <c r="S429">
        <f>HYPERLINK("https://klasma.github.io/Logging_2582/artfynd/A 51247-2022 artfynd.xlsx", "A 51247-2022")</f>
        <v/>
      </c>
      <c r="T429">
        <f>HYPERLINK("https://klasma.github.io/Logging_2582/kartor/A 51247-2022 karta.png", "A 51247-2022")</f>
        <v/>
      </c>
      <c r="V429">
        <f>HYPERLINK("https://klasma.github.io/Logging_2582/klagomål/A 51247-2022 FSC-klagomål.docx", "A 51247-2022")</f>
        <v/>
      </c>
      <c r="W429">
        <f>HYPERLINK("https://klasma.github.io/Logging_2582/klagomålsmail/A 51247-2022 FSC-klagomål mail.docx", "A 51247-2022")</f>
        <v/>
      </c>
      <c r="X429">
        <f>HYPERLINK("https://klasma.github.io/Logging_2582/tillsyn/A 51247-2022 tillsynsbegäran.docx", "A 51247-2022")</f>
        <v/>
      </c>
      <c r="Y429">
        <f>HYPERLINK("https://klasma.github.io/Logging_2582/tillsynsmail/A 51247-2022 tillsynsbegäran mail.docx", "A 51247-2022")</f>
        <v/>
      </c>
    </row>
    <row r="430" ht="15" customHeight="1">
      <c r="A430" t="inlineStr">
        <is>
          <t>A 53005-2022</t>
        </is>
      </c>
      <c r="B430" s="1" t="n">
        <v>44875</v>
      </c>
      <c r="C430" s="1" t="n">
        <v>45798</v>
      </c>
      <c r="D430" t="inlineStr">
        <is>
          <t>NORRBOTTENS LÄN</t>
        </is>
      </c>
      <c r="E430" t="inlineStr">
        <is>
          <t>BODEN</t>
        </is>
      </c>
      <c r="F430" t="inlineStr">
        <is>
          <t>SCA</t>
        </is>
      </c>
      <c r="G430" t="n">
        <v>5.7</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HYPERLINK("https://klasma.github.io/Logging_2582/artfynd/A 53005-2022 artfynd.xlsx", "A 53005-2022")</f>
        <v/>
      </c>
      <c r="T430">
        <f>HYPERLINK("https://klasma.github.io/Logging_2582/kartor/A 53005-2022 karta.png", "A 53005-2022")</f>
        <v/>
      </c>
      <c r="V430">
        <f>HYPERLINK("https://klasma.github.io/Logging_2582/klagomål/A 53005-2022 FSC-klagomål.docx", "A 53005-2022")</f>
        <v/>
      </c>
      <c r="W430">
        <f>HYPERLINK("https://klasma.github.io/Logging_2582/klagomålsmail/A 53005-2022 FSC-klagomål mail.docx", "A 53005-2022")</f>
        <v/>
      </c>
      <c r="X430">
        <f>HYPERLINK("https://klasma.github.io/Logging_2582/tillsyn/A 53005-2022 tillsynsbegäran.docx", "A 53005-2022")</f>
        <v/>
      </c>
      <c r="Y430">
        <f>HYPERLINK("https://klasma.github.io/Logging_2582/tillsynsmail/A 53005-2022 tillsynsbegäran mail.docx", "A 53005-2022")</f>
        <v/>
      </c>
    </row>
    <row r="431" ht="15" customHeight="1">
      <c r="A431" t="inlineStr">
        <is>
          <t>A 59358-2022</t>
        </is>
      </c>
      <c r="B431" s="1" t="n">
        <v>44904</v>
      </c>
      <c r="C431" s="1" t="n">
        <v>45798</v>
      </c>
      <c r="D431" t="inlineStr">
        <is>
          <t>NORRBOTTENS LÄN</t>
        </is>
      </c>
      <c r="E431" t="inlineStr">
        <is>
          <t>BODEN</t>
        </is>
      </c>
      <c r="G431" t="n">
        <v>1.5</v>
      </c>
      <c r="H431" t="n">
        <v>2</v>
      </c>
      <c r="I431" t="n">
        <v>1</v>
      </c>
      <c r="J431" t="n">
        <v>1</v>
      </c>
      <c r="K431" t="n">
        <v>1</v>
      </c>
      <c r="L431" t="n">
        <v>0</v>
      </c>
      <c r="M431" t="n">
        <v>0</v>
      </c>
      <c r="N431" t="n">
        <v>0</v>
      </c>
      <c r="O431" t="n">
        <v>2</v>
      </c>
      <c r="P431" t="n">
        <v>1</v>
      </c>
      <c r="Q431" t="n">
        <v>3</v>
      </c>
      <c r="R431" s="2" t="inlineStr">
        <is>
          <t>Stare
Rosenfink
Rävticka</t>
        </is>
      </c>
      <c r="S431">
        <f>HYPERLINK("https://klasma.github.io/Logging_2582/artfynd/A 59358-2022 artfynd.xlsx", "A 59358-2022")</f>
        <v/>
      </c>
      <c r="T431">
        <f>HYPERLINK("https://klasma.github.io/Logging_2582/kartor/A 59358-2022 karta.png", "A 59358-2022")</f>
        <v/>
      </c>
      <c r="V431">
        <f>HYPERLINK("https://klasma.github.io/Logging_2582/klagomål/A 59358-2022 FSC-klagomål.docx", "A 59358-2022")</f>
        <v/>
      </c>
      <c r="W431">
        <f>HYPERLINK("https://klasma.github.io/Logging_2582/klagomålsmail/A 59358-2022 FSC-klagomål mail.docx", "A 59358-2022")</f>
        <v/>
      </c>
      <c r="X431">
        <f>HYPERLINK("https://klasma.github.io/Logging_2582/tillsyn/A 59358-2022 tillsynsbegäran.docx", "A 59358-2022")</f>
        <v/>
      </c>
      <c r="Y431">
        <f>HYPERLINK("https://klasma.github.io/Logging_2582/tillsynsmail/A 59358-2022 tillsynsbegäran mail.docx", "A 59358-2022")</f>
        <v/>
      </c>
      <c r="Z431">
        <f>HYPERLINK("https://klasma.github.io/Logging_2582/fåglar/A 59358-2022 prioriterade fågelarter.docx", "A 59358-2022")</f>
        <v/>
      </c>
    </row>
    <row r="432" ht="15" customHeight="1">
      <c r="A432" t="inlineStr">
        <is>
          <t>A 61137-2022</t>
        </is>
      </c>
      <c r="B432" s="1" t="n">
        <v>44915</v>
      </c>
      <c r="C432" s="1" t="n">
        <v>45798</v>
      </c>
      <c r="D432" t="inlineStr">
        <is>
          <t>NORRBOTTENS LÄN</t>
        </is>
      </c>
      <c r="E432" t="inlineStr">
        <is>
          <t>ARVIDSJAUR</t>
        </is>
      </c>
      <c r="F432" t="inlineStr">
        <is>
          <t>Sveaskog</t>
        </is>
      </c>
      <c r="G432" t="n">
        <v>10.5</v>
      </c>
      <c r="H432" t="n">
        <v>1</v>
      </c>
      <c r="I432" t="n">
        <v>1</v>
      </c>
      <c r="J432" t="n">
        <v>1</v>
      </c>
      <c r="K432" t="n">
        <v>0</v>
      </c>
      <c r="L432" t="n">
        <v>0</v>
      </c>
      <c r="M432" t="n">
        <v>0</v>
      </c>
      <c r="N432" t="n">
        <v>0</v>
      </c>
      <c r="O432" t="n">
        <v>1</v>
      </c>
      <c r="P432" t="n">
        <v>0</v>
      </c>
      <c r="Q432" t="n">
        <v>3</v>
      </c>
      <c r="R432" s="2" t="inlineStr">
        <is>
          <t>Sandsyra
Ögonpyrola
Revlummer</t>
        </is>
      </c>
      <c r="S432">
        <f>HYPERLINK("https://klasma.github.io/Logging_2505/artfynd/A 61137-2022 artfynd.xlsx", "A 61137-2022")</f>
        <v/>
      </c>
      <c r="T432">
        <f>HYPERLINK("https://klasma.github.io/Logging_2505/kartor/A 61137-2022 karta.png", "A 61137-2022")</f>
        <v/>
      </c>
      <c r="V432">
        <f>HYPERLINK("https://klasma.github.io/Logging_2505/klagomål/A 61137-2022 FSC-klagomål.docx", "A 61137-2022")</f>
        <v/>
      </c>
      <c r="W432">
        <f>HYPERLINK("https://klasma.github.io/Logging_2505/klagomålsmail/A 61137-2022 FSC-klagomål mail.docx", "A 61137-2022")</f>
        <v/>
      </c>
      <c r="X432">
        <f>HYPERLINK("https://klasma.github.io/Logging_2505/tillsyn/A 61137-2022 tillsynsbegäran.docx", "A 61137-2022")</f>
        <v/>
      </c>
      <c r="Y432">
        <f>HYPERLINK("https://klasma.github.io/Logging_2505/tillsynsmail/A 61137-2022 tillsynsbegäran mail.docx", "A 61137-2022")</f>
        <v/>
      </c>
    </row>
    <row r="433" ht="15" customHeight="1">
      <c r="A433" t="inlineStr">
        <is>
          <t>A 61712-2022</t>
        </is>
      </c>
      <c r="B433" s="1" t="n">
        <v>44917</v>
      </c>
      <c r="C433" s="1" t="n">
        <v>45798</v>
      </c>
      <c r="D433" t="inlineStr">
        <is>
          <t>NORRBOTTENS LÄN</t>
        </is>
      </c>
      <c r="E433" t="inlineStr">
        <is>
          <t>PITEÅ</t>
        </is>
      </c>
      <c r="F433" t="inlineStr">
        <is>
          <t>Sveaskog</t>
        </is>
      </c>
      <c r="G433" t="n">
        <v>4.2</v>
      </c>
      <c r="H433" t="n">
        <v>2</v>
      </c>
      <c r="I433" t="n">
        <v>0</v>
      </c>
      <c r="J433" t="n">
        <v>1</v>
      </c>
      <c r="K433" t="n">
        <v>0</v>
      </c>
      <c r="L433" t="n">
        <v>0</v>
      </c>
      <c r="M433" t="n">
        <v>0</v>
      </c>
      <c r="N433" t="n">
        <v>0</v>
      </c>
      <c r="O433" t="n">
        <v>1</v>
      </c>
      <c r="P433" t="n">
        <v>0</v>
      </c>
      <c r="Q433" t="n">
        <v>3</v>
      </c>
      <c r="R433" s="2" t="inlineStr">
        <is>
          <t>Garnlav
Mattlummer
Revlummer</t>
        </is>
      </c>
      <c r="S433">
        <f>HYPERLINK("https://klasma.github.io/Logging_2581/artfynd/A 61712-2022 artfynd.xlsx", "A 61712-2022")</f>
        <v/>
      </c>
      <c r="T433">
        <f>HYPERLINK("https://klasma.github.io/Logging_2581/kartor/A 61712-2022 karta.png", "A 61712-2022")</f>
        <v/>
      </c>
      <c r="V433">
        <f>HYPERLINK("https://klasma.github.io/Logging_2581/klagomål/A 61712-2022 FSC-klagomål.docx", "A 61712-2022")</f>
        <v/>
      </c>
      <c r="W433">
        <f>HYPERLINK("https://klasma.github.io/Logging_2581/klagomålsmail/A 61712-2022 FSC-klagomål mail.docx", "A 61712-2022")</f>
        <v/>
      </c>
      <c r="X433">
        <f>HYPERLINK("https://klasma.github.io/Logging_2581/tillsyn/A 61712-2022 tillsynsbegäran.docx", "A 61712-2022")</f>
        <v/>
      </c>
      <c r="Y433">
        <f>HYPERLINK("https://klasma.github.io/Logging_2581/tillsynsmail/A 61712-2022 tillsynsbegäran mail.docx", "A 61712-2022")</f>
        <v/>
      </c>
    </row>
    <row r="434" ht="15" customHeight="1">
      <c r="A434" t="inlineStr">
        <is>
          <t>A 3752-2023</t>
        </is>
      </c>
      <c r="B434" s="1" t="n">
        <v>44949</v>
      </c>
      <c r="C434" s="1" t="n">
        <v>45798</v>
      </c>
      <c r="D434" t="inlineStr">
        <is>
          <t>NORRBOTTENS LÄN</t>
        </is>
      </c>
      <c r="E434" t="inlineStr">
        <is>
          <t>ÄLVSBYN</t>
        </is>
      </c>
      <c r="G434" t="n">
        <v>3.7</v>
      </c>
      <c r="H434" t="n">
        <v>1</v>
      </c>
      <c r="I434" t="n">
        <v>0</v>
      </c>
      <c r="J434" t="n">
        <v>3</v>
      </c>
      <c r="K434" t="n">
        <v>0</v>
      </c>
      <c r="L434" t="n">
        <v>0</v>
      </c>
      <c r="M434" t="n">
        <v>0</v>
      </c>
      <c r="N434" t="n">
        <v>0</v>
      </c>
      <c r="O434" t="n">
        <v>3</v>
      </c>
      <c r="P434" t="n">
        <v>0</v>
      </c>
      <c r="Q434" t="n">
        <v>3</v>
      </c>
      <c r="R434" s="2" t="inlineStr">
        <is>
          <t>Garnlav
Tretåig hackspett
Ullticka</t>
        </is>
      </c>
      <c r="S434">
        <f>HYPERLINK("https://klasma.github.io/Logging_2560/artfynd/A 3752-2023 artfynd.xlsx", "A 3752-2023")</f>
        <v/>
      </c>
      <c r="T434">
        <f>HYPERLINK("https://klasma.github.io/Logging_2560/kartor/A 3752-2023 karta.png", "A 3752-2023")</f>
        <v/>
      </c>
      <c r="V434">
        <f>HYPERLINK("https://klasma.github.io/Logging_2560/klagomål/A 3752-2023 FSC-klagomål.docx", "A 3752-2023")</f>
        <v/>
      </c>
      <c r="W434">
        <f>HYPERLINK("https://klasma.github.io/Logging_2560/klagomålsmail/A 3752-2023 FSC-klagomål mail.docx", "A 3752-2023")</f>
        <v/>
      </c>
      <c r="X434">
        <f>HYPERLINK("https://klasma.github.io/Logging_2560/tillsyn/A 3752-2023 tillsynsbegäran.docx", "A 3752-2023")</f>
        <v/>
      </c>
      <c r="Y434">
        <f>HYPERLINK("https://klasma.github.io/Logging_2560/tillsynsmail/A 3752-2023 tillsynsbegäran mail.docx", "A 3752-2023")</f>
        <v/>
      </c>
      <c r="Z434">
        <f>HYPERLINK("https://klasma.github.io/Logging_2560/fåglar/A 3752-2023 prioriterade fågelarter.docx", "A 3752-2023")</f>
        <v/>
      </c>
    </row>
    <row r="435" ht="15" customHeight="1">
      <c r="A435" t="inlineStr">
        <is>
          <t>A 14482-2023</t>
        </is>
      </c>
      <c r="B435" s="1" t="n">
        <v>45012</v>
      </c>
      <c r="C435" s="1" t="n">
        <v>45798</v>
      </c>
      <c r="D435" t="inlineStr">
        <is>
          <t>NORRBOTTENS LÄN</t>
        </is>
      </c>
      <c r="E435" t="inlineStr">
        <is>
          <t>GÄLLIVARE</t>
        </is>
      </c>
      <c r="G435" t="n">
        <v>7.4</v>
      </c>
      <c r="H435" t="n">
        <v>0</v>
      </c>
      <c r="I435" t="n">
        <v>0</v>
      </c>
      <c r="J435" t="n">
        <v>1</v>
      </c>
      <c r="K435" t="n">
        <v>2</v>
      </c>
      <c r="L435" t="n">
        <v>0</v>
      </c>
      <c r="M435" t="n">
        <v>0</v>
      </c>
      <c r="N435" t="n">
        <v>0</v>
      </c>
      <c r="O435" t="n">
        <v>3</v>
      </c>
      <c r="P435" t="n">
        <v>2</v>
      </c>
      <c r="Q435" t="n">
        <v>3</v>
      </c>
      <c r="R435" s="2" t="inlineStr">
        <is>
          <t>Goliatmusseron
Tallgråticka
Blå taggsvamp</t>
        </is>
      </c>
      <c r="S435">
        <f>HYPERLINK("https://klasma.github.io/Logging_2523/artfynd/A 14482-2023 artfynd.xlsx", "A 14482-2023")</f>
        <v/>
      </c>
      <c r="T435">
        <f>HYPERLINK("https://klasma.github.io/Logging_2523/kartor/A 14482-2023 karta.png", "A 14482-2023")</f>
        <v/>
      </c>
      <c r="V435">
        <f>HYPERLINK("https://klasma.github.io/Logging_2523/klagomål/A 14482-2023 FSC-klagomål.docx", "A 14482-2023")</f>
        <v/>
      </c>
      <c r="W435">
        <f>HYPERLINK("https://klasma.github.io/Logging_2523/klagomålsmail/A 14482-2023 FSC-klagomål mail.docx", "A 14482-2023")</f>
        <v/>
      </c>
      <c r="X435">
        <f>HYPERLINK("https://klasma.github.io/Logging_2523/tillsyn/A 14482-2023 tillsynsbegäran.docx", "A 14482-2023")</f>
        <v/>
      </c>
      <c r="Y435">
        <f>HYPERLINK("https://klasma.github.io/Logging_2523/tillsynsmail/A 14482-2023 tillsynsbegäran mail.docx", "A 14482-2023")</f>
        <v/>
      </c>
    </row>
    <row r="436" ht="15" customHeight="1">
      <c r="A436" t="inlineStr">
        <is>
          <t>A 17705-2023</t>
        </is>
      </c>
      <c r="B436" s="1" t="n">
        <v>45035</v>
      </c>
      <c r="C436" s="1" t="n">
        <v>45798</v>
      </c>
      <c r="D436" t="inlineStr">
        <is>
          <t>NORRBOTTENS LÄN</t>
        </is>
      </c>
      <c r="E436" t="inlineStr">
        <is>
          <t>KIRUNA</t>
        </is>
      </c>
      <c r="F436" t="inlineStr">
        <is>
          <t>Allmännings- och besparingsskogar</t>
        </is>
      </c>
      <c r="G436" t="n">
        <v>58.9</v>
      </c>
      <c r="H436" t="n">
        <v>0</v>
      </c>
      <c r="I436" t="n">
        <v>1</v>
      </c>
      <c r="J436" t="n">
        <v>1</v>
      </c>
      <c r="K436" t="n">
        <v>1</v>
      </c>
      <c r="L436" t="n">
        <v>0</v>
      </c>
      <c r="M436" t="n">
        <v>0</v>
      </c>
      <c r="N436" t="n">
        <v>0</v>
      </c>
      <c r="O436" t="n">
        <v>2</v>
      </c>
      <c r="P436" t="n">
        <v>1</v>
      </c>
      <c r="Q436" t="n">
        <v>3</v>
      </c>
      <c r="R436" s="2" t="inlineStr">
        <is>
          <t>Fläckporing
Orange taggsvamp
Dropptaggsvamp</t>
        </is>
      </c>
      <c r="S436">
        <f>HYPERLINK("https://klasma.github.io/Logging_2584/artfynd/A 17705-2023 artfynd.xlsx", "A 17705-2023")</f>
        <v/>
      </c>
      <c r="T436">
        <f>HYPERLINK("https://klasma.github.io/Logging_2584/kartor/A 17705-2023 karta.png", "A 17705-2023")</f>
        <v/>
      </c>
      <c r="V436">
        <f>HYPERLINK("https://klasma.github.io/Logging_2584/klagomål/A 17705-2023 FSC-klagomål.docx", "A 17705-2023")</f>
        <v/>
      </c>
      <c r="W436">
        <f>HYPERLINK("https://klasma.github.io/Logging_2584/klagomålsmail/A 17705-2023 FSC-klagomål mail.docx", "A 17705-2023")</f>
        <v/>
      </c>
      <c r="X436">
        <f>HYPERLINK("https://klasma.github.io/Logging_2584/tillsyn/A 17705-2023 tillsynsbegäran.docx", "A 17705-2023")</f>
        <v/>
      </c>
      <c r="Y436">
        <f>HYPERLINK("https://klasma.github.io/Logging_2584/tillsynsmail/A 17705-2023 tillsynsbegäran mail.docx", "A 17705-2023")</f>
        <v/>
      </c>
    </row>
    <row r="437" ht="15" customHeight="1">
      <c r="A437" t="inlineStr">
        <is>
          <t>A 19133-2023</t>
        </is>
      </c>
      <c r="B437" s="1" t="n">
        <v>45044</v>
      </c>
      <c r="C437" s="1" t="n">
        <v>45798</v>
      </c>
      <c r="D437" t="inlineStr">
        <is>
          <t>NORRBOTTENS LÄN</t>
        </is>
      </c>
      <c r="E437" t="inlineStr">
        <is>
          <t>ÖVERTORNEÅ</t>
        </is>
      </c>
      <c r="G437" t="n">
        <v>11.4</v>
      </c>
      <c r="H437" t="n">
        <v>2</v>
      </c>
      <c r="I437" t="n">
        <v>0</v>
      </c>
      <c r="J437" t="n">
        <v>3</v>
      </c>
      <c r="K437" t="n">
        <v>0</v>
      </c>
      <c r="L437" t="n">
        <v>0</v>
      </c>
      <c r="M437" t="n">
        <v>0</v>
      </c>
      <c r="N437" t="n">
        <v>0</v>
      </c>
      <c r="O437" t="n">
        <v>3</v>
      </c>
      <c r="P437" t="n">
        <v>0</v>
      </c>
      <c r="Q437" t="n">
        <v>3</v>
      </c>
      <c r="R437" s="2" t="inlineStr">
        <is>
          <t>Garnlav
Järpe
Spillkråka</t>
        </is>
      </c>
      <c r="S437">
        <f>HYPERLINK("https://klasma.github.io/Logging_2518/artfynd/A 19133-2023 artfynd.xlsx", "A 19133-2023")</f>
        <v/>
      </c>
      <c r="T437">
        <f>HYPERLINK("https://klasma.github.io/Logging_2518/kartor/A 19133-2023 karta.png", "A 19133-2023")</f>
        <v/>
      </c>
      <c r="V437">
        <f>HYPERLINK("https://klasma.github.io/Logging_2518/klagomål/A 19133-2023 FSC-klagomål.docx", "A 19133-2023")</f>
        <v/>
      </c>
      <c r="W437">
        <f>HYPERLINK("https://klasma.github.io/Logging_2518/klagomålsmail/A 19133-2023 FSC-klagomål mail.docx", "A 19133-2023")</f>
        <v/>
      </c>
      <c r="X437">
        <f>HYPERLINK("https://klasma.github.io/Logging_2518/tillsyn/A 19133-2023 tillsynsbegäran.docx", "A 19133-2023")</f>
        <v/>
      </c>
      <c r="Y437">
        <f>HYPERLINK("https://klasma.github.io/Logging_2518/tillsynsmail/A 19133-2023 tillsynsbegäran mail.docx", "A 19133-2023")</f>
        <v/>
      </c>
      <c r="Z437">
        <f>HYPERLINK("https://klasma.github.io/Logging_2518/fåglar/A 19133-2023 prioriterade fågelarter.docx", "A 19133-2023")</f>
        <v/>
      </c>
    </row>
    <row r="438" ht="15" customHeight="1">
      <c r="A438" t="inlineStr">
        <is>
          <t>A 23020-2023</t>
        </is>
      </c>
      <c r="B438" s="1" t="n">
        <v>45073</v>
      </c>
      <c r="C438" s="1" t="n">
        <v>45798</v>
      </c>
      <c r="D438" t="inlineStr">
        <is>
          <t>NORRBOTTENS LÄN</t>
        </is>
      </c>
      <c r="E438" t="inlineStr">
        <is>
          <t>JOKKMOKK</t>
        </is>
      </c>
      <c r="F438" t="inlineStr">
        <is>
          <t>SCA</t>
        </is>
      </c>
      <c r="G438" t="n">
        <v>3.7</v>
      </c>
      <c r="H438" t="n">
        <v>0</v>
      </c>
      <c r="I438" t="n">
        <v>1</v>
      </c>
      <c r="J438" t="n">
        <v>2</v>
      </c>
      <c r="K438" t="n">
        <v>0</v>
      </c>
      <c r="L438" t="n">
        <v>0</v>
      </c>
      <c r="M438" t="n">
        <v>0</v>
      </c>
      <c r="N438" t="n">
        <v>0</v>
      </c>
      <c r="O438" t="n">
        <v>2</v>
      </c>
      <c r="P438" t="n">
        <v>0</v>
      </c>
      <c r="Q438" t="n">
        <v>3</v>
      </c>
      <c r="R438" s="2" t="inlineStr">
        <is>
          <t>Gammelgransskål
Garnlav
Bollvitmossa</t>
        </is>
      </c>
      <c r="S438">
        <f>HYPERLINK("https://klasma.github.io/Logging_2510/artfynd/A 23020-2023 artfynd.xlsx", "A 23020-2023")</f>
        <v/>
      </c>
      <c r="T438">
        <f>HYPERLINK("https://klasma.github.io/Logging_2510/kartor/A 23020-2023 karta.png", "A 23020-2023")</f>
        <v/>
      </c>
      <c r="V438">
        <f>HYPERLINK("https://klasma.github.io/Logging_2510/klagomål/A 23020-2023 FSC-klagomål.docx", "A 23020-2023")</f>
        <v/>
      </c>
      <c r="W438">
        <f>HYPERLINK("https://klasma.github.io/Logging_2510/klagomålsmail/A 23020-2023 FSC-klagomål mail.docx", "A 23020-2023")</f>
        <v/>
      </c>
      <c r="X438">
        <f>HYPERLINK("https://klasma.github.io/Logging_2510/tillsyn/A 23020-2023 tillsynsbegäran.docx", "A 23020-2023")</f>
        <v/>
      </c>
      <c r="Y438">
        <f>HYPERLINK("https://klasma.github.io/Logging_2510/tillsynsmail/A 23020-2023 tillsynsbegäran mail.docx", "A 23020-2023")</f>
        <v/>
      </c>
    </row>
    <row r="439" ht="15" customHeight="1">
      <c r="A439" t="inlineStr">
        <is>
          <t>A 23017-2023</t>
        </is>
      </c>
      <c r="B439" s="1" t="n">
        <v>45073</v>
      </c>
      <c r="C439" s="1" t="n">
        <v>45798</v>
      </c>
      <c r="D439" t="inlineStr">
        <is>
          <t>NORRBOTTENS LÄN</t>
        </is>
      </c>
      <c r="E439" t="inlineStr">
        <is>
          <t>JOKKMOKK</t>
        </is>
      </c>
      <c r="F439" t="inlineStr">
        <is>
          <t>SCA</t>
        </is>
      </c>
      <c r="G439" t="n">
        <v>6</v>
      </c>
      <c r="H439" t="n">
        <v>2</v>
      </c>
      <c r="I439" t="n">
        <v>2</v>
      </c>
      <c r="J439" t="n">
        <v>0</v>
      </c>
      <c r="K439" t="n">
        <v>1</v>
      </c>
      <c r="L439" t="n">
        <v>0</v>
      </c>
      <c r="M439" t="n">
        <v>0</v>
      </c>
      <c r="N439" t="n">
        <v>0</v>
      </c>
      <c r="O439" t="n">
        <v>1</v>
      </c>
      <c r="P439" t="n">
        <v>1</v>
      </c>
      <c r="Q439" t="n">
        <v>3</v>
      </c>
      <c r="R439" s="2" t="inlineStr">
        <is>
          <t>Norna
Spindelblomster
Tibast</t>
        </is>
      </c>
      <c r="S439">
        <f>HYPERLINK("https://klasma.github.io/Logging_2510/artfynd/A 23017-2023 artfynd.xlsx", "A 23017-2023")</f>
        <v/>
      </c>
      <c r="T439">
        <f>HYPERLINK("https://klasma.github.io/Logging_2510/kartor/A 23017-2023 karta.png", "A 23017-2023")</f>
        <v/>
      </c>
      <c r="V439">
        <f>HYPERLINK("https://klasma.github.io/Logging_2510/klagomål/A 23017-2023 FSC-klagomål.docx", "A 23017-2023")</f>
        <v/>
      </c>
      <c r="W439">
        <f>HYPERLINK("https://klasma.github.io/Logging_2510/klagomålsmail/A 23017-2023 FSC-klagomål mail.docx", "A 23017-2023")</f>
        <v/>
      </c>
      <c r="X439">
        <f>HYPERLINK("https://klasma.github.io/Logging_2510/tillsyn/A 23017-2023 tillsynsbegäran.docx", "A 23017-2023")</f>
        <v/>
      </c>
      <c r="Y439">
        <f>HYPERLINK("https://klasma.github.io/Logging_2510/tillsynsmail/A 23017-2023 tillsynsbegäran mail.docx", "A 23017-2023")</f>
        <v/>
      </c>
    </row>
    <row r="440" ht="15" customHeight="1">
      <c r="A440" t="inlineStr">
        <is>
          <t>A 24055-2023</t>
        </is>
      </c>
      <c r="B440" s="1" t="n">
        <v>45078</v>
      </c>
      <c r="C440" s="1" t="n">
        <v>45798</v>
      </c>
      <c r="D440" t="inlineStr">
        <is>
          <t>NORRBOTTENS LÄN</t>
        </is>
      </c>
      <c r="E440" t="inlineStr">
        <is>
          <t>JOKKMOKK</t>
        </is>
      </c>
      <c r="F440" t="inlineStr">
        <is>
          <t>SCA</t>
        </is>
      </c>
      <c r="G440" t="n">
        <v>9.9</v>
      </c>
      <c r="H440" t="n">
        <v>0</v>
      </c>
      <c r="I440" t="n">
        <v>0</v>
      </c>
      <c r="J440" t="n">
        <v>2</v>
      </c>
      <c r="K440" t="n">
        <v>1</v>
      </c>
      <c r="L440" t="n">
        <v>0</v>
      </c>
      <c r="M440" t="n">
        <v>0</v>
      </c>
      <c r="N440" t="n">
        <v>0</v>
      </c>
      <c r="O440" t="n">
        <v>3</v>
      </c>
      <c r="P440" t="n">
        <v>1</v>
      </c>
      <c r="Q440" t="n">
        <v>3</v>
      </c>
      <c r="R440" s="2" t="inlineStr">
        <is>
          <t>Goliatmusseron
Blå taggsvamp
Orange taggsvamp</t>
        </is>
      </c>
      <c r="S440">
        <f>HYPERLINK("https://klasma.github.io/Logging_2510/artfynd/A 24055-2023 artfynd.xlsx", "A 24055-2023")</f>
        <v/>
      </c>
      <c r="T440">
        <f>HYPERLINK("https://klasma.github.io/Logging_2510/kartor/A 24055-2023 karta.png", "A 24055-2023")</f>
        <v/>
      </c>
      <c r="V440">
        <f>HYPERLINK("https://klasma.github.io/Logging_2510/klagomål/A 24055-2023 FSC-klagomål.docx", "A 24055-2023")</f>
        <v/>
      </c>
      <c r="W440">
        <f>HYPERLINK("https://klasma.github.io/Logging_2510/klagomålsmail/A 24055-2023 FSC-klagomål mail.docx", "A 24055-2023")</f>
        <v/>
      </c>
      <c r="X440">
        <f>HYPERLINK("https://klasma.github.io/Logging_2510/tillsyn/A 24055-2023 tillsynsbegäran.docx", "A 24055-2023")</f>
        <v/>
      </c>
      <c r="Y440">
        <f>HYPERLINK("https://klasma.github.io/Logging_2510/tillsynsmail/A 24055-2023 tillsynsbegäran mail.docx", "A 24055-2023")</f>
        <v/>
      </c>
    </row>
    <row r="441" ht="15" customHeight="1">
      <c r="A441" t="inlineStr">
        <is>
          <t>A 28088-2023</t>
        </is>
      </c>
      <c r="B441" s="1" t="n">
        <v>45099</v>
      </c>
      <c r="C441" s="1" t="n">
        <v>45798</v>
      </c>
      <c r="D441" t="inlineStr">
        <is>
          <t>NORRBOTTENS LÄN</t>
        </is>
      </c>
      <c r="E441" t="inlineStr">
        <is>
          <t>ÄLVSBYN</t>
        </is>
      </c>
      <c r="F441" t="inlineStr">
        <is>
          <t>Sveaskog</t>
        </is>
      </c>
      <c r="G441" t="n">
        <v>5.6</v>
      </c>
      <c r="H441" t="n">
        <v>0</v>
      </c>
      <c r="I441" t="n">
        <v>0</v>
      </c>
      <c r="J441" t="n">
        <v>2</v>
      </c>
      <c r="K441" t="n">
        <v>1</v>
      </c>
      <c r="L441" t="n">
        <v>0</v>
      </c>
      <c r="M441" t="n">
        <v>0</v>
      </c>
      <c r="N441" t="n">
        <v>0</v>
      </c>
      <c r="O441" t="n">
        <v>3</v>
      </c>
      <c r="P441" t="n">
        <v>1</v>
      </c>
      <c r="Q441" t="n">
        <v>3</v>
      </c>
      <c r="R441" s="2" t="inlineStr">
        <is>
          <t>Fläckporing
Kolflarnlav
Lunglav</t>
        </is>
      </c>
      <c r="S441">
        <f>HYPERLINK("https://klasma.github.io/Logging_2560/artfynd/A 28088-2023 artfynd.xlsx", "A 28088-2023")</f>
        <v/>
      </c>
      <c r="T441">
        <f>HYPERLINK("https://klasma.github.io/Logging_2560/kartor/A 28088-2023 karta.png", "A 28088-2023")</f>
        <v/>
      </c>
      <c r="V441">
        <f>HYPERLINK("https://klasma.github.io/Logging_2560/klagomål/A 28088-2023 FSC-klagomål.docx", "A 28088-2023")</f>
        <v/>
      </c>
      <c r="W441">
        <f>HYPERLINK("https://klasma.github.io/Logging_2560/klagomålsmail/A 28088-2023 FSC-klagomål mail.docx", "A 28088-2023")</f>
        <v/>
      </c>
      <c r="X441">
        <f>HYPERLINK("https://klasma.github.io/Logging_2560/tillsyn/A 28088-2023 tillsynsbegäran.docx", "A 28088-2023")</f>
        <v/>
      </c>
      <c r="Y441">
        <f>HYPERLINK("https://klasma.github.io/Logging_2560/tillsynsmail/A 28088-2023 tillsynsbegäran mail.docx", "A 28088-2023")</f>
        <v/>
      </c>
    </row>
    <row r="442" ht="15" customHeight="1">
      <c r="A442" t="inlineStr">
        <is>
          <t>A 28595-2023</t>
        </is>
      </c>
      <c r="B442" s="1" t="n">
        <v>45103</v>
      </c>
      <c r="C442" s="1" t="n">
        <v>45798</v>
      </c>
      <c r="D442" t="inlineStr">
        <is>
          <t>NORRBOTTENS LÄN</t>
        </is>
      </c>
      <c r="E442" t="inlineStr">
        <is>
          <t>PITEÅ</t>
        </is>
      </c>
      <c r="F442" t="inlineStr">
        <is>
          <t>Sveaskog</t>
        </is>
      </c>
      <c r="G442" t="n">
        <v>21.2</v>
      </c>
      <c r="H442" t="n">
        <v>0</v>
      </c>
      <c r="I442" t="n">
        <v>0</v>
      </c>
      <c r="J442" t="n">
        <v>3</v>
      </c>
      <c r="K442" t="n">
        <v>0</v>
      </c>
      <c r="L442" t="n">
        <v>0</v>
      </c>
      <c r="M442" t="n">
        <v>0</v>
      </c>
      <c r="N442" t="n">
        <v>0</v>
      </c>
      <c r="O442" t="n">
        <v>3</v>
      </c>
      <c r="P442" t="n">
        <v>0</v>
      </c>
      <c r="Q442" t="n">
        <v>3</v>
      </c>
      <c r="R442" s="2" t="inlineStr">
        <is>
          <t>Harticka
Kolflarnlav
Rosenticka</t>
        </is>
      </c>
      <c r="S442">
        <f>HYPERLINK("https://klasma.github.io/Logging_2581/artfynd/A 28595-2023 artfynd.xlsx", "A 28595-2023")</f>
        <v/>
      </c>
      <c r="T442">
        <f>HYPERLINK("https://klasma.github.io/Logging_2581/kartor/A 28595-2023 karta.png", "A 28595-2023")</f>
        <v/>
      </c>
      <c r="V442">
        <f>HYPERLINK("https://klasma.github.io/Logging_2581/klagomål/A 28595-2023 FSC-klagomål.docx", "A 28595-2023")</f>
        <v/>
      </c>
      <c r="W442">
        <f>HYPERLINK("https://klasma.github.io/Logging_2581/klagomålsmail/A 28595-2023 FSC-klagomål mail.docx", "A 28595-2023")</f>
        <v/>
      </c>
      <c r="X442">
        <f>HYPERLINK("https://klasma.github.io/Logging_2581/tillsyn/A 28595-2023 tillsynsbegäran.docx", "A 28595-2023")</f>
        <v/>
      </c>
      <c r="Y442">
        <f>HYPERLINK("https://klasma.github.io/Logging_2581/tillsynsmail/A 28595-2023 tillsynsbegäran mail.docx", "A 28595-2023")</f>
        <v/>
      </c>
    </row>
    <row r="443" ht="15" customHeight="1">
      <c r="A443" t="inlineStr">
        <is>
          <t>A 29465-2023</t>
        </is>
      </c>
      <c r="B443" s="1" t="n">
        <v>45106</v>
      </c>
      <c r="C443" s="1" t="n">
        <v>45798</v>
      </c>
      <c r="D443" t="inlineStr">
        <is>
          <t>NORRBOTTENS LÄN</t>
        </is>
      </c>
      <c r="E443" t="inlineStr">
        <is>
          <t>PITEÅ</t>
        </is>
      </c>
      <c r="G443" t="n">
        <v>21.6</v>
      </c>
      <c r="H443" t="n">
        <v>2</v>
      </c>
      <c r="I443" t="n">
        <v>0</v>
      </c>
      <c r="J443" t="n">
        <v>1</v>
      </c>
      <c r="K443" t="n">
        <v>0</v>
      </c>
      <c r="L443" t="n">
        <v>0</v>
      </c>
      <c r="M443" t="n">
        <v>0</v>
      </c>
      <c r="N443" t="n">
        <v>0</v>
      </c>
      <c r="O443" t="n">
        <v>1</v>
      </c>
      <c r="P443" t="n">
        <v>0</v>
      </c>
      <c r="Q443" t="n">
        <v>3</v>
      </c>
      <c r="R443" s="2" t="inlineStr">
        <is>
          <t>Garnlav
Mattlummer
Revlummer</t>
        </is>
      </c>
      <c r="S443">
        <f>HYPERLINK("https://klasma.github.io/Logging_2581/artfynd/A 29465-2023 artfynd.xlsx", "A 29465-2023")</f>
        <v/>
      </c>
      <c r="T443">
        <f>HYPERLINK("https://klasma.github.io/Logging_2581/kartor/A 29465-2023 karta.png", "A 29465-2023")</f>
        <v/>
      </c>
      <c r="V443">
        <f>HYPERLINK("https://klasma.github.io/Logging_2581/klagomål/A 29465-2023 FSC-klagomål.docx", "A 29465-2023")</f>
        <v/>
      </c>
      <c r="W443">
        <f>HYPERLINK("https://klasma.github.io/Logging_2581/klagomålsmail/A 29465-2023 FSC-klagomål mail.docx", "A 29465-2023")</f>
        <v/>
      </c>
      <c r="X443">
        <f>HYPERLINK("https://klasma.github.io/Logging_2581/tillsyn/A 29465-2023 tillsynsbegäran.docx", "A 29465-2023")</f>
        <v/>
      </c>
      <c r="Y443">
        <f>HYPERLINK("https://klasma.github.io/Logging_2581/tillsynsmail/A 29465-2023 tillsynsbegäran mail.docx", "A 29465-2023")</f>
        <v/>
      </c>
    </row>
    <row r="444" ht="15" customHeight="1">
      <c r="A444" t="inlineStr">
        <is>
          <t>A 29865-2023</t>
        </is>
      </c>
      <c r="B444" s="1" t="n">
        <v>45107</v>
      </c>
      <c r="C444" s="1" t="n">
        <v>45798</v>
      </c>
      <c r="D444" t="inlineStr">
        <is>
          <t>NORRBOTTENS LÄN</t>
        </is>
      </c>
      <c r="E444" t="inlineStr">
        <is>
          <t>LULEÅ</t>
        </is>
      </c>
      <c r="F444" t="inlineStr">
        <is>
          <t>Sveaskog</t>
        </is>
      </c>
      <c r="G444" t="n">
        <v>7.8</v>
      </c>
      <c r="H444" t="n">
        <v>0</v>
      </c>
      <c r="I444" t="n">
        <v>1</v>
      </c>
      <c r="J444" t="n">
        <v>2</v>
      </c>
      <c r="K444" t="n">
        <v>0</v>
      </c>
      <c r="L444" t="n">
        <v>0</v>
      </c>
      <c r="M444" t="n">
        <v>0</v>
      </c>
      <c r="N444" t="n">
        <v>0</v>
      </c>
      <c r="O444" t="n">
        <v>2</v>
      </c>
      <c r="P444" t="n">
        <v>0</v>
      </c>
      <c r="Q444" t="n">
        <v>3</v>
      </c>
      <c r="R444" s="2" t="inlineStr">
        <is>
          <t>Gammelgransskål
Garnlav
Rävticka</t>
        </is>
      </c>
      <c r="S444">
        <f>HYPERLINK("https://klasma.github.io/Logging_2580/artfynd/A 29865-2023 artfynd.xlsx", "A 29865-2023")</f>
        <v/>
      </c>
      <c r="T444">
        <f>HYPERLINK("https://klasma.github.io/Logging_2580/kartor/A 29865-2023 karta.png", "A 29865-2023")</f>
        <v/>
      </c>
      <c r="V444">
        <f>HYPERLINK("https://klasma.github.io/Logging_2580/klagomål/A 29865-2023 FSC-klagomål.docx", "A 29865-2023")</f>
        <v/>
      </c>
      <c r="W444">
        <f>HYPERLINK("https://klasma.github.io/Logging_2580/klagomålsmail/A 29865-2023 FSC-klagomål mail.docx", "A 29865-2023")</f>
        <v/>
      </c>
      <c r="X444">
        <f>HYPERLINK("https://klasma.github.io/Logging_2580/tillsyn/A 29865-2023 tillsynsbegäran.docx", "A 29865-2023")</f>
        <v/>
      </c>
      <c r="Y444">
        <f>HYPERLINK("https://klasma.github.io/Logging_2580/tillsynsmail/A 29865-2023 tillsynsbegäran mail.docx", "A 29865-2023")</f>
        <v/>
      </c>
    </row>
    <row r="445" ht="15" customHeight="1">
      <c r="A445" t="inlineStr">
        <is>
          <t>A 30293-2023</t>
        </is>
      </c>
      <c r="B445" s="1" t="n">
        <v>45111</v>
      </c>
      <c r="C445" s="1" t="n">
        <v>45798</v>
      </c>
      <c r="D445" t="inlineStr">
        <is>
          <t>NORRBOTTENS LÄN</t>
        </is>
      </c>
      <c r="E445" t="inlineStr">
        <is>
          <t>ÖVERTORNEÅ</t>
        </is>
      </c>
      <c r="G445" t="n">
        <v>3.8</v>
      </c>
      <c r="H445" t="n">
        <v>1</v>
      </c>
      <c r="I445" t="n">
        <v>0</v>
      </c>
      <c r="J445" t="n">
        <v>3</v>
      </c>
      <c r="K445" t="n">
        <v>0</v>
      </c>
      <c r="L445" t="n">
        <v>0</v>
      </c>
      <c r="M445" t="n">
        <v>0</v>
      </c>
      <c r="N445" t="n">
        <v>0</v>
      </c>
      <c r="O445" t="n">
        <v>3</v>
      </c>
      <c r="P445" t="n">
        <v>0</v>
      </c>
      <c r="Q445" t="n">
        <v>3</v>
      </c>
      <c r="R445" s="2" t="inlineStr">
        <is>
          <t>Garnlav
Spillkråka
Violmussling</t>
        </is>
      </c>
      <c r="S445">
        <f>HYPERLINK("https://klasma.github.io/Logging_2518/artfynd/A 30293-2023 artfynd.xlsx", "A 30293-2023")</f>
        <v/>
      </c>
      <c r="T445">
        <f>HYPERLINK("https://klasma.github.io/Logging_2518/kartor/A 30293-2023 karta.png", "A 30293-2023")</f>
        <v/>
      </c>
      <c r="V445">
        <f>HYPERLINK("https://klasma.github.io/Logging_2518/klagomål/A 30293-2023 FSC-klagomål.docx", "A 30293-2023")</f>
        <v/>
      </c>
      <c r="W445">
        <f>HYPERLINK("https://klasma.github.io/Logging_2518/klagomålsmail/A 30293-2023 FSC-klagomål mail.docx", "A 30293-2023")</f>
        <v/>
      </c>
      <c r="X445">
        <f>HYPERLINK("https://klasma.github.io/Logging_2518/tillsyn/A 30293-2023 tillsynsbegäran.docx", "A 30293-2023")</f>
        <v/>
      </c>
      <c r="Y445">
        <f>HYPERLINK("https://klasma.github.io/Logging_2518/tillsynsmail/A 30293-2023 tillsynsbegäran mail.docx", "A 30293-2023")</f>
        <v/>
      </c>
      <c r="Z445">
        <f>HYPERLINK("https://klasma.github.io/Logging_2518/fåglar/A 30293-2023 prioriterade fågelarter.docx", "A 30293-2023")</f>
        <v/>
      </c>
    </row>
    <row r="446" ht="15" customHeight="1">
      <c r="A446" t="inlineStr">
        <is>
          <t>A 33139-2023</t>
        </is>
      </c>
      <c r="B446" s="1" t="n">
        <v>45114</v>
      </c>
      <c r="C446" s="1" t="n">
        <v>45798</v>
      </c>
      <c r="D446" t="inlineStr">
        <is>
          <t>NORRBOTTENS LÄN</t>
        </is>
      </c>
      <c r="E446" t="inlineStr">
        <is>
          <t>JOKKMOKK</t>
        </is>
      </c>
      <c r="F446" t="inlineStr">
        <is>
          <t>Övriga statliga verk och myndigheter</t>
        </is>
      </c>
      <c r="G446" t="n">
        <v>8.6</v>
      </c>
      <c r="H446" t="n">
        <v>0</v>
      </c>
      <c r="I446" t="n">
        <v>1</v>
      </c>
      <c r="J446" t="n">
        <v>2</v>
      </c>
      <c r="K446" t="n">
        <v>0</v>
      </c>
      <c r="L446" t="n">
        <v>0</v>
      </c>
      <c r="M446" t="n">
        <v>0</v>
      </c>
      <c r="N446" t="n">
        <v>0</v>
      </c>
      <c r="O446" t="n">
        <v>2</v>
      </c>
      <c r="P446" t="n">
        <v>0</v>
      </c>
      <c r="Q446" t="n">
        <v>3</v>
      </c>
      <c r="R446" s="2" t="inlineStr">
        <is>
          <t>Skrovellav
Tallriska
Stuplav</t>
        </is>
      </c>
      <c r="S446">
        <f>HYPERLINK("https://klasma.github.io/Logging_2510/artfynd/A 33139-2023 artfynd.xlsx", "A 33139-2023")</f>
        <v/>
      </c>
      <c r="T446">
        <f>HYPERLINK("https://klasma.github.io/Logging_2510/kartor/A 33139-2023 karta.png", "A 33139-2023")</f>
        <v/>
      </c>
      <c r="V446">
        <f>HYPERLINK("https://klasma.github.io/Logging_2510/klagomål/A 33139-2023 FSC-klagomål.docx", "A 33139-2023")</f>
        <v/>
      </c>
      <c r="W446">
        <f>HYPERLINK("https://klasma.github.io/Logging_2510/klagomålsmail/A 33139-2023 FSC-klagomål mail.docx", "A 33139-2023")</f>
        <v/>
      </c>
      <c r="X446">
        <f>HYPERLINK("https://klasma.github.io/Logging_2510/tillsyn/A 33139-2023 tillsynsbegäran.docx", "A 33139-2023")</f>
        <v/>
      </c>
      <c r="Y446">
        <f>HYPERLINK("https://klasma.github.io/Logging_2510/tillsynsmail/A 33139-2023 tillsynsbegäran mail.docx", "A 33139-2023")</f>
        <v/>
      </c>
    </row>
    <row r="447" ht="15" customHeight="1">
      <c r="A447" t="inlineStr">
        <is>
          <t>A 32913-2023</t>
        </is>
      </c>
      <c r="B447" s="1" t="n">
        <v>45124</v>
      </c>
      <c r="C447" s="1" t="n">
        <v>45798</v>
      </c>
      <c r="D447" t="inlineStr">
        <is>
          <t>NORRBOTTENS LÄN</t>
        </is>
      </c>
      <c r="E447" t="inlineStr">
        <is>
          <t>JOKKMOKK</t>
        </is>
      </c>
      <c r="F447" t="inlineStr">
        <is>
          <t>SCA</t>
        </is>
      </c>
      <c r="G447" t="n">
        <v>3.2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HYPERLINK("https://klasma.github.io/Logging_2510/artfynd/A 32913-2023 artfynd.xlsx", "A 32913-2023")</f>
        <v/>
      </c>
      <c r="T447">
        <f>HYPERLINK("https://klasma.github.io/Logging_2510/kartor/A 32913-2023 karta.png", "A 32913-2023")</f>
        <v/>
      </c>
      <c r="V447">
        <f>HYPERLINK("https://klasma.github.io/Logging_2510/klagomål/A 32913-2023 FSC-klagomål.docx", "A 32913-2023")</f>
        <v/>
      </c>
      <c r="W447">
        <f>HYPERLINK("https://klasma.github.io/Logging_2510/klagomålsmail/A 32913-2023 FSC-klagomål mail.docx", "A 32913-2023")</f>
        <v/>
      </c>
      <c r="X447">
        <f>HYPERLINK("https://klasma.github.io/Logging_2510/tillsyn/A 32913-2023 tillsynsbegäran.docx", "A 32913-2023")</f>
        <v/>
      </c>
      <c r="Y447">
        <f>HYPERLINK("https://klasma.github.io/Logging_2510/tillsynsmail/A 32913-2023 tillsynsbegäran mail.docx", "A 32913-2023")</f>
        <v/>
      </c>
    </row>
    <row r="448" ht="15" customHeight="1">
      <c r="A448" t="inlineStr">
        <is>
          <t>A 33994-2023</t>
        </is>
      </c>
      <c r="B448" s="1" t="n">
        <v>45134</v>
      </c>
      <c r="C448" s="1" t="n">
        <v>45798</v>
      </c>
      <c r="D448" t="inlineStr">
        <is>
          <t>NORRBOTTENS LÄN</t>
        </is>
      </c>
      <c r="E448" t="inlineStr">
        <is>
          <t>JOKKMOKK</t>
        </is>
      </c>
      <c r="G448" t="n">
        <v>9.1</v>
      </c>
      <c r="H448" t="n">
        <v>1</v>
      </c>
      <c r="I448" t="n">
        <v>1</v>
      </c>
      <c r="J448" t="n">
        <v>1</v>
      </c>
      <c r="K448" t="n">
        <v>1</v>
      </c>
      <c r="L448" t="n">
        <v>0</v>
      </c>
      <c r="M448" t="n">
        <v>0</v>
      </c>
      <c r="N448" t="n">
        <v>0</v>
      </c>
      <c r="O448" t="n">
        <v>2</v>
      </c>
      <c r="P448" t="n">
        <v>1</v>
      </c>
      <c r="Q448" t="n">
        <v>3</v>
      </c>
      <c r="R448" s="2" t="inlineStr">
        <is>
          <t>Doftticka
Lunglav
Skinnlav</t>
        </is>
      </c>
      <c r="S448">
        <f>HYPERLINK("https://klasma.github.io/Logging_2510/artfynd/A 33994-2023 artfynd.xlsx", "A 33994-2023")</f>
        <v/>
      </c>
      <c r="T448">
        <f>HYPERLINK("https://klasma.github.io/Logging_2510/kartor/A 33994-2023 karta.png", "A 33994-2023")</f>
        <v/>
      </c>
      <c r="V448">
        <f>HYPERLINK("https://klasma.github.io/Logging_2510/klagomål/A 33994-2023 FSC-klagomål.docx", "A 33994-2023")</f>
        <v/>
      </c>
      <c r="W448">
        <f>HYPERLINK("https://klasma.github.io/Logging_2510/klagomålsmail/A 33994-2023 FSC-klagomål mail.docx", "A 33994-2023")</f>
        <v/>
      </c>
      <c r="X448">
        <f>HYPERLINK("https://klasma.github.io/Logging_2510/tillsyn/A 33994-2023 tillsynsbegäran.docx", "A 33994-2023")</f>
        <v/>
      </c>
      <c r="Y448">
        <f>HYPERLINK("https://klasma.github.io/Logging_2510/tillsynsmail/A 33994-2023 tillsynsbegäran mail.docx", "A 33994-2023")</f>
        <v/>
      </c>
    </row>
    <row r="449" ht="15" customHeight="1">
      <c r="A449" t="inlineStr">
        <is>
          <t>A 36241-2023</t>
        </is>
      </c>
      <c r="B449" s="1" t="n">
        <v>45150</v>
      </c>
      <c r="C449" s="1" t="n">
        <v>45798</v>
      </c>
      <c r="D449" t="inlineStr">
        <is>
          <t>NORRBOTTENS LÄN</t>
        </is>
      </c>
      <c r="E449" t="inlineStr">
        <is>
          <t>PAJALA</t>
        </is>
      </c>
      <c r="G449" t="n">
        <v>19.6</v>
      </c>
      <c r="H449" t="n">
        <v>2</v>
      </c>
      <c r="I449" t="n">
        <v>0</v>
      </c>
      <c r="J449" t="n">
        <v>2</v>
      </c>
      <c r="K449" t="n">
        <v>0</v>
      </c>
      <c r="L449" t="n">
        <v>0</v>
      </c>
      <c r="M449" t="n">
        <v>0</v>
      </c>
      <c r="N449" t="n">
        <v>0</v>
      </c>
      <c r="O449" t="n">
        <v>2</v>
      </c>
      <c r="P449" t="n">
        <v>0</v>
      </c>
      <c r="Q449" t="n">
        <v>3</v>
      </c>
      <c r="R449" s="2" t="inlineStr">
        <is>
          <t>Garnlav
Tretåig hackspett
Tjäder</t>
        </is>
      </c>
      <c r="S449">
        <f>HYPERLINK("https://klasma.github.io/Logging_2521/artfynd/A 36241-2023 artfynd.xlsx", "A 36241-2023")</f>
        <v/>
      </c>
      <c r="T449">
        <f>HYPERLINK("https://klasma.github.io/Logging_2521/kartor/A 36241-2023 karta.png", "A 36241-2023")</f>
        <v/>
      </c>
      <c r="V449">
        <f>HYPERLINK("https://klasma.github.io/Logging_2521/klagomål/A 36241-2023 FSC-klagomål.docx", "A 36241-2023")</f>
        <v/>
      </c>
      <c r="W449">
        <f>HYPERLINK("https://klasma.github.io/Logging_2521/klagomålsmail/A 36241-2023 FSC-klagomål mail.docx", "A 36241-2023")</f>
        <v/>
      </c>
      <c r="X449">
        <f>HYPERLINK("https://klasma.github.io/Logging_2521/tillsyn/A 36241-2023 tillsynsbegäran.docx", "A 36241-2023")</f>
        <v/>
      </c>
      <c r="Y449">
        <f>HYPERLINK("https://klasma.github.io/Logging_2521/tillsynsmail/A 36241-2023 tillsynsbegäran mail.docx", "A 36241-2023")</f>
        <v/>
      </c>
      <c r="Z449">
        <f>HYPERLINK("https://klasma.github.io/Logging_2521/fåglar/A 36241-2023 prioriterade fågelarter.docx", "A 36241-2023")</f>
        <v/>
      </c>
    </row>
    <row r="450" ht="15" customHeight="1">
      <c r="A450" t="inlineStr">
        <is>
          <t>A 38176-2023</t>
        </is>
      </c>
      <c r="B450" s="1" t="n">
        <v>45161</v>
      </c>
      <c r="C450" s="1" t="n">
        <v>45798</v>
      </c>
      <c r="D450" t="inlineStr">
        <is>
          <t>NORRBOTTENS LÄN</t>
        </is>
      </c>
      <c r="E450" t="inlineStr">
        <is>
          <t>ÖVERTORNEÅ</t>
        </is>
      </c>
      <c r="F450" t="inlineStr">
        <is>
          <t>Sveaskog</t>
        </is>
      </c>
      <c r="G450" t="n">
        <v>1.3</v>
      </c>
      <c r="H450" t="n">
        <v>0</v>
      </c>
      <c r="I450" t="n">
        <v>2</v>
      </c>
      <c r="J450" t="n">
        <v>1</v>
      </c>
      <c r="K450" t="n">
        <v>0</v>
      </c>
      <c r="L450" t="n">
        <v>0</v>
      </c>
      <c r="M450" t="n">
        <v>0</v>
      </c>
      <c r="N450" t="n">
        <v>0</v>
      </c>
      <c r="O450" t="n">
        <v>1</v>
      </c>
      <c r="P450" t="n">
        <v>0</v>
      </c>
      <c r="Q450" t="n">
        <v>3</v>
      </c>
      <c r="R450" s="2" t="inlineStr">
        <is>
          <t>Garnlav
Bårdlav
Stuplav</t>
        </is>
      </c>
      <c r="S450">
        <f>HYPERLINK("https://klasma.github.io/Logging_2518/artfynd/A 38176-2023 artfynd.xlsx", "A 38176-2023")</f>
        <v/>
      </c>
      <c r="T450">
        <f>HYPERLINK("https://klasma.github.io/Logging_2518/kartor/A 38176-2023 karta.png", "A 38176-2023")</f>
        <v/>
      </c>
      <c r="V450">
        <f>HYPERLINK("https://klasma.github.io/Logging_2518/klagomål/A 38176-2023 FSC-klagomål.docx", "A 38176-2023")</f>
        <v/>
      </c>
      <c r="W450">
        <f>HYPERLINK("https://klasma.github.io/Logging_2518/klagomålsmail/A 38176-2023 FSC-klagomål mail.docx", "A 38176-2023")</f>
        <v/>
      </c>
      <c r="X450">
        <f>HYPERLINK("https://klasma.github.io/Logging_2518/tillsyn/A 38176-2023 tillsynsbegäran.docx", "A 38176-2023")</f>
        <v/>
      </c>
      <c r="Y450">
        <f>HYPERLINK("https://klasma.github.io/Logging_2518/tillsynsmail/A 38176-2023 tillsynsbegäran mail.docx", "A 38176-2023")</f>
        <v/>
      </c>
    </row>
    <row r="451" ht="15" customHeight="1">
      <c r="A451" t="inlineStr">
        <is>
          <t>A 41654-2023</t>
        </is>
      </c>
      <c r="B451" s="1" t="n">
        <v>45175</v>
      </c>
      <c r="C451" s="1" t="n">
        <v>45798</v>
      </c>
      <c r="D451" t="inlineStr">
        <is>
          <t>NORRBOTTENS LÄN</t>
        </is>
      </c>
      <c r="E451" t="inlineStr">
        <is>
          <t>GÄLLIVARE</t>
        </is>
      </c>
      <c r="F451" t="inlineStr">
        <is>
          <t>SCA</t>
        </is>
      </c>
      <c r="G451" t="n">
        <v>7.3</v>
      </c>
      <c r="H451" t="n">
        <v>0</v>
      </c>
      <c r="I451" t="n">
        <v>1</v>
      </c>
      <c r="J451" t="n">
        <v>2</v>
      </c>
      <c r="K451" t="n">
        <v>0</v>
      </c>
      <c r="L451" t="n">
        <v>0</v>
      </c>
      <c r="M451" t="n">
        <v>0</v>
      </c>
      <c r="N451" t="n">
        <v>0</v>
      </c>
      <c r="O451" t="n">
        <v>2</v>
      </c>
      <c r="P451" t="n">
        <v>0</v>
      </c>
      <c r="Q451" t="n">
        <v>3</v>
      </c>
      <c r="R451" s="2" t="inlineStr">
        <is>
          <t>Blå taggsvamp
Skrovlig taggsvamp
Dropptaggsvamp</t>
        </is>
      </c>
      <c r="S451">
        <f>HYPERLINK("https://klasma.github.io/Logging_2523/artfynd/A 41654-2023 artfynd.xlsx", "A 41654-2023")</f>
        <v/>
      </c>
      <c r="T451">
        <f>HYPERLINK("https://klasma.github.io/Logging_2523/kartor/A 41654-2023 karta.png", "A 41654-2023")</f>
        <v/>
      </c>
      <c r="V451">
        <f>HYPERLINK("https://klasma.github.io/Logging_2523/klagomål/A 41654-2023 FSC-klagomål.docx", "A 41654-2023")</f>
        <v/>
      </c>
      <c r="W451">
        <f>HYPERLINK("https://klasma.github.io/Logging_2523/klagomålsmail/A 41654-2023 FSC-klagomål mail.docx", "A 41654-2023")</f>
        <v/>
      </c>
      <c r="X451">
        <f>HYPERLINK("https://klasma.github.io/Logging_2523/tillsyn/A 41654-2023 tillsynsbegäran.docx", "A 41654-2023")</f>
        <v/>
      </c>
      <c r="Y451">
        <f>HYPERLINK("https://klasma.github.io/Logging_2523/tillsynsmail/A 41654-2023 tillsynsbegäran mail.docx", "A 41654-2023")</f>
        <v/>
      </c>
    </row>
    <row r="452" ht="15" customHeight="1">
      <c r="A452" t="inlineStr">
        <is>
          <t>A 43414-2023</t>
        </is>
      </c>
      <c r="B452" s="1" t="n">
        <v>45183</v>
      </c>
      <c r="C452" s="1" t="n">
        <v>45798</v>
      </c>
      <c r="D452" t="inlineStr">
        <is>
          <t>NORRBOTTENS LÄN</t>
        </is>
      </c>
      <c r="E452" t="inlineStr">
        <is>
          <t>GÄLLIVARE</t>
        </is>
      </c>
      <c r="F452" t="inlineStr">
        <is>
          <t>SCA</t>
        </is>
      </c>
      <c r="G452" t="n">
        <v>18.5</v>
      </c>
      <c r="H452" t="n">
        <v>1</v>
      </c>
      <c r="I452" t="n">
        <v>0</v>
      </c>
      <c r="J452" t="n">
        <v>0</v>
      </c>
      <c r="K452" t="n">
        <v>1</v>
      </c>
      <c r="L452" t="n">
        <v>1</v>
      </c>
      <c r="M452" t="n">
        <v>0</v>
      </c>
      <c r="N452" t="n">
        <v>0</v>
      </c>
      <c r="O452" t="n">
        <v>2</v>
      </c>
      <c r="P452" t="n">
        <v>2</v>
      </c>
      <c r="Q452" t="n">
        <v>3</v>
      </c>
      <c r="R452" s="2" t="inlineStr">
        <is>
          <t>Urskogsticka
Gräddporing
Tjäder</t>
        </is>
      </c>
      <c r="S452">
        <f>HYPERLINK("https://klasma.github.io/Logging_2523/artfynd/A 43414-2023 artfynd.xlsx", "A 43414-2023")</f>
        <v/>
      </c>
      <c r="T452">
        <f>HYPERLINK("https://klasma.github.io/Logging_2523/kartor/A 43414-2023 karta.png", "A 43414-2023")</f>
        <v/>
      </c>
      <c r="V452">
        <f>HYPERLINK("https://klasma.github.io/Logging_2523/klagomål/A 43414-2023 FSC-klagomål.docx", "A 43414-2023")</f>
        <v/>
      </c>
      <c r="W452">
        <f>HYPERLINK("https://klasma.github.io/Logging_2523/klagomålsmail/A 43414-2023 FSC-klagomål mail.docx", "A 43414-2023")</f>
        <v/>
      </c>
      <c r="X452">
        <f>HYPERLINK("https://klasma.github.io/Logging_2523/tillsyn/A 43414-2023 tillsynsbegäran.docx", "A 43414-2023")</f>
        <v/>
      </c>
      <c r="Y452">
        <f>HYPERLINK("https://klasma.github.io/Logging_2523/tillsynsmail/A 43414-2023 tillsynsbegäran mail.docx", "A 43414-2023")</f>
        <v/>
      </c>
      <c r="Z452">
        <f>HYPERLINK("https://klasma.github.io/Logging_2523/fåglar/A 43414-2023 prioriterade fågelarter.docx", "A 43414-2023")</f>
        <v/>
      </c>
    </row>
    <row r="453" ht="15" customHeight="1">
      <c r="A453" t="inlineStr">
        <is>
          <t>A 43507-2023</t>
        </is>
      </c>
      <c r="B453" s="1" t="n">
        <v>45184</v>
      </c>
      <c r="C453" s="1" t="n">
        <v>45798</v>
      </c>
      <c r="D453" t="inlineStr">
        <is>
          <t>NORRBOTTENS LÄN</t>
        </is>
      </c>
      <c r="E453" t="inlineStr">
        <is>
          <t>BODEN</t>
        </is>
      </c>
      <c r="F453" t="inlineStr">
        <is>
          <t>Sveaskog</t>
        </is>
      </c>
      <c r="G453" t="n">
        <v>4.5</v>
      </c>
      <c r="H453" t="n">
        <v>1</v>
      </c>
      <c r="I453" t="n">
        <v>3</v>
      </c>
      <c r="J453" t="n">
        <v>0</v>
      </c>
      <c r="K453" t="n">
        <v>0</v>
      </c>
      <c r="L453" t="n">
        <v>0</v>
      </c>
      <c r="M453" t="n">
        <v>0</v>
      </c>
      <c r="N453" t="n">
        <v>0</v>
      </c>
      <c r="O453" t="n">
        <v>0</v>
      </c>
      <c r="P453" t="n">
        <v>0</v>
      </c>
      <c r="Q453" t="n">
        <v>3</v>
      </c>
      <c r="R453" s="2" t="inlineStr">
        <is>
          <t>Bollvitmossa
Lappranunkel
Ögonpyrola</t>
        </is>
      </c>
      <c r="S453">
        <f>HYPERLINK("https://klasma.github.io/Logging_2582/artfynd/A 43507-2023 artfynd.xlsx", "A 43507-2023")</f>
        <v/>
      </c>
      <c r="T453">
        <f>HYPERLINK("https://klasma.github.io/Logging_2582/kartor/A 43507-2023 karta.png", "A 43507-2023")</f>
        <v/>
      </c>
      <c r="V453">
        <f>HYPERLINK("https://klasma.github.io/Logging_2582/klagomål/A 43507-2023 FSC-klagomål.docx", "A 43507-2023")</f>
        <v/>
      </c>
      <c r="W453">
        <f>HYPERLINK("https://klasma.github.io/Logging_2582/klagomålsmail/A 43507-2023 FSC-klagomål mail.docx", "A 43507-2023")</f>
        <v/>
      </c>
      <c r="X453">
        <f>HYPERLINK("https://klasma.github.io/Logging_2582/tillsyn/A 43507-2023 tillsynsbegäran.docx", "A 43507-2023")</f>
        <v/>
      </c>
      <c r="Y453">
        <f>HYPERLINK("https://klasma.github.io/Logging_2582/tillsynsmail/A 43507-2023 tillsynsbegäran mail.docx", "A 43507-2023")</f>
        <v/>
      </c>
    </row>
    <row r="454" ht="15" customHeight="1">
      <c r="A454" t="inlineStr">
        <is>
          <t>A 45031-2023</t>
        </is>
      </c>
      <c r="B454" s="1" t="n">
        <v>45190</v>
      </c>
      <c r="C454" s="1" t="n">
        <v>45798</v>
      </c>
      <c r="D454" t="inlineStr">
        <is>
          <t>NORRBOTTENS LÄN</t>
        </is>
      </c>
      <c r="E454" t="inlineStr">
        <is>
          <t>ARJEPLOG</t>
        </is>
      </c>
      <c r="F454" t="inlineStr">
        <is>
          <t>Övriga statliga verk och myndigheter</t>
        </is>
      </c>
      <c r="G454" t="n">
        <v>10.3</v>
      </c>
      <c r="H454" t="n">
        <v>0</v>
      </c>
      <c r="I454" t="n">
        <v>0</v>
      </c>
      <c r="J454" t="n">
        <v>3</v>
      </c>
      <c r="K454" t="n">
        <v>0</v>
      </c>
      <c r="L454" t="n">
        <v>0</v>
      </c>
      <c r="M454" t="n">
        <v>0</v>
      </c>
      <c r="N454" t="n">
        <v>0</v>
      </c>
      <c r="O454" t="n">
        <v>3</v>
      </c>
      <c r="P454" t="n">
        <v>0</v>
      </c>
      <c r="Q454" t="n">
        <v>3</v>
      </c>
      <c r="R454" s="2" t="inlineStr">
        <is>
          <t>Gammelgransskål
Garnlav
Granticka</t>
        </is>
      </c>
      <c r="S454">
        <f>HYPERLINK("https://klasma.github.io/Logging_2506/artfynd/A 45031-2023 artfynd.xlsx", "A 45031-2023")</f>
        <v/>
      </c>
      <c r="T454">
        <f>HYPERLINK("https://klasma.github.io/Logging_2506/kartor/A 45031-2023 karta.png", "A 45031-2023")</f>
        <v/>
      </c>
      <c r="V454">
        <f>HYPERLINK("https://klasma.github.io/Logging_2506/klagomål/A 45031-2023 FSC-klagomål.docx", "A 45031-2023")</f>
        <v/>
      </c>
      <c r="W454">
        <f>HYPERLINK("https://klasma.github.io/Logging_2506/klagomålsmail/A 45031-2023 FSC-klagomål mail.docx", "A 45031-2023")</f>
        <v/>
      </c>
      <c r="X454">
        <f>HYPERLINK("https://klasma.github.io/Logging_2506/tillsyn/A 45031-2023 tillsynsbegäran.docx", "A 45031-2023")</f>
        <v/>
      </c>
      <c r="Y454">
        <f>HYPERLINK("https://klasma.github.io/Logging_2506/tillsynsmail/A 45031-2023 tillsynsbegäran mail.docx", "A 45031-2023")</f>
        <v/>
      </c>
    </row>
    <row r="455" ht="15" customHeight="1">
      <c r="A455" t="inlineStr">
        <is>
          <t>A 47132-2023</t>
        </is>
      </c>
      <c r="B455" s="1" t="n">
        <v>45201</v>
      </c>
      <c r="C455" s="1" t="n">
        <v>45798</v>
      </c>
      <c r="D455" t="inlineStr">
        <is>
          <t>NORRBOTTENS LÄN</t>
        </is>
      </c>
      <c r="E455" t="inlineStr">
        <is>
          <t>ÄLVSBYN</t>
        </is>
      </c>
      <c r="F455" t="inlineStr">
        <is>
          <t>Sveaskog</t>
        </is>
      </c>
      <c r="G455" t="n">
        <v>4.1</v>
      </c>
      <c r="H455" t="n">
        <v>0</v>
      </c>
      <c r="I455" t="n">
        <v>0</v>
      </c>
      <c r="J455" t="n">
        <v>3</v>
      </c>
      <c r="K455" t="n">
        <v>0</v>
      </c>
      <c r="L455" t="n">
        <v>0</v>
      </c>
      <c r="M455" t="n">
        <v>0</v>
      </c>
      <c r="N455" t="n">
        <v>0</v>
      </c>
      <c r="O455" t="n">
        <v>3</v>
      </c>
      <c r="P455" t="n">
        <v>0</v>
      </c>
      <c r="Q455" t="n">
        <v>3</v>
      </c>
      <c r="R455" s="2" t="inlineStr">
        <is>
          <t>Motaggsvamp
Skrovlig taggsvamp
Tallriska</t>
        </is>
      </c>
      <c r="S455">
        <f>HYPERLINK("https://klasma.github.io/Logging_2560/artfynd/A 47132-2023 artfynd.xlsx", "A 47132-2023")</f>
        <v/>
      </c>
      <c r="T455">
        <f>HYPERLINK("https://klasma.github.io/Logging_2560/kartor/A 47132-2023 karta.png", "A 47132-2023")</f>
        <v/>
      </c>
      <c r="V455">
        <f>HYPERLINK("https://klasma.github.io/Logging_2560/klagomål/A 47132-2023 FSC-klagomål.docx", "A 47132-2023")</f>
        <v/>
      </c>
      <c r="W455">
        <f>HYPERLINK("https://klasma.github.io/Logging_2560/klagomålsmail/A 47132-2023 FSC-klagomål mail.docx", "A 47132-2023")</f>
        <v/>
      </c>
      <c r="X455">
        <f>HYPERLINK("https://klasma.github.io/Logging_2560/tillsyn/A 47132-2023 tillsynsbegäran.docx", "A 47132-2023")</f>
        <v/>
      </c>
      <c r="Y455">
        <f>HYPERLINK("https://klasma.github.io/Logging_2560/tillsynsmail/A 47132-2023 tillsynsbegäran mail.docx", "A 47132-2023")</f>
        <v/>
      </c>
    </row>
    <row r="456" ht="15" customHeight="1">
      <c r="A456" t="inlineStr">
        <is>
          <t>A 50785-2023</t>
        </is>
      </c>
      <c r="B456" s="1" t="n">
        <v>45217</v>
      </c>
      <c r="C456" s="1" t="n">
        <v>45798</v>
      </c>
      <c r="D456" t="inlineStr">
        <is>
          <t>NORRBOTTENS LÄN</t>
        </is>
      </c>
      <c r="E456" t="inlineStr">
        <is>
          <t>JOKKMOKK</t>
        </is>
      </c>
      <c r="F456" t="inlineStr">
        <is>
          <t>Sveaskog</t>
        </is>
      </c>
      <c r="G456" t="n">
        <v>24.9</v>
      </c>
      <c r="H456" t="n">
        <v>1</v>
      </c>
      <c r="I456" t="n">
        <v>0</v>
      </c>
      <c r="J456" t="n">
        <v>3</v>
      </c>
      <c r="K456" t="n">
        <v>0</v>
      </c>
      <c r="L456" t="n">
        <v>0</v>
      </c>
      <c r="M456" t="n">
        <v>0</v>
      </c>
      <c r="N456" t="n">
        <v>0</v>
      </c>
      <c r="O456" t="n">
        <v>3</v>
      </c>
      <c r="P456" t="n">
        <v>0</v>
      </c>
      <c r="Q456" t="n">
        <v>3</v>
      </c>
      <c r="R456" s="2" t="inlineStr">
        <is>
          <t>Gammelgransskål
Kolflarnlav
Tretåig hackspett</t>
        </is>
      </c>
      <c r="S456">
        <f>HYPERLINK("https://klasma.github.io/Logging_2510/artfynd/A 50785-2023 artfynd.xlsx", "A 50785-2023")</f>
        <v/>
      </c>
      <c r="T456">
        <f>HYPERLINK("https://klasma.github.io/Logging_2510/kartor/A 50785-2023 karta.png", "A 50785-2023")</f>
        <v/>
      </c>
      <c r="V456">
        <f>HYPERLINK("https://klasma.github.io/Logging_2510/klagomål/A 50785-2023 FSC-klagomål.docx", "A 50785-2023")</f>
        <v/>
      </c>
      <c r="W456">
        <f>HYPERLINK("https://klasma.github.io/Logging_2510/klagomålsmail/A 50785-2023 FSC-klagomål mail.docx", "A 50785-2023")</f>
        <v/>
      </c>
      <c r="X456">
        <f>HYPERLINK("https://klasma.github.io/Logging_2510/tillsyn/A 50785-2023 tillsynsbegäran.docx", "A 50785-2023")</f>
        <v/>
      </c>
      <c r="Y456">
        <f>HYPERLINK("https://klasma.github.io/Logging_2510/tillsynsmail/A 50785-2023 tillsynsbegäran mail.docx", "A 50785-2023")</f>
        <v/>
      </c>
      <c r="Z456">
        <f>HYPERLINK("https://klasma.github.io/Logging_2510/fåglar/A 50785-2023 prioriterade fågelarter.docx", "A 50785-2023")</f>
        <v/>
      </c>
    </row>
    <row r="457" ht="15" customHeight="1">
      <c r="A457" t="inlineStr">
        <is>
          <t>A 59618-2023</t>
        </is>
      </c>
      <c r="B457" s="1" t="n">
        <v>45254</v>
      </c>
      <c r="C457" s="1" t="n">
        <v>45798</v>
      </c>
      <c r="D457" t="inlineStr">
        <is>
          <t>NORRBOTTENS LÄN</t>
        </is>
      </c>
      <c r="E457" t="inlineStr">
        <is>
          <t>ÄLVSBYN</t>
        </is>
      </c>
      <c r="F457" t="inlineStr">
        <is>
          <t>Sveaskog</t>
        </is>
      </c>
      <c r="G457" t="n">
        <v>26.3</v>
      </c>
      <c r="H457" t="n">
        <v>0</v>
      </c>
      <c r="I457" t="n">
        <v>1</v>
      </c>
      <c r="J457" t="n">
        <v>2</v>
      </c>
      <c r="K457" t="n">
        <v>0</v>
      </c>
      <c r="L457" t="n">
        <v>0</v>
      </c>
      <c r="M457" t="n">
        <v>0</v>
      </c>
      <c r="N457" t="n">
        <v>0</v>
      </c>
      <c r="O457" t="n">
        <v>2</v>
      </c>
      <c r="P457" t="n">
        <v>0</v>
      </c>
      <c r="Q457" t="n">
        <v>3</v>
      </c>
      <c r="R457" s="2" t="inlineStr">
        <is>
          <t>Kolflarnlav
Svart taggsvamp
Dropptaggsvamp</t>
        </is>
      </c>
      <c r="S457">
        <f>HYPERLINK("https://klasma.github.io/Logging_2560/artfynd/A 59618-2023 artfynd.xlsx", "A 59618-2023")</f>
        <v/>
      </c>
      <c r="T457">
        <f>HYPERLINK("https://klasma.github.io/Logging_2560/kartor/A 59618-2023 karta.png", "A 59618-2023")</f>
        <v/>
      </c>
      <c r="V457">
        <f>HYPERLINK("https://klasma.github.io/Logging_2560/klagomål/A 59618-2023 FSC-klagomål.docx", "A 59618-2023")</f>
        <v/>
      </c>
      <c r="W457">
        <f>HYPERLINK("https://klasma.github.io/Logging_2560/klagomålsmail/A 59618-2023 FSC-klagomål mail.docx", "A 59618-2023")</f>
        <v/>
      </c>
      <c r="X457">
        <f>HYPERLINK("https://klasma.github.io/Logging_2560/tillsyn/A 59618-2023 tillsynsbegäran.docx", "A 59618-2023")</f>
        <v/>
      </c>
      <c r="Y457">
        <f>HYPERLINK("https://klasma.github.io/Logging_2560/tillsynsmail/A 59618-2023 tillsynsbegäran mail.docx", "A 59618-2023")</f>
        <v/>
      </c>
    </row>
    <row r="458" ht="15" customHeight="1">
      <c r="A458" t="inlineStr">
        <is>
          <t>A 60379-2023</t>
        </is>
      </c>
      <c r="B458" s="1" t="n">
        <v>45259</v>
      </c>
      <c r="C458" s="1" t="n">
        <v>45798</v>
      </c>
      <c r="D458" t="inlineStr">
        <is>
          <t>NORRBOTTENS LÄN</t>
        </is>
      </c>
      <c r="E458" t="inlineStr">
        <is>
          <t>JOKKMOKK</t>
        </is>
      </c>
      <c r="F458" t="inlineStr">
        <is>
          <t>Sveaskog</t>
        </is>
      </c>
      <c r="G458" t="n">
        <v>22.2</v>
      </c>
      <c r="H458" t="n">
        <v>1</v>
      </c>
      <c r="I458" t="n">
        <v>0</v>
      </c>
      <c r="J458" t="n">
        <v>3</v>
      </c>
      <c r="K458" t="n">
        <v>0</v>
      </c>
      <c r="L458" t="n">
        <v>0</v>
      </c>
      <c r="M458" t="n">
        <v>0</v>
      </c>
      <c r="N458" t="n">
        <v>0</v>
      </c>
      <c r="O458" t="n">
        <v>3</v>
      </c>
      <c r="P458" t="n">
        <v>0</v>
      </c>
      <c r="Q458" t="n">
        <v>3</v>
      </c>
      <c r="R458" s="2" t="inlineStr">
        <is>
          <t>Dvärgbägarlav
Nordtagging
Tretåig hackspett</t>
        </is>
      </c>
      <c r="S458">
        <f>HYPERLINK("https://klasma.github.io/Logging_2510/artfynd/A 60379-2023 artfynd.xlsx", "A 60379-2023")</f>
        <v/>
      </c>
      <c r="T458">
        <f>HYPERLINK("https://klasma.github.io/Logging_2510/kartor/A 60379-2023 karta.png", "A 60379-2023")</f>
        <v/>
      </c>
      <c r="V458">
        <f>HYPERLINK("https://klasma.github.io/Logging_2510/klagomål/A 60379-2023 FSC-klagomål.docx", "A 60379-2023")</f>
        <v/>
      </c>
      <c r="W458">
        <f>HYPERLINK("https://klasma.github.io/Logging_2510/klagomålsmail/A 60379-2023 FSC-klagomål mail.docx", "A 60379-2023")</f>
        <v/>
      </c>
      <c r="X458">
        <f>HYPERLINK("https://klasma.github.io/Logging_2510/tillsyn/A 60379-2023 tillsynsbegäran.docx", "A 60379-2023")</f>
        <v/>
      </c>
      <c r="Y458">
        <f>HYPERLINK("https://klasma.github.io/Logging_2510/tillsynsmail/A 60379-2023 tillsynsbegäran mail.docx", "A 60379-2023")</f>
        <v/>
      </c>
      <c r="Z458">
        <f>HYPERLINK("https://klasma.github.io/Logging_2510/fåglar/A 60379-2023 prioriterade fågelarter.docx", "A 60379-2023")</f>
        <v/>
      </c>
    </row>
    <row r="459" ht="15" customHeight="1">
      <c r="A459" t="inlineStr">
        <is>
          <t>A 60837-2023</t>
        </is>
      </c>
      <c r="B459" s="1" t="n">
        <v>45260</v>
      </c>
      <c r="C459" s="1" t="n">
        <v>45798</v>
      </c>
      <c r="D459" t="inlineStr">
        <is>
          <t>NORRBOTTENS LÄN</t>
        </is>
      </c>
      <c r="E459" t="inlineStr">
        <is>
          <t>PITEÅ</t>
        </is>
      </c>
      <c r="G459" t="n">
        <v>6.4</v>
      </c>
      <c r="H459" t="n">
        <v>1</v>
      </c>
      <c r="I459" t="n">
        <v>1</v>
      </c>
      <c r="J459" t="n">
        <v>1</v>
      </c>
      <c r="K459" t="n">
        <v>1</v>
      </c>
      <c r="L459" t="n">
        <v>0</v>
      </c>
      <c r="M459" t="n">
        <v>0</v>
      </c>
      <c r="N459" t="n">
        <v>0</v>
      </c>
      <c r="O459" t="n">
        <v>2</v>
      </c>
      <c r="P459" t="n">
        <v>1</v>
      </c>
      <c r="Q459" t="n">
        <v>3</v>
      </c>
      <c r="R459" s="2" t="inlineStr">
        <is>
          <t>Knärot
Orange taggsvamp
Dropptaggsvamp</t>
        </is>
      </c>
      <c r="S459">
        <f>HYPERLINK("https://klasma.github.io/Logging_2581/artfynd/A 60837-2023 artfynd.xlsx", "A 60837-2023")</f>
        <v/>
      </c>
      <c r="T459">
        <f>HYPERLINK("https://klasma.github.io/Logging_2581/kartor/A 60837-2023 karta.png", "A 60837-2023")</f>
        <v/>
      </c>
      <c r="U459">
        <f>HYPERLINK("https://klasma.github.io/Logging_2581/knärot/A 60837-2023 karta knärot.png", "A 60837-2023")</f>
        <v/>
      </c>
      <c r="V459">
        <f>HYPERLINK("https://klasma.github.io/Logging_2581/klagomål/A 60837-2023 FSC-klagomål.docx", "A 60837-2023")</f>
        <v/>
      </c>
      <c r="W459">
        <f>HYPERLINK("https://klasma.github.io/Logging_2581/klagomålsmail/A 60837-2023 FSC-klagomål mail.docx", "A 60837-2023")</f>
        <v/>
      </c>
      <c r="X459">
        <f>HYPERLINK("https://klasma.github.io/Logging_2581/tillsyn/A 60837-2023 tillsynsbegäran.docx", "A 60837-2023")</f>
        <v/>
      </c>
      <c r="Y459">
        <f>HYPERLINK("https://klasma.github.io/Logging_2581/tillsynsmail/A 60837-2023 tillsynsbegäran mail.docx", "A 60837-2023")</f>
        <v/>
      </c>
    </row>
    <row r="460" ht="15" customHeight="1">
      <c r="A460" t="inlineStr">
        <is>
          <t>A 65260-2023</t>
        </is>
      </c>
      <c r="B460" s="1" t="n">
        <v>45291</v>
      </c>
      <c r="C460" s="1" t="n">
        <v>45798</v>
      </c>
      <c r="D460" t="inlineStr">
        <is>
          <t>NORRBOTTENS LÄN</t>
        </is>
      </c>
      <c r="E460" t="inlineStr">
        <is>
          <t>ÖVERTORNEÅ</t>
        </is>
      </c>
      <c r="G460" t="n">
        <v>7.7</v>
      </c>
      <c r="H460" t="n">
        <v>1</v>
      </c>
      <c r="I460" t="n">
        <v>1</v>
      </c>
      <c r="J460" t="n">
        <v>2</v>
      </c>
      <c r="K460" t="n">
        <v>0</v>
      </c>
      <c r="L460" t="n">
        <v>0</v>
      </c>
      <c r="M460" t="n">
        <v>0</v>
      </c>
      <c r="N460" t="n">
        <v>0</v>
      </c>
      <c r="O460" t="n">
        <v>2</v>
      </c>
      <c r="P460" t="n">
        <v>0</v>
      </c>
      <c r="Q460" t="n">
        <v>3</v>
      </c>
      <c r="R460" s="2" t="inlineStr">
        <is>
          <t>Garnlav
Spillkråka
Vedticka</t>
        </is>
      </c>
      <c r="S460">
        <f>HYPERLINK("https://klasma.github.io/Logging_2518/artfynd/A 65260-2023 artfynd.xlsx", "A 65260-2023")</f>
        <v/>
      </c>
      <c r="T460">
        <f>HYPERLINK("https://klasma.github.io/Logging_2518/kartor/A 65260-2023 karta.png", "A 65260-2023")</f>
        <v/>
      </c>
      <c r="V460">
        <f>HYPERLINK("https://klasma.github.io/Logging_2518/klagomål/A 65260-2023 FSC-klagomål.docx", "A 65260-2023")</f>
        <v/>
      </c>
      <c r="W460">
        <f>HYPERLINK("https://klasma.github.io/Logging_2518/klagomålsmail/A 65260-2023 FSC-klagomål mail.docx", "A 65260-2023")</f>
        <v/>
      </c>
      <c r="X460">
        <f>HYPERLINK("https://klasma.github.io/Logging_2518/tillsyn/A 65260-2023 tillsynsbegäran.docx", "A 65260-2023")</f>
        <v/>
      </c>
      <c r="Y460">
        <f>HYPERLINK("https://klasma.github.io/Logging_2518/tillsynsmail/A 65260-2023 tillsynsbegäran mail.docx", "A 65260-2023")</f>
        <v/>
      </c>
      <c r="Z460">
        <f>HYPERLINK("https://klasma.github.io/Logging_2518/fåglar/A 65260-2023 prioriterade fågelarter.docx", "A 65260-2023")</f>
        <v/>
      </c>
    </row>
    <row r="461" ht="15" customHeight="1">
      <c r="A461" t="inlineStr">
        <is>
          <t>A 605-2024</t>
        </is>
      </c>
      <c r="B461" s="1" t="n">
        <v>45299</v>
      </c>
      <c r="C461" s="1" t="n">
        <v>45798</v>
      </c>
      <c r="D461" t="inlineStr">
        <is>
          <t>NORRBOTTENS LÄN</t>
        </is>
      </c>
      <c r="E461" t="inlineStr">
        <is>
          <t>ÖVERTORNEÅ</t>
        </is>
      </c>
      <c r="G461" t="n">
        <v>17.4</v>
      </c>
      <c r="H461" t="n">
        <v>3</v>
      </c>
      <c r="I461" t="n">
        <v>0</v>
      </c>
      <c r="J461" t="n">
        <v>2</v>
      </c>
      <c r="K461" t="n">
        <v>0</v>
      </c>
      <c r="L461" t="n">
        <v>0</v>
      </c>
      <c r="M461" t="n">
        <v>0</v>
      </c>
      <c r="N461" t="n">
        <v>0</v>
      </c>
      <c r="O461" t="n">
        <v>2</v>
      </c>
      <c r="P461" t="n">
        <v>0</v>
      </c>
      <c r="Q461" t="n">
        <v>3</v>
      </c>
      <c r="R461" s="2" t="inlineStr">
        <is>
          <t>Videsparv
Ärtsångare
Lavskrika</t>
        </is>
      </c>
      <c r="S461">
        <f>HYPERLINK("https://klasma.github.io/Logging_2518/artfynd/A 605-2024 artfynd.xlsx", "A 605-2024")</f>
        <v/>
      </c>
      <c r="T461">
        <f>HYPERLINK("https://klasma.github.io/Logging_2518/kartor/A 605-2024 karta.png", "A 605-2024")</f>
        <v/>
      </c>
      <c r="V461">
        <f>HYPERLINK("https://klasma.github.io/Logging_2518/klagomål/A 605-2024 FSC-klagomål.docx", "A 605-2024")</f>
        <v/>
      </c>
      <c r="W461">
        <f>HYPERLINK("https://klasma.github.io/Logging_2518/klagomålsmail/A 605-2024 FSC-klagomål mail.docx", "A 605-2024")</f>
        <v/>
      </c>
      <c r="X461">
        <f>HYPERLINK("https://klasma.github.io/Logging_2518/tillsyn/A 605-2024 tillsynsbegäran.docx", "A 605-2024")</f>
        <v/>
      </c>
      <c r="Y461">
        <f>HYPERLINK("https://klasma.github.io/Logging_2518/tillsynsmail/A 605-2024 tillsynsbegäran mail.docx", "A 605-2024")</f>
        <v/>
      </c>
      <c r="Z461">
        <f>HYPERLINK("https://klasma.github.io/Logging_2518/fåglar/A 605-2024 prioriterade fågelarter.docx", "A 605-2024")</f>
        <v/>
      </c>
    </row>
    <row r="462" ht="15" customHeight="1">
      <c r="A462" t="inlineStr">
        <is>
          <t>A 1571-2024</t>
        </is>
      </c>
      <c r="B462" s="1" t="n">
        <v>45306</v>
      </c>
      <c r="C462" s="1" t="n">
        <v>45798</v>
      </c>
      <c r="D462" t="inlineStr">
        <is>
          <t>NORRBOTTENS LÄN</t>
        </is>
      </c>
      <c r="E462" t="inlineStr">
        <is>
          <t>PAJALA</t>
        </is>
      </c>
      <c r="F462" t="inlineStr">
        <is>
          <t>Allmännings- och besparingsskogar</t>
        </is>
      </c>
      <c r="G462" t="n">
        <v>81.3</v>
      </c>
      <c r="H462" t="n">
        <v>2</v>
      </c>
      <c r="I462" t="n">
        <v>0</v>
      </c>
      <c r="J462" t="n">
        <v>2</v>
      </c>
      <c r="K462" t="n">
        <v>0</v>
      </c>
      <c r="L462" t="n">
        <v>0</v>
      </c>
      <c r="M462" t="n">
        <v>0</v>
      </c>
      <c r="N462" t="n">
        <v>0</v>
      </c>
      <c r="O462" t="n">
        <v>2</v>
      </c>
      <c r="P462" t="n">
        <v>0</v>
      </c>
      <c r="Q462" t="n">
        <v>3</v>
      </c>
      <c r="R462" s="2" t="inlineStr">
        <is>
          <t>Garnlav
Spillkråka
Fläcknycklar</t>
        </is>
      </c>
      <c r="S462">
        <f>HYPERLINK("https://klasma.github.io/Logging_2521/artfynd/A 1571-2024 artfynd.xlsx", "A 1571-2024")</f>
        <v/>
      </c>
      <c r="T462">
        <f>HYPERLINK("https://klasma.github.io/Logging_2521/kartor/A 1571-2024 karta.png", "A 1571-2024")</f>
        <v/>
      </c>
      <c r="V462">
        <f>HYPERLINK("https://klasma.github.io/Logging_2521/klagomål/A 1571-2024 FSC-klagomål.docx", "A 1571-2024")</f>
        <v/>
      </c>
      <c r="W462">
        <f>HYPERLINK("https://klasma.github.io/Logging_2521/klagomålsmail/A 1571-2024 FSC-klagomål mail.docx", "A 1571-2024")</f>
        <v/>
      </c>
      <c r="X462">
        <f>HYPERLINK("https://klasma.github.io/Logging_2521/tillsyn/A 1571-2024 tillsynsbegäran.docx", "A 1571-2024")</f>
        <v/>
      </c>
      <c r="Y462">
        <f>HYPERLINK("https://klasma.github.io/Logging_2521/tillsynsmail/A 1571-2024 tillsynsbegäran mail.docx", "A 1571-2024")</f>
        <v/>
      </c>
      <c r="Z462">
        <f>HYPERLINK("https://klasma.github.io/Logging_2521/fåglar/A 1571-2024 prioriterade fågelarter.docx", "A 1571-2024")</f>
        <v/>
      </c>
    </row>
    <row r="463" ht="15" customHeight="1">
      <c r="A463" t="inlineStr">
        <is>
          <t>A 10525-2024</t>
        </is>
      </c>
      <c r="B463" s="1" t="n">
        <v>45366</v>
      </c>
      <c r="C463" s="1" t="n">
        <v>45798</v>
      </c>
      <c r="D463" t="inlineStr">
        <is>
          <t>NORRBOTTENS LÄN</t>
        </is>
      </c>
      <c r="E463" t="inlineStr">
        <is>
          <t>ARJEPLOG</t>
        </is>
      </c>
      <c r="G463" t="n">
        <v>15.5</v>
      </c>
      <c r="H463" t="n">
        <v>2</v>
      </c>
      <c r="I463" t="n">
        <v>3</v>
      </c>
      <c r="J463" t="n">
        <v>0</v>
      </c>
      <c r="K463" t="n">
        <v>0</v>
      </c>
      <c r="L463" t="n">
        <v>0</v>
      </c>
      <c r="M463" t="n">
        <v>0</v>
      </c>
      <c r="N463" t="n">
        <v>0</v>
      </c>
      <c r="O463" t="n">
        <v>0</v>
      </c>
      <c r="P463" t="n">
        <v>0</v>
      </c>
      <c r="Q463" t="n">
        <v>3</v>
      </c>
      <c r="R463" s="2" t="inlineStr">
        <is>
          <t>Korallrot
Spindelblomster
Ögonpyrola</t>
        </is>
      </c>
      <c r="S463">
        <f>HYPERLINK("https://klasma.github.io/Logging_2506/artfynd/A 10525-2024 artfynd.xlsx", "A 10525-2024")</f>
        <v/>
      </c>
      <c r="T463">
        <f>HYPERLINK("https://klasma.github.io/Logging_2506/kartor/A 10525-2024 karta.png", "A 10525-2024")</f>
        <v/>
      </c>
      <c r="V463">
        <f>HYPERLINK("https://klasma.github.io/Logging_2506/klagomål/A 10525-2024 FSC-klagomål.docx", "A 10525-2024")</f>
        <v/>
      </c>
      <c r="W463">
        <f>HYPERLINK("https://klasma.github.io/Logging_2506/klagomålsmail/A 10525-2024 FSC-klagomål mail.docx", "A 10525-2024")</f>
        <v/>
      </c>
      <c r="X463">
        <f>HYPERLINK("https://klasma.github.io/Logging_2506/tillsyn/A 10525-2024 tillsynsbegäran.docx", "A 10525-2024")</f>
        <v/>
      </c>
      <c r="Y463">
        <f>HYPERLINK("https://klasma.github.io/Logging_2506/tillsynsmail/A 10525-2024 tillsynsbegäran mail.docx", "A 10525-2024")</f>
        <v/>
      </c>
    </row>
    <row r="464" ht="15" customHeight="1">
      <c r="A464" t="inlineStr">
        <is>
          <t>A 10734-2024</t>
        </is>
      </c>
      <c r="B464" s="1" t="n">
        <v>45369</v>
      </c>
      <c r="C464" s="1" t="n">
        <v>45798</v>
      </c>
      <c r="D464" t="inlineStr">
        <is>
          <t>NORRBOTTENS LÄN</t>
        </is>
      </c>
      <c r="E464" t="inlineStr">
        <is>
          <t>LULEÅ</t>
        </is>
      </c>
      <c r="G464" t="n">
        <v>7.7</v>
      </c>
      <c r="H464" t="n">
        <v>0</v>
      </c>
      <c r="I464" t="n">
        <v>1</v>
      </c>
      <c r="J464" t="n">
        <v>2</v>
      </c>
      <c r="K464" t="n">
        <v>0</v>
      </c>
      <c r="L464" t="n">
        <v>0</v>
      </c>
      <c r="M464" t="n">
        <v>0</v>
      </c>
      <c r="N464" t="n">
        <v>0</v>
      </c>
      <c r="O464" t="n">
        <v>2</v>
      </c>
      <c r="P464" t="n">
        <v>0</v>
      </c>
      <c r="Q464" t="n">
        <v>3</v>
      </c>
      <c r="R464" s="2" t="inlineStr">
        <is>
          <t>Garnlav
Ullticka
Vedticka</t>
        </is>
      </c>
      <c r="S464">
        <f>HYPERLINK("https://klasma.github.io/Logging_2580/artfynd/A 10734-2024 artfynd.xlsx", "A 10734-2024")</f>
        <v/>
      </c>
      <c r="T464">
        <f>HYPERLINK("https://klasma.github.io/Logging_2580/kartor/A 10734-2024 karta.png", "A 10734-2024")</f>
        <v/>
      </c>
      <c r="V464">
        <f>HYPERLINK("https://klasma.github.io/Logging_2580/klagomål/A 10734-2024 FSC-klagomål.docx", "A 10734-2024")</f>
        <v/>
      </c>
      <c r="W464">
        <f>HYPERLINK("https://klasma.github.io/Logging_2580/klagomålsmail/A 10734-2024 FSC-klagomål mail.docx", "A 10734-2024")</f>
        <v/>
      </c>
      <c r="X464">
        <f>HYPERLINK("https://klasma.github.io/Logging_2580/tillsyn/A 10734-2024 tillsynsbegäran.docx", "A 10734-2024")</f>
        <v/>
      </c>
      <c r="Y464">
        <f>HYPERLINK("https://klasma.github.io/Logging_2580/tillsynsmail/A 10734-2024 tillsynsbegäran mail.docx", "A 10734-2024")</f>
        <v/>
      </c>
    </row>
    <row r="465" ht="15" customHeight="1">
      <c r="A465" t="inlineStr">
        <is>
          <t>A 19324-2024</t>
        </is>
      </c>
      <c r="B465" s="1" t="n">
        <v>45428</v>
      </c>
      <c r="C465" s="1" t="n">
        <v>45798</v>
      </c>
      <c r="D465" t="inlineStr">
        <is>
          <t>NORRBOTTENS LÄN</t>
        </is>
      </c>
      <c r="E465" t="inlineStr">
        <is>
          <t>BODEN</t>
        </is>
      </c>
      <c r="G465" t="n">
        <v>3.8</v>
      </c>
      <c r="H465" t="n">
        <v>2</v>
      </c>
      <c r="I465" t="n">
        <v>1</v>
      </c>
      <c r="J465" t="n">
        <v>0</v>
      </c>
      <c r="K465" t="n">
        <v>2</v>
      </c>
      <c r="L465" t="n">
        <v>0</v>
      </c>
      <c r="M465" t="n">
        <v>0</v>
      </c>
      <c r="N465" t="n">
        <v>0</v>
      </c>
      <c r="O465" t="n">
        <v>2</v>
      </c>
      <c r="P465" t="n">
        <v>2</v>
      </c>
      <c r="Q465" t="n">
        <v>3</v>
      </c>
      <c r="R465" s="2" t="inlineStr">
        <is>
          <t>Knärot
Norna
Ögonpyrola</t>
        </is>
      </c>
      <c r="S465">
        <f>HYPERLINK("https://klasma.github.io/Logging_2582/artfynd/A 19324-2024 artfynd.xlsx", "A 19324-2024")</f>
        <v/>
      </c>
      <c r="T465">
        <f>HYPERLINK("https://klasma.github.io/Logging_2582/kartor/A 19324-2024 karta.png", "A 19324-2024")</f>
        <v/>
      </c>
      <c r="U465">
        <f>HYPERLINK("https://klasma.github.io/Logging_2582/knärot/A 19324-2024 karta knärot.png", "A 19324-2024")</f>
        <v/>
      </c>
      <c r="V465">
        <f>HYPERLINK("https://klasma.github.io/Logging_2582/klagomål/A 19324-2024 FSC-klagomål.docx", "A 19324-2024")</f>
        <v/>
      </c>
      <c r="W465">
        <f>HYPERLINK("https://klasma.github.io/Logging_2582/klagomålsmail/A 19324-2024 FSC-klagomål mail.docx", "A 19324-2024")</f>
        <v/>
      </c>
      <c r="X465">
        <f>HYPERLINK("https://klasma.github.io/Logging_2582/tillsyn/A 19324-2024 tillsynsbegäran.docx", "A 19324-2024")</f>
        <v/>
      </c>
      <c r="Y465">
        <f>HYPERLINK("https://klasma.github.io/Logging_2582/tillsynsmail/A 19324-2024 tillsynsbegäran mail.docx", "A 19324-2024")</f>
        <v/>
      </c>
    </row>
    <row r="466" ht="15" customHeight="1">
      <c r="A466" t="inlineStr">
        <is>
          <t>A 21356-2024</t>
        </is>
      </c>
      <c r="B466" s="1" t="n">
        <v>45440</v>
      </c>
      <c r="C466" s="1" t="n">
        <v>45798</v>
      </c>
      <c r="D466" t="inlineStr">
        <is>
          <t>NORRBOTTENS LÄN</t>
        </is>
      </c>
      <c r="E466" t="inlineStr">
        <is>
          <t>JOKKMOKK</t>
        </is>
      </c>
      <c r="F466" t="inlineStr">
        <is>
          <t>SCA</t>
        </is>
      </c>
      <c r="G466" t="n">
        <v>1.4</v>
      </c>
      <c r="H466" t="n">
        <v>1</v>
      </c>
      <c r="I466" t="n">
        <v>0</v>
      </c>
      <c r="J466" t="n">
        <v>3</v>
      </c>
      <c r="K466" t="n">
        <v>0</v>
      </c>
      <c r="L466" t="n">
        <v>0</v>
      </c>
      <c r="M466" t="n">
        <v>0</v>
      </c>
      <c r="N466" t="n">
        <v>0</v>
      </c>
      <c r="O466" t="n">
        <v>3</v>
      </c>
      <c r="P466" t="n">
        <v>0</v>
      </c>
      <c r="Q466" t="n">
        <v>3</v>
      </c>
      <c r="R466" s="2" t="inlineStr">
        <is>
          <t>Kolflarnlav
Lunglav
Tretåig hackspett</t>
        </is>
      </c>
      <c r="S466">
        <f>HYPERLINK("https://klasma.github.io/Logging_2510/artfynd/A 21356-2024 artfynd.xlsx", "A 21356-2024")</f>
        <v/>
      </c>
      <c r="T466">
        <f>HYPERLINK("https://klasma.github.io/Logging_2510/kartor/A 21356-2024 karta.png", "A 21356-2024")</f>
        <v/>
      </c>
      <c r="V466">
        <f>HYPERLINK("https://klasma.github.io/Logging_2510/klagomål/A 21356-2024 FSC-klagomål.docx", "A 21356-2024")</f>
        <v/>
      </c>
      <c r="W466">
        <f>HYPERLINK("https://klasma.github.io/Logging_2510/klagomålsmail/A 21356-2024 FSC-klagomål mail.docx", "A 21356-2024")</f>
        <v/>
      </c>
      <c r="X466">
        <f>HYPERLINK("https://klasma.github.io/Logging_2510/tillsyn/A 21356-2024 tillsynsbegäran.docx", "A 21356-2024")</f>
        <v/>
      </c>
      <c r="Y466">
        <f>HYPERLINK("https://klasma.github.io/Logging_2510/tillsynsmail/A 21356-2024 tillsynsbegäran mail.docx", "A 21356-2024")</f>
        <v/>
      </c>
      <c r="Z466">
        <f>HYPERLINK("https://klasma.github.io/Logging_2510/fåglar/A 21356-2024 prioriterade fågelarter.docx", "A 21356-2024")</f>
        <v/>
      </c>
    </row>
    <row r="467" ht="15" customHeight="1">
      <c r="A467" t="inlineStr">
        <is>
          <t>A 21355-2024</t>
        </is>
      </c>
      <c r="B467" s="1" t="n">
        <v>45440</v>
      </c>
      <c r="C467" s="1" t="n">
        <v>45798</v>
      </c>
      <c r="D467" t="inlineStr">
        <is>
          <t>NORRBOTTENS LÄN</t>
        </is>
      </c>
      <c r="E467" t="inlineStr">
        <is>
          <t>JOKKMOKK</t>
        </is>
      </c>
      <c r="F467" t="inlineStr">
        <is>
          <t>SCA</t>
        </is>
      </c>
      <c r="G467" t="n">
        <v>1.9</v>
      </c>
      <c r="H467" t="n">
        <v>0</v>
      </c>
      <c r="I467" t="n">
        <v>0</v>
      </c>
      <c r="J467" t="n">
        <v>3</v>
      </c>
      <c r="K467" t="n">
        <v>0</v>
      </c>
      <c r="L467" t="n">
        <v>0</v>
      </c>
      <c r="M467" t="n">
        <v>0</v>
      </c>
      <c r="N467" t="n">
        <v>0</v>
      </c>
      <c r="O467" t="n">
        <v>3</v>
      </c>
      <c r="P467" t="n">
        <v>0</v>
      </c>
      <c r="Q467" t="n">
        <v>3</v>
      </c>
      <c r="R467" s="2" t="inlineStr">
        <is>
          <t>Gammelgransskål
Garnlav
Knottrig blåslav</t>
        </is>
      </c>
      <c r="S467">
        <f>HYPERLINK("https://klasma.github.io/Logging_2510/artfynd/A 21355-2024 artfynd.xlsx", "A 21355-2024")</f>
        <v/>
      </c>
      <c r="T467">
        <f>HYPERLINK("https://klasma.github.io/Logging_2510/kartor/A 21355-2024 karta.png", "A 21355-2024")</f>
        <v/>
      </c>
      <c r="V467">
        <f>HYPERLINK("https://klasma.github.io/Logging_2510/klagomål/A 21355-2024 FSC-klagomål.docx", "A 21355-2024")</f>
        <v/>
      </c>
      <c r="W467">
        <f>HYPERLINK("https://klasma.github.io/Logging_2510/klagomålsmail/A 21355-2024 FSC-klagomål mail.docx", "A 21355-2024")</f>
        <v/>
      </c>
      <c r="X467">
        <f>HYPERLINK("https://klasma.github.io/Logging_2510/tillsyn/A 21355-2024 tillsynsbegäran.docx", "A 21355-2024")</f>
        <v/>
      </c>
      <c r="Y467">
        <f>HYPERLINK("https://klasma.github.io/Logging_2510/tillsynsmail/A 21355-2024 tillsynsbegäran mail.docx", "A 21355-2024")</f>
        <v/>
      </c>
    </row>
    <row r="468" ht="15" customHeight="1">
      <c r="A468" t="inlineStr">
        <is>
          <t>A 25572-2024</t>
        </is>
      </c>
      <c r="B468" s="1" t="n">
        <v>45463</v>
      </c>
      <c r="C468" s="1" t="n">
        <v>45798</v>
      </c>
      <c r="D468" t="inlineStr">
        <is>
          <t>NORRBOTTENS LÄN</t>
        </is>
      </c>
      <c r="E468" t="inlineStr">
        <is>
          <t>LULEÅ</t>
        </is>
      </c>
      <c r="G468" t="n">
        <v>0.9</v>
      </c>
      <c r="H468" t="n">
        <v>1</v>
      </c>
      <c r="I468" t="n">
        <v>0</v>
      </c>
      <c r="J468" t="n">
        <v>3</v>
      </c>
      <c r="K468" t="n">
        <v>0</v>
      </c>
      <c r="L468" t="n">
        <v>0</v>
      </c>
      <c r="M468" t="n">
        <v>0</v>
      </c>
      <c r="N468" t="n">
        <v>0</v>
      </c>
      <c r="O468" t="n">
        <v>3</v>
      </c>
      <c r="P468" t="n">
        <v>0</v>
      </c>
      <c r="Q468" t="n">
        <v>3</v>
      </c>
      <c r="R468" s="2" t="inlineStr">
        <is>
          <t>Granticka
Spillkråka
Ullticka</t>
        </is>
      </c>
      <c r="S468">
        <f>HYPERLINK("https://klasma.github.io/Logging_2580/artfynd/A 25572-2024 artfynd.xlsx", "A 25572-2024")</f>
        <v/>
      </c>
      <c r="T468">
        <f>HYPERLINK("https://klasma.github.io/Logging_2580/kartor/A 25572-2024 karta.png", "A 25572-2024")</f>
        <v/>
      </c>
      <c r="V468">
        <f>HYPERLINK("https://klasma.github.io/Logging_2580/klagomål/A 25572-2024 FSC-klagomål.docx", "A 25572-2024")</f>
        <v/>
      </c>
      <c r="W468">
        <f>HYPERLINK("https://klasma.github.io/Logging_2580/klagomålsmail/A 25572-2024 FSC-klagomål mail.docx", "A 25572-2024")</f>
        <v/>
      </c>
      <c r="X468">
        <f>HYPERLINK("https://klasma.github.io/Logging_2580/tillsyn/A 25572-2024 tillsynsbegäran.docx", "A 25572-2024")</f>
        <v/>
      </c>
      <c r="Y468">
        <f>HYPERLINK("https://klasma.github.io/Logging_2580/tillsynsmail/A 25572-2024 tillsynsbegäran mail.docx", "A 25572-2024")</f>
        <v/>
      </c>
      <c r="Z468">
        <f>HYPERLINK("https://klasma.github.io/Logging_2580/fåglar/A 25572-2024 prioriterade fågelarter.docx", "A 25572-2024")</f>
        <v/>
      </c>
    </row>
    <row r="469" ht="15" customHeight="1">
      <c r="A469" t="inlineStr">
        <is>
          <t>A 25524-2024</t>
        </is>
      </c>
      <c r="B469" s="1" t="n">
        <v>45463</v>
      </c>
      <c r="C469" s="1" t="n">
        <v>45798</v>
      </c>
      <c r="D469" t="inlineStr">
        <is>
          <t>NORRBOTTENS LÄN</t>
        </is>
      </c>
      <c r="E469" t="inlineStr">
        <is>
          <t>LULEÅ</t>
        </is>
      </c>
      <c r="G469" t="n">
        <v>0.4</v>
      </c>
      <c r="H469" t="n">
        <v>0</v>
      </c>
      <c r="I469" t="n">
        <v>2</v>
      </c>
      <c r="J469" t="n">
        <v>1</v>
      </c>
      <c r="K469" t="n">
        <v>0</v>
      </c>
      <c r="L469" t="n">
        <v>0</v>
      </c>
      <c r="M469" t="n">
        <v>0</v>
      </c>
      <c r="N469" t="n">
        <v>0</v>
      </c>
      <c r="O469" t="n">
        <v>1</v>
      </c>
      <c r="P469" t="n">
        <v>0</v>
      </c>
      <c r="Q469" t="n">
        <v>3</v>
      </c>
      <c r="R469" s="2" t="inlineStr">
        <is>
          <t>Ullticka
Svart trolldruva
Vedticka</t>
        </is>
      </c>
      <c r="S469">
        <f>HYPERLINK("https://klasma.github.io/Logging_2580/artfynd/A 25524-2024 artfynd.xlsx", "A 25524-2024")</f>
        <v/>
      </c>
      <c r="T469">
        <f>HYPERLINK("https://klasma.github.io/Logging_2580/kartor/A 25524-2024 karta.png", "A 25524-2024")</f>
        <v/>
      </c>
      <c r="V469">
        <f>HYPERLINK("https://klasma.github.io/Logging_2580/klagomål/A 25524-2024 FSC-klagomål.docx", "A 25524-2024")</f>
        <v/>
      </c>
      <c r="W469">
        <f>HYPERLINK("https://klasma.github.io/Logging_2580/klagomålsmail/A 25524-2024 FSC-klagomål mail.docx", "A 25524-2024")</f>
        <v/>
      </c>
      <c r="X469">
        <f>HYPERLINK("https://klasma.github.io/Logging_2580/tillsyn/A 25524-2024 tillsynsbegäran.docx", "A 25524-2024")</f>
        <v/>
      </c>
      <c r="Y469">
        <f>HYPERLINK("https://klasma.github.io/Logging_2580/tillsynsmail/A 25524-2024 tillsynsbegäran mail.docx", "A 25524-2024")</f>
        <v/>
      </c>
    </row>
    <row r="470" ht="15" customHeight="1">
      <c r="A470" t="inlineStr">
        <is>
          <t>A 29762-2024</t>
        </is>
      </c>
      <c r="B470" s="1" t="n">
        <v>45485</v>
      </c>
      <c r="C470" s="1" t="n">
        <v>45798</v>
      </c>
      <c r="D470" t="inlineStr">
        <is>
          <t>NORRBOTTENS LÄN</t>
        </is>
      </c>
      <c r="E470" t="inlineStr">
        <is>
          <t>GÄLLIVARE</t>
        </is>
      </c>
      <c r="F470" t="inlineStr">
        <is>
          <t>Sveaskog</t>
        </is>
      </c>
      <c r="G470" t="n">
        <v>27</v>
      </c>
      <c r="H470" t="n">
        <v>0</v>
      </c>
      <c r="I470" t="n">
        <v>1</v>
      </c>
      <c r="J470" t="n">
        <v>2</v>
      </c>
      <c r="K470" t="n">
        <v>0</v>
      </c>
      <c r="L470" t="n">
        <v>0</v>
      </c>
      <c r="M470" t="n">
        <v>0</v>
      </c>
      <c r="N470" t="n">
        <v>0</v>
      </c>
      <c r="O470" t="n">
        <v>2</v>
      </c>
      <c r="P470" t="n">
        <v>0</v>
      </c>
      <c r="Q470" t="n">
        <v>3</v>
      </c>
      <c r="R470" s="2" t="inlineStr">
        <is>
          <t>Blå taggsvamp
Svart taggsvamp
Skarp dropptaggsvamp</t>
        </is>
      </c>
      <c r="S470">
        <f>HYPERLINK("https://klasma.github.io/Logging_2523/artfynd/A 29762-2024 artfynd.xlsx", "A 29762-2024")</f>
        <v/>
      </c>
      <c r="T470">
        <f>HYPERLINK("https://klasma.github.io/Logging_2523/kartor/A 29762-2024 karta.png", "A 29762-2024")</f>
        <v/>
      </c>
      <c r="V470">
        <f>HYPERLINK("https://klasma.github.io/Logging_2523/klagomål/A 29762-2024 FSC-klagomål.docx", "A 29762-2024")</f>
        <v/>
      </c>
      <c r="W470">
        <f>HYPERLINK("https://klasma.github.io/Logging_2523/klagomålsmail/A 29762-2024 FSC-klagomål mail.docx", "A 29762-2024")</f>
        <v/>
      </c>
      <c r="X470">
        <f>HYPERLINK("https://klasma.github.io/Logging_2523/tillsyn/A 29762-2024 tillsynsbegäran.docx", "A 29762-2024")</f>
        <v/>
      </c>
      <c r="Y470">
        <f>HYPERLINK("https://klasma.github.io/Logging_2523/tillsynsmail/A 29762-2024 tillsynsbegäran mail.docx", "A 29762-2024")</f>
        <v/>
      </c>
    </row>
    <row r="471" ht="15" customHeight="1">
      <c r="A471" t="inlineStr">
        <is>
          <t>A 31512-2024</t>
        </is>
      </c>
      <c r="B471" s="1" t="n">
        <v>45505</v>
      </c>
      <c r="C471" s="1" t="n">
        <v>45798</v>
      </c>
      <c r="D471" t="inlineStr">
        <is>
          <t>NORRBOTTENS LÄN</t>
        </is>
      </c>
      <c r="E471" t="inlineStr">
        <is>
          <t>KALIX</t>
        </is>
      </c>
      <c r="G471" t="n">
        <v>7.8</v>
      </c>
      <c r="H471" t="n">
        <v>3</v>
      </c>
      <c r="I471" t="n">
        <v>0</v>
      </c>
      <c r="J471" t="n">
        <v>1</v>
      </c>
      <c r="K471" t="n">
        <v>1</v>
      </c>
      <c r="L471" t="n">
        <v>0</v>
      </c>
      <c r="M471" t="n">
        <v>0</v>
      </c>
      <c r="N471" t="n">
        <v>0</v>
      </c>
      <c r="O471" t="n">
        <v>2</v>
      </c>
      <c r="P471" t="n">
        <v>1</v>
      </c>
      <c r="Q471" t="n">
        <v>3</v>
      </c>
      <c r="R471" s="2" t="inlineStr">
        <is>
          <t>Topplåsbräken
Höstlåsbräken
Revlummer</t>
        </is>
      </c>
      <c r="S471">
        <f>HYPERLINK("https://klasma.github.io/Logging_2514/artfynd/A 31512-2024 artfynd.xlsx", "A 31512-2024")</f>
        <v/>
      </c>
      <c r="T471">
        <f>HYPERLINK("https://klasma.github.io/Logging_2514/kartor/A 31512-2024 karta.png", "A 31512-2024")</f>
        <v/>
      </c>
      <c r="V471">
        <f>HYPERLINK("https://klasma.github.io/Logging_2514/klagomål/A 31512-2024 FSC-klagomål.docx", "A 31512-2024")</f>
        <v/>
      </c>
      <c r="W471">
        <f>HYPERLINK("https://klasma.github.io/Logging_2514/klagomålsmail/A 31512-2024 FSC-klagomål mail.docx", "A 31512-2024")</f>
        <v/>
      </c>
      <c r="X471">
        <f>HYPERLINK("https://klasma.github.io/Logging_2514/tillsyn/A 31512-2024 tillsynsbegäran.docx", "A 31512-2024")</f>
        <v/>
      </c>
      <c r="Y471">
        <f>HYPERLINK("https://klasma.github.io/Logging_2514/tillsynsmail/A 31512-2024 tillsynsbegäran mail.docx", "A 31512-2024")</f>
        <v/>
      </c>
    </row>
    <row r="472" ht="15" customHeight="1">
      <c r="A472" t="inlineStr">
        <is>
          <t>A 32404-2024</t>
        </is>
      </c>
      <c r="B472" s="1" t="n">
        <v>45512</v>
      </c>
      <c r="C472" s="1" t="n">
        <v>45798</v>
      </c>
      <c r="D472" t="inlineStr">
        <is>
          <t>NORRBOTTENS LÄN</t>
        </is>
      </c>
      <c r="E472" t="inlineStr">
        <is>
          <t>LULEÅ</t>
        </is>
      </c>
      <c r="G472" t="n">
        <v>20.1</v>
      </c>
      <c r="H472" t="n">
        <v>1</v>
      </c>
      <c r="I472" t="n">
        <v>2</v>
      </c>
      <c r="J472" t="n">
        <v>0</v>
      </c>
      <c r="K472" t="n">
        <v>1</v>
      </c>
      <c r="L472" t="n">
        <v>0</v>
      </c>
      <c r="M472" t="n">
        <v>0</v>
      </c>
      <c r="N472" t="n">
        <v>0</v>
      </c>
      <c r="O472" t="n">
        <v>1</v>
      </c>
      <c r="P472" t="n">
        <v>1</v>
      </c>
      <c r="Q472" t="n">
        <v>3</v>
      </c>
      <c r="R472" s="2" t="inlineStr">
        <is>
          <t>Knärot
Grönpyrola
Skinnlav</t>
        </is>
      </c>
      <c r="S472">
        <f>HYPERLINK("https://klasma.github.io/Logging_2580/artfynd/A 32404-2024 artfynd.xlsx", "A 32404-2024")</f>
        <v/>
      </c>
      <c r="T472">
        <f>HYPERLINK("https://klasma.github.io/Logging_2580/kartor/A 32404-2024 karta.png", "A 32404-2024")</f>
        <v/>
      </c>
      <c r="U472">
        <f>HYPERLINK("https://klasma.github.io/Logging_2580/knärot/A 32404-2024 karta knärot.png", "A 32404-2024")</f>
        <v/>
      </c>
      <c r="V472">
        <f>HYPERLINK("https://klasma.github.io/Logging_2580/klagomål/A 32404-2024 FSC-klagomål.docx", "A 32404-2024")</f>
        <v/>
      </c>
      <c r="W472">
        <f>HYPERLINK("https://klasma.github.io/Logging_2580/klagomålsmail/A 32404-2024 FSC-klagomål mail.docx", "A 32404-2024")</f>
        <v/>
      </c>
      <c r="X472">
        <f>HYPERLINK("https://klasma.github.io/Logging_2580/tillsyn/A 32404-2024 tillsynsbegäran.docx", "A 32404-2024")</f>
        <v/>
      </c>
      <c r="Y472">
        <f>HYPERLINK("https://klasma.github.io/Logging_2580/tillsynsmail/A 32404-2024 tillsynsbegäran mail.docx", "A 32404-2024")</f>
        <v/>
      </c>
    </row>
    <row r="473" ht="15" customHeight="1">
      <c r="A473" t="inlineStr">
        <is>
          <t>A 36451-2024</t>
        </is>
      </c>
      <c r="B473" s="1" t="n">
        <v>45537</v>
      </c>
      <c r="C473" s="1" t="n">
        <v>45798</v>
      </c>
      <c r="D473" t="inlineStr">
        <is>
          <t>NORRBOTTENS LÄN</t>
        </is>
      </c>
      <c r="E473" t="inlineStr">
        <is>
          <t>ARVIDSJAUR</t>
        </is>
      </c>
      <c r="F473" t="inlineStr">
        <is>
          <t>Sveaskog</t>
        </is>
      </c>
      <c r="G473" t="n">
        <v>19.2</v>
      </c>
      <c r="H473" t="n">
        <v>0</v>
      </c>
      <c r="I473" t="n">
        <v>1</v>
      </c>
      <c r="J473" t="n">
        <v>2</v>
      </c>
      <c r="K473" t="n">
        <v>0</v>
      </c>
      <c r="L473" t="n">
        <v>0</v>
      </c>
      <c r="M473" t="n">
        <v>0</v>
      </c>
      <c r="N473" t="n">
        <v>0</v>
      </c>
      <c r="O473" t="n">
        <v>2</v>
      </c>
      <c r="P473" t="n">
        <v>0</v>
      </c>
      <c r="Q473" t="n">
        <v>3</v>
      </c>
      <c r="R473" s="2" t="inlineStr">
        <is>
          <t>Blå taggsvamp
Orange taggsvamp
Dropptaggsvamp</t>
        </is>
      </c>
      <c r="S473">
        <f>HYPERLINK("https://klasma.github.io/Logging_2505/artfynd/A 36451-2024 artfynd.xlsx", "A 36451-2024")</f>
        <v/>
      </c>
      <c r="T473">
        <f>HYPERLINK("https://klasma.github.io/Logging_2505/kartor/A 36451-2024 karta.png", "A 36451-2024")</f>
        <v/>
      </c>
      <c r="V473">
        <f>HYPERLINK("https://klasma.github.io/Logging_2505/klagomål/A 36451-2024 FSC-klagomål.docx", "A 36451-2024")</f>
        <v/>
      </c>
      <c r="W473">
        <f>HYPERLINK("https://klasma.github.io/Logging_2505/klagomålsmail/A 36451-2024 FSC-klagomål mail.docx", "A 36451-2024")</f>
        <v/>
      </c>
      <c r="X473">
        <f>HYPERLINK("https://klasma.github.io/Logging_2505/tillsyn/A 36451-2024 tillsynsbegäran.docx", "A 36451-2024")</f>
        <v/>
      </c>
      <c r="Y473">
        <f>HYPERLINK("https://klasma.github.io/Logging_2505/tillsynsmail/A 36451-2024 tillsynsbegäran mail.docx", "A 36451-2024")</f>
        <v/>
      </c>
    </row>
    <row r="474" ht="15" customHeight="1">
      <c r="A474" t="inlineStr">
        <is>
          <t>A 38649-2024</t>
        </is>
      </c>
      <c r="B474" s="1" t="n">
        <v>45546</v>
      </c>
      <c r="C474" s="1" t="n">
        <v>45798</v>
      </c>
      <c r="D474" t="inlineStr">
        <is>
          <t>NORRBOTTENS LÄN</t>
        </is>
      </c>
      <c r="E474" t="inlineStr">
        <is>
          <t>JOKKMOKK</t>
        </is>
      </c>
      <c r="F474" t="inlineStr">
        <is>
          <t>Sveaskog</t>
        </is>
      </c>
      <c r="G474" t="n">
        <v>5.7</v>
      </c>
      <c r="H474" t="n">
        <v>0</v>
      </c>
      <c r="I474" t="n">
        <v>2</v>
      </c>
      <c r="J474" t="n">
        <v>1</v>
      </c>
      <c r="K474" t="n">
        <v>0</v>
      </c>
      <c r="L474" t="n">
        <v>0</v>
      </c>
      <c r="M474" t="n">
        <v>0</v>
      </c>
      <c r="N474" t="n">
        <v>0</v>
      </c>
      <c r="O474" t="n">
        <v>1</v>
      </c>
      <c r="P474" t="n">
        <v>0</v>
      </c>
      <c r="Q474" t="n">
        <v>3</v>
      </c>
      <c r="R474" s="2" t="inlineStr">
        <is>
          <t>Lunglav
Myskbock
Stuplav</t>
        </is>
      </c>
      <c r="S474">
        <f>HYPERLINK("https://klasma.github.io/Logging_2510/artfynd/A 38649-2024 artfynd.xlsx", "A 38649-2024")</f>
        <v/>
      </c>
      <c r="T474">
        <f>HYPERLINK("https://klasma.github.io/Logging_2510/kartor/A 38649-2024 karta.png", "A 38649-2024")</f>
        <v/>
      </c>
      <c r="V474">
        <f>HYPERLINK("https://klasma.github.io/Logging_2510/klagomål/A 38649-2024 FSC-klagomål.docx", "A 38649-2024")</f>
        <v/>
      </c>
      <c r="W474">
        <f>HYPERLINK("https://klasma.github.io/Logging_2510/klagomålsmail/A 38649-2024 FSC-klagomål mail.docx", "A 38649-2024")</f>
        <v/>
      </c>
      <c r="X474">
        <f>HYPERLINK("https://klasma.github.io/Logging_2510/tillsyn/A 38649-2024 tillsynsbegäran.docx", "A 38649-2024")</f>
        <v/>
      </c>
      <c r="Y474">
        <f>HYPERLINK("https://klasma.github.io/Logging_2510/tillsynsmail/A 38649-2024 tillsynsbegäran mail.docx", "A 38649-2024")</f>
        <v/>
      </c>
    </row>
    <row r="475" ht="15" customHeight="1">
      <c r="A475" t="inlineStr">
        <is>
          <t>A 39596-2024</t>
        </is>
      </c>
      <c r="B475" s="1" t="n">
        <v>45552</v>
      </c>
      <c r="C475" s="1" t="n">
        <v>45798</v>
      </c>
      <c r="D475" t="inlineStr">
        <is>
          <t>NORRBOTTENS LÄN</t>
        </is>
      </c>
      <c r="E475" t="inlineStr">
        <is>
          <t>PITEÅ</t>
        </is>
      </c>
      <c r="G475" t="n">
        <v>15.9</v>
      </c>
      <c r="H475" t="n">
        <v>1</v>
      </c>
      <c r="I475" t="n">
        <v>1</v>
      </c>
      <c r="J475" t="n">
        <v>2</v>
      </c>
      <c r="K475" t="n">
        <v>0</v>
      </c>
      <c r="L475" t="n">
        <v>0</v>
      </c>
      <c r="M475" t="n">
        <v>0</v>
      </c>
      <c r="N475" t="n">
        <v>0</v>
      </c>
      <c r="O475" t="n">
        <v>2</v>
      </c>
      <c r="P475" t="n">
        <v>0</v>
      </c>
      <c r="Q475" t="n">
        <v>3</v>
      </c>
      <c r="R475" s="2" t="inlineStr">
        <is>
          <t>Garnlav
Spillkråka
Skinnlav</t>
        </is>
      </c>
      <c r="S475">
        <f>HYPERLINK("https://klasma.github.io/Logging_2581/artfynd/A 39596-2024 artfynd.xlsx", "A 39596-2024")</f>
        <v/>
      </c>
      <c r="T475">
        <f>HYPERLINK("https://klasma.github.io/Logging_2581/kartor/A 39596-2024 karta.png", "A 39596-2024")</f>
        <v/>
      </c>
      <c r="V475">
        <f>HYPERLINK("https://klasma.github.io/Logging_2581/klagomål/A 39596-2024 FSC-klagomål.docx", "A 39596-2024")</f>
        <v/>
      </c>
      <c r="W475">
        <f>HYPERLINK("https://klasma.github.io/Logging_2581/klagomålsmail/A 39596-2024 FSC-klagomål mail.docx", "A 39596-2024")</f>
        <v/>
      </c>
      <c r="X475">
        <f>HYPERLINK("https://klasma.github.io/Logging_2581/tillsyn/A 39596-2024 tillsynsbegäran.docx", "A 39596-2024")</f>
        <v/>
      </c>
      <c r="Y475">
        <f>HYPERLINK("https://klasma.github.io/Logging_2581/tillsynsmail/A 39596-2024 tillsynsbegäran mail.docx", "A 39596-2024")</f>
        <v/>
      </c>
      <c r="Z475">
        <f>HYPERLINK("https://klasma.github.io/Logging_2581/fåglar/A 39596-2024 prioriterade fågelarter.docx", "A 39596-2024")</f>
        <v/>
      </c>
    </row>
    <row r="476" ht="15" customHeight="1">
      <c r="A476" t="inlineStr">
        <is>
          <t>A 40359-2024</t>
        </is>
      </c>
      <c r="B476" s="1" t="n">
        <v>45555</v>
      </c>
      <c r="C476" s="1" t="n">
        <v>45798</v>
      </c>
      <c r="D476" t="inlineStr">
        <is>
          <t>NORRBOTTENS LÄN</t>
        </is>
      </c>
      <c r="E476" t="inlineStr">
        <is>
          <t>ÖVERKALIX</t>
        </is>
      </c>
      <c r="F476" t="inlineStr">
        <is>
          <t>Sveaskog</t>
        </is>
      </c>
      <c r="G476" t="n">
        <v>6.8</v>
      </c>
      <c r="H476" t="n">
        <v>1</v>
      </c>
      <c r="I476" t="n">
        <v>3</v>
      </c>
      <c r="J476" t="n">
        <v>0</v>
      </c>
      <c r="K476" t="n">
        <v>0</v>
      </c>
      <c r="L476" t="n">
        <v>0</v>
      </c>
      <c r="M476" t="n">
        <v>0</v>
      </c>
      <c r="N476" t="n">
        <v>0</v>
      </c>
      <c r="O476" t="n">
        <v>0</v>
      </c>
      <c r="P476" t="n">
        <v>0</v>
      </c>
      <c r="Q476" t="n">
        <v>3</v>
      </c>
      <c r="R476" s="2" t="inlineStr">
        <is>
          <t>Dropptaggsvamp
Plattlummer
Skarp dropptaggsvamp</t>
        </is>
      </c>
      <c r="S476">
        <f>HYPERLINK("https://klasma.github.io/Logging_2513/artfynd/A 40359-2024 artfynd.xlsx", "A 40359-2024")</f>
        <v/>
      </c>
      <c r="T476">
        <f>HYPERLINK("https://klasma.github.io/Logging_2513/kartor/A 40359-2024 karta.png", "A 40359-2024")</f>
        <v/>
      </c>
      <c r="V476">
        <f>HYPERLINK("https://klasma.github.io/Logging_2513/klagomål/A 40359-2024 FSC-klagomål.docx", "A 40359-2024")</f>
        <v/>
      </c>
      <c r="W476">
        <f>HYPERLINK("https://klasma.github.io/Logging_2513/klagomålsmail/A 40359-2024 FSC-klagomål mail.docx", "A 40359-2024")</f>
        <v/>
      </c>
      <c r="X476">
        <f>HYPERLINK("https://klasma.github.io/Logging_2513/tillsyn/A 40359-2024 tillsynsbegäran.docx", "A 40359-2024")</f>
        <v/>
      </c>
      <c r="Y476">
        <f>HYPERLINK("https://klasma.github.io/Logging_2513/tillsynsmail/A 40359-2024 tillsynsbegäran mail.docx", "A 40359-2024")</f>
        <v/>
      </c>
    </row>
    <row r="477" ht="15" customHeight="1">
      <c r="A477" t="inlineStr">
        <is>
          <t>A 42691-2024</t>
        </is>
      </c>
      <c r="B477" s="1" t="n">
        <v>45566</v>
      </c>
      <c r="C477" s="1" t="n">
        <v>45798</v>
      </c>
      <c r="D477" t="inlineStr">
        <is>
          <t>NORRBOTTENS LÄN</t>
        </is>
      </c>
      <c r="E477" t="inlineStr">
        <is>
          <t>GÄLLIVARE</t>
        </is>
      </c>
      <c r="F477" t="inlineStr">
        <is>
          <t>Sveaskog</t>
        </is>
      </c>
      <c r="G477" t="n">
        <v>16.8</v>
      </c>
      <c r="H477" t="n">
        <v>0</v>
      </c>
      <c r="I477" t="n">
        <v>0</v>
      </c>
      <c r="J477" t="n">
        <v>2</v>
      </c>
      <c r="K477" t="n">
        <v>1</v>
      </c>
      <c r="L477" t="n">
        <v>0</v>
      </c>
      <c r="M477" t="n">
        <v>0</v>
      </c>
      <c r="N477" t="n">
        <v>0</v>
      </c>
      <c r="O477" t="n">
        <v>3</v>
      </c>
      <c r="P477" t="n">
        <v>1</v>
      </c>
      <c r="Q477" t="n">
        <v>3</v>
      </c>
      <c r="R477" s="2" t="inlineStr">
        <is>
          <t>Fläckporing
Blå taggsvamp
Vaddporing</t>
        </is>
      </c>
      <c r="S477">
        <f>HYPERLINK("https://klasma.github.io/Logging_2523/artfynd/A 42691-2024 artfynd.xlsx", "A 42691-2024")</f>
        <v/>
      </c>
      <c r="T477">
        <f>HYPERLINK("https://klasma.github.io/Logging_2523/kartor/A 42691-2024 karta.png", "A 42691-2024")</f>
        <v/>
      </c>
      <c r="V477">
        <f>HYPERLINK("https://klasma.github.io/Logging_2523/klagomål/A 42691-2024 FSC-klagomål.docx", "A 42691-2024")</f>
        <v/>
      </c>
      <c r="W477">
        <f>HYPERLINK("https://klasma.github.io/Logging_2523/klagomålsmail/A 42691-2024 FSC-klagomål mail.docx", "A 42691-2024")</f>
        <v/>
      </c>
      <c r="X477">
        <f>HYPERLINK("https://klasma.github.io/Logging_2523/tillsyn/A 42691-2024 tillsynsbegäran.docx", "A 42691-2024")</f>
        <v/>
      </c>
      <c r="Y477">
        <f>HYPERLINK("https://klasma.github.io/Logging_2523/tillsynsmail/A 42691-2024 tillsynsbegäran mail.docx", "A 42691-2024")</f>
        <v/>
      </c>
    </row>
    <row r="478" ht="15" customHeight="1">
      <c r="A478" t="inlineStr">
        <is>
          <t>A 43271-2024</t>
        </is>
      </c>
      <c r="B478" s="1" t="n">
        <v>45568</v>
      </c>
      <c r="C478" s="1" t="n">
        <v>45798</v>
      </c>
      <c r="D478" t="inlineStr">
        <is>
          <t>NORRBOTTENS LÄN</t>
        </is>
      </c>
      <c r="E478" t="inlineStr">
        <is>
          <t>GÄLLIVARE</t>
        </is>
      </c>
      <c r="F478" t="inlineStr">
        <is>
          <t>Sveaskog</t>
        </is>
      </c>
      <c r="G478" t="n">
        <v>7.3</v>
      </c>
      <c r="H478" t="n">
        <v>1</v>
      </c>
      <c r="I478" t="n">
        <v>1</v>
      </c>
      <c r="J478" t="n">
        <v>2</v>
      </c>
      <c r="K478" t="n">
        <v>0</v>
      </c>
      <c r="L478" t="n">
        <v>0</v>
      </c>
      <c r="M478" t="n">
        <v>0</v>
      </c>
      <c r="N478" t="n">
        <v>0</v>
      </c>
      <c r="O478" t="n">
        <v>2</v>
      </c>
      <c r="P478" t="n">
        <v>0</v>
      </c>
      <c r="Q478" t="n">
        <v>3</v>
      </c>
      <c r="R478" s="2" t="inlineStr">
        <is>
          <t>Rosenticka
Vaddporing
Plattlummer</t>
        </is>
      </c>
      <c r="S478">
        <f>HYPERLINK("https://klasma.github.io/Logging_2523/artfynd/A 43271-2024 artfynd.xlsx", "A 43271-2024")</f>
        <v/>
      </c>
      <c r="T478">
        <f>HYPERLINK("https://klasma.github.io/Logging_2523/kartor/A 43271-2024 karta.png", "A 43271-2024")</f>
        <v/>
      </c>
      <c r="V478">
        <f>HYPERLINK("https://klasma.github.io/Logging_2523/klagomål/A 43271-2024 FSC-klagomål.docx", "A 43271-2024")</f>
        <v/>
      </c>
      <c r="W478">
        <f>HYPERLINK("https://klasma.github.io/Logging_2523/klagomålsmail/A 43271-2024 FSC-klagomål mail.docx", "A 43271-2024")</f>
        <v/>
      </c>
      <c r="X478">
        <f>HYPERLINK("https://klasma.github.io/Logging_2523/tillsyn/A 43271-2024 tillsynsbegäran.docx", "A 43271-2024")</f>
        <v/>
      </c>
      <c r="Y478">
        <f>HYPERLINK("https://klasma.github.io/Logging_2523/tillsynsmail/A 43271-2024 tillsynsbegäran mail.docx", "A 43271-2024")</f>
        <v/>
      </c>
    </row>
    <row r="479" ht="15" customHeight="1">
      <c r="A479" t="inlineStr">
        <is>
          <t>A 44255-2024</t>
        </is>
      </c>
      <c r="B479" s="1" t="n">
        <v>45573</v>
      </c>
      <c r="C479" s="1" t="n">
        <v>45798</v>
      </c>
      <c r="D479" t="inlineStr">
        <is>
          <t>NORRBOTTENS LÄN</t>
        </is>
      </c>
      <c r="E479" t="inlineStr">
        <is>
          <t>ÄLVSBYN</t>
        </is>
      </c>
      <c r="F479" t="inlineStr">
        <is>
          <t>Sveaskog</t>
        </is>
      </c>
      <c r="G479" t="n">
        <v>6.5</v>
      </c>
      <c r="H479" t="n">
        <v>0</v>
      </c>
      <c r="I479" t="n">
        <v>0</v>
      </c>
      <c r="J479" t="n">
        <v>3</v>
      </c>
      <c r="K479" t="n">
        <v>0</v>
      </c>
      <c r="L479" t="n">
        <v>0</v>
      </c>
      <c r="M479" t="n">
        <v>0</v>
      </c>
      <c r="N479" t="n">
        <v>0</v>
      </c>
      <c r="O479" t="n">
        <v>3</v>
      </c>
      <c r="P479" t="n">
        <v>0</v>
      </c>
      <c r="Q479" t="n">
        <v>3</v>
      </c>
      <c r="R479" s="2" t="inlineStr">
        <is>
          <t>Garnlav
Lunglav
Rosenticka</t>
        </is>
      </c>
      <c r="S479">
        <f>HYPERLINK("https://klasma.github.io/Logging_2560/artfynd/A 44255-2024 artfynd.xlsx", "A 44255-2024")</f>
        <v/>
      </c>
      <c r="T479">
        <f>HYPERLINK("https://klasma.github.io/Logging_2560/kartor/A 44255-2024 karta.png", "A 44255-2024")</f>
        <v/>
      </c>
      <c r="V479">
        <f>HYPERLINK("https://klasma.github.io/Logging_2560/klagomål/A 44255-2024 FSC-klagomål.docx", "A 44255-2024")</f>
        <v/>
      </c>
      <c r="W479">
        <f>HYPERLINK("https://klasma.github.io/Logging_2560/klagomålsmail/A 44255-2024 FSC-klagomål mail.docx", "A 44255-2024")</f>
        <v/>
      </c>
      <c r="X479">
        <f>HYPERLINK("https://klasma.github.io/Logging_2560/tillsyn/A 44255-2024 tillsynsbegäran.docx", "A 44255-2024")</f>
        <v/>
      </c>
      <c r="Y479">
        <f>HYPERLINK("https://klasma.github.io/Logging_2560/tillsynsmail/A 44255-2024 tillsynsbegäran mail.docx", "A 44255-2024")</f>
        <v/>
      </c>
    </row>
    <row r="480" ht="15" customHeight="1">
      <c r="A480" t="inlineStr">
        <is>
          <t>A 44305-2024</t>
        </is>
      </c>
      <c r="B480" s="1" t="n">
        <v>45573</v>
      </c>
      <c r="C480" s="1" t="n">
        <v>45798</v>
      </c>
      <c r="D480" t="inlineStr">
        <is>
          <t>NORRBOTTENS LÄN</t>
        </is>
      </c>
      <c r="E480" t="inlineStr">
        <is>
          <t>GÄLLIVARE</t>
        </is>
      </c>
      <c r="F480" t="inlineStr">
        <is>
          <t>Sveaskog</t>
        </is>
      </c>
      <c r="G480" t="n">
        <v>7.6</v>
      </c>
      <c r="H480" t="n">
        <v>0</v>
      </c>
      <c r="I480" t="n">
        <v>0</v>
      </c>
      <c r="J480" t="n">
        <v>2</v>
      </c>
      <c r="K480" t="n">
        <v>1</v>
      </c>
      <c r="L480" t="n">
        <v>0</v>
      </c>
      <c r="M480" t="n">
        <v>0</v>
      </c>
      <c r="N480" t="n">
        <v>0</v>
      </c>
      <c r="O480" t="n">
        <v>3</v>
      </c>
      <c r="P480" t="n">
        <v>1</v>
      </c>
      <c r="Q480" t="n">
        <v>3</v>
      </c>
      <c r="R480" s="2" t="inlineStr">
        <is>
          <t>Lappticka
Harticka
Kolflarnlav</t>
        </is>
      </c>
      <c r="S480">
        <f>HYPERLINK("https://klasma.github.io/Logging_2523/artfynd/A 44305-2024 artfynd.xlsx", "A 44305-2024")</f>
        <v/>
      </c>
      <c r="T480">
        <f>HYPERLINK("https://klasma.github.io/Logging_2523/kartor/A 44305-2024 karta.png", "A 44305-2024")</f>
        <v/>
      </c>
      <c r="V480">
        <f>HYPERLINK("https://klasma.github.io/Logging_2523/klagomål/A 44305-2024 FSC-klagomål.docx", "A 44305-2024")</f>
        <v/>
      </c>
      <c r="W480">
        <f>HYPERLINK("https://klasma.github.io/Logging_2523/klagomålsmail/A 44305-2024 FSC-klagomål mail.docx", "A 44305-2024")</f>
        <v/>
      </c>
      <c r="X480">
        <f>HYPERLINK("https://klasma.github.io/Logging_2523/tillsyn/A 44305-2024 tillsynsbegäran.docx", "A 44305-2024")</f>
        <v/>
      </c>
      <c r="Y480">
        <f>HYPERLINK("https://klasma.github.io/Logging_2523/tillsynsmail/A 44305-2024 tillsynsbegäran mail.docx", "A 44305-2024")</f>
        <v/>
      </c>
    </row>
    <row r="481" ht="15" customHeight="1">
      <c r="A481" t="inlineStr">
        <is>
          <t>A 44594-2024</t>
        </is>
      </c>
      <c r="B481" s="1" t="n">
        <v>45574</v>
      </c>
      <c r="C481" s="1" t="n">
        <v>45798</v>
      </c>
      <c r="D481" t="inlineStr">
        <is>
          <t>NORRBOTTENS LÄN</t>
        </is>
      </c>
      <c r="E481" t="inlineStr">
        <is>
          <t>GÄLLIVARE</t>
        </is>
      </c>
      <c r="F481" t="inlineStr">
        <is>
          <t>Sveaskog</t>
        </is>
      </c>
      <c r="G481" t="n">
        <v>3.7</v>
      </c>
      <c r="H481" t="n">
        <v>0</v>
      </c>
      <c r="I481" t="n">
        <v>1</v>
      </c>
      <c r="J481" t="n">
        <v>2</v>
      </c>
      <c r="K481" t="n">
        <v>0</v>
      </c>
      <c r="L481" t="n">
        <v>0</v>
      </c>
      <c r="M481" t="n">
        <v>0</v>
      </c>
      <c r="N481" t="n">
        <v>0</v>
      </c>
      <c r="O481" t="n">
        <v>2</v>
      </c>
      <c r="P481" t="n">
        <v>0</v>
      </c>
      <c r="Q481" t="n">
        <v>3</v>
      </c>
      <c r="R481" s="2" t="inlineStr">
        <is>
          <t>Kolflarnlav
Orange taggsvamp
Dropptaggsvamp</t>
        </is>
      </c>
      <c r="S481">
        <f>HYPERLINK("https://klasma.github.io/Logging_2523/artfynd/A 44594-2024 artfynd.xlsx", "A 44594-2024")</f>
        <v/>
      </c>
      <c r="T481">
        <f>HYPERLINK("https://klasma.github.io/Logging_2523/kartor/A 44594-2024 karta.png", "A 44594-2024")</f>
        <v/>
      </c>
      <c r="V481">
        <f>HYPERLINK("https://klasma.github.io/Logging_2523/klagomål/A 44594-2024 FSC-klagomål.docx", "A 44594-2024")</f>
        <v/>
      </c>
      <c r="W481">
        <f>HYPERLINK("https://klasma.github.io/Logging_2523/klagomålsmail/A 44594-2024 FSC-klagomål mail.docx", "A 44594-2024")</f>
        <v/>
      </c>
      <c r="X481">
        <f>HYPERLINK("https://klasma.github.io/Logging_2523/tillsyn/A 44594-2024 tillsynsbegäran.docx", "A 44594-2024")</f>
        <v/>
      </c>
      <c r="Y481">
        <f>HYPERLINK("https://klasma.github.io/Logging_2523/tillsynsmail/A 44594-2024 tillsynsbegäran mail.docx", "A 44594-2024")</f>
        <v/>
      </c>
    </row>
    <row r="482" ht="15" customHeight="1">
      <c r="A482" t="inlineStr">
        <is>
          <t>A 44733-2024</t>
        </is>
      </c>
      <c r="B482" s="1" t="n">
        <v>45574</v>
      </c>
      <c r="C482" s="1" t="n">
        <v>45798</v>
      </c>
      <c r="D482" t="inlineStr">
        <is>
          <t>NORRBOTTENS LÄN</t>
        </is>
      </c>
      <c r="E482" t="inlineStr">
        <is>
          <t>ÄLVSBYN</t>
        </is>
      </c>
      <c r="F482" t="inlineStr">
        <is>
          <t>Sveaskog</t>
        </is>
      </c>
      <c r="G482" t="n">
        <v>2.9</v>
      </c>
      <c r="H482" t="n">
        <v>1</v>
      </c>
      <c r="I482" t="n">
        <v>1</v>
      </c>
      <c r="J482" t="n">
        <v>1</v>
      </c>
      <c r="K482" t="n">
        <v>1</v>
      </c>
      <c r="L482" t="n">
        <v>0</v>
      </c>
      <c r="M482" t="n">
        <v>0</v>
      </c>
      <c r="N482" t="n">
        <v>0</v>
      </c>
      <c r="O482" t="n">
        <v>2</v>
      </c>
      <c r="P482" t="n">
        <v>1</v>
      </c>
      <c r="Q482" t="n">
        <v>3</v>
      </c>
      <c r="R482" s="2" t="inlineStr">
        <is>
          <t>Doftticka
Rosenticka
Dropptaggsvamp</t>
        </is>
      </c>
      <c r="S482">
        <f>HYPERLINK("https://klasma.github.io/Logging_2560/artfynd/A 44733-2024 artfynd.xlsx", "A 44733-2024")</f>
        <v/>
      </c>
      <c r="T482">
        <f>HYPERLINK("https://klasma.github.io/Logging_2560/kartor/A 44733-2024 karta.png", "A 44733-2024")</f>
        <v/>
      </c>
      <c r="V482">
        <f>HYPERLINK("https://klasma.github.io/Logging_2560/klagomål/A 44733-2024 FSC-klagomål.docx", "A 44733-2024")</f>
        <v/>
      </c>
      <c r="W482">
        <f>HYPERLINK("https://klasma.github.io/Logging_2560/klagomålsmail/A 44733-2024 FSC-klagomål mail.docx", "A 44733-2024")</f>
        <v/>
      </c>
      <c r="X482">
        <f>HYPERLINK("https://klasma.github.io/Logging_2560/tillsyn/A 44733-2024 tillsynsbegäran.docx", "A 44733-2024")</f>
        <v/>
      </c>
      <c r="Y482">
        <f>HYPERLINK("https://klasma.github.io/Logging_2560/tillsynsmail/A 44733-2024 tillsynsbegäran mail.docx", "A 44733-2024")</f>
        <v/>
      </c>
    </row>
    <row r="483" ht="15" customHeight="1">
      <c r="A483" t="inlineStr">
        <is>
          <t>A 44523-2024</t>
        </is>
      </c>
      <c r="B483" s="1" t="n">
        <v>45574</v>
      </c>
      <c r="C483" s="1" t="n">
        <v>45798</v>
      </c>
      <c r="D483" t="inlineStr">
        <is>
          <t>NORRBOTTENS LÄN</t>
        </is>
      </c>
      <c r="E483" t="inlineStr">
        <is>
          <t>PITEÅ</t>
        </is>
      </c>
      <c r="F483" t="inlineStr">
        <is>
          <t>Sveaskog</t>
        </is>
      </c>
      <c r="G483" t="n">
        <v>12.2</v>
      </c>
      <c r="H483" t="n">
        <v>2</v>
      </c>
      <c r="I483" t="n">
        <v>0</v>
      </c>
      <c r="J483" t="n">
        <v>2</v>
      </c>
      <c r="K483" t="n">
        <v>0</v>
      </c>
      <c r="L483" t="n">
        <v>0</v>
      </c>
      <c r="M483" t="n">
        <v>0</v>
      </c>
      <c r="N483" t="n">
        <v>0</v>
      </c>
      <c r="O483" t="n">
        <v>2</v>
      </c>
      <c r="P483" t="n">
        <v>0</v>
      </c>
      <c r="Q483" t="n">
        <v>3</v>
      </c>
      <c r="R483" s="2" t="inlineStr">
        <is>
          <t>Gammelgransskål
Tretåig hackspett
Tjäder</t>
        </is>
      </c>
      <c r="S483">
        <f>HYPERLINK("https://klasma.github.io/Logging_2581/artfynd/A 44523-2024 artfynd.xlsx", "A 44523-2024")</f>
        <v/>
      </c>
      <c r="T483">
        <f>HYPERLINK("https://klasma.github.io/Logging_2581/kartor/A 44523-2024 karta.png", "A 44523-2024")</f>
        <v/>
      </c>
      <c r="V483">
        <f>HYPERLINK("https://klasma.github.io/Logging_2581/klagomål/A 44523-2024 FSC-klagomål.docx", "A 44523-2024")</f>
        <v/>
      </c>
      <c r="W483">
        <f>HYPERLINK("https://klasma.github.io/Logging_2581/klagomålsmail/A 44523-2024 FSC-klagomål mail.docx", "A 44523-2024")</f>
        <v/>
      </c>
      <c r="X483">
        <f>HYPERLINK("https://klasma.github.io/Logging_2581/tillsyn/A 44523-2024 tillsynsbegäran.docx", "A 44523-2024")</f>
        <v/>
      </c>
      <c r="Y483">
        <f>HYPERLINK("https://klasma.github.io/Logging_2581/tillsynsmail/A 44523-2024 tillsynsbegäran mail.docx", "A 44523-2024")</f>
        <v/>
      </c>
      <c r="Z483">
        <f>HYPERLINK("https://klasma.github.io/Logging_2581/fåglar/A 44523-2024 prioriterade fågelarter.docx", "A 44523-2024")</f>
        <v/>
      </c>
    </row>
    <row r="484" ht="15" customHeight="1">
      <c r="A484" t="inlineStr">
        <is>
          <t>A 45316-2024</t>
        </is>
      </c>
      <c r="B484" s="1" t="n">
        <v>45576</v>
      </c>
      <c r="C484" s="1" t="n">
        <v>45798</v>
      </c>
      <c r="D484" t="inlineStr">
        <is>
          <t>NORRBOTTENS LÄN</t>
        </is>
      </c>
      <c r="E484" t="inlineStr">
        <is>
          <t>ÄLVSBYN</t>
        </is>
      </c>
      <c r="F484" t="inlineStr">
        <is>
          <t>Sveaskog</t>
        </is>
      </c>
      <c r="G484" t="n">
        <v>12.2</v>
      </c>
      <c r="H484" t="n">
        <v>0</v>
      </c>
      <c r="I484" t="n">
        <v>2</v>
      </c>
      <c r="J484" t="n">
        <v>1</v>
      </c>
      <c r="K484" t="n">
        <v>0</v>
      </c>
      <c r="L484" t="n">
        <v>0</v>
      </c>
      <c r="M484" t="n">
        <v>0</v>
      </c>
      <c r="N484" t="n">
        <v>0</v>
      </c>
      <c r="O484" t="n">
        <v>1</v>
      </c>
      <c r="P484" t="n">
        <v>0</v>
      </c>
      <c r="Q484" t="n">
        <v>3</v>
      </c>
      <c r="R484" s="2" t="inlineStr">
        <is>
          <t>Lunglav
Dropptaggsvamp
Stuplav</t>
        </is>
      </c>
      <c r="S484">
        <f>HYPERLINK("https://klasma.github.io/Logging_2560/artfynd/A 45316-2024 artfynd.xlsx", "A 45316-2024")</f>
        <v/>
      </c>
      <c r="T484">
        <f>HYPERLINK("https://klasma.github.io/Logging_2560/kartor/A 45316-2024 karta.png", "A 45316-2024")</f>
        <v/>
      </c>
      <c r="V484">
        <f>HYPERLINK("https://klasma.github.io/Logging_2560/klagomål/A 45316-2024 FSC-klagomål.docx", "A 45316-2024")</f>
        <v/>
      </c>
      <c r="W484">
        <f>HYPERLINK("https://klasma.github.io/Logging_2560/klagomålsmail/A 45316-2024 FSC-klagomål mail.docx", "A 45316-2024")</f>
        <v/>
      </c>
      <c r="X484">
        <f>HYPERLINK("https://klasma.github.io/Logging_2560/tillsyn/A 45316-2024 tillsynsbegäran.docx", "A 45316-2024")</f>
        <v/>
      </c>
      <c r="Y484">
        <f>HYPERLINK("https://klasma.github.io/Logging_2560/tillsynsmail/A 45316-2024 tillsynsbegäran mail.docx", "A 45316-2024")</f>
        <v/>
      </c>
    </row>
    <row r="485" ht="15" customHeight="1">
      <c r="A485" t="inlineStr">
        <is>
          <t>A 46352-2024</t>
        </is>
      </c>
      <c r="B485" s="1" t="n">
        <v>45582</v>
      </c>
      <c r="C485" s="1" t="n">
        <v>45798</v>
      </c>
      <c r="D485" t="inlineStr">
        <is>
          <t>NORRBOTTENS LÄN</t>
        </is>
      </c>
      <c r="E485" t="inlineStr">
        <is>
          <t>ÖVERTORNEÅ</t>
        </is>
      </c>
      <c r="G485" t="n">
        <v>30.9</v>
      </c>
      <c r="H485" t="n">
        <v>2</v>
      </c>
      <c r="I485" t="n">
        <v>0</v>
      </c>
      <c r="J485" t="n">
        <v>2</v>
      </c>
      <c r="K485" t="n">
        <v>0</v>
      </c>
      <c r="L485" t="n">
        <v>0</v>
      </c>
      <c r="M485" t="n">
        <v>0</v>
      </c>
      <c r="N485" t="n">
        <v>0</v>
      </c>
      <c r="O485" t="n">
        <v>2</v>
      </c>
      <c r="P485" t="n">
        <v>0</v>
      </c>
      <c r="Q485" t="n">
        <v>3</v>
      </c>
      <c r="R485" s="2" t="inlineStr">
        <is>
          <t>Garnlav
Spillkråka
Lavskrika</t>
        </is>
      </c>
      <c r="S485">
        <f>HYPERLINK("https://klasma.github.io/Logging_2518/artfynd/A 46352-2024 artfynd.xlsx", "A 46352-2024")</f>
        <v/>
      </c>
      <c r="T485">
        <f>HYPERLINK("https://klasma.github.io/Logging_2518/kartor/A 46352-2024 karta.png", "A 46352-2024")</f>
        <v/>
      </c>
      <c r="V485">
        <f>HYPERLINK("https://klasma.github.io/Logging_2518/klagomål/A 46352-2024 FSC-klagomål.docx", "A 46352-2024")</f>
        <v/>
      </c>
      <c r="W485">
        <f>HYPERLINK("https://klasma.github.io/Logging_2518/klagomålsmail/A 46352-2024 FSC-klagomål mail.docx", "A 46352-2024")</f>
        <v/>
      </c>
      <c r="X485">
        <f>HYPERLINK("https://klasma.github.io/Logging_2518/tillsyn/A 46352-2024 tillsynsbegäran.docx", "A 46352-2024")</f>
        <v/>
      </c>
      <c r="Y485">
        <f>HYPERLINK("https://klasma.github.io/Logging_2518/tillsynsmail/A 46352-2024 tillsynsbegäran mail.docx", "A 46352-2024")</f>
        <v/>
      </c>
      <c r="Z485">
        <f>HYPERLINK("https://klasma.github.io/Logging_2518/fåglar/A 46352-2024 prioriterade fågelarter.docx", "A 46352-2024")</f>
        <v/>
      </c>
    </row>
    <row r="486" ht="15" customHeight="1">
      <c r="A486" t="inlineStr">
        <is>
          <t>A 47250-2024</t>
        </is>
      </c>
      <c r="B486" s="1" t="n">
        <v>45586</v>
      </c>
      <c r="C486" s="1" t="n">
        <v>45798</v>
      </c>
      <c r="D486" t="inlineStr">
        <is>
          <t>NORRBOTTENS LÄN</t>
        </is>
      </c>
      <c r="E486" t="inlineStr">
        <is>
          <t>BODEN</t>
        </is>
      </c>
      <c r="F486" t="inlineStr">
        <is>
          <t>Kyrkan</t>
        </is>
      </c>
      <c r="G486" t="n">
        <v>5</v>
      </c>
      <c r="H486" t="n">
        <v>0</v>
      </c>
      <c r="I486" t="n">
        <v>0</v>
      </c>
      <c r="J486" t="n">
        <v>3</v>
      </c>
      <c r="K486" t="n">
        <v>0</v>
      </c>
      <c r="L486" t="n">
        <v>0</v>
      </c>
      <c r="M486" t="n">
        <v>0</v>
      </c>
      <c r="N486" t="n">
        <v>0</v>
      </c>
      <c r="O486" t="n">
        <v>3</v>
      </c>
      <c r="P486" t="n">
        <v>0</v>
      </c>
      <c r="Q486" t="n">
        <v>3</v>
      </c>
      <c r="R486" s="2" t="inlineStr">
        <is>
          <t>Gammelgransskål
Garnlav
Myskmåra</t>
        </is>
      </c>
      <c r="S486">
        <f>HYPERLINK("https://klasma.github.io/Logging_2582/artfynd/A 47250-2024 artfynd.xlsx", "A 47250-2024")</f>
        <v/>
      </c>
      <c r="T486">
        <f>HYPERLINK("https://klasma.github.io/Logging_2582/kartor/A 47250-2024 karta.png", "A 47250-2024")</f>
        <v/>
      </c>
      <c r="V486">
        <f>HYPERLINK("https://klasma.github.io/Logging_2582/klagomål/A 47250-2024 FSC-klagomål.docx", "A 47250-2024")</f>
        <v/>
      </c>
      <c r="W486">
        <f>HYPERLINK("https://klasma.github.io/Logging_2582/klagomålsmail/A 47250-2024 FSC-klagomål mail.docx", "A 47250-2024")</f>
        <v/>
      </c>
      <c r="X486">
        <f>HYPERLINK("https://klasma.github.io/Logging_2582/tillsyn/A 47250-2024 tillsynsbegäran.docx", "A 47250-2024")</f>
        <v/>
      </c>
      <c r="Y486">
        <f>HYPERLINK("https://klasma.github.io/Logging_2582/tillsynsmail/A 47250-2024 tillsynsbegäran mail.docx", "A 47250-2024")</f>
        <v/>
      </c>
    </row>
    <row r="487" ht="15" customHeight="1">
      <c r="A487" t="inlineStr">
        <is>
          <t>A 50156-2024</t>
        </is>
      </c>
      <c r="B487" s="1" t="n">
        <v>45600</v>
      </c>
      <c r="C487" s="1" t="n">
        <v>45798</v>
      </c>
      <c r="D487" t="inlineStr">
        <is>
          <t>NORRBOTTENS LÄN</t>
        </is>
      </c>
      <c r="E487" t="inlineStr">
        <is>
          <t>ÄLVSBYN</t>
        </is>
      </c>
      <c r="F487" t="inlineStr">
        <is>
          <t>Sveaskog</t>
        </is>
      </c>
      <c r="G487" t="n">
        <v>9.9</v>
      </c>
      <c r="H487" t="n">
        <v>0</v>
      </c>
      <c r="I487" t="n">
        <v>1</v>
      </c>
      <c r="J487" t="n">
        <v>2</v>
      </c>
      <c r="K487" t="n">
        <v>0</v>
      </c>
      <c r="L487" t="n">
        <v>0</v>
      </c>
      <c r="M487" t="n">
        <v>0</v>
      </c>
      <c r="N487" t="n">
        <v>0</v>
      </c>
      <c r="O487" t="n">
        <v>2</v>
      </c>
      <c r="P487" t="n">
        <v>0</v>
      </c>
      <c r="Q487" t="n">
        <v>3</v>
      </c>
      <c r="R487" s="2" t="inlineStr">
        <is>
          <t>Kolflarnlav
Vaddporing
Dropptaggsvamp</t>
        </is>
      </c>
      <c r="S487">
        <f>HYPERLINK("https://klasma.github.io/Logging_2560/artfynd/A 50156-2024 artfynd.xlsx", "A 50156-2024")</f>
        <v/>
      </c>
      <c r="T487">
        <f>HYPERLINK("https://klasma.github.io/Logging_2560/kartor/A 50156-2024 karta.png", "A 50156-2024")</f>
        <v/>
      </c>
      <c r="V487">
        <f>HYPERLINK("https://klasma.github.io/Logging_2560/klagomål/A 50156-2024 FSC-klagomål.docx", "A 50156-2024")</f>
        <v/>
      </c>
      <c r="W487">
        <f>HYPERLINK("https://klasma.github.io/Logging_2560/klagomålsmail/A 50156-2024 FSC-klagomål mail.docx", "A 50156-2024")</f>
        <v/>
      </c>
      <c r="X487">
        <f>HYPERLINK("https://klasma.github.io/Logging_2560/tillsyn/A 50156-2024 tillsynsbegäran.docx", "A 50156-2024")</f>
        <v/>
      </c>
      <c r="Y487">
        <f>HYPERLINK("https://klasma.github.io/Logging_2560/tillsynsmail/A 50156-2024 tillsynsbegäran mail.docx", "A 50156-2024")</f>
        <v/>
      </c>
    </row>
    <row r="488" ht="15" customHeight="1">
      <c r="A488" t="inlineStr">
        <is>
          <t>A 53373-2024</t>
        </is>
      </c>
      <c r="B488" s="1" t="n">
        <v>45614</v>
      </c>
      <c r="C488" s="1" t="n">
        <v>45798</v>
      </c>
      <c r="D488" t="inlineStr">
        <is>
          <t>NORRBOTTENS LÄN</t>
        </is>
      </c>
      <c r="E488" t="inlineStr">
        <is>
          <t>JOKKMOKK</t>
        </is>
      </c>
      <c r="F488" t="inlineStr">
        <is>
          <t>Sveaskog</t>
        </is>
      </c>
      <c r="G488" t="n">
        <v>9</v>
      </c>
      <c r="H488" t="n">
        <v>0</v>
      </c>
      <c r="I488" t="n">
        <v>2</v>
      </c>
      <c r="J488" t="n">
        <v>1</v>
      </c>
      <c r="K488" t="n">
        <v>0</v>
      </c>
      <c r="L488" t="n">
        <v>0</v>
      </c>
      <c r="M488" t="n">
        <v>0</v>
      </c>
      <c r="N488" t="n">
        <v>0</v>
      </c>
      <c r="O488" t="n">
        <v>1</v>
      </c>
      <c r="P488" t="n">
        <v>0</v>
      </c>
      <c r="Q488" t="n">
        <v>3</v>
      </c>
      <c r="R488" s="2" t="inlineStr">
        <is>
          <t>Blå taggsvamp
Dropptaggsvamp
Skarp dropptaggsvamp</t>
        </is>
      </c>
      <c r="S488">
        <f>HYPERLINK("https://klasma.github.io/Logging_2510/artfynd/A 53373-2024 artfynd.xlsx", "A 53373-2024")</f>
        <v/>
      </c>
      <c r="T488">
        <f>HYPERLINK("https://klasma.github.io/Logging_2510/kartor/A 53373-2024 karta.png", "A 53373-2024")</f>
        <v/>
      </c>
      <c r="V488">
        <f>HYPERLINK("https://klasma.github.io/Logging_2510/klagomål/A 53373-2024 FSC-klagomål.docx", "A 53373-2024")</f>
        <v/>
      </c>
      <c r="W488">
        <f>HYPERLINK("https://klasma.github.io/Logging_2510/klagomålsmail/A 53373-2024 FSC-klagomål mail.docx", "A 53373-2024")</f>
        <v/>
      </c>
      <c r="X488">
        <f>HYPERLINK("https://klasma.github.io/Logging_2510/tillsyn/A 53373-2024 tillsynsbegäran.docx", "A 53373-2024")</f>
        <v/>
      </c>
      <c r="Y488">
        <f>HYPERLINK("https://klasma.github.io/Logging_2510/tillsynsmail/A 53373-2024 tillsynsbegäran mail.docx", "A 53373-2024")</f>
        <v/>
      </c>
    </row>
    <row r="489" ht="15" customHeight="1">
      <c r="A489" t="inlineStr">
        <is>
          <t>A 55503-2024</t>
        </is>
      </c>
      <c r="B489" s="1" t="n">
        <v>45622</v>
      </c>
      <c r="C489" s="1" t="n">
        <v>45798</v>
      </c>
      <c r="D489" t="inlineStr">
        <is>
          <t>NORRBOTTENS LÄN</t>
        </is>
      </c>
      <c r="E489" t="inlineStr">
        <is>
          <t>ÄLVSBYN</t>
        </is>
      </c>
      <c r="F489" t="inlineStr">
        <is>
          <t>Sveaskog</t>
        </is>
      </c>
      <c r="G489" t="n">
        <v>5.2</v>
      </c>
      <c r="H489" t="n">
        <v>0</v>
      </c>
      <c r="I489" t="n">
        <v>2</v>
      </c>
      <c r="J489" t="n">
        <v>1</v>
      </c>
      <c r="K489" t="n">
        <v>0</v>
      </c>
      <c r="L489" t="n">
        <v>0</v>
      </c>
      <c r="M489" t="n">
        <v>0</v>
      </c>
      <c r="N489" t="n">
        <v>0</v>
      </c>
      <c r="O489" t="n">
        <v>1</v>
      </c>
      <c r="P489" t="n">
        <v>0</v>
      </c>
      <c r="Q489" t="n">
        <v>3</v>
      </c>
      <c r="R489" s="2" t="inlineStr">
        <is>
          <t>Vedflamlav
Dropptaggsvamp
Stuplav</t>
        </is>
      </c>
      <c r="S489">
        <f>HYPERLINK("https://klasma.github.io/Logging_2560/artfynd/A 55503-2024 artfynd.xlsx", "A 55503-2024")</f>
        <v/>
      </c>
      <c r="T489">
        <f>HYPERLINK("https://klasma.github.io/Logging_2560/kartor/A 55503-2024 karta.png", "A 55503-2024")</f>
        <v/>
      </c>
      <c r="V489">
        <f>HYPERLINK("https://klasma.github.io/Logging_2560/klagomål/A 55503-2024 FSC-klagomål.docx", "A 55503-2024")</f>
        <v/>
      </c>
      <c r="W489">
        <f>HYPERLINK("https://klasma.github.io/Logging_2560/klagomålsmail/A 55503-2024 FSC-klagomål mail.docx", "A 55503-2024")</f>
        <v/>
      </c>
      <c r="X489">
        <f>HYPERLINK("https://klasma.github.io/Logging_2560/tillsyn/A 55503-2024 tillsynsbegäran.docx", "A 55503-2024")</f>
        <v/>
      </c>
      <c r="Y489">
        <f>HYPERLINK("https://klasma.github.io/Logging_2560/tillsynsmail/A 55503-2024 tillsynsbegäran mail.docx", "A 55503-2024")</f>
        <v/>
      </c>
    </row>
    <row r="490" ht="15" customHeight="1">
      <c r="A490" t="inlineStr">
        <is>
          <t>A 60091-2024</t>
        </is>
      </c>
      <c r="B490" s="1" t="n">
        <v>45642</v>
      </c>
      <c r="C490" s="1" t="n">
        <v>45798</v>
      </c>
      <c r="D490" t="inlineStr">
        <is>
          <t>NORRBOTTENS LÄN</t>
        </is>
      </c>
      <c r="E490" t="inlineStr">
        <is>
          <t>LULEÅ</t>
        </is>
      </c>
      <c r="G490" t="n">
        <v>12.8</v>
      </c>
      <c r="H490" t="n">
        <v>1</v>
      </c>
      <c r="I490" t="n">
        <v>0</v>
      </c>
      <c r="J490" t="n">
        <v>2</v>
      </c>
      <c r="K490" t="n">
        <v>0</v>
      </c>
      <c r="L490" t="n">
        <v>0</v>
      </c>
      <c r="M490" t="n">
        <v>0</v>
      </c>
      <c r="N490" t="n">
        <v>0</v>
      </c>
      <c r="O490" t="n">
        <v>2</v>
      </c>
      <c r="P490" t="n">
        <v>0</v>
      </c>
      <c r="Q490" t="n">
        <v>3</v>
      </c>
      <c r="R490" s="2" t="inlineStr">
        <is>
          <t>Garnlav
Granticka
Revlummer</t>
        </is>
      </c>
      <c r="S490">
        <f>HYPERLINK("https://klasma.github.io/Logging_2580/artfynd/A 60091-2024 artfynd.xlsx", "A 60091-2024")</f>
        <v/>
      </c>
      <c r="T490">
        <f>HYPERLINK("https://klasma.github.io/Logging_2580/kartor/A 60091-2024 karta.png", "A 60091-2024")</f>
        <v/>
      </c>
      <c r="V490">
        <f>HYPERLINK("https://klasma.github.io/Logging_2580/klagomål/A 60091-2024 FSC-klagomål.docx", "A 60091-2024")</f>
        <v/>
      </c>
      <c r="W490">
        <f>HYPERLINK("https://klasma.github.io/Logging_2580/klagomålsmail/A 60091-2024 FSC-klagomål mail.docx", "A 60091-2024")</f>
        <v/>
      </c>
      <c r="X490">
        <f>HYPERLINK("https://klasma.github.io/Logging_2580/tillsyn/A 60091-2024 tillsynsbegäran.docx", "A 60091-2024")</f>
        <v/>
      </c>
      <c r="Y490">
        <f>HYPERLINK("https://klasma.github.io/Logging_2580/tillsynsmail/A 60091-2024 tillsynsbegäran mail.docx", "A 60091-2024")</f>
        <v/>
      </c>
    </row>
    <row r="491" ht="15" customHeight="1">
      <c r="A491" t="inlineStr">
        <is>
          <t>A 727-2025</t>
        </is>
      </c>
      <c r="B491" s="1" t="n">
        <v>45664</v>
      </c>
      <c r="C491" s="1" t="n">
        <v>45798</v>
      </c>
      <c r="D491" t="inlineStr">
        <is>
          <t>NORRBOTTENS LÄN</t>
        </is>
      </c>
      <c r="E491" t="inlineStr">
        <is>
          <t>LULEÅ</t>
        </is>
      </c>
      <c r="G491" t="n">
        <v>2.2</v>
      </c>
      <c r="H491" t="n">
        <v>0</v>
      </c>
      <c r="I491" t="n">
        <v>1</v>
      </c>
      <c r="J491" t="n">
        <v>2</v>
      </c>
      <c r="K491" t="n">
        <v>0</v>
      </c>
      <c r="L491" t="n">
        <v>0</v>
      </c>
      <c r="M491" t="n">
        <v>0</v>
      </c>
      <c r="N491" t="n">
        <v>0</v>
      </c>
      <c r="O491" t="n">
        <v>2</v>
      </c>
      <c r="P491" t="n">
        <v>0</v>
      </c>
      <c r="Q491" t="n">
        <v>3</v>
      </c>
      <c r="R491" s="2" t="inlineStr">
        <is>
          <t>Granticka
Lunglav
Skinnlav</t>
        </is>
      </c>
      <c r="S491">
        <f>HYPERLINK("https://klasma.github.io/Logging_2580/artfynd/A 727-2025 artfynd.xlsx", "A 727-2025")</f>
        <v/>
      </c>
      <c r="T491">
        <f>HYPERLINK("https://klasma.github.io/Logging_2580/kartor/A 727-2025 karta.png", "A 727-2025")</f>
        <v/>
      </c>
      <c r="V491">
        <f>HYPERLINK("https://klasma.github.io/Logging_2580/klagomål/A 727-2025 FSC-klagomål.docx", "A 727-2025")</f>
        <v/>
      </c>
      <c r="W491">
        <f>HYPERLINK("https://klasma.github.io/Logging_2580/klagomålsmail/A 727-2025 FSC-klagomål mail.docx", "A 727-2025")</f>
        <v/>
      </c>
      <c r="X491">
        <f>HYPERLINK("https://klasma.github.io/Logging_2580/tillsyn/A 727-2025 tillsynsbegäran.docx", "A 727-2025")</f>
        <v/>
      </c>
      <c r="Y491">
        <f>HYPERLINK("https://klasma.github.io/Logging_2580/tillsynsmail/A 727-2025 tillsynsbegäran mail.docx", "A 727-2025")</f>
        <v/>
      </c>
    </row>
    <row r="492" ht="15" customHeight="1">
      <c r="A492" t="inlineStr">
        <is>
          <t>A 882-2025</t>
        </is>
      </c>
      <c r="B492" s="1" t="n">
        <v>45664</v>
      </c>
      <c r="C492" s="1" t="n">
        <v>45798</v>
      </c>
      <c r="D492" t="inlineStr">
        <is>
          <t>NORRBOTTENS LÄN</t>
        </is>
      </c>
      <c r="E492" t="inlineStr">
        <is>
          <t>LULEÅ</t>
        </is>
      </c>
      <c r="G492" t="n">
        <v>2.2</v>
      </c>
      <c r="H492" t="n">
        <v>1</v>
      </c>
      <c r="I492" t="n">
        <v>0</v>
      </c>
      <c r="J492" t="n">
        <v>2</v>
      </c>
      <c r="K492" t="n">
        <v>1</v>
      </c>
      <c r="L492" t="n">
        <v>0</v>
      </c>
      <c r="M492" t="n">
        <v>0</v>
      </c>
      <c r="N492" t="n">
        <v>0</v>
      </c>
      <c r="O492" t="n">
        <v>3</v>
      </c>
      <c r="P492" t="n">
        <v>1</v>
      </c>
      <c r="Q492" t="n">
        <v>3</v>
      </c>
      <c r="R492" s="2" t="inlineStr">
        <is>
          <t>Rynkskinn
Tretåig hackspett
Ullticka</t>
        </is>
      </c>
      <c r="S492">
        <f>HYPERLINK("https://klasma.github.io/Logging_2580/artfynd/A 882-2025 artfynd.xlsx", "A 882-2025")</f>
        <v/>
      </c>
      <c r="T492">
        <f>HYPERLINK("https://klasma.github.io/Logging_2580/kartor/A 882-2025 karta.png", "A 882-2025")</f>
        <v/>
      </c>
      <c r="V492">
        <f>HYPERLINK("https://klasma.github.io/Logging_2580/klagomål/A 882-2025 FSC-klagomål.docx", "A 882-2025")</f>
        <v/>
      </c>
      <c r="W492">
        <f>HYPERLINK("https://klasma.github.io/Logging_2580/klagomålsmail/A 882-2025 FSC-klagomål mail.docx", "A 882-2025")</f>
        <v/>
      </c>
      <c r="X492">
        <f>HYPERLINK("https://klasma.github.io/Logging_2580/tillsyn/A 882-2025 tillsynsbegäran.docx", "A 882-2025")</f>
        <v/>
      </c>
      <c r="Y492">
        <f>HYPERLINK("https://klasma.github.io/Logging_2580/tillsynsmail/A 882-2025 tillsynsbegäran mail.docx", "A 882-2025")</f>
        <v/>
      </c>
      <c r="Z492">
        <f>HYPERLINK("https://klasma.github.io/Logging_2580/fåglar/A 882-2025 prioriterade fågelarter.docx", "A 882-2025")</f>
        <v/>
      </c>
    </row>
    <row r="493" ht="15" customHeight="1">
      <c r="A493" t="inlineStr">
        <is>
          <t>A 881-2025</t>
        </is>
      </c>
      <c r="B493" s="1" t="n">
        <v>45664</v>
      </c>
      <c r="C493" s="1" t="n">
        <v>45798</v>
      </c>
      <c r="D493" t="inlineStr">
        <is>
          <t>NORRBOTTENS LÄN</t>
        </is>
      </c>
      <c r="E493" t="inlineStr">
        <is>
          <t>LULEÅ</t>
        </is>
      </c>
      <c r="G493" t="n">
        <v>13.2</v>
      </c>
      <c r="H493" t="n">
        <v>1</v>
      </c>
      <c r="I493" t="n">
        <v>0</v>
      </c>
      <c r="J493" t="n">
        <v>2</v>
      </c>
      <c r="K493" t="n">
        <v>0</v>
      </c>
      <c r="L493" t="n">
        <v>0</v>
      </c>
      <c r="M493" t="n">
        <v>0</v>
      </c>
      <c r="N493" t="n">
        <v>0</v>
      </c>
      <c r="O493" t="n">
        <v>2</v>
      </c>
      <c r="P493" t="n">
        <v>0</v>
      </c>
      <c r="Q493" t="n">
        <v>3</v>
      </c>
      <c r="R493" s="2" t="inlineStr">
        <is>
          <t>Granticka
Lunglav
Tjäder</t>
        </is>
      </c>
      <c r="S493">
        <f>HYPERLINK("https://klasma.github.io/Logging_2580/artfynd/A 881-2025 artfynd.xlsx", "A 881-2025")</f>
        <v/>
      </c>
      <c r="T493">
        <f>HYPERLINK("https://klasma.github.io/Logging_2580/kartor/A 881-2025 karta.png", "A 881-2025")</f>
        <v/>
      </c>
      <c r="V493">
        <f>HYPERLINK("https://klasma.github.io/Logging_2580/klagomål/A 881-2025 FSC-klagomål.docx", "A 881-2025")</f>
        <v/>
      </c>
      <c r="W493">
        <f>HYPERLINK("https://klasma.github.io/Logging_2580/klagomålsmail/A 881-2025 FSC-klagomål mail.docx", "A 881-2025")</f>
        <v/>
      </c>
      <c r="X493">
        <f>HYPERLINK("https://klasma.github.io/Logging_2580/tillsyn/A 881-2025 tillsynsbegäran.docx", "A 881-2025")</f>
        <v/>
      </c>
      <c r="Y493">
        <f>HYPERLINK("https://klasma.github.io/Logging_2580/tillsynsmail/A 881-2025 tillsynsbegäran mail.docx", "A 881-2025")</f>
        <v/>
      </c>
      <c r="Z493">
        <f>HYPERLINK("https://klasma.github.io/Logging_2580/fåglar/A 881-2025 prioriterade fågelarter.docx", "A 881-2025")</f>
        <v/>
      </c>
    </row>
    <row r="494" ht="15" customHeight="1">
      <c r="A494" t="inlineStr">
        <is>
          <t>A 1827-2025</t>
        </is>
      </c>
      <c r="B494" s="1" t="n">
        <v>45671</v>
      </c>
      <c r="C494" s="1" t="n">
        <v>45798</v>
      </c>
      <c r="D494" t="inlineStr">
        <is>
          <t>NORRBOTTENS LÄN</t>
        </is>
      </c>
      <c r="E494" t="inlineStr">
        <is>
          <t>ÖVERKALIX</t>
        </is>
      </c>
      <c r="G494" t="n">
        <v>7</v>
      </c>
      <c r="H494" t="n">
        <v>1</v>
      </c>
      <c r="I494" t="n">
        <v>1</v>
      </c>
      <c r="J494" t="n">
        <v>2</v>
      </c>
      <c r="K494" t="n">
        <v>0</v>
      </c>
      <c r="L494" t="n">
        <v>0</v>
      </c>
      <c r="M494" t="n">
        <v>0</v>
      </c>
      <c r="N494" t="n">
        <v>0</v>
      </c>
      <c r="O494" t="n">
        <v>2</v>
      </c>
      <c r="P494" t="n">
        <v>0</v>
      </c>
      <c r="Q494" t="n">
        <v>3</v>
      </c>
      <c r="R494" s="2" t="inlineStr">
        <is>
          <t>Garnlav
Spillkråka
Stuplav</t>
        </is>
      </c>
      <c r="S494">
        <f>HYPERLINK("https://klasma.github.io/Logging_2513/artfynd/A 1827-2025 artfynd.xlsx", "A 1827-2025")</f>
        <v/>
      </c>
      <c r="T494">
        <f>HYPERLINK("https://klasma.github.io/Logging_2513/kartor/A 1827-2025 karta.png", "A 1827-2025")</f>
        <v/>
      </c>
      <c r="V494">
        <f>HYPERLINK("https://klasma.github.io/Logging_2513/klagomål/A 1827-2025 FSC-klagomål.docx", "A 1827-2025")</f>
        <v/>
      </c>
      <c r="W494">
        <f>HYPERLINK("https://klasma.github.io/Logging_2513/klagomålsmail/A 1827-2025 FSC-klagomål mail.docx", "A 1827-2025")</f>
        <v/>
      </c>
      <c r="X494">
        <f>HYPERLINK("https://klasma.github.io/Logging_2513/tillsyn/A 1827-2025 tillsynsbegäran.docx", "A 1827-2025")</f>
        <v/>
      </c>
      <c r="Y494">
        <f>HYPERLINK("https://klasma.github.io/Logging_2513/tillsynsmail/A 1827-2025 tillsynsbegäran mail.docx", "A 1827-2025")</f>
        <v/>
      </c>
      <c r="Z494">
        <f>HYPERLINK("https://klasma.github.io/Logging_2513/fåglar/A 1827-2025 prioriterade fågelarter.docx", "A 1827-2025")</f>
        <v/>
      </c>
    </row>
    <row r="495" ht="15" customHeight="1">
      <c r="A495" t="inlineStr">
        <is>
          <t>A 6435-2025</t>
        </is>
      </c>
      <c r="B495" s="1" t="n">
        <v>45699</v>
      </c>
      <c r="C495" s="1" t="n">
        <v>45798</v>
      </c>
      <c r="D495" t="inlineStr">
        <is>
          <t>NORRBOTTENS LÄN</t>
        </is>
      </c>
      <c r="E495" t="inlineStr">
        <is>
          <t>JOKKMOKK</t>
        </is>
      </c>
      <c r="G495" t="n">
        <v>2</v>
      </c>
      <c r="H495" t="n">
        <v>3</v>
      </c>
      <c r="I495" t="n">
        <v>0</v>
      </c>
      <c r="J495" t="n">
        <v>3</v>
      </c>
      <c r="K495" t="n">
        <v>0</v>
      </c>
      <c r="L495" t="n">
        <v>0</v>
      </c>
      <c r="M495" t="n">
        <v>0</v>
      </c>
      <c r="N495" t="n">
        <v>0</v>
      </c>
      <c r="O495" t="n">
        <v>3</v>
      </c>
      <c r="P495" t="n">
        <v>0</v>
      </c>
      <c r="Q495" t="n">
        <v>3</v>
      </c>
      <c r="R495" s="2" t="inlineStr">
        <is>
          <t>Buskskvätta
Talltita
Ärtsångare</t>
        </is>
      </c>
      <c r="S495">
        <f>HYPERLINK("https://klasma.github.io/Logging_2510/artfynd/A 6435-2025 artfynd.xlsx", "A 6435-2025")</f>
        <v/>
      </c>
      <c r="T495">
        <f>HYPERLINK("https://klasma.github.io/Logging_2510/kartor/A 6435-2025 karta.png", "A 6435-2025")</f>
        <v/>
      </c>
      <c r="V495">
        <f>HYPERLINK("https://klasma.github.io/Logging_2510/klagomål/A 6435-2025 FSC-klagomål.docx", "A 6435-2025")</f>
        <v/>
      </c>
      <c r="W495">
        <f>HYPERLINK("https://klasma.github.io/Logging_2510/klagomålsmail/A 6435-2025 FSC-klagomål mail.docx", "A 6435-2025")</f>
        <v/>
      </c>
      <c r="X495">
        <f>HYPERLINK("https://klasma.github.io/Logging_2510/tillsyn/A 6435-2025 tillsynsbegäran.docx", "A 6435-2025")</f>
        <v/>
      </c>
      <c r="Y495">
        <f>HYPERLINK("https://klasma.github.io/Logging_2510/tillsynsmail/A 6435-2025 tillsynsbegäran mail.docx", "A 6435-2025")</f>
        <v/>
      </c>
      <c r="Z495">
        <f>HYPERLINK("https://klasma.github.io/Logging_2510/fåglar/A 6435-2025 prioriterade fågelarter.docx", "A 6435-2025")</f>
        <v/>
      </c>
    </row>
    <row r="496" ht="15" customHeight="1">
      <c r="A496" t="inlineStr">
        <is>
          <t>A 7505-2025</t>
        </is>
      </c>
      <c r="B496" s="1" t="n">
        <v>45705</v>
      </c>
      <c r="C496" s="1" t="n">
        <v>45798</v>
      </c>
      <c r="D496" t="inlineStr">
        <is>
          <t>NORRBOTTENS LÄN</t>
        </is>
      </c>
      <c r="E496" t="inlineStr">
        <is>
          <t>ÖVERTORNEÅ</t>
        </is>
      </c>
      <c r="G496" t="n">
        <v>8.6</v>
      </c>
      <c r="H496" t="n">
        <v>0</v>
      </c>
      <c r="I496" t="n">
        <v>1</v>
      </c>
      <c r="J496" t="n">
        <v>2</v>
      </c>
      <c r="K496" t="n">
        <v>0</v>
      </c>
      <c r="L496" t="n">
        <v>0</v>
      </c>
      <c r="M496" t="n">
        <v>0</v>
      </c>
      <c r="N496" t="n">
        <v>0</v>
      </c>
      <c r="O496" t="n">
        <v>2</v>
      </c>
      <c r="P496" t="n">
        <v>0</v>
      </c>
      <c r="Q496" t="n">
        <v>3</v>
      </c>
      <c r="R496" s="2" t="inlineStr">
        <is>
          <t>Finnmyrten
Älvstarr
Ögonpyrola</t>
        </is>
      </c>
      <c r="S496">
        <f>HYPERLINK("https://klasma.github.io/Logging_2518/artfynd/A 7505-2025 artfynd.xlsx", "A 7505-2025")</f>
        <v/>
      </c>
      <c r="T496">
        <f>HYPERLINK("https://klasma.github.io/Logging_2518/kartor/A 7505-2025 karta.png", "A 7505-2025")</f>
        <v/>
      </c>
      <c r="V496">
        <f>HYPERLINK("https://klasma.github.io/Logging_2518/klagomål/A 7505-2025 FSC-klagomål.docx", "A 7505-2025")</f>
        <v/>
      </c>
      <c r="W496">
        <f>HYPERLINK("https://klasma.github.io/Logging_2518/klagomålsmail/A 7505-2025 FSC-klagomål mail.docx", "A 7505-2025")</f>
        <v/>
      </c>
      <c r="X496">
        <f>HYPERLINK("https://klasma.github.io/Logging_2518/tillsyn/A 7505-2025 tillsynsbegäran.docx", "A 7505-2025")</f>
        <v/>
      </c>
      <c r="Y496">
        <f>HYPERLINK("https://klasma.github.io/Logging_2518/tillsynsmail/A 7505-2025 tillsynsbegäran mail.docx", "A 7505-2025")</f>
        <v/>
      </c>
    </row>
    <row r="497" ht="15" customHeight="1">
      <c r="A497" t="inlineStr">
        <is>
          <t>A 11564-2025</t>
        </is>
      </c>
      <c r="B497" s="1" t="n">
        <v>45726</v>
      </c>
      <c r="C497" s="1" t="n">
        <v>45798</v>
      </c>
      <c r="D497" t="inlineStr">
        <is>
          <t>NORRBOTTENS LÄN</t>
        </is>
      </c>
      <c r="E497" t="inlineStr">
        <is>
          <t>ARVIDSJAUR</t>
        </is>
      </c>
      <c r="F497" t="inlineStr">
        <is>
          <t>Allmännings- och besparingsskogar</t>
        </is>
      </c>
      <c r="G497" t="n">
        <v>38.8</v>
      </c>
      <c r="H497" t="n">
        <v>3</v>
      </c>
      <c r="I497" t="n">
        <v>2</v>
      </c>
      <c r="J497" t="n">
        <v>0</v>
      </c>
      <c r="K497" t="n">
        <v>0</v>
      </c>
      <c r="L497" t="n">
        <v>0</v>
      </c>
      <c r="M497" t="n">
        <v>0</v>
      </c>
      <c r="N497" t="n">
        <v>0</v>
      </c>
      <c r="O497" t="n">
        <v>0</v>
      </c>
      <c r="P497" t="n">
        <v>0</v>
      </c>
      <c r="Q497" t="n">
        <v>3</v>
      </c>
      <c r="R497" s="2" t="inlineStr">
        <is>
          <t>Korallrot
Spindelblomster
Mattlummer</t>
        </is>
      </c>
      <c r="S497">
        <f>HYPERLINK("https://klasma.github.io/Logging_252505/artfynd/A 11564-2025 artfynd.xlsx", "A 11564-2025")</f>
        <v/>
      </c>
      <c r="T497">
        <f>HYPERLINK("https://klasma.github.io/Logging_252505/kartor/A 11564-2025 karta.png", "A 11564-2025")</f>
        <v/>
      </c>
      <c r="V497">
        <f>HYPERLINK("https://klasma.github.io/Logging_252505/klagomål/A 11564-2025 FSC-klagomål.docx", "A 11564-2025")</f>
        <v/>
      </c>
      <c r="W497">
        <f>HYPERLINK("https://klasma.github.io/Logging_252505/klagomålsmail/A 11564-2025 FSC-klagomål mail.docx", "A 11564-2025")</f>
        <v/>
      </c>
      <c r="X497">
        <f>HYPERLINK("https://klasma.github.io/Logging_252505/tillsyn/A 11564-2025 tillsynsbegäran.docx", "A 11564-2025")</f>
        <v/>
      </c>
      <c r="Y497">
        <f>HYPERLINK("https://klasma.github.io/Logging_252505/tillsynsmail/A 11564-2025 tillsynsbegäran mail.docx", "A 11564-2025")</f>
        <v/>
      </c>
    </row>
    <row r="498" ht="15" customHeight="1">
      <c r="A498" t="inlineStr">
        <is>
          <t>A 19499-2025</t>
        </is>
      </c>
      <c r="B498" s="1" t="n">
        <v>45770</v>
      </c>
      <c r="C498" s="1" t="n">
        <v>45798</v>
      </c>
      <c r="D498" t="inlineStr">
        <is>
          <t>NORRBOTTENS LÄN</t>
        </is>
      </c>
      <c r="E498" t="inlineStr">
        <is>
          <t>LULEÅ</t>
        </is>
      </c>
      <c r="G498" t="n">
        <v>4</v>
      </c>
      <c r="H498" t="n">
        <v>0</v>
      </c>
      <c r="I498" t="n">
        <v>0</v>
      </c>
      <c r="J498" t="n">
        <v>2</v>
      </c>
      <c r="K498" t="n">
        <v>1</v>
      </c>
      <c r="L498" t="n">
        <v>0</v>
      </c>
      <c r="M498" t="n">
        <v>0</v>
      </c>
      <c r="N498" t="n">
        <v>0</v>
      </c>
      <c r="O498" t="n">
        <v>3</v>
      </c>
      <c r="P498" t="n">
        <v>1</v>
      </c>
      <c r="Q498" t="n">
        <v>3</v>
      </c>
      <c r="R498" s="2" t="inlineStr">
        <is>
          <t>Lakritsmusseron
Nordtagging
Svart taggsvamp</t>
        </is>
      </c>
      <c r="S498">
        <f>HYPERLINK("https://klasma.github.io/Logging_252580/artfynd/A 19499-2025 artfynd.xlsx", "A 19499-2025")</f>
        <v/>
      </c>
      <c r="T498">
        <f>HYPERLINK("https://klasma.github.io/Logging_252580/kartor/A 19499-2025 karta.png", "A 19499-2025")</f>
        <v/>
      </c>
      <c r="V498">
        <f>HYPERLINK("https://klasma.github.io/Logging_252580/klagomål/A 19499-2025 FSC-klagomål.docx", "A 19499-2025")</f>
        <v/>
      </c>
      <c r="W498">
        <f>HYPERLINK("https://klasma.github.io/Logging_252580/klagomålsmail/A 19499-2025 FSC-klagomål mail.docx", "A 19499-2025")</f>
        <v/>
      </c>
      <c r="X498">
        <f>HYPERLINK("https://klasma.github.io/Logging_252580/tillsyn/A 19499-2025 tillsynsbegäran.docx", "A 19499-2025")</f>
        <v/>
      </c>
      <c r="Y498">
        <f>HYPERLINK("https://klasma.github.io/Logging_252580/tillsynsmail/A 19499-2025 tillsynsbegäran mail.docx", "A 19499-2025")</f>
        <v/>
      </c>
    </row>
    <row r="499" ht="15" customHeight="1">
      <c r="A499" t="inlineStr">
        <is>
          <t>A 20780-2025</t>
        </is>
      </c>
      <c r="B499" s="1" t="n">
        <v>45776</v>
      </c>
      <c r="C499" s="1" t="n">
        <v>45798</v>
      </c>
      <c r="D499" t="inlineStr">
        <is>
          <t>NORRBOTTENS LÄN</t>
        </is>
      </c>
      <c r="E499" t="inlineStr">
        <is>
          <t>KIRUNA</t>
        </is>
      </c>
      <c r="F499" t="inlineStr">
        <is>
          <t>Sveaskog</t>
        </is>
      </c>
      <c r="G499" t="n">
        <v>5.7</v>
      </c>
      <c r="H499" t="n">
        <v>1</v>
      </c>
      <c r="I499" t="n">
        <v>2</v>
      </c>
      <c r="J499" t="n">
        <v>1</v>
      </c>
      <c r="K499" t="n">
        <v>0</v>
      </c>
      <c r="L499" t="n">
        <v>0</v>
      </c>
      <c r="M499" t="n">
        <v>0</v>
      </c>
      <c r="N499" t="n">
        <v>0</v>
      </c>
      <c r="O499" t="n">
        <v>1</v>
      </c>
      <c r="P499" t="n">
        <v>0</v>
      </c>
      <c r="Q499" t="n">
        <v>3</v>
      </c>
      <c r="R499" s="2" t="inlineStr">
        <is>
          <t>Garnlav
Lappranunkel
Stuplav</t>
        </is>
      </c>
      <c r="S499">
        <f>HYPERLINK("https://klasma.github.io/Logging_252584/artfynd/A 20780-2025 artfynd.xlsx", "A 20780-2025")</f>
        <v/>
      </c>
      <c r="T499">
        <f>HYPERLINK("https://klasma.github.io/Logging_252584/kartor/A 20780-2025 karta.png", "A 20780-2025")</f>
        <v/>
      </c>
      <c r="V499">
        <f>HYPERLINK("https://klasma.github.io/Logging_252584/klagomål/A 20780-2025 FSC-klagomål.docx", "A 20780-2025")</f>
        <v/>
      </c>
      <c r="W499">
        <f>HYPERLINK("https://klasma.github.io/Logging_252584/klagomålsmail/A 20780-2025 FSC-klagomål mail.docx", "A 20780-2025")</f>
        <v/>
      </c>
      <c r="X499">
        <f>HYPERLINK("https://klasma.github.io/Logging_252584/tillsyn/A 20780-2025 tillsynsbegäran.docx", "A 20780-2025")</f>
        <v/>
      </c>
      <c r="Y499">
        <f>HYPERLINK("https://klasma.github.io/Logging_252584/tillsynsmail/A 20780-2025 tillsynsbegäran mail.docx", "A 20780-2025")</f>
        <v/>
      </c>
    </row>
    <row r="500" ht="15" customHeight="1">
      <c r="A500" t="inlineStr">
        <is>
          <t>A 22747-2025</t>
        </is>
      </c>
      <c r="B500" s="1" t="n">
        <v>45789</v>
      </c>
      <c r="C500" s="1" t="n">
        <v>45798</v>
      </c>
      <c r="D500" t="inlineStr">
        <is>
          <t>NORRBOTTENS LÄN</t>
        </is>
      </c>
      <c r="E500" t="inlineStr">
        <is>
          <t>JOKKMOKK</t>
        </is>
      </c>
      <c r="F500" t="inlineStr">
        <is>
          <t>Sveaskog</t>
        </is>
      </c>
      <c r="G500" t="n">
        <v>2.3</v>
      </c>
      <c r="H500" t="n">
        <v>0</v>
      </c>
      <c r="I500" t="n">
        <v>0</v>
      </c>
      <c r="J500" t="n">
        <v>1</v>
      </c>
      <c r="K500" t="n">
        <v>2</v>
      </c>
      <c r="L500" t="n">
        <v>0</v>
      </c>
      <c r="M500" t="n">
        <v>0</v>
      </c>
      <c r="N500" t="n">
        <v>0</v>
      </c>
      <c r="O500" t="n">
        <v>3</v>
      </c>
      <c r="P500" t="n">
        <v>2</v>
      </c>
      <c r="Q500" t="n">
        <v>3</v>
      </c>
      <c r="R500" s="2" t="inlineStr">
        <is>
          <t>Smalfotad taggsvamp
Tajgataggsvamp
Orange taggsvamp</t>
        </is>
      </c>
      <c r="S500">
        <f>HYPERLINK("https://klasma.github.io/Logging_252510/artfynd/A 22747-2025 artfynd.xlsx", "A 22747-2025")</f>
        <v/>
      </c>
      <c r="T500">
        <f>HYPERLINK("https://klasma.github.io/Logging_252510/kartor/A 22747-2025 karta.png", "A 22747-2025")</f>
        <v/>
      </c>
      <c r="V500">
        <f>HYPERLINK("https://klasma.github.io/Logging_252510/klagomål/A 22747-2025 FSC-klagomål.docx", "A 22747-2025")</f>
        <v/>
      </c>
      <c r="W500">
        <f>HYPERLINK("https://klasma.github.io/Logging_252510/klagomålsmail/A 22747-2025 FSC-klagomål mail.docx", "A 22747-2025")</f>
        <v/>
      </c>
      <c r="X500">
        <f>HYPERLINK("https://klasma.github.io/Logging_252510/tillsyn/A 22747-2025 tillsynsbegäran.docx", "A 22747-2025")</f>
        <v/>
      </c>
      <c r="Y500">
        <f>HYPERLINK("https://klasma.github.io/Logging_252510/tillsynsmail/A 22747-2025 tillsynsbegäran mail.docx", "A 22747-2025")</f>
        <v/>
      </c>
    </row>
    <row r="501" ht="15" customHeight="1">
      <c r="A501" t="inlineStr">
        <is>
          <t>A 21123-2019</t>
        </is>
      </c>
      <c r="B501" s="1" t="n">
        <v>43579</v>
      </c>
      <c r="C501" s="1" t="n">
        <v>45798</v>
      </c>
      <c r="D501" t="inlineStr">
        <is>
          <t>NORRBOTTENS LÄN</t>
        </is>
      </c>
      <c r="E501" t="inlineStr">
        <is>
          <t>BODEN</t>
        </is>
      </c>
      <c r="F501" t="inlineStr">
        <is>
          <t>Sveaskog</t>
        </is>
      </c>
      <c r="G501" t="n">
        <v>11.3</v>
      </c>
      <c r="H501" t="n">
        <v>0</v>
      </c>
      <c r="I501" t="n">
        <v>1</v>
      </c>
      <c r="J501" t="n">
        <v>1</v>
      </c>
      <c r="K501" t="n">
        <v>0</v>
      </c>
      <c r="L501" t="n">
        <v>0</v>
      </c>
      <c r="M501" t="n">
        <v>0</v>
      </c>
      <c r="N501" t="n">
        <v>0</v>
      </c>
      <c r="O501" t="n">
        <v>1</v>
      </c>
      <c r="P501" t="n">
        <v>0</v>
      </c>
      <c r="Q501" t="n">
        <v>2</v>
      </c>
      <c r="R501" s="2" t="inlineStr">
        <is>
          <t>Lunglav
Stor aspticka</t>
        </is>
      </c>
      <c r="S501">
        <f>HYPERLINK("https://klasma.github.io/Logging_2582/artfynd/A 21123-2019 artfynd.xlsx", "A 21123-2019")</f>
        <v/>
      </c>
      <c r="T501">
        <f>HYPERLINK("https://klasma.github.io/Logging_2582/kartor/A 21123-2019 karta.png", "A 21123-2019")</f>
        <v/>
      </c>
      <c r="V501">
        <f>HYPERLINK("https://klasma.github.io/Logging_2582/klagomål/A 21123-2019 FSC-klagomål.docx", "A 21123-2019")</f>
        <v/>
      </c>
      <c r="W501">
        <f>HYPERLINK("https://klasma.github.io/Logging_2582/klagomålsmail/A 21123-2019 FSC-klagomål mail.docx", "A 21123-2019")</f>
        <v/>
      </c>
      <c r="X501">
        <f>HYPERLINK("https://klasma.github.io/Logging_2582/tillsyn/A 21123-2019 tillsynsbegäran.docx", "A 21123-2019")</f>
        <v/>
      </c>
      <c r="Y501">
        <f>HYPERLINK("https://klasma.github.io/Logging_2582/tillsynsmail/A 21123-2019 tillsynsbegäran mail.docx", "A 21123-2019")</f>
        <v/>
      </c>
    </row>
    <row r="502" ht="15" customHeight="1">
      <c r="A502" t="inlineStr">
        <is>
          <t>A 21127-2019</t>
        </is>
      </c>
      <c r="B502" s="1" t="n">
        <v>43579</v>
      </c>
      <c r="C502" s="1" t="n">
        <v>45798</v>
      </c>
      <c r="D502" t="inlineStr">
        <is>
          <t>NORRBOTTENS LÄN</t>
        </is>
      </c>
      <c r="E502" t="inlineStr">
        <is>
          <t>BODEN</t>
        </is>
      </c>
      <c r="F502" t="inlineStr">
        <is>
          <t>Sveaskog</t>
        </is>
      </c>
      <c r="G502" t="n">
        <v>32</v>
      </c>
      <c r="H502" t="n">
        <v>0</v>
      </c>
      <c r="I502" t="n">
        <v>0</v>
      </c>
      <c r="J502" t="n">
        <v>2</v>
      </c>
      <c r="K502" t="n">
        <v>0</v>
      </c>
      <c r="L502" t="n">
        <v>0</v>
      </c>
      <c r="M502" t="n">
        <v>0</v>
      </c>
      <c r="N502" t="n">
        <v>0</v>
      </c>
      <c r="O502" t="n">
        <v>2</v>
      </c>
      <c r="P502" t="n">
        <v>0</v>
      </c>
      <c r="Q502" t="n">
        <v>2</v>
      </c>
      <c r="R502" s="2" t="inlineStr">
        <is>
          <t>Lunglav
Nordtagging</t>
        </is>
      </c>
      <c r="S502">
        <f>HYPERLINK("https://klasma.github.io/Logging_2582/artfynd/A 21127-2019 artfynd.xlsx", "A 21127-2019")</f>
        <v/>
      </c>
      <c r="T502">
        <f>HYPERLINK("https://klasma.github.io/Logging_2582/kartor/A 21127-2019 karta.png", "A 21127-2019")</f>
        <v/>
      </c>
      <c r="V502">
        <f>HYPERLINK("https://klasma.github.io/Logging_2582/klagomål/A 21127-2019 FSC-klagomål.docx", "A 21127-2019")</f>
        <v/>
      </c>
      <c r="W502">
        <f>HYPERLINK("https://klasma.github.io/Logging_2582/klagomålsmail/A 21127-2019 FSC-klagomål mail.docx", "A 21127-2019")</f>
        <v/>
      </c>
      <c r="X502">
        <f>HYPERLINK("https://klasma.github.io/Logging_2582/tillsyn/A 21127-2019 tillsynsbegäran.docx", "A 21127-2019")</f>
        <v/>
      </c>
      <c r="Y502">
        <f>HYPERLINK("https://klasma.github.io/Logging_2582/tillsynsmail/A 21127-2019 tillsynsbegäran mail.docx", "A 21127-2019")</f>
        <v/>
      </c>
    </row>
    <row r="503" ht="15" customHeight="1">
      <c r="A503" t="inlineStr">
        <is>
          <t>A 23307-2019</t>
        </is>
      </c>
      <c r="B503" s="1" t="n">
        <v>43593</v>
      </c>
      <c r="C503" s="1" t="n">
        <v>45798</v>
      </c>
      <c r="D503" t="inlineStr">
        <is>
          <t>NORRBOTTENS LÄN</t>
        </is>
      </c>
      <c r="E503" t="inlineStr">
        <is>
          <t>ÖVERTORNEÅ</t>
        </is>
      </c>
      <c r="F503" t="inlineStr">
        <is>
          <t>Sveaskog</t>
        </is>
      </c>
      <c r="G503" t="n">
        <v>34.4</v>
      </c>
      <c r="H503" t="n">
        <v>0</v>
      </c>
      <c r="I503" t="n">
        <v>0</v>
      </c>
      <c r="J503" t="n">
        <v>2</v>
      </c>
      <c r="K503" t="n">
        <v>0</v>
      </c>
      <c r="L503" t="n">
        <v>0</v>
      </c>
      <c r="M503" t="n">
        <v>0</v>
      </c>
      <c r="N503" t="n">
        <v>0</v>
      </c>
      <c r="O503" t="n">
        <v>2</v>
      </c>
      <c r="P503" t="n">
        <v>0</v>
      </c>
      <c r="Q503" t="n">
        <v>2</v>
      </c>
      <c r="R503" s="2" t="inlineStr">
        <is>
          <t>Garnlav
Stjärntagging</t>
        </is>
      </c>
      <c r="S503">
        <f>HYPERLINK("https://klasma.github.io/Logging_2518/artfynd/A 23307-2019 artfynd.xlsx", "A 23307-2019")</f>
        <v/>
      </c>
      <c r="T503">
        <f>HYPERLINK("https://klasma.github.io/Logging_2518/kartor/A 23307-2019 karta.png", "A 23307-2019")</f>
        <v/>
      </c>
      <c r="V503">
        <f>HYPERLINK("https://klasma.github.io/Logging_2518/klagomål/A 23307-2019 FSC-klagomål.docx", "A 23307-2019")</f>
        <v/>
      </c>
      <c r="W503">
        <f>HYPERLINK("https://klasma.github.io/Logging_2518/klagomålsmail/A 23307-2019 FSC-klagomål mail.docx", "A 23307-2019")</f>
        <v/>
      </c>
      <c r="X503">
        <f>HYPERLINK("https://klasma.github.io/Logging_2518/tillsyn/A 23307-2019 tillsynsbegäran.docx", "A 23307-2019")</f>
        <v/>
      </c>
      <c r="Y503">
        <f>HYPERLINK("https://klasma.github.io/Logging_2518/tillsynsmail/A 23307-2019 tillsynsbegäran mail.docx", "A 23307-2019")</f>
        <v/>
      </c>
    </row>
    <row r="504" ht="15" customHeight="1">
      <c r="A504" t="inlineStr">
        <is>
          <t>A 24672-2019</t>
        </is>
      </c>
      <c r="B504" s="1" t="n">
        <v>43601</v>
      </c>
      <c r="C504" s="1" t="n">
        <v>45798</v>
      </c>
      <c r="D504" t="inlineStr">
        <is>
          <t>NORRBOTTENS LÄN</t>
        </is>
      </c>
      <c r="E504" t="inlineStr">
        <is>
          <t>BODEN</t>
        </is>
      </c>
      <c r="F504" t="inlineStr">
        <is>
          <t>Sveaskog</t>
        </is>
      </c>
      <c r="G504" t="n">
        <v>12.8</v>
      </c>
      <c r="H504" t="n">
        <v>0</v>
      </c>
      <c r="I504" t="n">
        <v>0</v>
      </c>
      <c r="J504" t="n">
        <v>1</v>
      </c>
      <c r="K504" t="n">
        <v>1</v>
      </c>
      <c r="L504" t="n">
        <v>0</v>
      </c>
      <c r="M504" t="n">
        <v>0</v>
      </c>
      <c r="N504" t="n">
        <v>0</v>
      </c>
      <c r="O504" t="n">
        <v>2</v>
      </c>
      <c r="P504" t="n">
        <v>1</v>
      </c>
      <c r="Q504" t="n">
        <v>2</v>
      </c>
      <c r="R504" s="2" t="inlineStr">
        <is>
          <t>Gräddporing
Vaddporing</t>
        </is>
      </c>
      <c r="S504">
        <f>HYPERLINK("https://klasma.github.io/Logging_2582/artfynd/A 24672-2019 artfynd.xlsx", "A 24672-2019")</f>
        <v/>
      </c>
      <c r="T504">
        <f>HYPERLINK("https://klasma.github.io/Logging_2582/kartor/A 24672-2019 karta.png", "A 24672-2019")</f>
        <v/>
      </c>
      <c r="V504">
        <f>HYPERLINK("https://klasma.github.io/Logging_2582/klagomål/A 24672-2019 FSC-klagomål.docx", "A 24672-2019")</f>
        <v/>
      </c>
      <c r="W504">
        <f>HYPERLINK("https://klasma.github.io/Logging_2582/klagomålsmail/A 24672-2019 FSC-klagomål mail.docx", "A 24672-2019")</f>
        <v/>
      </c>
      <c r="X504">
        <f>HYPERLINK("https://klasma.github.io/Logging_2582/tillsyn/A 24672-2019 tillsynsbegäran.docx", "A 24672-2019")</f>
        <v/>
      </c>
      <c r="Y504">
        <f>HYPERLINK("https://klasma.github.io/Logging_2582/tillsynsmail/A 24672-2019 tillsynsbegäran mail.docx", "A 24672-2019")</f>
        <v/>
      </c>
    </row>
    <row r="505" ht="15" customHeight="1">
      <c r="A505" t="inlineStr">
        <is>
          <t>A 24913-2019</t>
        </is>
      </c>
      <c r="B505" s="1" t="n">
        <v>43602</v>
      </c>
      <c r="C505" s="1" t="n">
        <v>45798</v>
      </c>
      <c r="D505" t="inlineStr">
        <is>
          <t>NORRBOTTENS LÄN</t>
        </is>
      </c>
      <c r="E505" t="inlineStr">
        <is>
          <t>PAJALA</t>
        </is>
      </c>
      <c r="F505" t="inlineStr">
        <is>
          <t>Sveaskog</t>
        </is>
      </c>
      <c r="G505" t="n">
        <v>1.1</v>
      </c>
      <c r="H505" t="n">
        <v>0</v>
      </c>
      <c r="I505" t="n">
        <v>1</v>
      </c>
      <c r="J505" t="n">
        <v>1</v>
      </c>
      <c r="K505" t="n">
        <v>0</v>
      </c>
      <c r="L505" t="n">
        <v>0</v>
      </c>
      <c r="M505" t="n">
        <v>0</v>
      </c>
      <c r="N505" t="n">
        <v>0</v>
      </c>
      <c r="O505" t="n">
        <v>1</v>
      </c>
      <c r="P505" t="n">
        <v>0</v>
      </c>
      <c r="Q505" t="n">
        <v>2</v>
      </c>
      <c r="R505" s="2" t="inlineStr">
        <is>
          <t>Garnlav
Stuplav</t>
        </is>
      </c>
      <c r="S505">
        <f>HYPERLINK("https://klasma.github.io/Logging_2521/artfynd/A 24913-2019 artfynd.xlsx", "A 24913-2019")</f>
        <v/>
      </c>
      <c r="T505">
        <f>HYPERLINK("https://klasma.github.io/Logging_2521/kartor/A 24913-2019 karta.png", "A 24913-2019")</f>
        <v/>
      </c>
      <c r="V505">
        <f>HYPERLINK("https://klasma.github.io/Logging_2521/klagomål/A 24913-2019 FSC-klagomål.docx", "A 24913-2019")</f>
        <v/>
      </c>
      <c r="W505">
        <f>HYPERLINK("https://klasma.github.io/Logging_2521/klagomålsmail/A 24913-2019 FSC-klagomål mail.docx", "A 24913-2019")</f>
        <v/>
      </c>
      <c r="X505">
        <f>HYPERLINK("https://klasma.github.io/Logging_2521/tillsyn/A 24913-2019 tillsynsbegäran.docx", "A 24913-2019")</f>
        <v/>
      </c>
      <c r="Y505">
        <f>HYPERLINK("https://klasma.github.io/Logging_2521/tillsynsmail/A 24913-2019 tillsynsbegäran mail.docx", "A 24913-2019")</f>
        <v/>
      </c>
    </row>
    <row r="506" ht="15" customHeight="1">
      <c r="A506" t="inlineStr">
        <is>
          <t>A 32337-2019</t>
        </is>
      </c>
      <c r="B506" s="1" t="n">
        <v>43644</v>
      </c>
      <c r="C506" s="1" t="n">
        <v>45798</v>
      </c>
      <c r="D506" t="inlineStr">
        <is>
          <t>NORRBOTTENS LÄN</t>
        </is>
      </c>
      <c r="E506" t="inlineStr">
        <is>
          <t>PAJALA</t>
        </is>
      </c>
      <c r="F506" t="inlineStr">
        <is>
          <t>Sveaskog</t>
        </is>
      </c>
      <c r="G506" t="n">
        <v>5.1</v>
      </c>
      <c r="H506" t="n">
        <v>0</v>
      </c>
      <c r="I506" t="n">
        <v>1</v>
      </c>
      <c r="J506" t="n">
        <v>1</v>
      </c>
      <c r="K506" t="n">
        <v>0</v>
      </c>
      <c r="L506" t="n">
        <v>0</v>
      </c>
      <c r="M506" t="n">
        <v>0</v>
      </c>
      <c r="N506" t="n">
        <v>0</v>
      </c>
      <c r="O506" t="n">
        <v>1</v>
      </c>
      <c r="P506" t="n">
        <v>0</v>
      </c>
      <c r="Q506" t="n">
        <v>2</v>
      </c>
      <c r="R506" s="2" t="inlineStr">
        <is>
          <t>Garnlav
Trådticka</t>
        </is>
      </c>
      <c r="S506">
        <f>HYPERLINK("https://klasma.github.io/Logging_2521/artfynd/A 32337-2019 artfynd.xlsx", "A 32337-2019")</f>
        <v/>
      </c>
      <c r="T506">
        <f>HYPERLINK("https://klasma.github.io/Logging_2521/kartor/A 32337-2019 karta.png", "A 32337-2019")</f>
        <v/>
      </c>
      <c r="V506">
        <f>HYPERLINK("https://klasma.github.io/Logging_2521/klagomål/A 32337-2019 FSC-klagomål.docx", "A 32337-2019")</f>
        <v/>
      </c>
      <c r="W506">
        <f>HYPERLINK("https://klasma.github.io/Logging_2521/klagomålsmail/A 32337-2019 FSC-klagomål mail.docx", "A 32337-2019")</f>
        <v/>
      </c>
      <c r="X506">
        <f>HYPERLINK("https://klasma.github.io/Logging_2521/tillsyn/A 32337-2019 tillsynsbegäran.docx", "A 32337-2019")</f>
        <v/>
      </c>
      <c r="Y506">
        <f>HYPERLINK("https://klasma.github.io/Logging_2521/tillsynsmail/A 32337-2019 tillsynsbegäran mail.docx", "A 32337-2019")</f>
        <v/>
      </c>
    </row>
    <row r="507" ht="15" customHeight="1">
      <c r="A507" t="inlineStr">
        <is>
          <t>A 36554-2019</t>
        </is>
      </c>
      <c r="B507" s="1" t="n">
        <v>43671</v>
      </c>
      <c r="C507" s="1" t="n">
        <v>45798</v>
      </c>
      <c r="D507" t="inlineStr">
        <is>
          <t>NORRBOTTENS LÄN</t>
        </is>
      </c>
      <c r="E507" t="inlineStr">
        <is>
          <t>GÄLLIVARE</t>
        </is>
      </c>
      <c r="F507" t="inlineStr">
        <is>
          <t>Sveaskog</t>
        </is>
      </c>
      <c r="G507" t="n">
        <v>28.2</v>
      </c>
      <c r="H507" t="n">
        <v>0</v>
      </c>
      <c r="I507" t="n">
        <v>0</v>
      </c>
      <c r="J507" t="n">
        <v>1</v>
      </c>
      <c r="K507" t="n">
        <v>1</v>
      </c>
      <c r="L507" t="n">
        <v>0</v>
      </c>
      <c r="M507" t="n">
        <v>0</v>
      </c>
      <c r="N507" t="n">
        <v>0</v>
      </c>
      <c r="O507" t="n">
        <v>2</v>
      </c>
      <c r="P507" t="n">
        <v>1</v>
      </c>
      <c r="Q507" t="n">
        <v>2</v>
      </c>
      <c r="R507" s="2" t="inlineStr">
        <is>
          <t>Spadskinn
Tallticka</t>
        </is>
      </c>
      <c r="S507">
        <f>HYPERLINK("https://klasma.github.io/Logging_2523/artfynd/A 36554-2019 artfynd.xlsx", "A 36554-2019")</f>
        <v/>
      </c>
      <c r="T507">
        <f>HYPERLINK("https://klasma.github.io/Logging_2523/kartor/A 36554-2019 karta.png", "A 36554-2019")</f>
        <v/>
      </c>
      <c r="V507">
        <f>HYPERLINK("https://klasma.github.io/Logging_2523/klagomål/A 36554-2019 FSC-klagomål.docx", "A 36554-2019")</f>
        <v/>
      </c>
      <c r="W507">
        <f>HYPERLINK("https://klasma.github.io/Logging_2523/klagomålsmail/A 36554-2019 FSC-klagomål mail.docx", "A 36554-2019")</f>
        <v/>
      </c>
      <c r="X507">
        <f>HYPERLINK("https://klasma.github.io/Logging_2523/tillsyn/A 36554-2019 tillsynsbegäran.docx", "A 36554-2019")</f>
        <v/>
      </c>
      <c r="Y507">
        <f>HYPERLINK("https://klasma.github.io/Logging_2523/tillsynsmail/A 36554-2019 tillsynsbegäran mail.docx", "A 36554-2019")</f>
        <v/>
      </c>
    </row>
    <row r="508" ht="15" customHeight="1">
      <c r="A508" t="inlineStr">
        <is>
          <t>A 38649-2019</t>
        </is>
      </c>
      <c r="B508" s="1" t="n">
        <v>43686</v>
      </c>
      <c r="C508" s="1" t="n">
        <v>45798</v>
      </c>
      <c r="D508" t="inlineStr">
        <is>
          <t>NORRBOTTENS LÄN</t>
        </is>
      </c>
      <c r="E508" t="inlineStr">
        <is>
          <t>GÄLLIVARE</t>
        </is>
      </c>
      <c r="F508" t="inlineStr">
        <is>
          <t>Sveaskog</t>
        </is>
      </c>
      <c r="G508" t="n">
        <v>4.3</v>
      </c>
      <c r="H508" t="n">
        <v>1</v>
      </c>
      <c r="I508" t="n">
        <v>0</v>
      </c>
      <c r="J508" t="n">
        <v>1</v>
      </c>
      <c r="K508" t="n">
        <v>1</v>
      </c>
      <c r="L508" t="n">
        <v>0</v>
      </c>
      <c r="M508" t="n">
        <v>0</v>
      </c>
      <c r="N508" t="n">
        <v>0</v>
      </c>
      <c r="O508" t="n">
        <v>2</v>
      </c>
      <c r="P508" t="n">
        <v>1</v>
      </c>
      <c r="Q508" t="n">
        <v>2</v>
      </c>
      <c r="R508" s="2" t="inlineStr">
        <is>
          <t>Norna
Äggvaxskivling</t>
        </is>
      </c>
      <c r="S508">
        <f>HYPERLINK("https://klasma.github.io/Logging_2523/artfynd/A 38649-2019 artfynd.xlsx", "A 38649-2019")</f>
        <v/>
      </c>
      <c r="T508">
        <f>HYPERLINK("https://klasma.github.io/Logging_2523/kartor/A 38649-2019 karta.png", "A 38649-2019")</f>
        <v/>
      </c>
      <c r="V508">
        <f>HYPERLINK("https://klasma.github.io/Logging_2523/klagomål/A 38649-2019 FSC-klagomål.docx", "A 38649-2019")</f>
        <v/>
      </c>
      <c r="W508">
        <f>HYPERLINK("https://klasma.github.io/Logging_2523/klagomålsmail/A 38649-2019 FSC-klagomål mail.docx", "A 38649-2019")</f>
        <v/>
      </c>
      <c r="X508">
        <f>HYPERLINK("https://klasma.github.io/Logging_2523/tillsyn/A 38649-2019 tillsynsbegäran.docx", "A 38649-2019")</f>
        <v/>
      </c>
      <c r="Y508">
        <f>HYPERLINK("https://klasma.github.io/Logging_2523/tillsynsmail/A 38649-2019 tillsynsbegäran mail.docx", "A 38649-2019")</f>
        <v/>
      </c>
    </row>
    <row r="509" ht="15" customHeight="1">
      <c r="A509" t="inlineStr">
        <is>
          <t>A 43753-2019</t>
        </is>
      </c>
      <c r="B509" s="1" t="n">
        <v>43707</v>
      </c>
      <c r="C509" s="1" t="n">
        <v>45798</v>
      </c>
      <c r="D509" t="inlineStr">
        <is>
          <t>NORRBOTTENS LÄN</t>
        </is>
      </c>
      <c r="E509" t="inlineStr">
        <is>
          <t>ARVIDSJAUR</t>
        </is>
      </c>
      <c r="F509" t="inlineStr">
        <is>
          <t>Sveaskog</t>
        </is>
      </c>
      <c r="G509" t="n">
        <v>4.8</v>
      </c>
      <c r="H509" t="n">
        <v>0</v>
      </c>
      <c r="I509" t="n">
        <v>2</v>
      </c>
      <c r="J509" t="n">
        <v>0</v>
      </c>
      <c r="K509" t="n">
        <v>0</v>
      </c>
      <c r="L509" t="n">
        <v>0</v>
      </c>
      <c r="M509" t="n">
        <v>0</v>
      </c>
      <c r="N509" t="n">
        <v>0</v>
      </c>
      <c r="O509" t="n">
        <v>0</v>
      </c>
      <c r="P509" t="n">
        <v>0</v>
      </c>
      <c r="Q509" t="n">
        <v>2</v>
      </c>
      <c r="R509" s="2" t="inlineStr">
        <is>
          <t>Dropptaggsvamp
Skarp dropptaggsvamp</t>
        </is>
      </c>
      <c r="S509">
        <f>HYPERLINK("https://klasma.github.io/Logging_2505/artfynd/A 43753-2019 artfynd.xlsx", "A 43753-2019")</f>
        <v/>
      </c>
      <c r="T509">
        <f>HYPERLINK("https://klasma.github.io/Logging_2505/kartor/A 43753-2019 karta.png", "A 43753-2019")</f>
        <v/>
      </c>
      <c r="V509">
        <f>HYPERLINK("https://klasma.github.io/Logging_2505/klagomål/A 43753-2019 FSC-klagomål.docx", "A 43753-2019")</f>
        <v/>
      </c>
      <c r="W509">
        <f>HYPERLINK("https://klasma.github.io/Logging_2505/klagomålsmail/A 43753-2019 FSC-klagomål mail.docx", "A 43753-2019")</f>
        <v/>
      </c>
      <c r="X509">
        <f>HYPERLINK("https://klasma.github.io/Logging_2505/tillsyn/A 43753-2019 tillsynsbegäran.docx", "A 43753-2019")</f>
        <v/>
      </c>
      <c r="Y509">
        <f>HYPERLINK("https://klasma.github.io/Logging_2505/tillsynsmail/A 43753-2019 tillsynsbegäran mail.docx", "A 43753-2019")</f>
        <v/>
      </c>
    </row>
    <row r="510" ht="15" customHeight="1">
      <c r="A510" t="inlineStr">
        <is>
          <t>A 45095-2019</t>
        </is>
      </c>
      <c r="B510" s="1" t="n">
        <v>43707</v>
      </c>
      <c r="C510" s="1" t="n">
        <v>45798</v>
      </c>
      <c r="D510" t="inlineStr">
        <is>
          <t>NORRBOTTENS LÄN</t>
        </is>
      </c>
      <c r="E510" t="inlineStr">
        <is>
          <t>ARJEPLOG</t>
        </is>
      </c>
      <c r="G510" t="n">
        <v>9.9</v>
      </c>
      <c r="H510" t="n">
        <v>2</v>
      </c>
      <c r="I510" t="n">
        <v>1</v>
      </c>
      <c r="J510" t="n">
        <v>0</v>
      </c>
      <c r="K510" t="n">
        <v>0</v>
      </c>
      <c r="L510" t="n">
        <v>0</v>
      </c>
      <c r="M510" t="n">
        <v>0</v>
      </c>
      <c r="N510" t="n">
        <v>0</v>
      </c>
      <c r="O510" t="n">
        <v>0</v>
      </c>
      <c r="P510" t="n">
        <v>0</v>
      </c>
      <c r="Q510" t="n">
        <v>2</v>
      </c>
      <c r="R510" s="2" t="inlineStr">
        <is>
          <t>Plattlummer
Revlummer</t>
        </is>
      </c>
      <c r="S510">
        <f>HYPERLINK("https://klasma.github.io/Logging_2506/artfynd/A 45095-2019 artfynd.xlsx", "A 45095-2019")</f>
        <v/>
      </c>
      <c r="T510">
        <f>HYPERLINK("https://klasma.github.io/Logging_2506/kartor/A 45095-2019 karta.png", "A 45095-2019")</f>
        <v/>
      </c>
      <c r="V510">
        <f>HYPERLINK("https://klasma.github.io/Logging_2506/klagomål/A 45095-2019 FSC-klagomål.docx", "A 45095-2019")</f>
        <v/>
      </c>
      <c r="W510">
        <f>HYPERLINK("https://klasma.github.io/Logging_2506/klagomålsmail/A 45095-2019 FSC-klagomål mail.docx", "A 45095-2019")</f>
        <v/>
      </c>
      <c r="X510">
        <f>HYPERLINK("https://klasma.github.io/Logging_2506/tillsyn/A 45095-2019 tillsynsbegäran.docx", "A 45095-2019")</f>
        <v/>
      </c>
      <c r="Y510">
        <f>HYPERLINK("https://klasma.github.io/Logging_2506/tillsynsmail/A 45095-2019 tillsynsbegäran mail.docx", "A 45095-2019")</f>
        <v/>
      </c>
    </row>
    <row r="511" ht="15" customHeight="1">
      <c r="A511" t="inlineStr">
        <is>
          <t>A 47756-2019</t>
        </is>
      </c>
      <c r="B511" s="1" t="n">
        <v>43724</v>
      </c>
      <c r="C511" s="1" t="n">
        <v>45798</v>
      </c>
      <c r="D511" t="inlineStr">
        <is>
          <t>NORRBOTTENS LÄN</t>
        </is>
      </c>
      <c r="E511" t="inlineStr">
        <is>
          <t>LULEÅ</t>
        </is>
      </c>
      <c r="G511" t="n">
        <v>4.8</v>
      </c>
      <c r="H511" t="n">
        <v>2</v>
      </c>
      <c r="I511" t="n">
        <v>0</v>
      </c>
      <c r="J511" t="n">
        <v>2</v>
      </c>
      <c r="K511" t="n">
        <v>0</v>
      </c>
      <c r="L511" t="n">
        <v>0</v>
      </c>
      <c r="M511" t="n">
        <v>0</v>
      </c>
      <c r="N511" t="n">
        <v>0</v>
      </c>
      <c r="O511" t="n">
        <v>2</v>
      </c>
      <c r="P511" t="n">
        <v>0</v>
      </c>
      <c r="Q511" t="n">
        <v>2</v>
      </c>
      <c r="R511" s="2" t="inlineStr">
        <is>
          <t>Rödvingetrast
Svartvit flugsnappare</t>
        </is>
      </c>
      <c r="S511">
        <f>HYPERLINK("https://klasma.github.io/Logging_2580/artfynd/A 47756-2019 artfynd.xlsx", "A 47756-2019")</f>
        <v/>
      </c>
      <c r="T511">
        <f>HYPERLINK("https://klasma.github.io/Logging_2580/kartor/A 47756-2019 karta.png", "A 47756-2019")</f>
        <v/>
      </c>
      <c r="V511">
        <f>HYPERLINK("https://klasma.github.io/Logging_2580/klagomål/A 47756-2019 FSC-klagomål.docx", "A 47756-2019")</f>
        <v/>
      </c>
      <c r="W511">
        <f>HYPERLINK("https://klasma.github.io/Logging_2580/klagomålsmail/A 47756-2019 FSC-klagomål mail.docx", "A 47756-2019")</f>
        <v/>
      </c>
      <c r="X511">
        <f>HYPERLINK("https://klasma.github.io/Logging_2580/tillsyn/A 47756-2019 tillsynsbegäran.docx", "A 47756-2019")</f>
        <v/>
      </c>
      <c r="Y511">
        <f>HYPERLINK("https://klasma.github.io/Logging_2580/tillsynsmail/A 47756-2019 tillsynsbegäran mail.docx", "A 47756-2019")</f>
        <v/>
      </c>
      <c r="Z511">
        <f>HYPERLINK("https://klasma.github.io/Logging_2580/fåglar/A 47756-2019 prioriterade fågelarter.docx", "A 47756-2019")</f>
        <v/>
      </c>
    </row>
    <row r="512" ht="15" customHeight="1">
      <c r="A512" t="inlineStr">
        <is>
          <t>A 50195-2019</t>
        </is>
      </c>
      <c r="B512" s="1" t="n">
        <v>43734</v>
      </c>
      <c r="C512" s="1" t="n">
        <v>45798</v>
      </c>
      <c r="D512" t="inlineStr">
        <is>
          <t>NORRBOTTENS LÄN</t>
        </is>
      </c>
      <c r="E512" t="inlineStr">
        <is>
          <t>PAJALA</t>
        </is>
      </c>
      <c r="F512" t="inlineStr">
        <is>
          <t>Sveaskog</t>
        </is>
      </c>
      <c r="G512" t="n">
        <v>12</v>
      </c>
      <c r="H512" t="n">
        <v>0</v>
      </c>
      <c r="I512" t="n">
        <v>0</v>
      </c>
      <c r="J512" t="n">
        <v>1</v>
      </c>
      <c r="K512" t="n">
        <v>1</v>
      </c>
      <c r="L512" t="n">
        <v>0</v>
      </c>
      <c r="M512" t="n">
        <v>0</v>
      </c>
      <c r="N512" t="n">
        <v>0</v>
      </c>
      <c r="O512" t="n">
        <v>2</v>
      </c>
      <c r="P512" t="n">
        <v>1</v>
      </c>
      <c r="Q512" t="n">
        <v>2</v>
      </c>
      <c r="R512" s="2" t="inlineStr">
        <is>
          <t>Gräddporing
Garnlav</t>
        </is>
      </c>
      <c r="S512">
        <f>HYPERLINK("https://klasma.github.io/Logging_2521/artfynd/A 50195-2019 artfynd.xlsx", "A 50195-2019")</f>
        <v/>
      </c>
      <c r="T512">
        <f>HYPERLINK("https://klasma.github.io/Logging_2521/kartor/A 50195-2019 karta.png", "A 50195-2019")</f>
        <v/>
      </c>
      <c r="V512">
        <f>HYPERLINK("https://klasma.github.io/Logging_2521/klagomål/A 50195-2019 FSC-klagomål.docx", "A 50195-2019")</f>
        <v/>
      </c>
      <c r="W512">
        <f>HYPERLINK("https://klasma.github.io/Logging_2521/klagomålsmail/A 50195-2019 FSC-klagomål mail.docx", "A 50195-2019")</f>
        <v/>
      </c>
      <c r="X512">
        <f>HYPERLINK("https://klasma.github.io/Logging_2521/tillsyn/A 50195-2019 tillsynsbegäran.docx", "A 50195-2019")</f>
        <v/>
      </c>
      <c r="Y512">
        <f>HYPERLINK("https://klasma.github.io/Logging_2521/tillsynsmail/A 50195-2019 tillsynsbegäran mail.docx", "A 50195-2019")</f>
        <v/>
      </c>
    </row>
    <row r="513" ht="15" customHeight="1">
      <c r="A513" t="inlineStr">
        <is>
          <t>A 52586-2019</t>
        </is>
      </c>
      <c r="B513" s="1" t="n">
        <v>43745</v>
      </c>
      <c r="C513" s="1" t="n">
        <v>45798</v>
      </c>
      <c r="D513" t="inlineStr">
        <is>
          <t>NORRBOTTENS LÄN</t>
        </is>
      </c>
      <c r="E513" t="inlineStr">
        <is>
          <t>BODEN</t>
        </is>
      </c>
      <c r="F513" t="inlineStr">
        <is>
          <t>SCA</t>
        </is>
      </c>
      <c r="G513" t="n">
        <v>3.5</v>
      </c>
      <c r="H513" t="n">
        <v>0</v>
      </c>
      <c r="I513" t="n">
        <v>1</v>
      </c>
      <c r="J513" t="n">
        <v>1</v>
      </c>
      <c r="K513" t="n">
        <v>0</v>
      </c>
      <c r="L513" t="n">
        <v>0</v>
      </c>
      <c r="M513" t="n">
        <v>0</v>
      </c>
      <c r="N513" t="n">
        <v>0</v>
      </c>
      <c r="O513" t="n">
        <v>1</v>
      </c>
      <c r="P513" t="n">
        <v>0</v>
      </c>
      <c r="Q513" t="n">
        <v>2</v>
      </c>
      <c r="R513" s="2" t="inlineStr">
        <is>
          <t>Äggvaxskivling
Grönpyrola</t>
        </is>
      </c>
      <c r="S513">
        <f>HYPERLINK("https://klasma.github.io/Logging_2582/artfynd/A 52586-2019 artfynd.xlsx", "A 52586-2019")</f>
        <v/>
      </c>
      <c r="T513">
        <f>HYPERLINK("https://klasma.github.io/Logging_2582/kartor/A 52586-2019 karta.png", "A 52586-2019")</f>
        <v/>
      </c>
      <c r="V513">
        <f>HYPERLINK("https://klasma.github.io/Logging_2582/klagomål/A 52586-2019 FSC-klagomål.docx", "A 52586-2019")</f>
        <v/>
      </c>
      <c r="W513">
        <f>HYPERLINK("https://klasma.github.io/Logging_2582/klagomålsmail/A 52586-2019 FSC-klagomål mail.docx", "A 52586-2019")</f>
        <v/>
      </c>
      <c r="X513">
        <f>HYPERLINK("https://klasma.github.io/Logging_2582/tillsyn/A 52586-2019 tillsynsbegäran.docx", "A 52586-2019")</f>
        <v/>
      </c>
      <c r="Y513">
        <f>HYPERLINK("https://klasma.github.io/Logging_2582/tillsynsmail/A 52586-2019 tillsynsbegäran mail.docx", "A 52586-2019")</f>
        <v/>
      </c>
    </row>
    <row r="514" ht="15" customHeight="1">
      <c r="A514" t="inlineStr">
        <is>
          <t>A 57990-2019</t>
        </is>
      </c>
      <c r="B514" s="1" t="n">
        <v>43769</v>
      </c>
      <c r="C514" s="1" t="n">
        <v>45798</v>
      </c>
      <c r="D514" t="inlineStr">
        <is>
          <t>NORRBOTTENS LÄN</t>
        </is>
      </c>
      <c r="E514" t="inlineStr">
        <is>
          <t>PAJALA</t>
        </is>
      </c>
      <c r="F514" t="inlineStr">
        <is>
          <t>Sveaskog</t>
        </is>
      </c>
      <c r="G514" t="n">
        <v>30.9</v>
      </c>
      <c r="H514" t="n">
        <v>1</v>
      </c>
      <c r="I514" t="n">
        <v>0</v>
      </c>
      <c r="J514" t="n">
        <v>1</v>
      </c>
      <c r="K514" t="n">
        <v>0</v>
      </c>
      <c r="L514" t="n">
        <v>0</v>
      </c>
      <c r="M514" t="n">
        <v>0</v>
      </c>
      <c r="N514" t="n">
        <v>0</v>
      </c>
      <c r="O514" t="n">
        <v>1</v>
      </c>
      <c r="P514" t="n">
        <v>0</v>
      </c>
      <c r="Q514" t="n">
        <v>2</v>
      </c>
      <c r="R514" s="2" t="inlineStr">
        <is>
          <t>Gammelgransskål
Fläcknycklar</t>
        </is>
      </c>
      <c r="S514">
        <f>HYPERLINK("https://klasma.github.io/Logging_2521/artfynd/A 57990-2019 artfynd.xlsx", "A 57990-2019")</f>
        <v/>
      </c>
      <c r="T514">
        <f>HYPERLINK("https://klasma.github.io/Logging_2521/kartor/A 57990-2019 karta.png", "A 57990-2019")</f>
        <v/>
      </c>
      <c r="V514">
        <f>HYPERLINK("https://klasma.github.io/Logging_2521/klagomål/A 57990-2019 FSC-klagomål.docx", "A 57990-2019")</f>
        <v/>
      </c>
      <c r="W514">
        <f>HYPERLINK("https://klasma.github.io/Logging_2521/klagomålsmail/A 57990-2019 FSC-klagomål mail.docx", "A 57990-2019")</f>
        <v/>
      </c>
      <c r="X514">
        <f>HYPERLINK("https://klasma.github.io/Logging_2521/tillsyn/A 57990-2019 tillsynsbegäran.docx", "A 57990-2019")</f>
        <v/>
      </c>
      <c r="Y514">
        <f>HYPERLINK("https://klasma.github.io/Logging_2521/tillsynsmail/A 57990-2019 tillsynsbegäran mail.docx", "A 57990-2019")</f>
        <v/>
      </c>
    </row>
    <row r="515" ht="15" customHeight="1">
      <c r="A515" t="inlineStr">
        <is>
          <t>A 59350-2019</t>
        </is>
      </c>
      <c r="B515" s="1" t="n">
        <v>43773</v>
      </c>
      <c r="C515" s="1" t="n">
        <v>45798</v>
      </c>
      <c r="D515" t="inlineStr">
        <is>
          <t>NORRBOTTENS LÄN</t>
        </is>
      </c>
      <c r="E515" t="inlineStr">
        <is>
          <t>GÄLLIVARE</t>
        </is>
      </c>
      <c r="G515" t="n">
        <v>7.7</v>
      </c>
      <c r="H515" t="n">
        <v>0</v>
      </c>
      <c r="I515" t="n">
        <v>1</v>
      </c>
      <c r="J515" t="n">
        <v>1</v>
      </c>
      <c r="K515" t="n">
        <v>0</v>
      </c>
      <c r="L515" t="n">
        <v>0</v>
      </c>
      <c r="M515" t="n">
        <v>0</v>
      </c>
      <c r="N515" t="n">
        <v>0</v>
      </c>
      <c r="O515" t="n">
        <v>1</v>
      </c>
      <c r="P515" t="n">
        <v>0</v>
      </c>
      <c r="Q515" t="n">
        <v>2</v>
      </c>
      <c r="R515" s="2" t="inlineStr">
        <is>
          <t>Garnlav
Bårdlav</t>
        </is>
      </c>
      <c r="S515">
        <f>HYPERLINK("https://klasma.github.io/Logging_2523/artfynd/A 59350-2019 artfynd.xlsx", "A 59350-2019")</f>
        <v/>
      </c>
      <c r="T515">
        <f>HYPERLINK("https://klasma.github.io/Logging_2523/kartor/A 59350-2019 karta.png", "A 59350-2019")</f>
        <v/>
      </c>
      <c r="V515">
        <f>HYPERLINK("https://klasma.github.io/Logging_2523/klagomål/A 59350-2019 FSC-klagomål.docx", "A 59350-2019")</f>
        <v/>
      </c>
      <c r="W515">
        <f>HYPERLINK("https://klasma.github.io/Logging_2523/klagomålsmail/A 59350-2019 FSC-klagomål mail.docx", "A 59350-2019")</f>
        <v/>
      </c>
      <c r="X515">
        <f>HYPERLINK("https://klasma.github.io/Logging_2523/tillsyn/A 59350-2019 tillsynsbegäran.docx", "A 59350-2019")</f>
        <v/>
      </c>
      <c r="Y515">
        <f>HYPERLINK("https://klasma.github.io/Logging_2523/tillsynsmail/A 59350-2019 tillsynsbegäran mail.docx", "A 59350-2019")</f>
        <v/>
      </c>
    </row>
    <row r="516" ht="15" customHeight="1">
      <c r="A516" t="inlineStr">
        <is>
          <t>A 61313-2019</t>
        </is>
      </c>
      <c r="B516" s="1" t="n">
        <v>43775</v>
      </c>
      <c r="C516" s="1" t="n">
        <v>45798</v>
      </c>
      <c r="D516" t="inlineStr">
        <is>
          <t>NORRBOTTENS LÄN</t>
        </is>
      </c>
      <c r="E516" t="inlineStr">
        <is>
          <t>KIRUNA</t>
        </is>
      </c>
      <c r="F516" t="inlineStr">
        <is>
          <t>Övriga statliga verk och myndigheter</t>
        </is>
      </c>
      <c r="G516" t="n">
        <v>28.7</v>
      </c>
      <c r="H516" t="n">
        <v>2</v>
      </c>
      <c r="I516" t="n">
        <v>0</v>
      </c>
      <c r="J516" t="n">
        <v>0</v>
      </c>
      <c r="K516" t="n">
        <v>1</v>
      </c>
      <c r="L516" t="n">
        <v>0</v>
      </c>
      <c r="M516" t="n">
        <v>0</v>
      </c>
      <c r="N516" t="n">
        <v>0</v>
      </c>
      <c r="O516" t="n">
        <v>1</v>
      </c>
      <c r="P516" t="n">
        <v>1</v>
      </c>
      <c r="Q516" t="n">
        <v>2</v>
      </c>
      <c r="R516" s="2" t="inlineStr">
        <is>
          <t>Norna
Lavskrika</t>
        </is>
      </c>
      <c r="S516">
        <f>HYPERLINK("https://klasma.github.io/Logging_2584/artfynd/A 61313-2019 artfynd.xlsx", "A 61313-2019")</f>
        <v/>
      </c>
      <c r="T516">
        <f>HYPERLINK("https://klasma.github.io/Logging_2584/kartor/A 61313-2019 karta.png", "A 61313-2019")</f>
        <v/>
      </c>
      <c r="V516">
        <f>HYPERLINK("https://klasma.github.io/Logging_2584/klagomål/A 61313-2019 FSC-klagomål.docx", "A 61313-2019")</f>
        <v/>
      </c>
      <c r="W516">
        <f>HYPERLINK("https://klasma.github.io/Logging_2584/klagomålsmail/A 61313-2019 FSC-klagomål mail.docx", "A 61313-2019")</f>
        <v/>
      </c>
      <c r="X516">
        <f>HYPERLINK("https://klasma.github.io/Logging_2584/tillsyn/A 61313-2019 tillsynsbegäran.docx", "A 61313-2019")</f>
        <v/>
      </c>
      <c r="Y516">
        <f>HYPERLINK("https://klasma.github.io/Logging_2584/tillsynsmail/A 61313-2019 tillsynsbegäran mail.docx", "A 61313-2019")</f>
        <v/>
      </c>
      <c r="Z516">
        <f>HYPERLINK("https://klasma.github.io/Logging_2584/fåglar/A 61313-2019 prioriterade fågelarter.docx", "A 61313-2019")</f>
        <v/>
      </c>
    </row>
    <row r="517" ht="15" customHeight="1">
      <c r="A517" t="inlineStr">
        <is>
          <t>A 60777-2019</t>
        </is>
      </c>
      <c r="B517" s="1" t="n">
        <v>43777</v>
      </c>
      <c r="C517" s="1" t="n">
        <v>45798</v>
      </c>
      <c r="D517" t="inlineStr">
        <is>
          <t>NORRBOTTENS LÄN</t>
        </is>
      </c>
      <c r="E517" t="inlineStr">
        <is>
          <t>KIRUNA</t>
        </is>
      </c>
      <c r="G517" t="n">
        <v>4.9</v>
      </c>
      <c r="H517" t="n">
        <v>0</v>
      </c>
      <c r="I517" t="n">
        <v>0</v>
      </c>
      <c r="J517" t="n">
        <v>2</v>
      </c>
      <c r="K517" t="n">
        <v>0</v>
      </c>
      <c r="L517" t="n">
        <v>0</v>
      </c>
      <c r="M517" t="n">
        <v>0</v>
      </c>
      <c r="N517" t="n">
        <v>0</v>
      </c>
      <c r="O517" t="n">
        <v>2</v>
      </c>
      <c r="P517" t="n">
        <v>0</v>
      </c>
      <c r="Q517" t="n">
        <v>2</v>
      </c>
      <c r="R517" s="2" t="inlineStr">
        <is>
          <t>Granticka
Ullticka</t>
        </is>
      </c>
      <c r="S517">
        <f>HYPERLINK("https://klasma.github.io/Logging_2584/artfynd/A 60777-2019 artfynd.xlsx", "A 60777-2019")</f>
        <v/>
      </c>
      <c r="T517">
        <f>HYPERLINK("https://klasma.github.io/Logging_2584/kartor/A 60777-2019 karta.png", "A 60777-2019")</f>
        <v/>
      </c>
      <c r="V517">
        <f>HYPERLINK("https://klasma.github.io/Logging_2584/klagomål/A 60777-2019 FSC-klagomål.docx", "A 60777-2019")</f>
        <v/>
      </c>
      <c r="W517">
        <f>HYPERLINK("https://klasma.github.io/Logging_2584/klagomålsmail/A 60777-2019 FSC-klagomål mail.docx", "A 60777-2019")</f>
        <v/>
      </c>
      <c r="X517">
        <f>HYPERLINK("https://klasma.github.io/Logging_2584/tillsyn/A 60777-2019 tillsynsbegäran.docx", "A 60777-2019")</f>
        <v/>
      </c>
      <c r="Y517">
        <f>HYPERLINK("https://klasma.github.io/Logging_2584/tillsynsmail/A 60777-2019 tillsynsbegäran mail.docx", "A 60777-2019")</f>
        <v/>
      </c>
    </row>
    <row r="518" ht="15" customHeight="1">
      <c r="A518" t="inlineStr">
        <is>
          <t>A 63693-2019</t>
        </is>
      </c>
      <c r="B518" s="1" t="n">
        <v>43789</v>
      </c>
      <c r="C518" s="1" t="n">
        <v>45798</v>
      </c>
      <c r="D518" t="inlineStr">
        <is>
          <t>NORRBOTTENS LÄN</t>
        </is>
      </c>
      <c r="E518" t="inlineStr">
        <is>
          <t>ÖVERKALIX</t>
        </is>
      </c>
      <c r="F518" t="inlineStr">
        <is>
          <t>SCA</t>
        </is>
      </c>
      <c r="G518" t="n">
        <v>10</v>
      </c>
      <c r="H518" t="n">
        <v>2</v>
      </c>
      <c r="I518" t="n">
        <v>0</v>
      </c>
      <c r="J518" t="n">
        <v>0</v>
      </c>
      <c r="K518" t="n">
        <v>2</v>
      </c>
      <c r="L518" t="n">
        <v>0</v>
      </c>
      <c r="M518" t="n">
        <v>0</v>
      </c>
      <c r="N518" t="n">
        <v>0</v>
      </c>
      <c r="O518" t="n">
        <v>2</v>
      </c>
      <c r="P518" t="n">
        <v>2</v>
      </c>
      <c r="Q518" t="n">
        <v>2</v>
      </c>
      <c r="R518" s="2" t="inlineStr">
        <is>
          <t>Doftticka
Knärot</t>
        </is>
      </c>
      <c r="S518">
        <f>HYPERLINK("https://klasma.github.io/Logging_2513/artfynd/A 63693-2019 artfynd.xlsx", "A 63693-2019")</f>
        <v/>
      </c>
      <c r="T518">
        <f>HYPERLINK("https://klasma.github.io/Logging_2513/kartor/A 63693-2019 karta.png", "A 63693-2019")</f>
        <v/>
      </c>
      <c r="U518">
        <f>HYPERLINK("https://klasma.github.io/Logging_2513/knärot/A 63693-2019 karta knärot.png", "A 63693-2019")</f>
        <v/>
      </c>
      <c r="V518">
        <f>HYPERLINK("https://klasma.github.io/Logging_2513/klagomål/A 63693-2019 FSC-klagomål.docx", "A 63693-2019")</f>
        <v/>
      </c>
      <c r="W518">
        <f>HYPERLINK("https://klasma.github.io/Logging_2513/klagomålsmail/A 63693-2019 FSC-klagomål mail.docx", "A 63693-2019")</f>
        <v/>
      </c>
      <c r="X518">
        <f>HYPERLINK("https://klasma.github.io/Logging_2513/tillsyn/A 63693-2019 tillsynsbegäran.docx", "A 63693-2019")</f>
        <v/>
      </c>
      <c r="Y518">
        <f>HYPERLINK("https://klasma.github.io/Logging_2513/tillsynsmail/A 63693-2019 tillsynsbegäran mail.docx", "A 63693-2019")</f>
        <v/>
      </c>
    </row>
    <row r="519" ht="15" customHeight="1">
      <c r="A519" t="inlineStr">
        <is>
          <t>A 66423-2019</t>
        </is>
      </c>
      <c r="B519" s="1" t="n">
        <v>43802</v>
      </c>
      <c r="C519" s="1" t="n">
        <v>45798</v>
      </c>
      <c r="D519" t="inlineStr">
        <is>
          <t>NORRBOTTENS LÄN</t>
        </is>
      </c>
      <c r="E519" t="inlineStr">
        <is>
          <t>PITEÅ</t>
        </is>
      </c>
      <c r="G519" t="n">
        <v>4.8</v>
      </c>
      <c r="H519" t="n">
        <v>1</v>
      </c>
      <c r="I519" t="n">
        <v>0</v>
      </c>
      <c r="J519" t="n">
        <v>2</v>
      </c>
      <c r="K519" t="n">
        <v>0</v>
      </c>
      <c r="L519" t="n">
        <v>0</v>
      </c>
      <c r="M519" t="n">
        <v>0</v>
      </c>
      <c r="N519" t="n">
        <v>0</v>
      </c>
      <c r="O519" t="n">
        <v>2</v>
      </c>
      <c r="P519" t="n">
        <v>0</v>
      </c>
      <c r="Q519" t="n">
        <v>2</v>
      </c>
      <c r="R519" s="2" t="inlineStr">
        <is>
          <t>Spillkråka
Tallticka</t>
        </is>
      </c>
      <c r="S519">
        <f>HYPERLINK("https://klasma.github.io/Logging_2581/artfynd/A 66423-2019 artfynd.xlsx", "A 66423-2019")</f>
        <v/>
      </c>
      <c r="T519">
        <f>HYPERLINK("https://klasma.github.io/Logging_2581/kartor/A 66423-2019 karta.png", "A 66423-2019")</f>
        <v/>
      </c>
      <c r="V519">
        <f>HYPERLINK("https://klasma.github.io/Logging_2581/klagomål/A 66423-2019 FSC-klagomål.docx", "A 66423-2019")</f>
        <v/>
      </c>
      <c r="W519">
        <f>HYPERLINK("https://klasma.github.io/Logging_2581/klagomålsmail/A 66423-2019 FSC-klagomål mail.docx", "A 66423-2019")</f>
        <v/>
      </c>
      <c r="X519">
        <f>HYPERLINK("https://klasma.github.io/Logging_2581/tillsyn/A 66423-2019 tillsynsbegäran.docx", "A 66423-2019")</f>
        <v/>
      </c>
      <c r="Y519">
        <f>HYPERLINK("https://klasma.github.io/Logging_2581/tillsynsmail/A 66423-2019 tillsynsbegäran mail.docx", "A 66423-2019")</f>
        <v/>
      </c>
      <c r="Z519">
        <f>HYPERLINK("https://klasma.github.io/Logging_2581/fåglar/A 66423-2019 prioriterade fågelarter.docx", "A 66423-2019")</f>
        <v/>
      </c>
    </row>
    <row r="520" ht="15" customHeight="1">
      <c r="A520" t="inlineStr">
        <is>
          <t>A 8612-2020</t>
        </is>
      </c>
      <c r="B520" s="1" t="n">
        <v>43875</v>
      </c>
      <c r="C520" s="1" t="n">
        <v>45798</v>
      </c>
      <c r="D520" t="inlineStr">
        <is>
          <t>NORRBOTTENS LÄN</t>
        </is>
      </c>
      <c r="E520" t="inlineStr">
        <is>
          <t>ÄLVSBYN</t>
        </is>
      </c>
      <c r="G520" t="n">
        <v>1</v>
      </c>
      <c r="H520" t="n">
        <v>0</v>
      </c>
      <c r="I520" t="n">
        <v>0</v>
      </c>
      <c r="J520" t="n">
        <v>0</v>
      </c>
      <c r="K520" t="n">
        <v>2</v>
      </c>
      <c r="L520" t="n">
        <v>0</v>
      </c>
      <c r="M520" t="n">
        <v>0</v>
      </c>
      <c r="N520" t="n">
        <v>0</v>
      </c>
      <c r="O520" t="n">
        <v>2</v>
      </c>
      <c r="P520" t="n">
        <v>2</v>
      </c>
      <c r="Q520" t="n">
        <v>2</v>
      </c>
      <c r="R520" s="2" t="inlineStr">
        <is>
          <t>Rotfingersvamp
Smalfotad taggsvamp</t>
        </is>
      </c>
      <c r="S520">
        <f>HYPERLINK("https://klasma.github.io/Logging_2560/artfynd/A 8612-2020 artfynd.xlsx", "A 8612-2020")</f>
        <v/>
      </c>
      <c r="T520">
        <f>HYPERLINK("https://klasma.github.io/Logging_2560/kartor/A 8612-2020 karta.png", "A 8612-2020")</f>
        <v/>
      </c>
      <c r="V520">
        <f>HYPERLINK("https://klasma.github.io/Logging_2560/klagomål/A 8612-2020 FSC-klagomål.docx", "A 8612-2020")</f>
        <v/>
      </c>
      <c r="W520">
        <f>HYPERLINK("https://klasma.github.io/Logging_2560/klagomålsmail/A 8612-2020 FSC-klagomål mail.docx", "A 8612-2020")</f>
        <v/>
      </c>
      <c r="X520">
        <f>HYPERLINK("https://klasma.github.io/Logging_2560/tillsyn/A 8612-2020 tillsynsbegäran.docx", "A 8612-2020")</f>
        <v/>
      </c>
      <c r="Y520">
        <f>HYPERLINK("https://klasma.github.io/Logging_2560/tillsynsmail/A 8612-2020 tillsynsbegäran mail.docx", "A 8612-2020")</f>
        <v/>
      </c>
    </row>
    <row r="521" ht="15" customHeight="1">
      <c r="A521" t="inlineStr">
        <is>
          <t>A 13143-2020</t>
        </is>
      </c>
      <c r="B521" s="1" t="n">
        <v>43901</v>
      </c>
      <c r="C521" s="1" t="n">
        <v>45798</v>
      </c>
      <c r="D521" t="inlineStr">
        <is>
          <t>NORRBOTTENS LÄN</t>
        </is>
      </c>
      <c r="E521" t="inlineStr">
        <is>
          <t>ÖVERKALIX</t>
        </is>
      </c>
      <c r="F521" t="inlineStr">
        <is>
          <t>Sveaskog</t>
        </is>
      </c>
      <c r="G521" t="n">
        <v>40.5</v>
      </c>
      <c r="H521" t="n">
        <v>0</v>
      </c>
      <c r="I521" t="n">
        <v>0</v>
      </c>
      <c r="J521" t="n">
        <v>2</v>
      </c>
      <c r="K521" t="n">
        <v>0</v>
      </c>
      <c r="L521" t="n">
        <v>0</v>
      </c>
      <c r="M521" t="n">
        <v>0</v>
      </c>
      <c r="N521" t="n">
        <v>0</v>
      </c>
      <c r="O521" t="n">
        <v>2</v>
      </c>
      <c r="P521" t="n">
        <v>0</v>
      </c>
      <c r="Q521" t="n">
        <v>2</v>
      </c>
      <c r="R521" s="2" t="inlineStr">
        <is>
          <t>Gammelgransskål
Tallticka</t>
        </is>
      </c>
      <c r="S521">
        <f>HYPERLINK("https://klasma.github.io/Logging_2513/artfynd/A 13143-2020 artfynd.xlsx", "A 13143-2020")</f>
        <v/>
      </c>
      <c r="T521">
        <f>HYPERLINK("https://klasma.github.io/Logging_2513/kartor/A 13143-2020 karta.png", "A 13143-2020")</f>
        <v/>
      </c>
      <c r="V521">
        <f>HYPERLINK("https://klasma.github.io/Logging_2513/klagomål/A 13143-2020 FSC-klagomål.docx", "A 13143-2020")</f>
        <v/>
      </c>
      <c r="W521">
        <f>HYPERLINK("https://klasma.github.io/Logging_2513/klagomålsmail/A 13143-2020 FSC-klagomål mail.docx", "A 13143-2020")</f>
        <v/>
      </c>
      <c r="X521">
        <f>HYPERLINK("https://klasma.github.io/Logging_2513/tillsyn/A 13143-2020 tillsynsbegäran.docx", "A 13143-2020")</f>
        <v/>
      </c>
      <c r="Y521">
        <f>HYPERLINK("https://klasma.github.io/Logging_2513/tillsynsmail/A 13143-2020 tillsynsbegäran mail.docx", "A 13143-2020")</f>
        <v/>
      </c>
    </row>
    <row r="522" ht="15" customHeight="1">
      <c r="A522" t="inlineStr">
        <is>
          <t>A 13142-2020</t>
        </is>
      </c>
      <c r="B522" s="1" t="n">
        <v>43901</v>
      </c>
      <c r="C522" s="1" t="n">
        <v>45798</v>
      </c>
      <c r="D522" t="inlineStr">
        <is>
          <t>NORRBOTTENS LÄN</t>
        </is>
      </c>
      <c r="E522" t="inlineStr">
        <is>
          <t>ÖVERKALIX</t>
        </is>
      </c>
      <c r="F522" t="inlineStr">
        <is>
          <t>Sveaskog</t>
        </is>
      </c>
      <c r="G522" t="n">
        <v>73.7</v>
      </c>
      <c r="H522" t="n">
        <v>0</v>
      </c>
      <c r="I522" t="n">
        <v>1</v>
      </c>
      <c r="J522" t="n">
        <v>1</v>
      </c>
      <c r="K522" t="n">
        <v>0</v>
      </c>
      <c r="L522" t="n">
        <v>0</v>
      </c>
      <c r="M522" t="n">
        <v>0</v>
      </c>
      <c r="N522" t="n">
        <v>0</v>
      </c>
      <c r="O522" t="n">
        <v>1</v>
      </c>
      <c r="P522" t="n">
        <v>0</v>
      </c>
      <c r="Q522" t="n">
        <v>2</v>
      </c>
      <c r="R522" s="2" t="inlineStr">
        <is>
          <t>Violmussling
Ögonpyrola</t>
        </is>
      </c>
      <c r="S522">
        <f>HYPERLINK("https://klasma.github.io/Logging_2513/artfynd/A 13142-2020 artfynd.xlsx", "A 13142-2020")</f>
        <v/>
      </c>
      <c r="T522">
        <f>HYPERLINK("https://klasma.github.io/Logging_2513/kartor/A 13142-2020 karta.png", "A 13142-2020")</f>
        <v/>
      </c>
      <c r="V522">
        <f>HYPERLINK("https://klasma.github.io/Logging_2513/klagomål/A 13142-2020 FSC-klagomål.docx", "A 13142-2020")</f>
        <v/>
      </c>
      <c r="W522">
        <f>HYPERLINK("https://klasma.github.io/Logging_2513/klagomålsmail/A 13142-2020 FSC-klagomål mail.docx", "A 13142-2020")</f>
        <v/>
      </c>
      <c r="X522">
        <f>HYPERLINK("https://klasma.github.io/Logging_2513/tillsyn/A 13142-2020 tillsynsbegäran.docx", "A 13142-2020")</f>
        <v/>
      </c>
      <c r="Y522">
        <f>HYPERLINK("https://klasma.github.io/Logging_2513/tillsynsmail/A 13142-2020 tillsynsbegäran mail.docx", "A 13142-2020")</f>
        <v/>
      </c>
    </row>
    <row r="523" ht="15" customHeight="1">
      <c r="A523" t="inlineStr">
        <is>
          <t>A 21544-2020</t>
        </is>
      </c>
      <c r="B523" s="1" t="n">
        <v>43945</v>
      </c>
      <c r="C523" s="1" t="n">
        <v>45798</v>
      </c>
      <c r="D523" t="inlineStr">
        <is>
          <t>NORRBOTTENS LÄN</t>
        </is>
      </c>
      <c r="E523" t="inlineStr">
        <is>
          <t>ÖVERKALIX</t>
        </is>
      </c>
      <c r="G523" t="n">
        <v>23.7</v>
      </c>
      <c r="H523" t="n">
        <v>0</v>
      </c>
      <c r="I523" t="n">
        <v>1</v>
      </c>
      <c r="J523" t="n">
        <v>1</v>
      </c>
      <c r="K523" t="n">
        <v>0</v>
      </c>
      <c r="L523" t="n">
        <v>0</v>
      </c>
      <c r="M523" t="n">
        <v>0</v>
      </c>
      <c r="N523" t="n">
        <v>0</v>
      </c>
      <c r="O523" t="n">
        <v>1</v>
      </c>
      <c r="P523" t="n">
        <v>0</v>
      </c>
      <c r="Q523" t="n">
        <v>2</v>
      </c>
      <c r="R523" s="2" t="inlineStr">
        <is>
          <t>Granticka
Stuplav</t>
        </is>
      </c>
      <c r="S523">
        <f>HYPERLINK("https://klasma.github.io/Logging_2513/artfynd/A 21544-2020 artfynd.xlsx", "A 21544-2020")</f>
        <v/>
      </c>
      <c r="T523">
        <f>HYPERLINK("https://klasma.github.io/Logging_2513/kartor/A 21544-2020 karta.png", "A 21544-2020")</f>
        <v/>
      </c>
      <c r="V523">
        <f>HYPERLINK("https://klasma.github.io/Logging_2513/klagomål/A 21544-2020 FSC-klagomål.docx", "A 21544-2020")</f>
        <v/>
      </c>
      <c r="W523">
        <f>HYPERLINK("https://klasma.github.io/Logging_2513/klagomålsmail/A 21544-2020 FSC-klagomål mail.docx", "A 21544-2020")</f>
        <v/>
      </c>
      <c r="X523">
        <f>HYPERLINK("https://klasma.github.io/Logging_2513/tillsyn/A 21544-2020 tillsynsbegäran.docx", "A 21544-2020")</f>
        <v/>
      </c>
      <c r="Y523">
        <f>HYPERLINK("https://klasma.github.io/Logging_2513/tillsynsmail/A 21544-2020 tillsynsbegäran mail.docx", "A 21544-2020")</f>
        <v/>
      </c>
    </row>
    <row r="524" ht="15" customHeight="1">
      <c r="A524" t="inlineStr">
        <is>
          <t>A 23103-2020</t>
        </is>
      </c>
      <c r="B524" s="1" t="n">
        <v>43965</v>
      </c>
      <c r="C524" s="1" t="n">
        <v>45798</v>
      </c>
      <c r="D524" t="inlineStr">
        <is>
          <t>NORRBOTTENS LÄN</t>
        </is>
      </c>
      <c r="E524" t="inlineStr">
        <is>
          <t>BODEN</t>
        </is>
      </c>
      <c r="F524" t="inlineStr">
        <is>
          <t>Sveaskog</t>
        </is>
      </c>
      <c r="G524" t="n">
        <v>4.2</v>
      </c>
      <c r="H524" t="n">
        <v>0</v>
      </c>
      <c r="I524" t="n">
        <v>2</v>
      </c>
      <c r="J524" t="n">
        <v>0</v>
      </c>
      <c r="K524" t="n">
        <v>0</v>
      </c>
      <c r="L524" t="n">
        <v>0</v>
      </c>
      <c r="M524" t="n">
        <v>0</v>
      </c>
      <c r="N524" t="n">
        <v>0</v>
      </c>
      <c r="O524" t="n">
        <v>0</v>
      </c>
      <c r="P524" t="n">
        <v>0</v>
      </c>
      <c r="Q524" t="n">
        <v>2</v>
      </c>
      <c r="R524" s="2" t="inlineStr">
        <is>
          <t>Dropptaggsvamp
Skarp dropptaggsvamp</t>
        </is>
      </c>
      <c r="S524">
        <f>HYPERLINK("https://klasma.github.io/Logging_2582/artfynd/A 23103-2020 artfynd.xlsx", "A 23103-2020")</f>
        <v/>
      </c>
      <c r="T524">
        <f>HYPERLINK("https://klasma.github.io/Logging_2582/kartor/A 23103-2020 karta.png", "A 23103-2020")</f>
        <v/>
      </c>
      <c r="V524">
        <f>HYPERLINK("https://klasma.github.io/Logging_2582/klagomål/A 23103-2020 FSC-klagomål.docx", "A 23103-2020")</f>
        <v/>
      </c>
      <c r="W524">
        <f>HYPERLINK("https://klasma.github.io/Logging_2582/klagomålsmail/A 23103-2020 FSC-klagomål mail.docx", "A 23103-2020")</f>
        <v/>
      </c>
      <c r="X524">
        <f>HYPERLINK("https://klasma.github.io/Logging_2582/tillsyn/A 23103-2020 tillsynsbegäran.docx", "A 23103-2020")</f>
        <v/>
      </c>
      <c r="Y524">
        <f>HYPERLINK("https://klasma.github.io/Logging_2582/tillsynsmail/A 23103-2020 tillsynsbegäran mail.docx", "A 23103-2020")</f>
        <v/>
      </c>
    </row>
    <row r="525" ht="15" customHeight="1">
      <c r="A525" t="inlineStr">
        <is>
          <t>A 33033-2020</t>
        </is>
      </c>
      <c r="B525" s="1" t="n">
        <v>44021</v>
      </c>
      <c r="C525" s="1" t="n">
        <v>45798</v>
      </c>
      <c r="D525" t="inlineStr">
        <is>
          <t>NORRBOTTENS LÄN</t>
        </is>
      </c>
      <c r="E525" t="inlineStr">
        <is>
          <t>PAJALA</t>
        </is>
      </c>
      <c r="F525" t="inlineStr">
        <is>
          <t>Sveaskog</t>
        </is>
      </c>
      <c r="G525" t="n">
        <v>18</v>
      </c>
      <c r="H525" t="n">
        <v>0</v>
      </c>
      <c r="I525" t="n">
        <v>1</v>
      </c>
      <c r="J525" t="n">
        <v>1</v>
      </c>
      <c r="K525" t="n">
        <v>0</v>
      </c>
      <c r="L525" t="n">
        <v>0</v>
      </c>
      <c r="M525" t="n">
        <v>0</v>
      </c>
      <c r="N525" t="n">
        <v>0</v>
      </c>
      <c r="O525" t="n">
        <v>1</v>
      </c>
      <c r="P525" t="n">
        <v>0</v>
      </c>
      <c r="Q525" t="n">
        <v>2</v>
      </c>
      <c r="R525" s="2" t="inlineStr">
        <is>
          <t>Vitplätt
Vedticka</t>
        </is>
      </c>
      <c r="S525">
        <f>HYPERLINK("https://klasma.github.io/Logging_2521/artfynd/A 33033-2020 artfynd.xlsx", "A 33033-2020")</f>
        <v/>
      </c>
      <c r="T525">
        <f>HYPERLINK("https://klasma.github.io/Logging_2521/kartor/A 33033-2020 karta.png", "A 33033-2020")</f>
        <v/>
      </c>
      <c r="V525">
        <f>HYPERLINK("https://klasma.github.io/Logging_2521/klagomål/A 33033-2020 FSC-klagomål.docx", "A 33033-2020")</f>
        <v/>
      </c>
      <c r="W525">
        <f>HYPERLINK("https://klasma.github.io/Logging_2521/klagomålsmail/A 33033-2020 FSC-klagomål mail.docx", "A 33033-2020")</f>
        <v/>
      </c>
      <c r="X525">
        <f>HYPERLINK("https://klasma.github.io/Logging_2521/tillsyn/A 33033-2020 tillsynsbegäran.docx", "A 33033-2020")</f>
        <v/>
      </c>
      <c r="Y525">
        <f>HYPERLINK("https://klasma.github.io/Logging_2521/tillsynsmail/A 33033-2020 tillsynsbegäran mail.docx", "A 33033-2020")</f>
        <v/>
      </c>
    </row>
    <row r="526" ht="15" customHeight="1">
      <c r="A526" t="inlineStr">
        <is>
          <t>A 36956-2020</t>
        </is>
      </c>
      <c r="B526" s="1" t="n">
        <v>44053</v>
      </c>
      <c r="C526" s="1" t="n">
        <v>45798</v>
      </c>
      <c r="D526" t="inlineStr">
        <is>
          <t>NORRBOTTENS LÄN</t>
        </is>
      </c>
      <c r="E526" t="inlineStr">
        <is>
          <t>PITEÅ</t>
        </is>
      </c>
      <c r="F526" t="inlineStr">
        <is>
          <t>SCA</t>
        </is>
      </c>
      <c r="G526" t="n">
        <v>3.1</v>
      </c>
      <c r="H526" t="n">
        <v>2</v>
      </c>
      <c r="I526" t="n">
        <v>0</v>
      </c>
      <c r="J526" t="n">
        <v>1</v>
      </c>
      <c r="K526" t="n">
        <v>0</v>
      </c>
      <c r="L526" t="n">
        <v>0</v>
      </c>
      <c r="M526" t="n">
        <v>0</v>
      </c>
      <c r="N526" t="n">
        <v>0</v>
      </c>
      <c r="O526" t="n">
        <v>1</v>
      </c>
      <c r="P526" t="n">
        <v>0</v>
      </c>
      <c r="Q526" t="n">
        <v>2</v>
      </c>
      <c r="R526" s="2" t="inlineStr">
        <is>
          <t>Spillkråka
Revlummer</t>
        </is>
      </c>
      <c r="S526">
        <f>HYPERLINK("https://klasma.github.io/Logging_2581/artfynd/A 36956-2020 artfynd.xlsx", "A 36956-2020")</f>
        <v/>
      </c>
      <c r="T526">
        <f>HYPERLINK("https://klasma.github.io/Logging_2581/kartor/A 36956-2020 karta.png", "A 36956-2020")</f>
        <v/>
      </c>
      <c r="V526">
        <f>HYPERLINK("https://klasma.github.io/Logging_2581/klagomål/A 36956-2020 FSC-klagomål.docx", "A 36956-2020")</f>
        <v/>
      </c>
      <c r="W526">
        <f>HYPERLINK("https://klasma.github.io/Logging_2581/klagomålsmail/A 36956-2020 FSC-klagomål mail.docx", "A 36956-2020")</f>
        <v/>
      </c>
      <c r="X526">
        <f>HYPERLINK("https://klasma.github.io/Logging_2581/tillsyn/A 36956-2020 tillsynsbegäran.docx", "A 36956-2020")</f>
        <v/>
      </c>
      <c r="Y526">
        <f>HYPERLINK("https://klasma.github.io/Logging_2581/tillsynsmail/A 36956-2020 tillsynsbegäran mail.docx", "A 36956-2020")</f>
        <v/>
      </c>
      <c r="Z526">
        <f>HYPERLINK("https://klasma.github.io/Logging_2581/fåglar/A 36956-2020 prioriterade fågelarter.docx", "A 36956-2020")</f>
        <v/>
      </c>
    </row>
    <row r="527" ht="15" customHeight="1">
      <c r="A527" t="inlineStr">
        <is>
          <t>A 39595-2020</t>
        </is>
      </c>
      <c r="B527" s="1" t="n">
        <v>44064</v>
      </c>
      <c r="C527" s="1" t="n">
        <v>45798</v>
      </c>
      <c r="D527" t="inlineStr">
        <is>
          <t>NORRBOTTENS LÄN</t>
        </is>
      </c>
      <c r="E527" t="inlineStr">
        <is>
          <t>BODEN</t>
        </is>
      </c>
      <c r="F527" t="inlineStr">
        <is>
          <t>Sveaskog</t>
        </is>
      </c>
      <c r="G527" t="n">
        <v>7</v>
      </c>
      <c r="H527" t="n">
        <v>1</v>
      </c>
      <c r="I527" t="n">
        <v>0</v>
      </c>
      <c r="J527" t="n">
        <v>1</v>
      </c>
      <c r="K527" t="n">
        <v>1</v>
      </c>
      <c r="L527" t="n">
        <v>0</v>
      </c>
      <c r="M527" t="n">
        <v>0</v>
      </c>
      <c r="N527" t="n">
        <v>0</v>
      </c>
      <c r="O527" t="n">
        <v>2</v>
      </c>
      <c r="P527" t="n">
        <v>1</v>
      </c>
      <c r="Q527" t="n">
        <v>2</v>
      </c>
      <c r="R527" s="2" t="inlineStr">
        <is>
          <t>Knärot
Vedskivlav</t>
        </is>
      </c>
      <c r="S527">
        <f>HYPERLINK("https://klasma.github.io/Logging_2582/artfynd/A 39595-2020 artfynd.xlsx", "A 39595-2020")</f>
        <v/>
      </c>
      <c r="T527">
        <f>HYPERLINK("https://klasma.github.io/Logging_2582/kartor/A 39595-2020 karta.png", "A 39595-2020")</f>
        <v/>
      </c>
      <c r="U527">
        <f>HYPERLINK("https://klasma.github.io/Logging_2582/knärot/A 39595-2020 karta knärot.png", "A 39595-2020")</f>
        <v/>
      </c>
      <c r="V527">
        <f>HYPERLINK("https://klasma.github.io/Logging_2582/klagomål/A 39595-2020 FSC-klagomål.docx", "A 39595-2020")</f>
        <v/>
      </c>
      <c r="W527">
        <f>HYPERLINK("https://klasma.github.io/Logging_2582/klagomålsmail/A 39595-2020 FSC-klagomål mail.docx", "A 39595-2020")</f>
        <v/>
      </c>
      <c r="X527">
        <f>HYPERLINK("https://klasma.github.io/Logging_2582/tillsyn/A 39595-2020 tillsynsbegäran.docx", "A 39595-2020")</f>
        <v/>
      </c>
      <c r="Y527">
        <f>HYPERLINK("https://klasma.github.io/Logging_2582/tillsynsmail/A 39595-2020 tillsynsbegäran mail.docx", "A 39595-2020")</f>
        <v/>
      </c>
    </row>
    <row r="528" ht="15" customHeight="1">
      <c r="A528" t="inlineStr">
        <is>
          <t>A 42855-2020</t>
        </is>
      </c>
      <c r="B528" s="1" t="n">
        <v>44078</v>
      </c>
      <c r="C528" s="1" t="n">
        <v>45798</v>
      </c>
      <c r="D528" t="inlineStr">
        <is>
          <t>NORRBOTTENS LÄN</t>
        </is>
      </c>
      <c r="E528" t="inlineStr">
        <is>
          <t>PAJALA</t>
        </is>
      </c>
      <c r="F528" t="inlineStr">
        <is>
          <t>Sveaskog</t>
        </is>
      </c>
      <c r="G528" t="n">
        <v>2.9</v>
      </c>
      <c r="H528" t="n">
        <v>0</v>
      </c>
      <c r="I528" t="n">
        <v>2</v>
      </c>
      <c r="J528" t="n">
        <v>0</v>
      </c>
      <c r="K528" t="n">
        <v>0</v>
      </c>
      <c r="L528" t="n">
        <v>0</v>
      </c>
      <c r="M528" t="n">
        <v>0</v>
      </c>
      <c r="N528" t="n">
        <v>0</v>
      </c>
      <c r="O528" t="n">
        <v>0</v>
      </c>
      <c r="P528" t="n">
        <v>0</v>
      </c>
      <c r="Q528" t="n">
        <v>2</v>
      </c>
      <c r="R528" s="2" t="inlineStr">
        <is>
          <t>Bårdlav
Stuplav</t>
        </is>
      </c>
      <c r="S528">
        <f>HYPERLINK("https://klasma.github.io/Logging_2521/artfynd/A 42855-2020 artfynd.xlsx", "A 42855-2020")</f>
        <v/>
      </c>
      <c r="T528">
        <f>HYPERLINK("https://klasma.github.io/Logging_2521/kartor/A 42855-2020 karta.png", "A 42855-2020")</f>
        <v/>
      </c>
      <c r="V528">
        <f>HYPERLINK("https://klasma.github.io/Logging_2521/klagomål/A 42855-2020 FSC-klagomål.docx", "A 42855-2020")</f>
        <v/>
      </c>
      <c r="W528">
        <f>HYPERLINK("https://klasma.github.io/Logging_2521/klagomålsmail/A 42855-2020 FSC-klagomål mail.docx", "A 42855-2020")</f>
        <v/>
      </c>
      <c r="X528">
        <f>HYPERLINK("https://klasma.github.io/Logging_2521/tillsyn/A 42855-2020 tillsynsbegäran.docx", "A 42855-2020")</f>
        <v/>
      </c>
      <c r="Y528">
        <f>HYPERLINK("https://klasma.github.io/Logging_2521/tillsynsmail/A 42855-2020 tillsynsbegäran mail.docx", "A 42855-2020")</f>
        <v/>
      </c>
    </row>
    <row r="529" ht="15" customHeight="1">
      <c r="A529" t="inlineStr">
        <is>
          <t>A 43635-2020</t>
        </is>
      </c>
      <c r="B529" s="1" t="n">
        <v>44082</v>
      </c>
      <c r="C529" s="1" t="n">
        <v>45798</v>
      </c>
      <c r="D529" t="inlineStr">
        <is>
          <t>NORRBOTTENS LÄN</t>
        </is>
      </c>
      <c r="E529" t="inlineStr">
        <is>
          <t>BODEN</t>
        </is>
      </c>
      <c r="F529" t="inlineStr">
        <is>
          <t>Sveaskog</t>
        </is>
      </c>
      <c r="G529" t="n">
        <v>1.7</v>
      </c>
      <c r="H529" t="n">
        <v>0</v>
      </c>
      <c r="I529" t="n">
        <v>0</v>
      </c>
      <c r="J529" t="n">
        <v>2</v>
      </c>
      <c r="K529" t="n">
        <v>0</v>
      </c>
      <c r="L529" t="n">
        <v>0</v>
      </c>
      <c r="M529" t="n">
        <v>0</v>
      </c>
      <c r="N529" t="n">
        <v>0</v>
      </c>
      <c r="O529" t="n">
        <v>2</v>
      </c>
      <c r="P529" t="n">
        <v>0</v>
      </c>
      <c r="Q529" t="n">
        <v>2</v>
      </c>
      <c r="R529" s="2" t="inlineStr">
        <is>
          <t>Mörk kolflarnlav
Vedskivlav</t>
        </is>
      </c>
      <c r="S529">
        <f>HYPERLINK("https://klasma.github.io/Logging_2582/artfynd/A 43635-2020 artfynd.xlsx", "A 43635-2020")</f>
        <v/>
      </c>
      <c r="T529">
        <f>HYPERLINK("https://klasma.github.io/Logging_2582/kartor/A 43635-2020 karta.png", "A 43635-2020")</f>
        <v/>
      </c>
      <c r="V529">
        <f>HYPERLINK("https://klasma.github.io/Logging_2582/klagomål/A 43635-2020 FSC-klagomål.docx", "A 43635-2020")</f>
        <v/>
      </c>
      <c r="W529">
        <f>HYPERLINK("https://klasma.github.io/Logging_2582/klagomålsmail/A 43635-2020 FSC-klagomål mail.docx", "A 43635-2020")</f>
        <v/>
      </c>
      <c r="X529">
        <f>HYPERLINK("https://klasma.github.io/Logging_2582/tillsyn/A 43635-2020 tillsynsbegäran.docx", "A 43635-2020")</f>
        <v/>
      </c>
      <c r="Y529">
        <f>HYPERLINK("https://klasma.github.io/Logging_2582/tillsynsmail/A 43635-2020 tillsynsbegäran mail.docx", "A 43635-2020")</f>
        <v/>
      </c>
    </row>
    <row r="530" ht="15" customHeight="1">
      <c r="A530" t="inlineStr">
        <is>
          <t>A 48274-2020</t>
        </is>
      </c>
      <c r="B530" s="1" t="n">
        <v>44102</v>
      </c>
      <c r="C530" s="1" t="n">
        <v>45798</v>
      </c>
      <c r="D530" t="inlineStr">
        <is>
          <t>NORRBOTTENS LÄN</t>
        </is>
      </c>
      <c r="E530" t="inlineStr">
        <is>
          <t>GÄLLIVARE</t>
        </is>
      </c>
      <c r="F530" t="inlineStr">
        <is>
          <t>Sveaskog</t>
        </is>
      </c>
      <c r="G530" t="n">
        <v>14.2</v>
      </c>
      <c r="H530" t="n">
        <v>2</v>
      </c>
      <c r="I530" t="n">
        <v>0</v>
      </c>
      <c r="J530" t="n">
        <v>1</v>
      </c>
      <c r="K530" t="n">
        <v>1</v>
      </c>
      <c r="L530" t="n">
        <v>0</v>
      </c>
      <c r="M530" t="n">
        <v>0</v>
      </c>
      <c r="N530" t="n">
        <v>0</v>
      </c>
      <c r="O530" t="n">
        <v>2</v>
      </c>
      <c r="P530" t="n">
        <v>1</v>
      </c>
      <c r="Q530" t="n">
        <v>2</v>
      </c>
      <c r="R530" s="2" t="inlineStr">
        <is>
          <t>Kricka
Svartvit flugsnappare</t>
        </is>
      </c>
      <c r="S530">
        <f>HYPERLINK("https://klasma.github.io/Logging_2523/artfynd/A 48274-2020 artfynd.xlsx", "A 48274-2020")</f>
        <v/>
      </c>
      <c r="T530">
        <f>HYPERLINK("https://klasma.github.io/Logging_2523/kartor/A 48274-2020 karta.png", "A 48274-2020")</f>
        <v/>
      </c>
      <c r="V530">
        <f>HYPERLINK("https://klasma.github.io/Logging_2523/klagomål/A 48274-2020 FSC-klagomål.docx", "A 48274-2020")</f>
        <v/>
      </c>
      <c r="W530">
        <f>HYPERLINK("https://klasma.github.io/Logging_2523/klagomålsmail/A 48274-2020 FSC-klagomål mail.docx", "A 48274-2020")</f>
        <v/>
      </c>
      <c r="X530">
        <f>HYPERLINK("https://klasma.github.io/Logging_2523/tillsyn/A 48274-2020 tillsynsbegäran.docx", "A 48274-2020")</f>
        <v/>
      </c>
      <c r="Y530">
        <f>HYPERLINK("https://klasma.github.io/Logging_2523/tillsynsmail/A 48274-2020 tillsynsbegäran mail.docx", "A 48274-2020")</f>
        <v/>
      </c>
      <c r="Z530">
        <f>HYPERLINK("https://klasma.github.io/Logging_2523/fåglar/A 48274-2020 prioriterade fågelarter.docx", "A 48274-2020")</f>
        <v/>
      </c>
    </row>
    <row r="531" ht="15" customHeight="1">
      <c r="A531" t="inlineStr">
        <is>
          <t>A 51552-2020</t>
        </is>
      </c>
      <c r="B531" s="1" t="n">
        <v>44113</v>
      </c>
      <c r="C531" s="1" t="n">
        <v>45798</v>
      </c>
      <c r="D531" t="inlineStr">
        <is>
          <t>NORRBOTTENS LÄN</t>
        </is>
      </c>
      <c r="E531" t="inlineStr">
        <is>
          <t>ÖVERKALIX</t>
        </is>
      </c>
      <c r="F531" t="inlineStr">
        <is>
          <t>Sveaskog</t>
        </is>
      </c>
      <c r="G531" t="n">
        <v>11.3</v>
      </c>
      <c r="H531" t="n">
        <v>0</v>
      </c>
      <c r="I531" t="n">
        <v>0</v>
      </c>
      <c r="J531" t="n">
        <v>2</v>
      </c>
      <c r="K531" t="n">
        <v>0</v>
      </c>
      <c r="L531" t="n">
        <v>0</v>
      </c>
      <c r="M531" t="n">
        <v>0</v>
      </c>
      <c r="N531" t="n">
        <v>0</v>
      </c>
      <c r="O531" t="n">
        <v>2</v>
      </c>
      <c r="P531" t="n">
        <v>0</v>
      </c>
      <c r="Q531" t="n">
        <v>2</v>
      </c>
      <c r="R531" s="2" t="inlineStr">
        <is>
          <t>Dvärgbägarlav
Tallticka</t>
        </is>
      </c>
      <c r="S531">
        <f>HYPERLINK("https://klasma.github.io/Logging_2513/artfynd/A 51552-2020 artfynd.xlsx", "A 51552-2020")</f>
        <v/>
      </c>
      <c r="T531">
        <f>HYPERLINK("https://klasma.github.io/Logging_2513/kartor/A 51552-2020 karta.png", "A 51552-2020")</f>
        <v/>
      </c>
      <c r="V531">
        <f>HYPERLINK("https://klasma.github.io/Logging_2513/klagomål/A 51552-2020 FSC-klagomål.docx", "A 51552-2020")</f>
        <v/>
      </c>
      <c r="W531">
        <f>HYPERLINK("https://klasma.github.io/Logging_2513/klagomålsmail/A 51552-2020 FSC-klagomål mail.docx", "A 51552-2020")</f>
        <v/>
      </c>
      <c r="X531">
        <f>HYPERLINK("https://klasma.github.io/Logging_2513/tillsyn/A 51552-2020 tillsynsbegäran.docx", "A 51552-2020")</f>
        <v/>
      </c>
      <c r="Y531">
        <f>HYPERLINK("https://klasma.github.io/Logging_2513/tillsynsmail/A 51552-2020 tillsynsbegäran mail.docx", "A 51552-2020")</f>
        <v/>
      </c>
    </row>
    <row r="532" ht="15" customHeight="1">
      <c r="A532" t="inlineStr">
        <is>
          <t>A 53419-2020</t>
        </is>
      </c>
      <c r="B532" s="1" t="n">
        <v>44123</v>
      </c>
      <c r="C532" s="1" t="n">
        <v>45798</v>
      </c>
      <c r="D532" t="inlineStr">
        <is>
          <t>NORRBOTTENS LÄN</t>
        </is>
      </c>
      <c r="E532" t="inlineStr">
        <is>
          <t>KALIX</t>
        </is>
      </c>
      <c r="G532" t="n">
        <v>28.4</v>
      </c>
      <c r="H532" t="n">
        <v>1</v>
      </c>
      <c r="I532" t="n">
        <v>0</v>
      </c>
      <c r="J532" t="n">
        <v>0</v>
      </c>
      <c r="K532" t="n">
        <v>1</v>
      </c>
      <c r="L532" t="n">
        <v>0</v>
      </c>
      <c r="M532" t="n">
        <v>0</v>
      </c>
      <c r="N532" t="n">
        <v>0</v>
      </c>
      <c r="O532" t="n">
        <v>1</v>
      </c>
      <c r="P532" t="n">
        <v>1</v>
      </c>
      <c r="Q532" t="n">
        <v>2</v>
      </c>
      <c r="R532" s="2" t="inlineStr">
        <is>
          <t>Flotagräs
Revlummer</t>
        </is>
      </c>
      <c r="S532">
        <f>HYPERLINK("https://klasma.github.io/Logging_2514/artfynd/A 53419-2020 artfynd.xlsx", "A 53419-2020")</f>
        <v/>
      </c>
      <c r="T532">
        <f>HYPERLINK("https://klasma.github.io/Logging_2514/kartor/A 53419-2020 karta.png", "A 53419-2020")</f>
        <v/>
      </c>
      <c r="V532">
        <f>HYPERLINK("https://klasma.github.io/Logging_2514/klagomål/A 53419-2020 FSC-klagomål.docx", "A 53419-2020")</f>
        <v/>
      </c>
      <c r="W532">
        <f>HYPERLINK("https://klasma.github.io/Logging_2514/klagomålsmail/A 53419-2020 FSC-klagomål mail.docx", "A 53419-2020")</f>
        <v/>
      </c>
      <c r="X532">
        <f>HYPERLINK("https://klasma.github.io/Logging_2514/tillsyn/A 53419-2020 tillsynsbegäran.docx", "A 53419-2020")</f>
        <v/>
      </c>
      <c r="Y532">
        <f>HYPERLINK("https://klasma.github.io/Logging_2514/tillsynsmail/A 53419-2020 tillsynsbegäran mail.docx", "A 53419-2020")</f>
        <v/>
      </c>
    </row>
    <row r="533" ht="15" customHeight="1">
      <c r="A533" t="inlineStr">
        <is>
          <t>A 63621-2020</t>
        </is>
      </c>
      <c r="B533" s="1" t="n">
        <v>44165</v>
      </c>
      <c r="C533" s="1" t="n">
        <v>45798</v>
      </c>
      <c r="D533" t="inlineStr">
        <is>
          <t>NORRBOTTENS LÄN</t>
        </is>
      </c>
      <c r="E533" t="inlineStr">
        <is>
          <t>BODEN</t>
        </is>
      </c>
      <c r="F533" t="inlineStr">
        <is>
          <t>SCA</t>
        </is>
      </c>
      <c r="G533" t="n">
        <v>6.3</v>
      </c>
      <c r="H533" t="n">
        <v>0</v>
      </c>
      <c r="I533" t="n">
        <v>0</v>
      </c>
      <c r="J533" t="n">
        <v>2</v>
      </c>
      <c r="K533" t="n">
        <v>0</v>
      </c>
      <c r="L533" t="n">
        <v>0</v>
      </c>
      <c r="M533" t="n">
        <v>0</v>
      </c>
      <c r="N533" t="n">
        <v>0</v>
      </c>
      <c r="O533" t="n">
        <v>2</v>
      </c>
      <c r="P533" t="n">
        <v>0</v>
      </c>
      <c r="Q533" t="n">
        <v>2</v>
      </c>
      <c r="R533" s="2" t="inlineStr">
        <is>
          <t>Gammelgransskål
Ullticka</t>
        </is>
      </c>
      <c r="S533">
        <f>HYPERLINK("https://klasma.github.io/Logging_2582/artfynd/A 63621-2020 artfynd.xlsx", "A 63621-2020")</f>
        <v/>
      </c>
      <c r="T533">
        <f>HYPERLINK("https://klasma.github.io/Logging_2582/kartor/A 63621-2020 karta.png", "A 63621-2020")</f>
        <v/>
      </c>
      <c r="V533">
        <f>HYPERLINK("https://klasma.github.io/Logging_2582/klagomål/A 63621-2020 FSC-klagomål.docx", "A 63621-2020")</f>
        <v/>
      </c>
      <c r="W533">
        <f>HYPERLINK("https://klasma.github.io/Logging_2582/klagomålsmail/A 63621-2020 FSC-klagomål mail.docx", "A 63621-2020")</f>
        <v/>
      </c>
      <c r="X533">
        <f>HYPERLINK("https://klasma.github.io/Logging_2582/tillsyn/A 63621-2020 tillsynsbegäran.docx", "A 63621-2020")</f>
        <v/>
      </c>
      <c r="Y533">
        <f>HYPERLINK("https://klasma.github.io/Logging_2582/tillsynsmail/A 63621-2020 tillsynsbegäran mail.docx", "A 63621-2020")</f>
        <v/>
      </c>
    </row>
    <row r="534" ht="15" customHeight="1">
      <c r="A534" t="inlineStr">
        <is>
          <t>A 64565-2020</t>
        </is>
      </c>
      <c r="B534" s="1" t="n">
        <v>44166</v>
      </c>
      <c r="C534" s="1" t="n">
        <v>45798</v>
      </c>
      <c r="D534" t="inlineStr">
        <is>
          <t>NORRBOTTENS LÄN</t>
        </is>
      </c>
      <c r="E534" t="inlineStr">
        <is>
          <t>BODEN</t>
        </is>
      </c>
      <c r="G534" t="n">
        <v>1.3</v>
      </c>
      <c r="H534" t="n">
        <v>1</v>
      </c>
      <c r="I534" t="n">
        <v>1</v>
      </c>
      <c r="J534" t="n">
        <v>0</v>
      </c>
      <c r="K534" t="n">
        <v>0</v>
      </c>
      <c r="L534" t="n">
        <v>0</v>
      </c>
      <c r="M534" t="n">
        <v>0</v>
      </c>
      <c r="N534" t="n">
        <v>0</v>
      </c>
      <c r="O534" t="n">
        <v>0</v>
      </c>
      <c r="P534" t="n">
        <v>0</v>
      </c>
      <c r="Q534" t="n">
        <v>2</v>
      </c>
      <c r="R534" s="2" t="inlineStr">
        <is>
          <t>Bårdlav
Revlummer</t>
        </is>
      </c>
      <c r="S534">
        <f>HYPERLINK("https://klasma.github.io/Logging_2582/artfynd/A 64565-2020 artfynd.xlsx", "A 64565-2020")</f>
        <v/>
      </c>
      <c r="T534">
        <f>HYPERLINK("https://klasma.github.io/Logging_2582/kartor/A 64565-2020 karta.png", "A 64565-2020")</f>
        <v/>
      </c>
      <c r="V534">
        <f>HYPERLINK("https://klasma.github.io/Logging_2582/klagomål/A 64565-2020 FSC-klagomål.docx", "A 64565-2020")</f>
        <v/>
      </c>
      <c r="W534">
        <f>HYPERLINK("https://klasma.github.io/Logging_2582/klagomålsmail/A 64565-2020 FSC-klagomål mail.docx", "A 64565-2020")</f>
        <v/>
      </c>
      <c r="X534">
        <f>HYPERLINK("https://klasma.github.io/Logging_2582/tillsyn/A 64565-2020 tillsynsbegäran.docx", "A 64565-2020")</f>
        <v/>
      </c>
      <c r="Y534">
        <f>HYPERLINK("https://klasma.github.io/Logging_2582/tillsynsmail/A 64565-2020 tillsynsbegäran mail.docx", "A 64565-2020")</f>
        <v/>
      </c>
    </row>
    <row r="535" ht="15" customHeight="1">
      <c r="A535" t="inlineStr">
        <is>
          <t>A 69475-2020</t>
        </is>
      </c>
      <c r="B535" s="1" t="n">
        <v>44193</v>
      </c>
      <c r="C535" s="1" t="n">
        <v>45798</v>
      </c>
      <c r="D535" t="inlineStr">
        <is>
          <t>NORRBOTTENS LÄN</t>
        </is>
      </c>
      <c r="E535" t="inlineStr">
        <is>
          <t>PITEÅ</t>
        </is>
      </c>
      <c r="G535" t="n">
        <v>17.7</v>
      </c>
      <c r="H535" t="n">
        <v>1</v>
      </c>
      <c r="I535" t="n">
        <v>0</v>
      </c>
      <c r="J535" t="n">
        <v>1</v>
      </c>
      <c r="K535" t="n">
        <v>0</v>
      </c>
      <c r="L535" t="n">
        <v>0</v>
      </c>
      <c r="M535" t="n">
        <v>0</v>
      </c>
      <c r="N535" t="n">
        <v>0</v>
      </c>
      <c r="O535" t="n">
        <v>1</v>
      </c>
      <c r="P535" t="n">
        <v>0</v>
      </c>
      <c r="Q535" t="n">
        <v>2</v>
      </c>
      <c r="R535" s="2" t="inlineStr">
        <is>
          <t>Granticka
Revlummer</t>
        </is>
      </c>
      <c r="S535">
        <f>HYPERLINK("https://klasma.github.io/Logging_2581/artfynd/A 69475-2020 artfynd.xlsx", "A 69475-2020")</f>
        <v/>
      </c>
      <c r="T535">
        <f>HYPERLINK("https://klasma.github.io/Logging_2581/kartor/A 69475-2020 karta.png", "A 69475-2020")</f>
        <v/>
      </c>
      <c r="V535">
        <f>HYPERLINK("https://klasma.github.io/Logging_2581/klagomål/A 69475-2020 FSC-klagomål.docx", "A 69475-2020")</f>
        <v/>
      </c>
      <c r="W535">
        <f>HYPERLINK("https://klasma.github.io/Logging_2581/klagomålsmail/A 69475-2020 FSC-klagomål mail.docx", "A 69475-2020")</f>
        <v/>
      </c>
      <c r="X535">
        <f>HYPERLINK("https://klasma.github.io/Logging_2581/tillsyn/A 69475-2020 tillsynsbegäran.docx", "A 69475-2020")</f>
        <v/>
      </c>
      <c r="Y535">
        <f>HYPERLINK("https://klasma.github.io/Logging_2581/tillsynsmail/A 69475-2020 tillsynsbegäran mail.docx", "A 69475-2020")</f>
        <v/>
      </c>
    </row>
    <row r="536" ht="15" customHeight="1">
      <c r="A536" t="inlineStr">
        <is>
          <t>A 6890-2021</t>
        </is>
      </c>
      <c r="B536" s="1" t="n">
        <v>44237</v>
      </c>
      <c r="C536" s="1" t="n">
        <v>45798</v>
      </c>
      <c r="D536" t="inlineStr">
        <is>
          <t>NORRBOTTENS LÄN</t>
        </is>
      </c>
      <c r="E536" t="inlineStr">
        <is>
          <t>KIRUNA</t>
        </is>
      </c>
      <c r="G536" t="n">
        <v>3.9</v>
      </c>
      <c r="H536" t="n">
        <v>0</v>
      </c>
      <c r="I536" t="n">
        <v>1</v>
      </c>
      <c r="J536" t="n">
        <v>1</v>
      </c>
      <c r="K536" t="n">
        <v>0</v>
      </c>
      <c r="L536" t="n">
        <v>0</v>
      </c>
      <c r="M536" t="n">
        <v>0</v>
      </c>
      <c r="N536" t="n">
        <v>0</v>
      </c>
      <c r="O536" t="n">
        <v>1</v>
      </c>
      <c r="P536" t="n">
        <v>0</v>
      </c>
      <c r="Q536" t="n">
        <v>2</v>
      </c>
      <c r="R536" s="2" t="inlineStr">
        <is>
          <t>Vitplätt
Blodticka</t>
        </is>
      </c>
      <c r="S536">
        <f>HYPERLINK("https://klasma.github.io/Logging_2584/artfynd/A 6890-2021 artfynd.xlsx", "A 6890-2021")</f>
        <v/>
      </c>
      <c r="T536">
        <f>HYPERLINK("https://klasma.github.io/Logging_2584/kartor/A 6890-2021 karta.png", "A 6890-2021")</f>
        <v/>
      </c>
      <c r="V536">
        <f>HYPERLINK("https://klasma.github.io/Logging_2584/klagomål/A 6890-2021 FSC-klagomål.docx", "A 6890-2021")</f>
        <v/>
      </c>
      <c r="W536">
        <f>HYPERLINK("https://klasma.github.io/Logging_2584/klagomålsmail/A 6890-2021 FSC-klagomål mail.docx", "A 6890-2021")</f>
        <v/>
      </c>
      <c r="X536">
        <f>HYPERLINK("https://klasma.github.io/Logging_2584/tillsyn/A 6890-2021 tillsynsbegäran.docx", "A 6890-2021")</f>
        <v/>
      </c>
      <c r="Y536">
        <f>HYPERLINK("https://klasma.github.io/Logging_2584/tillsynsmail/A 6890-2021 tillsynsbegäran mail.docx", "A 6890-2021")</f>
        <v/>
      </c>
    </row>
    <row r="537" ht="15" customHeight="1">
      <c r="A537" t="inlineStr">
        <is>
          <t>A 8351-2021</t>
        </is>
      </c>
      <c r="B537" s="1" t="n">
        <v>44244</v>
      </c>
      <c r="C537" s="1" t="n">
        <v>45798</v>
      </c>
      <c r="D537" t="inlineStr">
        <is>
          <t>NORRBOTTENS LÄN</t>
        </is>
      </c>
      <c r="E537" t="inlineStr">
        <is>
          <t>GÄLLIVARE</t>
        </is>
      </c>
      <c r="F537" t="inlineStr">
        <is>
          <t>SCA</t>
        </is>
      </c>
      <c r="G537" t="n">
        <v>57.3</v>
      </c>
      <c r="H537" t="n">
        <v>0</v>
      </c>
      <c r="I537" t="n">
        <v>0</v>
      </c>
      <c r="J537" t="n">
        <v>0</v>
      </c>
      <c r="K537" t="n">
        <v>2</v>
      </c>
      <c r="L537" t="n">
        <v>0</v>
      </c>
      <c r="M537" t="n">
        <v>0</v>
      </c>
      <c r="N537" t="n">
        <v>0</v>
      </c>
      <c r="O537" t="n">
        <v>2</v>
      </c>
      <c r="P537" t="n">
        <v>2</v>
      </c>
      <c r="Q537" t="n">
        <v>2</v>
      </c>
      <c r="R537" s="2" t="inlineStr">
        <is>
          <t>Fläckporing
Tallstocksticka</t>
        </is>
      </c>
      <c r="S537">
        <f>HYPERLINK("https://klasma.github.io/Logging_2523/artfynd/A 8351-2021 artfynd.xlsx", "A 8351-2021")</f>
        <v/>
      </c>
      <c r="T537">
        <f>HYPERLINK("https://klasma.github.io/Logging_2523/kartor/A 8351-2021 karta.png", "A 8351-2021")</f>
        <v/>
      </c>
      <c r="V537">
        <f>HYPERLINK("https://klasma.github.io/Logging_2523/klagomål/A 8351-2021 FSC-klagomål.docx", "A 8351-2021")</f>
        <v/>
      </c>
      <c r="W537">
        <f>HYPERLINK("https://klasma.github.io/Logging_2523/klagomålsmail/A 8351-2021 FSC-klagomål mail.docx", "A 8351-2021")</f>
        <v/>
      </c>
      <c r="X537">
        <f>HYPERLINK("https://klasma.github.io/Logging_2523/tillsyn/A 8351-2021 tillsynsbegäran.docx", "A 8351-2021")</f>
        <v/>
      </c>
      <c r="Y537">
        <f>HYPERLINK("https://klasma.github.io/Logging_2523/tillsynsmail/A 8351-2021 tillsynsbegäran mail.docx", "A 8351-2021")</f>
        <v/>
      </c>
    </row>
    <row r="538" ht="15" customHeight="1">
      <c r="A538" t="inlineStr">
        <is>
          <t>A 14684-2021</t>
        </is>
      </c>
      <c r="B538" s="1" t="n">
        <v>44280</v>
      </c>
      <c r="C538" s="1" t="n">
        <v>45798</v>
      </c>
      <c r="D538" t="inlineStr">
        <is>
          <t>NORRBOTTENS LÄN</t>
        </is>
      </c>
      <c r="E538" t="inlineStr">
        <is>
          <t>ARJEPLOG</t>
        </is>
      </c>
      <c r="G538" t="n">
        <v>26.6</v>
      </c>
      <c r="H538" t="n">
        <v>1</v>
      </c>
      <c r="I538" t="n">
        <v>0</v>
      </c>
      <c r="J538" t="n">
        <v>2</v>
      </c>
      <c r="K538" t="n">
        <v>0</v>
      </c>
      <c r="L538" t="n">
        <v>0</v>
      </c>
      <c r="M538" t="n">
        <v>0</v>
      </c>
      <c r="N538" t="n">
        <v>0</v>
      </c>
      <c r="O538" t="n">
        <v>2</v>
      </c>
      <c r="P538" t="n">
        <v>0</v>
      </c>
      <c r="Q538" t="n">
        <v>2</v>
      </c>
      <c r="R538" s="2" t="inlineStr">
        <is>
          <t>Tretåig hackspett
Ullticka</t>
        </is>
      </c>
      <c r="S538">
        <f>HYPERLINK("https://klasma.github.io/Logging_2506/artfynd/A 14684-2021 artfynd.xlsx", "A 14684-2021")</f>
        <v/>
      </c>
      <c r="T538">
        <f>HYPERLINK("https://klasma.github.io/Logging_2506/kartor/A 14684-2021 karta.png", "A 14684-2021")</f>
        <v/>
      </c>
      <c r="V538">
        <f>HYPERLINK("https://klasma.github.io/Logging_2506/klagomål/A 14684-2021 FSC-klagomål.docx", "A 14684-2021")</f>
        <v/>
      </c>
      <c r="W538">
        <f>HYPERLINK("https://klasma.github.io/Logging_2506/klagomålsmail/A 14684-2021 FSC-klagomål mail.docx", "A 14684-2021")</f>
        <v/>
      </c>
      <c r="X538">
        <f>HYPERLINK("https://klasma.github.io/Logging_2506/tillsyn/A 14684-2021 tillsynsbegäran.docx", "A 14684-2021")</f>
        <v/>
      </c>
      <c r="Y538">
        <f>HYPERLINK("https://klasma.github.io/Logging_2506/tillsynsmail/A 14684-2021 tillsynsbegäran mail.docx", "A 14684-2021")</f>
        <v/>
      </c>
      <c r="Z538">
        <f>HYPERLINK("https://klasma.github.io/Logging_2506/fåglar/A 14684-2021 prioriterade fågelarter.docx", "A 14684-2021")</f>
        <v/>
      </c>
    </row>
    <row r="539" ht="15" customHeight="1">
      <c r="A539" t="inlineStr">
        <is>
          <t>A 17190-2021</t>
        </is>
      </c>
      <c r="B539" s="1" t="n">
        <v>44298</v>
      </c>
      <c r="C539" s="1" t="n">
        <v>45798</v>
      </c>
      <c r="D539" t="inlineStr">
        <is>
          <t>NORRBOTTENS LÄN</t>
        </is>
      </c>
      <c r="E539" t="inlineStr">
        <is>
          <t>PITEÅ</t>
        </is>
      </c>
      <c r="G539" t="n">
        <v>18.4</v>
      </c>
      <c r="H539" t="n">
        <v>0</v>
      </c>
      <c r="I539" t="n">
        <v>0</v>
      </c>
      <c r="J539" t="n">
        <v>1</v>
      </c>
      <c r="K539" t="n">
        <v>1</v>
      </c>
      <c r="L539" t="n">
        <v>0</v>
      </c>
      <c r="M539" t="n">
        <v>0</v>
      </c>
      <c r="N539" t="n">
        <v>0</v>
      </c>
      <c r="O539" t="n">
        <v>2</v>
      </c>
      <c r="P539" t="n">
        <v>1</v>
      </c>
      <c r="Q539" t="n">
        <v>2</v>
      </c>
      <c r="R539" s="2" t="inlineStr">
        <is>
          <t>Goliatmusseron
Skrovlig taggsvamp</t>
        </is>
      </c>
      <c r="S539">
        <f>HYPERLINK("https://klasma.github.io/Logging_2581/artfynd/A 17190-2021 artfynd.xlsx", "A 17190-2021")</f>
        <v/>
      </c>
      <c r="T539">
        <f>HYPERLINK("https://klasma.github.io/Logging_2581/kartor/A 17190-2021 karta.png", "A 17190-2021")</f>
        <v/>
      </c>
      <c r="V539">
        <f>HYPERLINK("https://klasma.github.io/Logging_2581/klagomål/A 17190-2021 FSC-klagomål.docx", "A 17190-2021")</f>
        <v/>
      </c>
      <c r="W539">
        <f>HYPERLINK("https://klasma.github.io/Logging_2581/klagomålsmail/A 17190-2021 FSC-klagomål mail.docx", "A 17190-2021")</f>
        <v/>
      </c>
      <c r="X539">
        <f>HYPERLINK("https://klasma.github.io/Logging_2581/tillsyn/A 17190-2021 tillsynsbegäran.docx", "A 17190-2021")</f>
        <v/>
      </c>
      <c r="Y539">
        <f>HYPERLINK("https://klasma.github.io/Logging_2581/tillsynsmail/A 17190-2021 tillsynsbegäran mail.docx", "A 17190-2021")</f>
        <v/>
      </c>
    </row>
    <row r="540" ht="15" customHeight="1">
      <c r="A540" t="inlineStr">
        <is>
          <t>A 29494-2021</t>
        </is>
      </c>
      <c r="B540" s="1" t="n">
        <v>44361</v>
      </c>
      <c r="C540" s="1" t="n">
        <v>45798</v>
      </c>
      <c r="D540" t="inlineStr">
        <is>
          <t>NORRBOTTENS LÄN</t>
        </is>
      </c>
      <c r="E540" t="inlineStr">
        <is>
          <t>ARVIDSJAUR</t>
        </is>
      </c>
      <c r="F540" t="inlineStr">
        <is>
          <t>Sveaskog</t>
        </is>
      </c>
      <c r="G540" t="n">
        <v>22.1</v>
      </c>
      <c r="H540" t="n">
        <v>0</v>
      </c>
      <c r="I540" t="n">
        <v>1</v>
      </c>
      <c r="J540" t="n">
        <v>1</v>
      </c>
      <c r="K540" t="n">
        <v>0</v>
      </c>
      <c r="L540" t="n">
        <v>0</v>
      </c>
      <c r="M540" t="n">
        <v>0</v>
      </c>
      <c r="N540" t="n">
        <v>0</v>
      </c>
      <c r="O540" t="n">
        <v>1</v>
      </c>
      <c r="P540" t="n">
        <v>0</v>
      </c>
      <c r="Q540" t="n">
        <v>2</v>
      </c>
      <c r="R540" s="2" t="inlineStr">
        <is>
          <t>Violmussling
Stuplav</t>
        </is>
      </c>
      <c r="S540">
        <f>HYPERLINK("https://klasma.github.io/Logging_2505/artfynd/A 29494-2021 artfynd.xlsx", "A 29494-2021")</f>
        <v/>
      </c>
      <c r="T540">
        <f>HYPERLINK("https://klasma.github.io/Logging_2505/kartor/A 29494-2021 karta.png", "A 29494-2021")</f>
        <v/>
      </c>
      <c r="V540">
        <f>HYPERLINK("https://klasma.github.io/Logging_2505/klagomål/A 29494-2021 FSC-klagomål.docx", "A 29494-2021")</f>
        <v/>
      </c>
      <c r="W540">
        <f>HYPERLINK("https://klasma.github.io/Logging_2505/klagomålsmail/A 29494-2021 FSC-klagomål mail.docx", "A 29494-2021")</f>
        <v/>
      </c>
      <c r="X540">
        <f>HYPERLINK("https://klasma.github.io/Logging_2505/tillsyn/A 29494-2021 tillsynsbegäran.docx", "A 29494-2021")</f>
        <v/>
      </c>
      <c r="Y540">
        <f>HYPERLINK("https://klasma.github.io/Logging_2505/tillsynsmail/A 29494-2021 tillsynsbegäran mail.docx", "A 29494-2021")</f>
        <v/>
      </c>
    </row>
    <row r="541" ht="15" customHeight="1">
      <c r="A541" t="inlineStr">
        <is>
          <t>A 33819-2021</t>
        </is>
      </c>
      <c r="B541" s="1" t="n">
        <v>44378</v>
      </c>
      <c r="C541" s="1" t="n">
        <v>45798</v>
      </c>
      <c r="D541" t="inlineStr">
        <is>
          <t>NORRBOTTENS LÄN</t>
        </is>
      </c>
      <c r="E541" t="inlineStr">
        <is>
          <t>PAJALA</t>
        </is>
      </c>
      <c r="F541" t="inlineStr">
        <is>
          <t>Sveaskog</t>
        </is>
      </c>
      <c r="G541" t="n">
        <v>15.1</v>
      </c>
      <c r="H541" t="n">
        <v>2</v>
      </c>
      <c r="I541" t="n">
        <v>1</v>
      </c>
      <c r="J541" t="n">
        <v>0</v>
      </c>
      <c r="K541" t="n">
        <v>0</v>
      </c>
      <c r="L541" t="n">
        <v>0</v>
      </c>
      <c r="M541" t="n">
        <v>0</v>
      </c>
      <c r="N541" t="n">
        <v>0</v>
      </c>
      <c r="O541" t="n">
        <v>0</v>
      </c>
      <c r="P541" t="n">
        <v>0</v>
      </c>
      <c r="Q541" t="n">
        <v>2</v>
      </c>
      <c r="R541" s="2" t="inlineStr">
        <is>
          <t>Spindelblomster
Fläcknycklar</t>
        </is>
      </c>
      <c r="S541">
        <f>HYPERLINK("https://klasma.github.io/Logging_2521/artfynd/A 33819-2021 artfynd.xlsx", "A 33819-2021")</f>
        <v/>
      </c>
      <c r="T541">
        <f>HYPERLINK("https://klasma.github.io/Logging_2521/kartor/A 33819-2021 karta.png", "A 33819-2021")</f>
        <v/>
      </c>
      <c r="V541">
        <f>HYPERLINK("https://klasma.github.io/Logging_2521/klagomål/A 33819-2021 FSC-klagomål.docx", "A 33819-2021")</f>
        <v/>
      </c>
      <c r="W541">
        <f>HYPERLINK("https://klasma.github.io/Logging_2521/klagomålsmail/A 33819-2021 FSC-klagomål mail.docx", "A 33819-2021")</f>
        <v/>
      </c>
      <c r="X541">
        <f>HYPERLINK("https://klasma.github.io/Logging_2521/tillsyn/A 33819-2021 tillsynsbegäran.docx", "A 33819-2021")</f>
        <v/>
      </c>
      <c r="Y541">
        <f>HYPERLINK("https://klasma.github.io/Logging_2521/tillsynsmail/A 33819-2021 tillsynsbegäran mail.docx", "A 33819-2021")</f>
        <v/>
      </c>
    </row>
    <row r="542" ht="15" customHeight="1">
      <c r="A542" t="inlineStr">
        <is>
          <t>A 42548-2021</t>
        </is>
      </c>
      <c r="B542" s="1" t="n">
        <v>44427</v>
      </c>
      <c r="C542" s="1" t="n">
        <v>45798</v>
      </c>
      <c r="D542" t="inlineStr">
        <is>
          <t>NORRBOTTENS LÄN</t>
        </is>
      </c>
      <c r="E542" t="inlineStr">
        <is>
          <t>GÄLLIVARE</t>
        </is>
      </c>
      <c r="F542" t="inlineStr">
        <is>
          <t>SCA</t>
        </is>
      </c>
      <c r="G542" t="n">
        <v>3.2</v>
      </c>
      <c r="H542" t="n">
        <v>0</v>
      </c>
      <c r="I542" t="n">
        <v>0</v>
      </c>
      <c r="J542" t="n">
        <v>2</v>
      </c>
      <c r="K542" t="n">
        <v>0</v>
      </c>
      <c r="L542" t="n">
        <v>0</v>
      </c>
      <c r="M542" t="n">
        <v>0</v>
      </c>
      <c r="N542" t="n">
        <v>0</v>
      </c>
      <c r="O542" t="n">
        <v>2</v>
      </c>
      <c r="P542" t="n">
        <v>0</v>
      </c>
      <c r="Q542" t="n">
        <v>2</v>
      </c>
      <c r="R542" s="2" t="inlineStr">
        <is>
          <t>Orange taggsvamp
Svart taggsvamp</t>
        </is>
      </c>
      <c r="S542">
        <f>HYPERLINK("https://klasma.github.io/Logging_2523/artfynd/A 42548-2021 artfynd.xlsx", "A 42548-2021")</f>
        <v/>
      </c>
      <c r="T542">
        <f>HYPERLINK("https://klasma.github.io/Logging_2523/kartor/A 42548-2021 karta.png", "A 42548-2021")</f>
        <v/>
      </c>
      <c r="V542">
        <f>HYPERLINK("https://klasma.github.io/Logging_2523/klagomål/A 42548-2021 FSC-klagomål.docx", "A 42548-2021")</f>
        <v/>
      </c>
      <c r="W542">
        <f>HYPERLINK("https://klasma.github.io/Logging_2523/klagomålsmail/A 42548-2021 FSC-klagomål mail.docx", "A 42548-2021")</f>
        <v/>
      </c>
      <c r="X542">
        <f>HYPERLINK("https://klasma.github.io/Logging_2523/tillsyn/A 42548-2021 tillsynsbegäran.docx", "A 42548-2021")</f>
        <v/>
      </c>
      <c r="Y542">
        <f>HYPERLINK("https://klasma.github.io/Logging_2523/tillsynsmail/A 42548-2021 tillsynsbegäran mail.docx", "A 42548-2021")</f>
        <v/>
      </c>
    </row>
    <row r="543" ht="15" customHeight="1">
      <c r="A543" t="inlineStr">
        <is>
          <t>A 46152-2021</t>
        </is>
      </c>
      <c r="B543" s="1" t="n">
        <v>44442</v>
      </c>
      <c r="C543" s="1" t="n">
        <v>45798</v>
      </c>
      <c r="D543" t="inlineStr">
        <is>
          <t>NORRBOTTENS LÄN</t>
        </is>
      </c>
      <c r="E543" t="inlineStr">
        <is>
          <t>KALIX</t>
        </is>
      </c>
      <c r="F543" t="inlineStr">
        <is>
          <t>Sveaskog</t>
        </is>
      </c>
      <c r="G543" t="n">
        <v>1.8</v>
      </c>
      <c r="H543" t="n">
        <v>1</v>
      </c>
      <c r="I543" t="n">
        <v>0</v>
      </c>
      <c r="J543" t="n">
        <v>2</v>
      </c>
      <c r="K543" t="n">
        <v>0</v>
      </c>
      <c r="L543" t="n">
        <v>0</v>
      </c>
      <c r="M543" t="n">
        <v>0</v>
      </c>
      <c r="N543" t="n">
        <v>0</v>
      </c>
      <c r="O543" t="n">
        <v>2</v>
      </c>
      <c r="P543" t="n">
        <v>0</v>
      </c>
      <c r="Q543" t="n">
        <v>2</v>
      </c>
      <c r="R543" s="2" t="inlineStr">
        <is>
          <t>Garnlav
Tretåig hackspett</t>
        </is>
      </c>
      <c r="S543">
        <f>HYPERLINK("https://klasma.github.io/Logging_2514/artfynd/A 46152-2021 artfynd.xlsx", "A 46152-2021")</f>
        <v/>
      </c>
      <c r="T543">
        <f>HYPERLINK("https://klasma.github.io/Logging_2514/kartor/A 46152-2021 karta.png", "A 46152-2021")</f>
        <v/>
      </c>
      <c r="V543">
        <f>HYPERLINK("https://klasma.github.io/Logging_2514/klagomål/A 46152-2021 FSC-klagomål.docx", "A 46152-2021")</f>
        <v/>
      </c>
      <c r="W543">
        <f>HYPERLINK("https://klasma.github.io/Logging_2514/klagomålsmail/A 46152-2021 FSC-klagomål mail.docx", "A 46152-2021")</f>
        <v/>
      </c>
      <c r="X543">
        <f>HYPERLINK("https://klasma.github.io/Logging_2514/tillsyn/A 46152-2021 tillsynsbegäran.docx", "A 46152-2021")</f>
        <v/>
      </c>
      <c r="Y543">
        <f>HYPERLINK("https://klasma.github.io/Logging_2514/tillsynsmail/A 46152-2021 tillsynsbegäran mail.docx", "A 46152-2021")</f>
        <v/>
      </c>
      <c r="Z543">
        <f>HYPERLINK("https://klasma.github.io/Logging_2514/fåglar/A 46152-2021 prioriterade fågelarter.docx", "A 46152-2021")</f>
        <v/>
      </c>
    </row>
    <row r="544" ht="15" customHeight="1">
      <c r="A544" t="inlineStr">
        <is>
          <t>A 48789-2021</t>
        </is>
      </c>
      <c r="B544" s="1" t="n">
        <v>44452</v>
      </c>
      <c r="C544" s="1" t="n">
        <v>45798</v>
      </c>
      <c r="D544" t="inlineStr">
        <is>
          <t>NORRBOTTENS LÄN</t>
        </is>
      </c>
      <c r="E544" t="inlineStr">
        <is>
          <t>ÖVERTORNEÅ</t>
        </is>
      </c>
      <c r="G544" t="n">
        <v>0.7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48789-2021 artfynd.xlsx", "A 48789-2021")</f>
        <v/>
      </c>
      <c r="T544">
        <f>HYPERLINK("https://klasma.github.io/Logging_2518/kartor/A 48789-2021 karta.png", "A 48789-2021")</f>
        <v/>
      </c>
      <c r="V544">
        <f>HYPERLINK("https://klasma.github.io/Logging_2518/klagomål/A 48789-2021 FSC-klagomål.docx", "A 48789-2021")</f>
        <v/>
      </c>
      <c r="W544">
        <f>HYPERLINK("https://klasma.github.io/Logging_2518/klagomålsmail/A 48789-2021 FSC-klagomål mail.docx", "A 48789-2021")</f>
        <v/>
      </c>
      <c r="X544">
        <f>HYPERLINK("https://klasma.github.io/Logging_2518/tillsyn/A 48789-2021 tillsynsbegäran.docx", "A 48789-2021")</f>
        <v/>
      </c>
      <c r="Y544">
        <f>HYPERLINK("https://klasma.github.io/Logging_2518/tillsynsmail/A 48789-2021 tillsynsbegäran mail.docx", "A 48789-2021")</f>
        <v/>
      </c>
    </row>
    <row r="545" ht="15" customHeight="1">
      <c r="A545" t="inlineStr">
        <is>
          <t>A 52177-2021</t>
        </is>
      </c>
      <c r="B545" s="1" t="n">
        <v>44463</v>
      </c>
      <c r="C545" s="1" t="n">
        <v>45798</v>
      </c>
      <c r="D545" t="inlineStr">
        <is>
          <t>NORRBOTTENS LÄN</t>
        </is>
      </c>
      <c r="E545" t="inlineStr">
        <is>
          <t>ÄLVSBYN</t>
        </is>
      </c>
      <c r="G545" t="n">
        <v>36</v>
      </c>
      <c r="H545" t="n">
        <v>1</v>
      </c>
      <c r="I545" t="n">
        <v>0</v>
      </c>
      <c r="J545" t="n">
        <v>1</v>
      </c>
      <c r="K545" t="n">
        <v>0</v>
      </c>
      <c r="L545" t="n">
        <v>0</v>
      </c>
      <c r="M545" t="n">
        <v>0</v>
      </c>
      <c r="N545" t="n">
        <v>0</v>
      </c>
      <c r="O545" t="n">
        <v>1</v>
      </c>
      <c r="P545" t="n">
        <v>0</v>
      </c>
      <c r="Q545" t="n">
        <v>2</v>
      </c>
      <c r="R545" s="2" t="inlineStr">
        <is>
          <t>Tallticka
Tjäder</t>
        </is>
      </c>
      <c r="S545">
        <f>HYPERLINK("https://klasma.github.io/Logging_2560/artfynd/A 52177-2021 artfynd.xlsx", "A 52177-2021")</f>
        <v/>
      </c>
      <c r="T545">
        <f>HYPERLINK("https://klasma.github.io/Logging_2560/kartor/A 52177-2021 karta.png", "A 52177-2021")</f>
        <v/>
      </c>
      <c r="V545">
        <f>HYPERLINK("https://klasma.github.io/Logging_2560/klagomål/A 52177-2021 FSC-klagomål.docx", "A 52177-2021")</f>
        <v/>
      </c>
      <c r="W545">
        <f>HYPERLINK("https://klasma.github.io/Logging_2560/klagomålsmail/A 52177-2021 FSC-klagomål mail.docx", "A 52177-2021")</f>
        <v/>
      </c>
      <c r="X545">
        <f>HYPERLINK("https://klasma.github.io/Logging_2560/tillsyn/A 52177-2021 tillsynsbegäran.docx", "A 52177-2021")</f>
        <v/>
      </c>
      <c r="Y545">
        <f>HYPERLINK("https://klasma.github.io/Logging_2560/tillsynsmail/A 52177-2021 tillsynsbegäran mail.docx", "A 52177-2021")</f>
        <v/>
      </c>
      <c r="Z545">
        <f>HYPERLINK("https://klasma.github.io/Logging_2560/fåglar/A 52177-2021 prioriterade fågelarter.docx", "A 52177-2021")</f>
        <v/>
      </c>
    </row>
    <row r="546" ht="15" customHeight="1">
      <c r="A546" t="inlineStr">
        <is>
          <t>A 52326-2021</t>
        </is>
      </c>
      <c r="B546" s="1" t="n">
        <v>44463</v>
      </c>
      <c r="C546" s="1" t="n">
        <v>45798</v>
      </c>
      <c r="D546" t="inlineStr">
        <is>
          <t>NORRBOTTENS LÄN</t>
        </is>
      </c>
      <c r="E546" t="inlineStr">
        <is>
          <t>ÖVERKALIX</t>
        </is>
      </c>
      <c r="F546" t="inlineStr">
        <is>
          <t>SCA</t>
        </is>
      </c>
      <c r="G546" t="n">
        <v>1.2</v>
      </c>
      <c r="H546" t="n">
        <v>0</v>
      </c>
      <c r="I546" t="n">
        <v>0</v>
      </c>
      <c r="J546" t="n">
        <v>2</v>
      </c>
      <c r="K546" t="n">
        <v>0</v>
      </c>
      <c r="L546" t="n">
        <v>0</v>
      </c>
      <c r="M546" t="n">
        <v>0</v>
      </c>
      <c r="N546" t="n">
        <v>0</v>
      </c>
      <c r="O546" t="n">
        <v>2</v>
      </c>
      <c r="P546" t="n">
        <v>0</v>
      </c>
      <c r="Q546" t="n">
        <v>2</v>
      </c>
      <c r="R546" s="2" t="inlineStr">
        <is>
          <t>Tallriska
Talltaggsvamp</t>
        </is>
      </c>
      <c r="S546">
        <f>HYPERLINK("https://klasma.github.io/Logging_2513/artfynd/A 52326-2021 artfynd.xlsx", "A 52326-2021")</f>
        <v/>
      </c>
      <c r="T546">
        <f>HYPERLINK("https://klasma.github.io/Logging_2513/kartor/A 52326-2021 karta.png", "A 52326-2021")</f>
        <v/>
      </c>
      <c r="V546">
        <f>HYPERLINK("https://klasma.github.io/Logging_2513/klagomål/A 52326-2021 FSC-klagomål.docx", "A 52326-2021")</f>
        <v/>
      </c>
      <c r="W546">
        <f>HYPERLINK("https://klasma.github.io/Logging_2513/klagomålsmail/A 52326-2021 FSC-klagomål mail.docx", "A 52326-2021")</f>
        <v/>
      </c>
      <c r="X546">
        <f>HYPERLINK("https://klasma.github.io/Logging_2513/tillsyn/A 52326-2021 tillsynsbegäran.docx", "A 52326-2021")</f>
        <v/>
      </c>
      <c r="Y546">
        <f>HYPERLINK("https://klasma.github.io/Logging_2513/tillsynsmail/A 52326-2021 tillsynsbegäran mail.docx", "A 52326-2021")</f>
        <v/>
      </c>
    </row>
    <row r="547" ht="15" customHeight="1">
      <c r="A547" t="inlineStr">
        <is>
          <t>A 52902-2021</t>
        </is>
      </c>
      <c r="B547" s="1" t="n">
        <v>44467</v>
      </c>
      <c r="C547" s="1" t="n">
        <v>45798</v>
      </c>
      <c r="D547" t="inlineStr">
        <is>
          <t>NORRBOTTENS LÄN</t>
        </is>
      </c>
      <c r="E547" t="inlineStr">
        <is>
          <t>KALIX</t>
        </is>
      </c>
      <c r="F547" t="inlineStr">
        <is>
          <t>Sveaskog</t>
        </is>
      </c>
      <c r="G547" t="n">
        <v>4.9</v>
      </c>
      <c r="H547" t="n">
        <v>1</v>
      </c>
      <c r="I547" t="n">
        <v>0</v>
      </c>
      <c r="J547" t="n">
        <v>1</v>
      </c>
      <c r="K547" t="n">
        <v>1</v>
      </c>
      <c r="L547" t="n">
        <v>0</v>
      </c>
      <c r="M547" t="n">
        <v>0</v>
      </c>
      <c r="N547" t="n">
        <v>0</v>
      </c>
      <c r="O547" t="n">
        <v>2</v>
      </c>
      <c r="P547" t="n">
        <v>1</v>
      </c>
      <c r="Q547" t="n">
        <v>2</v>
      </c>
      <c r="R547" s="2" t="inlineStr">
        <is>
          <t>Doftticka
Garnlav</t>
        </is>
      </c>
      <c r="S547">
        <f>HYPERLINK("https://klasma.github.io/Logging_2514/artfynd/A 52902-2021 artfynd.xlsx", "A 52902-2021")</f>
        <v/>
      </c>
      <c r="T547">
        <f>HYPERLINK("https://klasma.github.io/Logging_2514/kartor/A 52902-2021 karta.png", "A 52902-2021")</f>
        <v/>
      </c>
      <c r="V547">
        <f>HYPERLINK("https://klasma.github.io/Logging_2514/klagomål/A 52902-2021 FSC-klagomål.docx", "A 52902-2021")</f>
        <v/>
      </c>
      <c r="W547">
        <f>HYPERLINK("https://klasma.github.io/Logging_2514/klagomålsmail/A 52902-2021 FSC-klagomål mail.docx", "A 52902-2021")</f>
        <v/>
      </c>
      <c r="X547">
        <f>HYPERLINK("https://klasma.github.io/Logging_2514/tillsyn/A 52902-2021 tillsynsbegäran.docx", "A 52902-2021")</f>
        <v/>
      </c>
      <c r="Y547">
        <f>HYPERLINK("https://klasma.github.io/Logging_2514/tillsynsmail/A 52902-2021 tillsynsbegäran mail.docx", "A 52902-2021")</f>
        <v/>
      </c>
    </row>
    <row r="548" ht="15" customHeight="1">
      <c r="A548" t="inlineStr">
        <is>
          <t>A 58196-2021</t>
        </is>
      </c>
      <c r="B548" s="1" t="n">
        <v>44487</v>
      </c>
      <c r="C548" s="1" t="n">
        <v>45798</v>
      </c>
      <c r="D548" t="inlineStr">
        <is>
          <t>NORRBOTTENS LÄN</t>
        </is>
      </c>
      <c r="E548" t="inlineStr">
        <is>
          <t>BODEN</t>
        </is>
      </c>
      <c r="F548" t="inlineStr">
        <is>
          <t>Sveaskog</t>
        </is>
      </c>
      <c r="G548" t="n">
        <v>3.6</v>
      </c>
      <c r="H548" t="n">
        <v>0</v>
      </c>
      <c r="I548" t="n">
        <v>0</v>
      </c>
      <c r="J548" t="n">
        <v>2</v>
      </c>
      <c r="K548" t="n">
        <v>0</v>
      </c>
      <c r="L548" t="n">
        <v>0</v>
      </c>
      <c r="M548" t="n">
        <v>0</v>
      </c>
      <c r="N548" t="n">
        <v>0</v>
      </c>
      <c r="O548" t="n">
        <v>2</v>
      </c>
      <c r="P548" t="n">
        <v>0</v>
      </c>
      <c r="Q548" t="n">
        <v>2</v>
      </c>
      <c r="R548" s="2" t="inlineStr">
        <is>
          <t>Gammelgransskål
Lunglav</t>
        </is>
      </c>
      <c r="S548">
        <f>HYPERLINK("https://klasma.github.io/Logging_2582/artfynd/A 58196-2021 artfynd.xlsx", "A 58196-2021")</f>
        <v/>
      </c>
      <c r="T548">
        <f>HYPERLINK("https://klasma.github.io/Logging_2582/kartor/A 58196-2021 karta.png", "A 58196-2021")</f>
        <v/>
      </c>
      <c r="V548">
        <f>HYPERLINK("https://klasma.github.io/Logging_2582/klagomål/A 58196-2021 FSC-klagomål.docx", "A 58196-2021")</f>
        <v/>
      </c>
      <c r="W548">
        <f>HYPERLINK("https://klasma.github.io/Logging_2582/klagomålsmail/A 58196-2021 FSC-klagomål mail.docx", "A 58196-2021")</f>
        <v/>
      </c>
      <c r="X548">
        <f>HYPERLINK("https://klasma.github.io/Logging_2582/tillsyn/A 58196-2021 tillsynsbegäran.docx", "A 58196-2021")</f>
        <v/>
      </c>
      <c r="Y548">
        <f>HYPERLINK("https://klasma.github.io/Logging_2582/tillsynsmail/A 58196-2021 tillsynsbegäran mail.docx", "A 58196-2021")</f>
        <v/>
      </c>
    </row>
    <row r="549" ht="15" customHeight="1">
      <c r="A549" t="inlineStr">
        <is>
          <t>A 58902-2021</t>
        </is>
      </c>
      <c r="B549" s="1" t="n">
        <v>44489</v>
      </c>
      <c r="C549" s="1" t="n">
        <v>45798</v>
      </c>
      <c r="D549" t="inlineStr">
        <is>
          <t>NORRBOTTENS LÄN</t>
        </is>
      </c>
      <c r="E549" t="inlineStr">
        <is>
          <t>BODEN</t>
        </is>
      </c>
      <c r="G549" t="n">
        <v>4.5</v>
      </c>
      <c r="H549" t="n">
        <v>0</v>
      </c>
      <c r="I549" t="n">
        <v>0</v>
      </c>
      <c r="J549" t="n">
        <v>2</v>
      </c>
      <c r="K549" t="n">
        <v>0</v>
      </c>
      <c r="L549" t="n">
        <v>0</v>
      </c>
      <c r="M549" t="n">
        <v>0</v>
      </c>
      <c r="N549" t="n">
        <v>0</v>
      </c>
      <c r="O549" t="n">
        <v>2</v>
      </c>
      <c r="P549" t="n">
        <v>0</v>
      </c>
      <c r="Q549" t="n">
        <v>2</v>
      </c>
      <c r="R549" s="2" t="inlineStr">
        <is>
          <t>Brunpudrad nållav
Gammelgransskål</t>
        </is>
      </c>
      <c r="S549">
        <f>HYPERLINK("https://klasma.github.io/Logging_2582/artfynd/A 58902-2021 artfynd.xlsx", "A 58902-2021")</f>
        <v/>
      </c>
      <c r="T549">
        <f>HYPERLINK("https://klasma.github.io/Logging_2582/kartor/A 58902-2021 karta.png", "A 58902-2021")</f>
        <v/>
      </c>
      <c r="V549">
        <f>HYPERLINK("https://klasma.github.io/Logging_2582/klagomål/A 58902-2021 FSC-klagomål.docx", "A 58902-2021")</f>
        <v/>
      </c>
      <c r="W549">
        <f>HYPERLINK("https://klasma.github.io/Logging_2582/klagomålsmail/A 58902-2021 FSC-klagomål mail.docx", "A 58902-2021")</f>
        <v/>
      </c>
      <c r="X549">
        <f>HYPERLINK("https://klasma.github.io/Logging_2582/tillsyn/A 58902-2021 tillsynsbegäran.docx", "A 58902-2021")</f>
        <v/>
      </c>
      <c r="Y549">
        <f>HYPERLINK("https://klasma.github.io/Logging_2582/tillsynsmail/A 58902-2021 tillsynsbegäran mail.docx", "A 58902-2021")</f>
        <v/>
      </c>
    </row>
    <row r="550" ht="15" customHeight="1">
      <c r="A550" t="inlineStr">
        <is>
          <t>A 63854-2021</t>
        </is>
      </c>
      <c r="B550" s="1" t="n">
        <v>44505</v>
      </c>
      <c r="C550" s="1" t="n">
        <v>45798</v>
      </c>
      <c r="D550" t="inlineStr">
        <is>
          <t>NORRBOTTENS LÄN</t>
        </is>
      </c>
      <c r="E550" t="inlineStr">
        <is>
          <t>BODEN</t>
        </is>
      </c>
      <c r="G550" t="n">
        <v>5</v>
      </c>
      <c r="H550" t="n">
        <v>0</v>
      </c>
      <c r="I550" t="n">
        <v>1</v>
      </c>
      <c r="J550" t="n">
        <v>1</v>
      </c>
      <c r="K550" t="n">
        <v>0</v>
      </c>
      <c r="L550" t="n">
        <v>0</v>
      </c>
      <c r="M550" t="n">
        <v>0</v>
      </c>
      <c r="N550" t="n">
        <v>0</v>
      </c>
      <c r="O550" t="n">
        <v>1</v>
      </c>
      <c r="P550" t="n">
        <v>0</v>
      </c>
      <c r="Q550" t="n">
        <v>2</v>
      </c>
      <c r="R550" s="2" t="inlineStr">
        <is>
          <t>Gammelgransskål
Bollvitmossa</t>
        </is>
      </c>
      <c r="S550">
        <f>HYPERLINK("https://klasma.github.io/Logging_2582/artfynd/A 63854-2021 artfynd.xlsx", "A 63854-2021")</f>
        <v/>
      </c>
      <c r="T550">
        <f>HYPERLINK("https://klasma.github.io/Logging_2582/kartor/A 63854-2021 karta.png", "A 63854-2021")</f>
        <v/>
      </c>
      <c r="V550">
        <f>HYPERLINK("https://klasma.github.io/Logging_2582/klagomål/A 63854-2021 FSC-klagomål.docx", "A 63854-2021")</f>
        <v/>
      </c>
      <c r="W550">
        <f>HYPERLINK("https://klasma.github.io/Logging_2582/klagomålsmail/A 63854-2021 FSC-klagomål mail.docx", "A 63854-2021")</f>
        <v/>
      </c>
      <c r="X550">
        <f>HYPERLINK("https://klasma.github.io/Logging_2582/tillsyn/A 63854-2021 tillsynsbegäran.docx", "A 63854-2021")</f>
        <v/>
      </c>
      <c r="Y550">
        <f>HYPERLINK("https://klasma.github.io/Logging_2582/tillsynsmail/A 63854-2021 tillsynsbegäran mail.docx", "A 63854-2021")</f>
        <v/>
      </c>
    </row>
    <row r="551" ht="15" customHeight="1">
      <c r="A551" t="inlineStr">
        <is>
          <t>A 67902-2021</t>
        </is>
      </c>
      <c r="B551" s="1" t="n">
        <v>44525</v>
      </c>
      <c r="C551" s="1" t="n">
        <v>45798</v>
      </c>
      <c r="D551" t="inlineStr">
        <is>
          <t>NORRBOTTENS LÄN</t>
        </is>
      </c>
      <c r="E551" t="inlineStr">
        <is>
          <t>PITEÅ</t>
        </is>
      </c>
      <c r="F551" t="inlineStr">
        <is>
          <t>Sveaskog</t>
        </is>
      </c>
      <c r="G551" t="n">
        <v>1.6</v>
      </c>
      <c r="H551" t="n">
        <v>0</v>
      </c>
      <c r="I551" t="n">
        <v>1</v>
      </c>
      <c r="J551" t="n">
        <v>1</v>
      </c>
      <c r="K551" t="n">
        <v>0</v>
      </c>
      <c r="L551" t="n">
        <v>0</v>
      </c>
      <c r="M551" t="n">
        <v>0</v>
      </c>
      <c r="N551" t="n">
        <v>0</v>
      </c>
      <c r="O551" t="n">
        <v>1</v>
      </c>
      <c r="P551" t="n">
        <v>0</v>
      </c>
      <c r="Q551" t="n">
        <v>2</v>
      </c>
      <c r="R551" s="2" t="inlineStr">
        <is>
          <t>Rosenticka
Stor aspticka</t>
        </is>
      </c>
      <c r="S551">
        <f>HYPERLINK("https://klasma.github.io/Logging_2581/artfynd/A 67902-2021 artfynd.xlsx", "A 67902-2021")</f>
        <v/>
      </c>
      <c r="T551">
        <f>HYPERLINK("https://klasma.github.io/Logging_2581/kartor/A 67902-2021 karta.png", "A 67902-2021")</f>
        <v/>
      </c>
      <c r="V551">
        <f>HYPERLINK("https://klasma.github.io/Logging_2581/klagomål/A 67902-2021 FSC-klagomål.docx", "A 67902-2021")</f>
        <v/>
      </c>
      <c r="W551">
        <f>HYPERLINK("https://klasma.github.io/Logging_2581/klagomålsmail/A 67902-2021 FSC-klagomål mail.docx", "A 67902-2021")</f>
        <v/>
      </c>
      <c r="X551">
        <f>HYPERLINK("https://klasma.github.io/Logging_2581/tillsyn/A 67902-2021 tillsynsbegäran.docx", "A 67902-2021")</f>
        <v/>
      </c>
      <c r="Y551">
        <f>HYPERLINK("https://klasma.github.io/Logging_2581/tillsynsmail/A 67902-2021 tillsynsbegäran mail.docx", "A 67902-2021")</f>
        <v/>
      </c>
    </row>
    <row r="552" ht="15" customHeight="1">
      <c r="A552" t="inlineStr">
        <is>
          <t>A 67917-2021</t>
        </is>
      </c>
      <c r="B552" s="1" t="n">
        <v>44525</v>
      </c>
      <c r="C552" s="1" t="n">
        <v>45798</v>
      </c>
      <c r="D552" t="inlineStr">
        <is>
          <t>NORRBOTTENS LÄN</t>
        </is>
      </c>
      <c r="E552" t="inlineStr">
        <is>
          <t>PITEÅ</t>
        </is>
      </c>
      <c r="F552" t="inlineStr">
        <is>
          <t>Sveaskog</t>
        </is>
      </c>
      <c r="G552" t="n">
        <v>4.2</v>
      </c>
      <c r="H552" t="n">
        <v>0</v>
      </c>
      <c r="I552" t="n">
        <v>1</v>
      </c>
      <c r="J552" t="n">
        <v>1</v>
      </c>
      <c r="K552" t="n">
        <v>0</v>
      </c>
      <c r="L552" t="n">
        <v>0</v>
      </c>
      <c r="M552" t="n">
        <v>0</v>
      </c>
      <c r="N552" t="n">
        <v>0</v>
      </c>
      <c r="O552" t="n">
        <v>1</v>
      </c>
      <c r="P552" t="n">
        <v>0</v>
      </c>
      <c r="Q552" t="n">
        <v>2</v>
      </c>
      <c r="R552" s="2" t="inlineStr">
        <is>
          <t>Lunglav
Stor aspticka</t>
        </is>
      </c>
      <c r="S552">
        <f>HYPERLINK("https://klasma.github.io/Logging_2581/artfynd/A 67917-2021 artfynd.xlsx", "A 67917-2021")</f>
        <v/>
      </c>
      <c r="T552">
        <f>HYPERLINK("https://klasma.github.io/Logging_2581/kartor/A 67917-2021 karta.png", "A 67917-2021")</f>
        <v/>
      </c>
      <c r="V552">
        <f>HYPERLINK("https://klasma.github.io/Logging_2581/klagomål/A 67917-2021 FSC-klagomål.docx", "A 67917-2021")</f>
        <v/>
      </c>
      <c r="W552">
        <f>HYPERLINK("https://klasma.github.io/Logging_2581/klagomålsmail/A 67917-2021 FSC-klagomål mail.docx", "A 67917-2021")</f>
        <v/>
      </c>
      <c r="X552">
        <f>HYPERLINK("https://klasma.github.io/Logging_2581/tillsyn/A 67917-2021 tillsynsbegäran.docx", "A 67917-2021")</f>
        <v/>
      </c>
      <c r="Y552">
        <f>HYPERLINK("https://klasma.github.io/Logging_2581/tillsynsmail/A 67917-2021 tillsynsbegäran mail.docx", "A 67917-2021")</f>
        <v/>
      </c>
    </row>
    <row r="553" ht="15" customHeight="1">
      <c r="A553" t="inlineStr">
        <is>
          <t>A 70382-2021</t>
        </is>
      </c>
      <c r="B553" s="1" t="n">
        <v>44536</v>
      </c>
      <c r="C553" s="1" t="n">
        <v>45798</v>
      </c>
      <c r="D553" t="inlineStr">
        <is>
          <t>NORRBOTTENS LÄN</t>
        </is>
      </c>
      <c r="E553" t="inlineStr">
        <is>
          <t>BODEN</t>
        </is>
      </c>
      <c r="F553" t="inlineStr">
        <is>
          <t>Sveaskog</t>
        </is>
      </c>
      <c r="G553" t="n">
        <v>37.8</v>
      </c>
      <c r="H553" t="n">
        <v>0</v>
      </c>
      <c r="I553" t="n">
        <v>0</v>
      </c>
      <c r="J553" t="n">
        <v>2</v>
      </c>
      <c r="K553" t="n">
        <v>0</v>
      </c>
      <c r="L553" t="n">
        <v>0</v>
      </c>
      <c r="M553" t="n">
        <v>0</v>
      </c>
      <c r="N553" t="n">
        <v>0</v>
      </c>
      <c r="O553" t="n">
        <v>2</v>
      </c>
      <c r="P553" t="n">
        <v>0</v>
      </c>
      <c r="Q553" t="n">
        <v>2</v>
      </c>
      <c r="R553" s="2" t="inlineStr">
        <is>
          <t>Lunglav
Nordtagging</t>
        </is>
      </c>
      <c r="S553">
        <f>HYPERLINK("https://klasma.github.io/Logging_2582/artfynd/A 70382-2021 artfynd.xlsx", "A 70382-2021")</f>
        <v/>
      </c>
      <c r="T553">
        <f>HYPERLINK("https://klasma.github.io/Logging_2582/kartor/A 70382-2021 karta.png", "A 70382-2021")</f>
        <v/>
      </c>
      <c r="V553">
        <f>HYPERLINK("https://klasma.github.io/Logging_2582/klagomål/A 70382-2021 FSC-klagomål.docx", "A 70382-2021")</f>
        <v/>
      </c>
      <c r="W553">
        <f>HYPERLINK("https://klasma.github.io/Logging_2582/klagomålsmail/A 70382-2021 FSC-klagomål mail.docx", "A 70382-2021")</f>
        <v/>
      </c>
      <c r="X553">
        <f>HYPERLINK("https://klasma.github.io/Logging_2582/tillsyn/A 70382-2021 tillsynsbegäran.docx", "A 70382-2021")</f>
        <v/>
      </c>
      <c r="Y553">
        <f>HYPERLINK("https://klasma.github.io/Logging_2582/tillsynsmail/A 70382-2021 tillsynsbegäran mail.docx", "A 70382-2021")</f>
        <v/>
      </c>
    </row>
    <row r="554" ht="15" customHeight="1">
      <c r="A554" t="inlineStr">
        <is>
          <t>A 73176-2021</t>
        </is>
      </c>
      <c r="B554" s="1" t="n">
        <v>44550</v>
      </c>
      <c r="C554" s="1" t="n">
        <v>45798</v>
      </c>
      <c r="D554" t="inlineStr">
        <is>
          <t>NORRBOTTENS LÄN</t>
        </is>
      </c>
      <c r="E554" t="inlineStr">
        <is>
          <t>PAJALA</t>
        </is>
      </c>
      <c r="F554" t="inlineStr">
        <is>
          <t>Sveaskog</t>
        </is>
      </c>
      <c r="G554" t="n">
        <v>14.6</v>
      </c>
      <c r="H554" t="n">
        <v>0</v>
      </c>
      <c r="I554" t="n">
        <v>0</v>
      </c>
      <c r="J554" t="n">
        <v>2</v>
      </c>
      <c r="K554" t="n">
        <v>0</v>
      </c>
      <c r="L554" t="n">
        <v>0</v>
      </c>
      <c r="M554" t="n">
        <v>0</v>
      </c>
      <c r="N554" t="n">
        <v>0</v>
      </c>
      <c r="O554" t="n">
        <v>2</v>
      </c>
      <c r="P554" t="n">
        <v>0</v>
      </c>
      <c r="Q554" t="n">
        <v>2</v>
      </c>
      <c r="R554" s="2" t="inlineStr">
        <is>
          <t>Blå taggsvamp
Orange taggsvamp</t>
        </is>
      </c>
      <c r="S554">
        <f>HYPERLINK("https://klasma.github.io/Logging_2521/artfynd/A 73176-2021 artfynd.xlsx", "A 73176-2021")</f>
        <v/>
      </c>
      <c r="T554">
        <f>HYPERLINK("https://klasma.github.io/Logging_2521/kartor/A 73176-2021 karta.png", "A 73176-2021")</f>
        <v/>
      </c>
      <c r="V554">
        <f>HYPERLINK("https://klasma.github.io/Logging_2521/klagomål/A 73176-2021 FSC-klagomål.docx", "A 73176-2021")</f>
        <v/>
      </c>
      <c r="W554">
        <f>HYPERLINK("https://klasma.github.io/Logging_2521/klagomålsmail/A 73176-2021 FSC-klagomål mail.docx", "A 73176-2021")</f>
        <v/>
      </c>
      <c r="X554">
        <f>HYPERLINK("https://klasma.github.io/Logging_2521/tillsyn/A 73176-2021 tillsynsbegäran.docx", "A 73176-2021")</f>
        <v/>
      </c>
      <c r="Y554">
        <f>HYPERLINK("https://klasma.github.io/Logging_2521/tillsynsmail/A 73176-2021 tillsynsbegäran mail.docx", "A 73176-2021")</f>
        <v/>
      </c>
    </row>
    <row r="555" ht="15" customHeight="1">
      <c r="A555" t="inlineStr">
        <is>
          <t>A 3832-2022</t>
        </is>
      </c>
      <c r="B555" s="1" t="n">
        <v>44586</v>
      </c>
      <c r="C555" s="1" t="n">
        <v>45798</v>
      </c>
      <c r="D555" t="inlineStr">
        <is>
          <t>NORRBOTTENS LÄN</t>
        </is>
      </c>
      <c r="E555" t="inlineStr">
        <is>
          <t>HAPARANDA</t>
        </is>
      </c>
      <c r="G555" t="n">
        <v>2.7</v>
      </c>
      <c r="H555" t="n">
        <v>2</v>
      </c>
      <c r="I555" t="n">
        <v>0</v>
      </c>
      <c r="J555" t="n">
        <v>0</v>
      </c>
      <c r="K555" t="n">
        <v>1</v>
      </c>
      <c r="L555" t="n">
        <v>1</v>
      </c>
      <c r="M555" t="n">
        <v>0</v>
      </c>
      <c r="N555" t="n">
        <v>0</v>
      </c>
      <c r="O555" t="n">
        <v>2</v>
      </c>
      <c r="P555" t="n">
        <v>2</v>
      </c>
      <c r="Q555" t="n">
        <v>2</v>
      </c>
      <c r="R555" s="2" t="inlineStr">
        <is>
          <t>Praktnejlika
Ryssnarv</t>
        </is>
      </c>
      <c r="S555">
        <f>HYPERLINK("https://klasma.github.io/Logging_2583/artfynd/A 3832-2022 artfynd.xlsx", "A 3832-2022")</f>
        <v/>
      </c>
      <c r="T555">
        <f>HYPERLINK("https://klasma.github.io/Logging_2583/kartor/A 3832-2022 karta.png", "A 3832-2022")</f>
        <v/>
      </c>
      <c r="V555">
        <f>HYPERLINK("https://klasma.github.io/Logging_2583/klagomål/A 3832-2022 FSC-klagomål.docx", "A 3832-2022")</f>
        <v/>
      </c>
      <c r="W555">
        <f>HYPERLINK("https://klasma.github.io/Logging_2583/klagomålsmail/A 3832-2022 FSC-klagomål mail.docx", "A 3832-2022")</f>
        <v/>
      </c>
      <c r="X555">
        <f>HYPERLINK("https://klasma.github.io/Logging_2583/tillsyn/A 3832-2022 tillsynsbegäran.docx", "A 3832-2022")</f>
        <v/>
      </c>
      <c r="Y555">
        <f>HYPERLINK("https://klasma.github.io/Logging_2583/tillsynsmail/A 3832-2022 tillsynsbegäran mail.docx", "A 3832-2022")</f>
        <v/>
      </c>
    </row>
    <row r="556" ht="15" customHeight="1">
      <c r="A556" t="inlineStr">
        <is>
          <t>A 5797-2022</t>
        </is>
      </c>
      <c r="B556" s="1" t="n">
        <v>44596</v>
      </c>
      <c r="C556" s="1" t="n">
        <v>45798</v>
      </c>
      <c r="D556" t="inlineStr">
        <is>
          <t>NORRBOTTENS LÄN</t>
        </is>
      </c>
      <c r="E556" t="inlineStr">
        <is>
          <t>ÖVERKALIX</t>
        </is>
      </c>
      <c r="F556" t="inlineStr">
        <is>
          <t>Sveaskog</t>
        </is>
      </c>
      <c r="G556" t="n">
        <v>2.4</v>
      </c>
      <c r="H556" t="n">
        <v>0</v>
      </c>
      <c r="I556" t="n">
        <v>1</v>
      </c>
      <c r="J556" t="n">
        <v>1</v>
      </c>
      <c r="K556" t="n">
        <v>0</v>
      </c>
      <c r="L556" t="n">
        <v>0</v>
      </c>
      <c r="M556" t="n">
        <v>0</v>
      </c>
      <c r="N556" t="n">
        <v>0</v>
      </c>
      <c r="O556" t="n">
        <v>1</v>
      </c>
      <c r="P556" t="n">
        <v>0</v>
      </c>
      <c r="Q556" t="n">
        <v>2</v>
      </c>
      <c r="R556" s="2" t="inlineStr">
        <is>
          <t>Granticka
Skarp dropptaggsvamp</t>
        </is>
      </c>
      <c r="S556">
        <f>HYPERLINK("https://klasma.github.io/Logging_2513/artfynd/A 5797-2022 artfynd.xlsx", "A 5797-2022")</f>
        <v/>
      </c>
      <c r="T556">
        <f>HYPERLINK("https://klasma.github.io/Logging_2513/kartor/A 5797-2022 karta.png", "A 5797-2022")</f>
        <v/>
      </c>
      <c r="V556">
        <f>HYPERLINK("https://klasma.github.io/Logging_2513/klagomål/A 5797-2022 FSC-klagomål.docx", "A 5797-2022")</f>
        <v/>
      </c>
      <c r="W556">
        <f>HYPERLINK("https://klasma.github.io/Logging_2513/klagomålsmail/A 5797-2022 FSC-klagomål mail.docx", "A 5797-2022")</f>
        <v/>
      </c>
      <c r="X556">
        <f>HYPERLINK("https://klasma.github.io/Logging_2513/tillsyn/A 5797-2022 tillsynsbegäran.docx", "A 5797-2022")</f>
        <v/>
      </c>
      <c r="Y556">
        <f>HYPERLINK("https://klasma.github.io/Logging_2513/tillsynsmail/A 5797-2022 tillsynsbegäran mail.docx", "A 5797-2022")</f>
        <v/>
      </c>
    </row>
    <row r="557" ht="15" customHeight="1">
      <c r="A557" t="inlineStr">
        <is>
          <t>A 7956-2022</t>
        </is>
      </c>
      <c r="B557" s="1" t="n">
        <v>44608</v>
      </c>
      <c r="C557" s="1" t="n">
        <v>45798</v>
      </c>
      <c r="D557" t="inlineStr">
        <is>
          <t>NORRBOTTENS LÄN</t>
        </is>
      </c>
      <c r="E557" t="inlineStr">
        <is>
          <t>PAJALA</t>
        </is>
      </c>
      <c r="F557" t="inlineStr">
        <is>
          <t>SCA</t>
        </is>
      </c>
      <c r="G557" t="n">
        <v>14.9</v>
      </c>
      <c r="H557" t="n">
        <v>0</v>
      </c>
      <c r="I557" t="n">
        <v>0</v>
      </c>
      <c r="J557" t="n">
        <v>2</v>
      </c>
      <c r="K557" t="n">
        <v>0</v>
      </c>
      <c r="L557" t="n">
        <v>0</v>
      </c>
      <c r="M557" t="n">
        <v>0</v>
      </c>
      <c r="N557" t="n">
        <v>0</v>
      </c>
      <c r="O557" t="n">
        <v>2</v>
      </c>
      <c r="P557" t="n">
        <v>0</v>
      </c>
      <c r="Q557" t="n">
        <v>2</v>
      </c>
      <c r="R557" s="2" t="inlineStr">
        <is>
          <t>Granticka
Orange taggsvamp</t>
        </is>
      </c>
      <c r="S557">
        <f>HYPERLINK("https://klasma.github.io/Logging_2521/artfynd/A 7956-2022 artfynd.xlsx", "A 7956-2022")</f>
        <v/>
      </c>
      <c r="T557">
        <f>HYPERLINK("https://klasma.github.io/Logging_2521/kartor/A 7956-2022 karta.png", "A 7956-2022")</f>
        <v/>
      </c>
      <c r="V557">
        <f>HYPERLINK("https://klasma.github.io/Logging_2521/klagomål/A 7956-2022 FSC-klagomål.docx", "A 7956-2022")</f>
        <v/>
      </c>
      <c r="W557">
        <f>HYPERLINK("https://klasma.github.io/Logging_2521/klagomålsmail/A 7956-2022 FSC-klagomål mail.docx", "A 7956-2022")</f>
        <v/>
      </c>
      <c r="X557">
        <f>HYPERLINK("https://klasma.github.io/Logging_2521/tillsyn/A 7956-2022 tillsynsbegäran.docx", "A 7956-2022")</f>
        <v/>
      </c>
      <c r="Y557">
        <f>HYPERLINK("https://klasma.github.io/Logging_2521/tillsynsmail/A 7956-2022 tillsynsbegäran mail.docx", "A 7956-2022")</f>
        <v/>
      </c>
    </row>
    <row r="558" ht="15" customHeight="1">
      <c r="A558" t="inlineStr">
        <is>
          <t>A 8137-2022</t>
        </is>
      </c>
      <c r="B558" s="1" t="n">
        <v>44609</v>
      </c>
      <c r="C558" s="1" t="n">
        <v>45798</v>
      </c>
      <c r="D558" t="inlineStr">
        <is>
          <t>NORRBOTTENS LÄN</t>
        </is>
      </c>
      <c r="E558" t="inlineStr">
        <is>
          <t>BODEN</t>
        </is>
      </c>
      <c r="G558" t="n">
        <v>8.300000000000001</v>
      </c>
      <c r="H558" t="n">
        <v>0</v>
      </c>
      <c r="I558" t="n">
        <v>0</v>
      </c>
      <c r="J558" t="n">
        <v>1</v>
      </c>
      <c r="K558" t="n">
        <v>1</v>
      </c>
      <c r="L558" t="n">
        <v>0</v>
      </c>
      <c r="M558" t="n">
        <v>0</v>
      </c>
      <c r="N558" t="n">
        <v>0</v>
      </c>
      <c r="O558" t="n">
        <v>2</v>
      </c>
      <c r="P558" t="n">
        <v>1</v>
      </c>
      <c r="Q558" t="n">
        <v>2</v>
      </c>
      <c r="R558" s="2" t="inlineStr">
        <is>
          <t>Lappticka
Rosenticka</t>
        </is>
      </c>
      <c r="S558">
        <f>HYPERLINK("https://klasma.github.io/Logging_2582/artfynd/A 8137-2022 artfynd.xlsx", "A 8137-2022")</f>
        <v/>
      </c>
      <c r="T558">
        <f>HYPERLINK("https://klasma.github.io/Logging_2582/kartor/A 8137-2022 karta.png", "A 8137-2022")</f>
        <v/>
      </c>
      <c r="V558">
        <f>HYPERLINK("https://klasma.github.io/Logging_2582/klagomål/A 8137-2022 FSC-klagomål.docx", "A 8137-2022")</f>
        <v/>
      </c>
      <c r="W558">
        <f>HYPERLINK("https://klasma.github.io/Logging_2582/klagomålsmail/A 8137-2022 FSC-klagomål mail.docx", "A 8137-2022")</f>
        <v/>
      </c>
      <c r="X558">
        <f>HYPERLINK("https://klasma.github.io/Logging_2582/tillsyn/A 8137-2022 tillsynsbegäran.docx", "A 8137-2022")</f>
        <v/>
      </c>
      <c r="Y558">
        <f>HYPERLINK("https://klasma.github.io/Logging_2582/tillsynsmail/A 8137-2022 tillsynsbegäran mail.docx", "A 8137-2022")</f>
        <v/>
      </c>
    </row>
    <row r="559" ht="15" customHeight="1">
      <c r="A559" t="inlineStr">
        <is>
          <t>A 15139-2022</t>
        </is>
      </c>
      <c r="B559" s="1" t="n">
        <v>44658</v>
      </c>
      <c r="C559" s="1" t="n">
        <v>45798</v>
      </c>
      <c r="D559" t="inlineStr">
        <is>
          <t>NORRBOTTENS LÄN</t>
        </is>
      </c>
      <c r="E559" t="inlineStr">
        <is>
          <t>ÖVERKALIX</t>
        </is>
      </c>
      <c r="G559" t="n">
        <v>8.5</v>
      </c>
      <c r="H559" t="n">
        <v>0</v>
      </c>
      <c r="I559" t="n">
        <v>0</v>
      </c>
      <c r="J559" t="n">
        <v>2</v>
      </c>
      <c r="K559" t="n">
        <v>0</v>
      </c>
      <c r="L559" t="n">
        <v>0</v>
      </c>
      <c r="M559" t="n">
        <v>0</v>
      </c>
      <c r="N559" t="n">
        <v>0</v>
      </c>
      <c r="O559" t="n">
        <v>2</v>
      </c>
      <c r="P559" t="n">
        <v>0</v>
      </c>
      <c r="Q559" t="n">
        <v>2</v>
      </c>
      <c r="R559" s="2" t="inlineStr">
        <is>
          <t>Blågrå svartspik
Vedflamlav</t>
        </is>
      </c>
      <c r="S559">
        <f>HYPERLINK("https://klasma.github.io/Logging_2513/artfynd/A 15139-2022 artfynd.xlsx", "A 15139-2022")</f>
        <v/>
      </c>
      <c r="T559">
        <f>HYPERLINK("https://klasma.github.io/Logging_2513/kartor/A 15139-2022 karta.png", "A 15139-2022")</f>
        <v/>
      </c>
      <c r="V559">
        <f>HYPERLINK("https://klasma.github.io/Logging_2513/klagomål/A 15139-2022 FSC-klagomål.docx", "A 15139-2022")</f>
        <v/>
      </c>
      <c r="W559">
        <f>HYPERLINK("https://klasma.github.io/Logging_2513/klagomålsmail/A 15139-2022 FSC-klagomål mail.docx", "A 15139-2022")</f>
        <v/>
      </c>
      <c r="X559">
        <f>HYPERLINK("https://klasma.github.io/Logging_2513/tillsyn/A 15139-2022 tillsynsbegäran.docx", "A 15139-2022")</f>
        <v/>
      </c>
      <c r="Y559">
        <f>HYPERLINK("https://klasma.github.io/Logging_2513/tillsynsmail/A 15139-2022 tillsynsbegäran mail.docx", "A 15139-2022")</f>
        <v/>
      </c>
    </row>
    <row r="560" ht="15" customHeight="1">
      <c r="A560" t="inlineStr">
        <is>
          <t>A 15192-2022</t>
        </is>
      </c>
      <c r="B560" s="1" t="n">
        <v>44658</v>
      </c>
      <c r="C560" s="1" t="n">
        <v>45798</v>
      </c>
      <c r="D560" t="inlineStr">
        <is>
          <t>NORRBOTTENS LÄN</t>
        </is>
      </c>
      <c r="E560" t="inlineStr">
        <is>
          <t>LULEÅ</t>
        </is>
      </c>
      <c r="G560" t="n">
        <v>6.9</v>
      </c>
      <c r="H560" t="n">
        <v>1</v>
      </c>
      <c r="I560" t="n">
        <v>0</v>
      </c>
      <c r="J560" t="n">
        <v>2</v>
      </c>
      <c r="K560" t="n">
        <v>0</v>
      </c>
      <c r="L560" t="n">
        <v>0</v>
      </c>
      <c r="M560" t="n">
        <v>0</v>
      </c>
      <c r="N560" t="n">
        <v>0</v>
      </c>
      <c r="O560" t="n">
        <v>2</v>
      </c>
      <c r="P560" t="n">
        <v>0</v>
      </c>
      <c r="Q560" t="n">
        <v>2</v>
      </c>
      <c r="R560" s="2" t="inlineStr">
        <is>
          <t>Björktrast
Igelkott</t>
        </is>
      </c>
      <c r="S560">
        <f>HYPERLINK("https://klasma.github.io/Logging_2580/artfynd/A 15192-2022 artfynd.xlsx", "A 15192-2022")</f>
        <v/>
      </c>
      <c r="T560">
        <f>HYPERLINK("https://klasma.github.io/Logging_2580/kartor/A 15192-2022 karta.png", "A 15192-2022")</f>
        <v/>
      </c>
      <c r="V560">
        <f>HYPERLINK("https://klasma.github.io/Logging_2580/klagomål/A 15192-2022 FSC-klagomål.docx", "A 15192-2022")</f>
        <v/>
      </c>
      <c r="W560">
        <f>HYPERLINK("https://klasma.github.io/Logging_2580/klagomålsmail/A 15192-2022 FSC-klagomål mail.docx", "A 15192-2022")</f>
        <v/>
      </c>
      <c r="X560">
        <f>HYPERLINK("https://klasma.github.io/Logging_2580/tillsyn/A 15192-2022 tillsynsbegäran.docx", "A 15192-2022")</f>
        <v/>
      </c>
      <c r="Y560">
        <f>HYPERLINK("https://klasma.github.io/Logging_2580/tillsynsmail/A 15192-2022 tillsynsbegäran mail.docx", "A 15192-2022")</f>
        <v/>
      </c>
      <c r="Z560">
        <f>HYPERLINK("https://klasma.github.io/Logging_2580/fåglar/A 15192-2022 prioriterade fågelarter.docx", "A 15192-2022")</f>
        <v/>
      </c>
    </row>
    <row r="561" ht="15" customHeight="1">
      <c r="A561" t="inlineStr">
        <is>
          <t>A 15494-2022</t>
        </is>
      </c>
      <c r="B561" s="1" t="n">
        <v>44662</v>
      </c>
      <c r="C561" s="1" t="n">
        <v>45798</v>
      </c>
      <c r="D561" t="inlineStr">
        <is>
          <t>NORRBOTTENS LÄN</t>
        </is>
      </c>
      <c r="E561" t="inlineStr">
        <is>
          <t>ÖVERTORNEÅ</t>
        </is>
      </c>
      <c r="G561" t="n">
        <v>2.5</v>
      </c>
      <c r="H561" t="n">
        <v>2</v>
      </c>
      <c r="I561" t="n">
        <v>0</v>
      </c>
      <c r="J561" t="n">
        <v>0</v>
      </c>
      <c r="K561" t="n">
        <v>1</v>
      </c>
      <c r="L561" t="n">
        <v>0</v>
      </c>
      <c r="M561" t="n">
        <v>0</v>
      </c>
      <c r="N561" t="n">
        <v>0</v>
      </c>
      <c r="O561" t="n">
        <v>1</v>
      </c>
      <c r="P561" t="n">
        <v>1</v>
      </c>
      <c r="Q561" t="n">
        <v>2</v>
      </c>
      <c r="R561" s="2" t="inlineStr">
        <is>
          <t>Knärot
Tjäder</t>
        </is>
      </c>
      <c r="S561">
        <f>HYPERLINK("https://klasma.github.io/Logging_2518/artfynd/A 15494-2022 artfynd.xlsx", "A 15494-2022")</f>
        <v/>
      </c>
      <c r="T561">
        <f>HYPERLINK("https://klasma.github.io/Logging_2518/kartor/A 15494-2022 karta.png", "A 15494-2022")</f>
        <v/>
      </c>
      <c r="U561">
        <f>HYPERLINK("https://klasma.github.io/Logging_2518/knärot/A 15494-2022 karta knärot.png", "A 15494-2022")</f>
        <v/>
      </c>
      <c r="V561">
        <f>HYPERLINK("https://klasma.github.io/Logging_2518/klagomål/A 15494-2022 FSC-klagomål.docx", "A 15494-2022")</f>
        <v/>
      </c>
      <c r="W561">
        <f>HYPERLINK("https://klasma.github.io/Logging_2518/klagomålsmail/A 15494-2022 FSC-klagomål mail.docx", "A 15494-2022")</f>
        <v/>
      </c>
      <c r="X561">
        <f>HYPERLINK("https://klasma.github.io/Logging_2518/tillsyn/A 15494-2022 tillsynsbegäran.docx", "A 15494-2022")</f>
        <v/>
      </c>
      <c r="Y561">
        <f>HYPERLINK("https://klasma.github.io/Logging_2518/tillsynsmail/A 15494-2022 tillsynsbegäran mail.docx", "A 15494-2022")</f>
        <v/>
      </c>
      <c r="Z561">
        <f>HYPERLINK("https://klasma.github.io/Logging_2518/fåglar/A 15494-2022 prioriterade fågelarter.docx", "A 15494-2022")</f>
        <v/>
      </c>
    </row>
    <row r="562" ht="15" customHeight="1">
      <c r="A562" t="inlineStr">
        <is>
          <t>A 17292-2022</t>
        </is>
      </c>
      <c r="B562" s="1" t="n">
        <v>44678</v>
      </c>
      <c r="C562" s="1" t="n">
        <v>45798</v>
      </c>
      <c r="D562" t="inlineStr">
        <is>
          <t>NORRBOTTENS LÄN</t>
        </is>
      </c>
      <c r="E562" t="inlineStr">
        <is>
          <t>BODEN</t>
        </is>
      </c>
      <c r="F562" t="inlineStr">
        <is>
          <t>Kyrkan</t>
        </is>
      </c>
      <c r="G562" t="n">
        <v>0.8</v>
      </c>
      <c r="H562" t="n">
        <v>1</v>
      </c>
      <c r="I562" t="n">
        <v>0</v>
      </c>
      <c r="J562" t="n">
        <v>1</v>
      </c>
      <c r="K562" t="n">
        <v>0</v>
      </c>
      <c r="L562" t="n">
        <v>0</v>
      </c>
      <c r="M562" t="n">
        <v>0</v>
      </c>
      <c r="N562" t="n">
        <v>0</v>
      </c>
      <c r="O562" t="n">
        <v>1</v>
      </c>
      <c r="P562" t="n">
        <v>0</v>
      </c>
      <c r="Q562" t="n">
        <v>2</v>
      </c>
      <c r="R562" s="2" t="inlineStr">
        <is>
          <t>Garnlav
Revlummer</t>
        </is>
      </c>
      <c r="S562">
        <f>HYPERLINK("https://klasma.github.io/Logging_2582/artfynd/A 17292-2022 artfynd.xlsx", "A 17292-2022")</f>
        <v/>
      </c>
      <c r="T562">
        <f>HYPERLINK("https://klasma.github.io/Logging_2582/kartor/A 17292-2022 karta.png", "A 17292-2022")</f>
        <v/>
      </c>
      <c r="V562">
        <f>HYPERLINK("https://klasma.github.io/Logging_2582/klagomål/A 17292-2022 FSC-klagomål.docx", "A 17292-2022")</f>
        <v/>
      </c>
      <c r="W562">
        <f>HYPERLINK("https://klasma.github.io/Logging_2582/klagomålsmail/A 17292-2022 FSC-klagomål mail.docx", "A 17292-2022")</f>
        <v/>
      </c>
      <c r="X562">
        <f>HYPERLINK("https://klasma.github.io/Logging_2582/tillsyn/A 17292-2022 tillsynsbegäran.docx", "A 17292-2022")</f>
        <v/>
      </c>
      <c r="Y562">
        <f>HYPERLINK("https://klasma.github.io/Logging_2582/tillsynsmail/A 17292-2022 tillsynsbegäran mail.docx", "A 17292-2022")</f>
        <v/>
      </c>
    </row>
    <row r="563" ht="15" customHeight="1">
      <c r="A563" t="inlineStr">
        <is>
          <t>A 22668-2022</t>
        </is>
      </c>
      <c r="B563" s="1" t="n">
        <v>44714</v>
      </c>
      <c r="C563" s="1" t="n">
        <v>45798</v>
      </c>
      <c r="D563" t="inlineStr">
        <is>
          <t>NORRBOTTENS LÄN</t>
        </is>
      </c>
      <c r="E563" t="inlineStr">
        <is>
          <t>ÖVERTORNEÅ</t>
        </is>
      </c>
      <c r="G563" t="n">
        <v>14</v>
      </c>
      <c r="H563" t="n">
        <v>0</v>
      </c>
      <c r="I563" t="n">
        <v>0</v>
      </c>
      <c r="J563" t="n">
        <v>2</v>
      </c>
      <c r="K563" t="n">
        <v>0</v>
      </c>
      <c r="L563" t="n">
        <v>0</v>
      </c>
      <c r="M563" t="n">
        <v>0</v>
      </c>
      <c r="N563" t="n">
        <v>0</v>
      </c>
      <c r="O563" t="n">
        <v>2</v>
      </c>
      <c r="P563" t="n">
        <v>0</v>
      </c>
      <c r="Q563" t="n">
        <v>2</v>
      </c>
      <c r="R563" s="2" t="inlineStr">
        <is>
          <t>Gammelgransskål
Garnlav</t>
        </is>
      </c>
      <c r="S563">
        <f>HYPERLINK("https://klasma.github.io/Logging_2518/artfynd/A 22668-2022 artfynd.xlsx", "A 22668-2022")</f>
        <v/>
      </c>
      <c r="T563">
        <f>HYPERLINK("https://klasma.github.io/Logging_2518/kartor/A 22668-2022 karta.png", "A 22668-2022")</f>
        <v/>
      </c>
      <c r="V563">
        <f>HYPERLINK("https://klasma.github.io/Logging_2518/klagomål/A 22668-2022 FSC-klagomål.docx", "A 22668-2022")</f>
        <v/>
      </c>
      <c r="W563">
        <f>HYPERLINK("https://klasma.github.io/Logging_2518/klagomålsmail/A 22668-2022 FSC-klagomål mail.docx", "A 22668-2022")</f>
        <v/>
      </c>
      <c r="X563">
        <f>HYPERLINK("https://klasma.github.io/Logging_2518/tillsyn/A 22668-2022 tillsynsbegäran.docx", "A 22668-2022")</f>
        <v/>
      </c>
      <c r="Y563">
        <f>HYPERLINK("https://klasma.github.io/Logging_2518/tillsynsmail/A 22668-2022 tillsynsbegäran mail.docx", "A 22668-2022")</f>
        <v/>
      </c>
    </row>
    <row r="564" ht="15" customHeight="1">
      <c r="A564" t="inlineStr">
        <is>
          <t>A 24408-2022</t>
        </is>
      </c>
      <c r="B564" s="1" t="n">
        <v>44726</v>
      </c>
      <c r="C564" s="1" t="n">
        <v>45798</v>
      </c>
      <c r="D564" t="inlineStr">
        <is>
          <t>NORRBOTTENS LÄN</t>
        </is>
      </c>
      <c r="E564" t="inlineStr">
        <is>
          <t>JOKKMOKK</t>
        </is>
      </c>
      <c r="F564" t="inlineStr">
        <is>
          <t>Övriga statliga verk och myndigheter</t>
        </is>
      </c>
      <c r="G564" t="n">
        <v>4.8</v>
      </c>
      <c r="H564" t="n">
        <v>0</v>
      </c>
      <c r="I564" t="n">
        <v>0</v>
      </c>
      <c r="J564" t="n">
        <v>2</v>
      </c>
      <c r="K564" t="n">
        <v>0</v>
      </c>
      <c r="L564" t="n">
        <v>0</v>
      </c>
      <c r="M564" t="n">
        <v>0</v>
      </c>
      <c r="N564" t="n">
        <v>0</v>
      </c>
      <c r="O564" t="n">
        <v>2</v>
      </c>
      <c r="P564" t="n">
        <v>0</v>
      </c>
      <c r="Q564" t="n">
        <v>2</v>
      </c>
      <c r="R564" s="2" t="inlineStr">
        <is>
          <t>Gammelgransskål
Knottrig blåslav</t>
        </is>
      </c>
      <c r="S564">
        <f>HYPERLINK("https://klasma.github.io/Logging_2510/artfynd/A 24408-2022 artfynd.xlsx", "A 24408-2022")</f>
        <v/>
      </c>
      <c r="T564">
        <f>HYPERLINK("https://klasma.github.io/Logging_2510/kartor/A 24408-2022 karta.png", "A 24408-2022")</f>
        <v/>
      </c>
      <c r="V564">
        <f>HYPERLINK("https://klasma.github.io/Logging_2510/klagomål/A 24408-2022 FSC-klagomål.docx", "A 24408-2022")</f>
        <v/>
      </c>
      <c r="W564">
        <f>HYPERLINK("https://klasma.github.io/Logging_2510/klagomålsmail/A 24408-2022 FSC-klagomål mail.docx", "A 24408-2022")</f>
        <v/>
      </c>
      <c r="X564">
        <f>HYPERLINK("https://klasma.github.io/Logging_2510/tillsyn/A 24408-2022 tillsynsbegäran.docx", "A 24408-2022")</f>
        <v/>
      </c>
      <c r="Y564">
        <f>HYPERLINK("https://klasma.github.io/Logging_2510/tillsynsmail/A 24408-2022 tillsynsbegäran mail.docx", "A 24408-2022")</f>
        <v/>
      </c>
    </row>
    <row r="565" ht="15" customHeight="1">
      <c r="A565" t="inlineStr">
        <is>
          <t>A 24767-2022</t>
        </is>
      </c>
      <c r="B565" s="1" t="n">
        <v>44728</v>
      </c>
      <c r="C565" s="1" t="n">
        <v>45798</v>
      </c>
      <c r="D565" t="inlineStr">
        <is>
          <t>NORRBOTTENS LÄN</t>
        </is>
      </c>
      <c r="E565" t="inlineStr">
        <is>
          <t>ÖVERKALIX</t>
        </is>
      </c>
      <c r="G565" t="n">
        <v>4.1</v>
      </c>
      <c r="H565" t="n">
        <v>1</v>
      </c>
      <c r="I565" t="n">
        <v>0</v>
      </c>
      <c r="J565" t="n">
        <v>1</v>
      </c>
      <c r="K565" t="n">
        <v>0</v>
      </c>
      <c r="L565" t="n">
        <v>0</v>
      </c>
      <c r="M565" t="n">
        <v>0</v>
      </c>
      <c r="N565" t="n">
        <v>0</v>
      </c>
      <c r="O565" t="n">
        <v>1</v>
      </c>
      <c r="P565" t="n">
        <v>0</v>
      </c>
      <c r="Q565" t="n">
        <v>2</v>
      </c>
      <c r="R565" s="2" t="inlineStr">
        <is>
          <t>Lapphumla
Grön flodtrollslända</t>
        </is>
      </c>
      <c r="S565">
        <f>HYPERLINK("https://klasma.github.io/Logging_2513/artfynd/A 24767-2022 artfynd.xlsx", "A 24767-2022")</f>
        <v/>
      </c>
      <c r="T565">
        <f>HYPERLINK("https://klasma.github.io/Logging_2513/kartor/A 24767-2022 karta.png", "A 24767-2022")</f>
        <v/>
      </c>
      <c r="V565">
        <f>HYPERLINK("https://klasma.github.io/Logging_2513/klagomål/A 24767-2022 FSC-klagomål.docx", "A 24767-2022")</f>
        <v/>
      </c>
      <c r="W565">
        <f>HYPERLINK("https://klasma.github.io/Logging_2513/klagomålsmail/A 24767-2022 FSC-klagomål mail.docx", "A 24767-2022")</f>
        <v/>
      </c>
      <c r="X565">
        <f>HYPERLINK("https://klasma.github.io/Logging_2513/tillsyn/A 24767-2022 tillsynsbegäran.docx", "A 24767-2022")</f>
        <v/>
      </c>
      <c r="Y565">
        <f>HYPERLINK("https://klasma.github.io/Logging_2513/tillsynsmail/A 24767-2022 tillsynsbegäran mail.docx", "A 24767-2022")</f>
        <v/>
      </c>
    </row>
    <row r="566" ht="15" customHeight="1">
      <c r="A566" t="inlineStr">
        <is>
          <t>A 24923-2022</t>
        </is>
      </c>
      <c r="B566" s="1" t="n">
        <v>44728</v>
      </c>
      <c r="C566" s="1" t="n">
        <v>45798</v>
      </c>
      <c r="D566" t="inlineStr">
        <is>
          <t>NORRBOTTENS LÄN</t>
        </is>
      </c>
      <c r="E566" t="inlineStr">
        <is>
          <t>KALIX</t>
        </is>
      </c>
      <c r="F566" t="inlineStr">
        <is>
          <t>Sveaskog</t>
        </is>
      </c>
      <c r="G566" t="n">
        <v>2.9</v>
      </c>
      <c r="H566" t="n">
        <v>0</v>
      </c>
      <c r="I566" t="n">
        <v>0</v>
      </c>
      <c r="J566" t="n">
        <v>2</v>
      </c>
      <c r="K566" t="n">
        <v>0</v>
      </c>
      <c r="L566" t="n">
        <v>0</v>
      </c>
      <c r="M566" t="n">
        <v>0</v>
      </c>
      <c r="N566" t="n">
        <v>0</v>
      </c>
      <c r="O566" t="n">
        <v>2</v>
      </c>
      <c r="P566" t="n">
        <v>0</v>
      </c>
      <c r="Q566" t="n">
        <v>2</v>
      </c>
      <c r="R566" s="2" t="inlineStr">
        <is>
          <t>Gammelgransskål
Garnlav</t>
        </is>
      </c>
      <c r="S566">
        <f>HYPERLINK("https://klasma.github.io/Logging_2514/artfynd/A 24923-2022 artfynd.xlsx", "A 24923-2022")</f>
        <v/>
      </c>
      <c r="T566">
        <f>HYPERLINK("https://klasma.github.io/Logging_2514/kartor/A 24923-2022 karta.png", "A 24923-2022")</f>
        <v/>
      </c>
      <c r="V566">
        <f>HYPERLINK("https://klasma.github.io/Logging_2514/klagomål/A 24923-2022 FSC-klagomål.docx", "A 24923-2022")</f>
        <v/>
      </c>
      <c r="W566">
        <f>HYPERLINK("https://klasma.github.io/Logging_2514/klagomålsmail/A 24923-2022 FSC-klagomål mail.docx", "A 24923-2022")</f>
        <v/>
      </c>
      <c r="X566">
        <f>HYPERLINK("https://klasma.github.io/Logging_2514/tillsyn/A 24923-2022 tillsynsbegäran.docx", "A 24923-2022")</f>
        <v/>
      </c>
      <c r="Y566">
        <f>HYPERLINK("https://klasma.github.io/Logging_2514/tillsynsmail/A 24923-2022 tillsynsbegäran mail.docx", "A 24923-2022")</f>
        <v/>
      </c>
    </row>
    <row r="567" ht="15" customHeight="1">
      <c r="A567" t="inlineStr">
        <is>
          <t>A 26346-2022</t>
        </is>
      </c>
      <c r="B567" s="1" t="n">
        <v>44735</v>
      </c>
      <c r="C567" s="1" t="n">
        <v>45798</v>
      </c>
      <c r="D567" t="inlineStr">
        <is>
          <t>NORRBOTTENS LÄN</t>
        </is>
      </c>
      <c r="E567" t="inlineStr">
        <is>
          <t>BODEN</t>
        </is>
      </c>
      <c r="F567" t="inlineStr">
        <is>
          <t>Sveaskog</t>
        </is>
      </c>
      <c r="G567" t="n">
        <v>5.6</v>
      </c>
      <c r="H567" t="n">
        <v>0</v>
      </c>
      <c r="I567" t="n">
        <v>0</v>
      </c>
      <c r="J567" t="n">
        <v>2</v>
      </c>
      <c r="K567" t="n">
        <v>0</v>
      </c>
      <c r="L567" t="n">
        <v>0</v>
      </c>
      <c r="M567" t="n">
        <v>0</v>
      </c>
      <c r="N567" t="n">
        <v>0</v>
      </c>
      <c r="O567" t="n">
        <v>2</v>
      </c>
      <c r="P567" t="n">
        <v>0</v>
      </c>
      <c r="Q567" t="n">
        <v>2</v>
      </c>
      <c r="R567" s="2" t="inlineStr">
        <is>
          <t>Blå taggsvamp
Ullticka</t>
        </is>
      </c>
      <c r="S567">
        <f>HYPERLINK("https://klasma.github.io/Logging_2582/artfynd/A 26346-2022 artfynd.xlsx", "A 26346-2022")</f>
        <v/>
      </c>
      <c r="T567">
        <f>HYPERLINK("https://klasma.github.io/Logging_2582/kartor/A 26346-2022 karta.png", "A 26346-2022")</f>
        <v/>
      </c>
      <c r="V567">
        <f>HYPERLINK("https://klasma.github.io/Logging_2582/klagomål/A 26346-2022 FSC-klagomål.docx", "A 26346-2022")</f>
        <v/>
      </c>
      <c r="W567">
        <f>HYPERLINK("https://klasma.github.io/Logging_2582/klagomålsmail/A 26346-2022 FSC-klagomål mail.docx", "A 26346-2022")</f>
        <v/>
      </c>
      <c r="X567">
        <f>HYPERLINK("https://klasma.github.io/Logging_2582/tillsyn/A 26346-2022 tillsynsbegäran.docx", "A 26346-2022")</f>
        <v/>
      </c>
      <c r="Y567">
        <f>HYPERLINK("https://klasma.github.io/Logging_2582/tillsynsmail/A 26346-2022 tillsynsbegäran mail.docx", "A 26346-2022")</f>
        <v/>
      </c>
    </row>
    <row r="568" ht="15" customHeight="1">
      <c r="A568" t="inlineStr">
        <is>
          <t>A 31242-2022</t>
        </is>
      </c>
      <c r="B568" s="1" t="n">
        <v>44771</v>
      </c>
      <c r="C568" s="1" t="n">
        <v>45798</v>
      </c>
      <c r="D568" t="inlineStr">
        <is>
          <t>NORRBOTTENS LÄN</t>
        </is>
      </c>
      <c r="E568" t="inlineStr">
        <is>
          <t>PAJALA</t>
        </is>
      </c>
      <c r="G568" t="n">
        <v>21.9</v>
      </c>
      <c r="H568" t="n">
        <v>0</v>
      </c>
      <c r="I568" t="n">
        <v>0</v>
      </c>
      <c r="J568" t="n">
        <v>1</v>
      </c>
      <c r="K568" t="n">
        <v>1</v>
      </c>
      <c r="L568" t="n">
        <v>0</v>
      </c>
      <c r="M568" t="n">
        <v>0</v>
      </c>
      <c r="N568" t="n">
        <v>0</v>
      </c>
      <c r="O568" t="n">
        <v>2</v>
      </c>
      <c r="P568" t="n">
        <v>1</v>
      </c>
      <c r="Q568" t="n">
        <v>2</v>
      </c>
      <c r="R568" s="2" t="inlineStr">
        <is>
          <t>Tallgråticka
Vaddporing</t>
        </is>
      </c>
      <c r="S568">
        <f>HYPERLINK("https://klasma.github.io/Logging_2521/artfynd/A 31242-2022 artfynd.xlsx", "A 31242-2022")</f>
        <v/>
      </c>
      <c r="T568">
        <f>HYPERLINK("https://klasma.github.io/Logging_2521/kartor/A 31242-2022 karta.png", "A 31242-2022")</f>
        <v/>
      </c>
      <c r="V568">
        <f>HYPERLINK("https://klasma.github.io/Logging_2521/klagomål/A 31242-2022 FSC-klagomål.docx", "A 31242-2022")</f>
        <v/>
      </c>
      <c r="W568">
        <f>HYPERLINK("https://klasma.github.io/Logging_2521/klagomålsmail/A 31242-2022 FSC-klagomål mail.docx", "A 31242-2022")</f>
        <v/>
      </c>
      <c r="X568">
        <f>HYPERLINK("https://klasma.github.io/Logging_2521/tillsyn/A 31242-2022 tillsynsbegäran.docx", "A 31242-2022")</f>
        <v/>
      </c>
      <c r="Y568">
        <f>HYPERLINK("https://klasma.github.io/Logging_2521/tillsynsmail/A 31242-2022 tillsynsbegäran mail.docx", "A 31242-2022")</f>
        <v/>
      </c>
    </row>
    <row r="569" ht="15" customHeight="1">
      <c r="A569" t="inlineStr">
        <is>
          <t>A 35979-2022</t>
        </is>
      </c>
      <c r="B569" s="1" t="n">
        <v>44802</v>
      </c>
      <c r="C569" s="1" t="n">
        <v>45798</v>
      </c>
      <c r="D569" t="inlineStr">
        <is>
          <t>NORRBOTTENS LÄN</t>
        </is>
      </c>
      <c r="E569" t="inlineStr">
        <is>
          <t>KALIX</t>
        </is>
      </c>
      <c r="F569" t="inlineStr">
        <is>
          <t>Sveaskog</t>
        </is>
      </c>
      <c r="G569" t="n">
        <v>7</v>
      </c>
      <c r="H569" t="n">
        <v>0</v>
      </c>
      <c r="I569" t="n">
        <v>0</v>
      </c>
      <c r="J569" t="n">
        <v>2</v>
      </c>
      <c r="K569" t="n">
        <v>0</v>
      </c>
      <c r="L569" t="n">
        <v>0</v>
      </c>
      <c r="M569" t="n">
        <v>0</v>
      </c>
      <c r="N569" t="n">
        <v>0</v>
      </c>
      <c r="O569" t="n">
        <v>2</v>
      </c>
      <c r="P569" t="n">
        <v>0</v>
      </c>
      <c r="Q569" t="n">
        <v>2</v>
      </c>
      <c r="R569" s="2" t="inlineStr">
        <is>
          <t>Gammelgransskål
Garnlav</t>
        </is>
      </c>
      <c r="S569">
        <f>HYPERLINK("https://klasma.github.io/Logging_2514/artfynd/A 35979-2022 artfynd.xlsx", "A 35979-2022")</f>
        <v/>
      </c>
      <c r="T569">
        <f>HYPERLINK("https://klasma.github.io/Logging_2514/kartor/A 35979-2022 karta.png", "A 35979-2022")</f>
        <v/>
      </c>
      <c r="V569">
        <f>HYPERLINK("https://klasma.github.io/Logging_2514/klagomål/A 35979-2022 FSC-klagomål.docx", "A 35979-2022")</f>
        <v/>
      </c>
      <c r="W569">
        <f>HYPERLINK("https://klasma.github.io/Logging_2514/klagomålsmail/A 35979-2022 FSC-klagomål mail.docx", "A 35979-2022")</f>
        <v/>
      </c>
      <c r="X569">
        <f>HYPERLINK("https://klasma.github.io/Logging_2514/tillsyn/A 35979-2022 tillsynsbegäran.docx", "A 35979-2022")</f>
        <v/>
      </c>
      <c r="Y569">
        <f>HYPERLINK("https://klasma.github.io/Logging_2514/tillsynsmail/A 35979-2022 tillsynsbegäran mail.docx", "A 35979-2022")</f>
        <v/>
      </c>
    </row>
    <row r="570" ht="15" customHeight="1">
      <c r="A570" t="inlineStr">
        <is>
          <t>A 36289-2022</t>
        </is>
      </c>
      <c r="B570" s="1" t="n">
        <v>44803</v>
      </c>
      <c r="C570" s="1" t="n">
        <v>45798</v>
      </c>
      <c r="D570" t="inlineStr">
        <is>
          <t>NORRBOTTENS LÄN</t>
        </is>
      </c>
      <c r="E570" t="inlineStr">
        <is>
          <t>GÄLLIVARE</t>
        </is>
      </c>
      <c r="G570" t="n">
        <v>9.6</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36289-2022 artfynd.xlsx", "A 36289-2022")</f>
        <v/>
      </c>
      <c r="T570">
        <f>HYPERLINK("https://klasma.github.io/Logging_2523/kartor/A 36289-2022 karta.png", "A 36289-2022")</f>
        <v/>
      </c>
      <c r="V570">
        <f>HYPERLINK("https://klasma.github.io/Logging_2523/klagomål/A 36289-2022 FSC-klagomål.docx", "A 36289-2022")</f>
        <v/>
      </c>
      <c r="W570">
        <f>HYPERLINK("https://klasma.github.io/Logging_2523/klagomålsmail/A 36289-2022 FSC-klagomål mail.docx", "A 36289-2022")</f>
        <v/>
      </c>
      <c r="X570">
        <f>HYPERLINK("https://klasma.github.io/Logging_2523/tillsyn/A 36289-2022 tillsynsbegäran.docx", "A 36289-2022")</f>
        <v/>
      </c>
      <c r="Y570">
        <f>HYPERLINK("https://klasma.github.io/Logging_2523/tillsynsmail/A 36289-2022 tillsynsbegäran mail.docx", "A 36289-2022")</f>
        <v/>
      </c>
    </row>
    <row r="571" ht="15" customHeight="1">
      <c r="A571" t="inlineStr">
        <is>
          <t>A 36629-2022</t>
        </is>
      </c>
      <c r="B571" s="1" t="n">
        <v>44804</v>
      </c>
      <c r="C571" s="1" t="n">
        <v>45798</v>
      </c>
      <c r="D571" t="inlineStr">
        <is>
          <t>NORRBOTTENS LÄN</t>
        </is>
      </c>
      <c r="E571" t="inlineStr">
        <is>
          <t>BODEN</t>
        </is>
      </c>
      <c r="F571" t="inlineStr">
        <is>
          <t>Sveaskog</t>
        </is>
      </c>
      <c r="G571" t="n">
        <v>3</v>
      </c>
      <c r="H571" t="n">
        <v>0</v>
      </c>
      <c r="I571" t="n">
        <v>2</v>
      </c>
      <c r="J571" t="n">
        <v>0</v>
      </c>
      <c r="K571" t="n">
        <v>0</v>
      </c>
      <c r="L571" t="n">
        <v>0</v>
      </c>
      <c r="M571" t="n">
        <v>0</v>
      </c>
      <c r="N571" t="n">
        <v>0</v>
      </c>
      <c r="O571" t="n">
        <v>0</v>
      </c>
      <c r="P571" t="n">
        <v>0</v>
      </c>
      <c r="Q571" t="n">
        <v>2</v>
      </c>
      <c r="R571" s="2" t="inlineStr">
        <is>
          <t>Dropptaggsvamp
Skarp dropptaggsvamp</t>
        </is>
      </c>
      <c r="S571">
        <f>HYPERLINK("https://klasma.github.io/Logging_2582/artfynd/A 36629-2022 artfynd.xlsx", "A 36629-2022")</f>
        <v/>
      </c>
      <c r="T571">
        <f>HYPERLINK("https://klasma.github.io/Logging_2582/kartor/A 36629-2022 karta.png", "A 36629-2022")</f>
        <v/>
      </c>
      <c r="V571">
        <f>HYPERLINK("https://klasma.github.io/Logging_2582/klagomål/A 36629-2022 FSC-klagomål.docx", "A 36629-2022")</f>
        <v/>
      </c>
      <c r="W571">
        <f>HYPERLINK("https://klasma.github.io/Logging_2582/klagomålsmail/A 36629-2022 FSC-klagomål mail.docx", "A 36629-2022")</f>
        <v/>
      </c>
      <c r="X571">
        <f>HYPERLINK("https://klasma.github.io/Logging_2582/tillsyn/A 36629-2022 tillsynsbegäran.docx", "A 36629-2022")</f>
        <v/>
      </c>
      <c r="Y571">
        <f>HYPERLINK("https://klasma.github.io/Logging_2582/tillsynsmail/A 36629-2022 tillsynsbegäran mail.docx", "A 36629-2022")</f>
        <v/>
      </c>
    </row>
    <row r="572" ht="15" customHeight="1">
      <c r="A572" t="inlineStr">
        <is>
          <t>A 39825-2022</t>
        </is>
      </c>
      <c r="B572" s="1" t="n">
        <v>44819</v>
      </c>
      <c r="C572" s="1" t="n">
        <v>45798</v>
      </c>
      <c r="D572" t="inlineStr">
        <is>
          <t>NORRBOTTENS LÄN</t>
        </is>
      </c>
      <c r="E572" t="inlineStr">
        <is>
          <t>ARVIDSJAUR</t>
        </is>
      </c>
      <c r="F572" t="inlineStr">
        <is>
          <t>Sveaskog</t>
        </is>
      </c>
      <c r="G572" t="n">
        <v>2.5</v>
      </c>
      <c r="H572" t="n">
        <v>0</v>
      </c>
      <c r="I572" t="n">
        <v>0</v>
      </c>
      <c r="J572" t="n">
        <v>2</v>
      </c>
      <c r="K572" t="n">
        <v>0</v>
      </c>
      <c r="L572" t="n">
        <v>0</v>
      </c>
      <c r="M572" t="n">
        <v>0</v>
      </c>
      <c r="N572" t="n">
        <v>0</v>
      </c>
      <c r="O572" t="n">
        <v>2</v>
      </c>
      <c r="P572" t="n">
        <v>0</v>
      </c>
      <c r="Q572" t="n">
        <v>2</v>
      </c>
      <c r="R572" s="2" t="inlineStr">
        <is>
          <t>Orange taggsvamp
Skrovlig taggsvamp</t>
        </is>
      </c>
      <c r="S572">
        <f>HYPERLINK("https://klasma.github.io/Logging_2505/artfynd/A 39825-2022 artfynd.xlsx", "A 39825-2022")</f>
        <v/>
      </c>
      <c r="T572">
        <f>HYPERLINK("https://klasma.github.io/Logging_2505/kartor/A 39825-2022 karta.png", "A 39825-2022")</f>
        <v/>
      </c>
      <c r="V572">
        <f>HYPERLINK("https://klasma.github.io/Logging_2505/klagomål/A 39825-2022 FSC-klagomål.docx", "A 39825-2022")</f>
        <v/>
      </c>
      <c r="W572">
        <f>HYPERLINK("https://klasma.github.io/Logging_2505/klagomålsmail/A 39825-2022 FSC-klagomål mail.docx", "A 39825-2022")</f>
        <v/>
      </c>
      <c r="X572">
        <f>HYPERLINK("https://klasma.github.io/Logging_2505/tillsyn/A 39825-2022 tillsynsbegäran.docx", "A 39825-2022")</f>
        <v/>
      </c>
      <c r="Y572">
        <f>HYPERLINK("https://klasma.github.io/Logging_2505/tillsynsmail/A 39825-2022 tillsynsbegäran mail.docx", "A 39825-2022")</f>
        <v/>
      </c>
    </row>
    <row r="573" ht="15" customHeight="1">
      <c r="A573" t="inlineStr">
        <is>
          <t>A 42233-2022</t>
        </is>
      </c>
      <c r="B573" s="1" t="n">
        <v>44830</v>
      </c>
      <c r="C573" s="1" t="n">
        <v>45798</v>
      </c>
      <c r="D573" t="inlineStr">
        <is>
          <t>NORRBOTTENS LÄN</t>
        </is>
      </c>
      <c r="E573" t="inlineStr">
        <is>
          <t>BODEN</t>
        </is>
      </c>
      <c r="G573" t="n">
        <v>3.6</v>
      </c>
      <c r="H573" t="n">
        <v>2</v>
      </c>
      <c r="I573" t="n">
        <v>0</v>
      </c>
      <c r="J573" t="n">
        <v>1</v>
      </c>
      <c r="K573" t="n">
        <v>0</v>
      </c>
      <c r="L573" t="n">
        <v>0</v>
      </c>
      <c r="M573" t="n">
        <v>0</v>
      </c>
      <c r="N573" t="n">
        <v>0</v>
      </c>
      <c r="O573" t="n">
        <v>1</v>
      </c>
      <c r="P573" t="n">
        <v>0</v>
      </c>
      <c r="Q573" t="n">
        <v>2</v>
      </c>
      <c r="R573" s="2" t="inlineStr">
        <is>
          <t>Svartvit flugsnappare
Enkelbeckasin</t>
        </is>
      </c>
      <c r="S573">
        <f>HYPERLINK("https://klasma.github.io/Logging_2582/artfynd/A 42233-2022 artfynd.xlsx", "A 42233-2022")</f>
        <v/>
      </c>
      <c r="T573">
        <f>HYPERLINK("https://klasma.github.io/Logging_2582/kartor/A 42233-2022 karta.png", "A 42233-2022")</f>
        <v/>
      </c>
      <c r="V573">
        <f>HYPERLINK("https://klasma.github.io/Logging_2582/klagomål/A 42233-2022 FSC-klagomål.docx", "A 42233-2022")</f>
        <v/>
      </c>
      <c r="W573">
        <f>HYPERLINK("https://klasma.github.io/Logging_2582/klagomålsmail/A 42233-2022 FSC-klagomål mail.docx", "A 42233-2022")</f>
        <v/>
      </c>
      <c r="X573">
        <f>HYPERLINK("https://klasma.github.io/Logging_2582/tillsyn/A 42233-2022 tillsynsbegäran.docx", "A 42233-2022")</f>
        <v/>
      </c>
      <c r="Y573">
        <f>HYPERLINK("https://klasma.github.io/Logging_2582/tillsynsmail/A 42233-2022 tillsynsbegäran mail.docx", "A 42233-2022")</f>
        <v/>
      </c>
      <c r="Z573">
        <f>HYPERLINK("https://klasma.github.io/Logging_2582/fåglar/A 42233-2022 prioriterade fågelarter.docx", "A 42233-2022")</f>
        <v/>
      </c>
    </row>
    <row r="574" ht="15" customHeight="1">
      <c r="A574" t="inlineStr">
        <is>
          <t>A 43057-2022</t>
        </is>
      </c>
      <c r="B574" s="1" t="n">
        <v>44833</v>
      </c>
      <c r="C574" s="1" t="n">
        <v>45798</v>
      </c>
      <c r="D574" t="inlineStr">
        <is>
          <t>NORRBOTTENS LÄN</t>
        </is>
      </c>
      <c r="E574" t="inlineStr">
        <is>
          <t>ÖVERTORNEÅ</t>
        </is>
      </c>
      <c r="F574" t="inlineStr">
        <is>
          <t>Sveaskog</t>
        </is>
      </c>
      <c r="G574" t="n">
        <v>2.4</v>
      </c>
      <c r="H574" t="n">
        <v>0</v>
      </c>
      <c r="I574" t="n">
        <v>0</v>
      </c>
      <c r="J574" t="n">
        <v>2</v>
      </c>
      <c r="K574" t="n">
        <v>0</v>
      </c>
      <c r="L574" t="n">
        <v>0</v>
      </c>
      <c r="M574" t="n">
        <v>0</v>
      </c>
      <c r="N574" t="n">
        <v>0</v>
      </c>
      <c r="O574" t="n">
        <v>2</v>
      </c>
      <c r="P574" t="n">
        <v>0</v>
      </c>
      <c r="Q574" t="n">
        <v>2</v>
      </c>
      <c r="R574" s="2" t="inlineStr">
        <is>
          <t>Gammelgransskål
Garnlav</t>
        </is>
      </c>
      <c r="S574">
        <f>HYPERLINK("https://klasma.github.io/Logging_2518/artfynd/A 43057-2022 artfynd.xlsx", "A 43057-2022")</f>
        <v/>
      </c>
      <c r="T574">
        <f>HYPERLINK("https://klasma.github.io/Logging_2518/kartor/A 43057-2022 karta.png", "A 43057-2022")</f>
        <v/>
      </c>
      <c r="V574">
        <f>HYPERLINK("https://klasma.github.io/Logging_2518/klagomål/A 43057-2022 FSC-klagomål.docx", "A 43057-2022")</f>
        <v/>
      </c>
      <c r="W574">
        <f>HYPERLINK("https://klasma.github.io/Logging_2518/klagomålsmail/A 43057-2022 FSC-klagomål mail.docx", "A 43057-2022")</f>
        <v/>
      </c>
      <c r="X574">
        <f>HYPERLINK("https://klasma.github.io/Logging_2518/tillsyn/A 43057-2022 tillsynsbegäran.docx", "A 43057-2022")</f>
        <v/>
      </c>
      <c r="Y574">
        <f>HYPERLINK("https://klasma.github.io/Logging_2518/tillsynsmail/A 43057-2022 tillsynsbegäran mail.docx", "A 43057-2022")</f>
        <v/>
      </c>
    </row>
    <row r="575" ht="15" customHeight="1">
      <c r="A575" t="inlineStr">
        <is>
          <t>A 44248-2022</t>
        </is>
      </c>
      <c r="B575" s="1" t="n">
        <v>44839</v>
      </c>
      <c r="C575" s="1" t="n">
        <v>45798</v>
      </c>
      <c r="D575" t="inlineStr">
        <is>
          <t>NORRBOTTENS LÄN</t>
        </is>
      </c>
      <c r="E575" t="inlineStr">
        <is>
          <t>ÖVERTORNEÅ</t>
        </is>
      </c>
      <c r="F575" t="inlineStr">
        <is>
          <t>Sveaskog</t>
        </is>
      </c>
      <c r="G575" t="n">
        <v>28.7</v>
      </c>
      <c r="H575" t="n">
        <v>1</v>
      </c>
      <c r="I575" t="n">
        <v>0</v>
      </c>
      <c r="J575" t="n">
        <v>1</v>
      </c>
      <c r="K575" t="n">
        <v>0</v>
      </c>
      <c r="L575" t="n">
        <v>0</v>
      </c>
      <c r="M575" t="n">
        <v>0</v>
      </c>
      <c r="N575" t="n">
        <v>0</v>
      </c>
      <c r="O575" t="n">
        <v>1</v>
      </c>
      <c r="P575" t="n">
        <v>0</v>
      </c>
      <c r="Q575" t="n">
        <v>2</v>
      </c>
      <c r="R575" s="2" t="inlineStr">
        <is>
          <t>Garnlav
Revlummer</t>
        </is>
      </c>
      <c r="S575">
        <f>HYPERLINK("https://klasma.github.io/Logging_2518/artfynd/A 44248-2022 artfynd.xlsx", "A 44248-2022")</f>
        <v/>
      </c>
      <c r="T575">
        <f>HYPERLINK("https://klasma.github.io/Logging_2518/kartor/A 44248-2022 karta.png", "A 44248-2022")</f>
        <v/>
      </c>
      <c r="V575">
        <f>HYPERLINK("https://klasma.github.io/Logging_2518/klagomål/A 44248-2022 FSC-klagomål.docx", "A 44248-2022")</f>
        <v/>
      </c>
      <c r="W575">
        <f>HYPERLINK("https://klasma.github.io/Logging_2518/klagomålsmail/A 44248-2022 FSC-klagomål mail.docx", "A 44248-2022")</f>
        <v/>
      </c>
      <c r="X575">
        <f>HYPERLINK("https://klasma.github.io/Logging_2518/tillsyn/A 44248-2022 tillsynsbegäran.docx", "A 44248-2022")</f>
        <v/>
      </c>
      <c r="Y575">
        <f>HYPERLINK("https://klasma.github.io/Logging_2518/tillsynsmail/A 44248-2022 tillsynsbegäran mail.docx", "A 44248-2022")</f>
        <v/>
      </c>
    </row>
    <row r="576" ht="15" customHeight="1">
      <c r="A576" t="inlineStr">
        <is>
          <t>A 44649-2022</t>
        </is>
      </c>
      <c r="B576" s="1" t="n">
        <v>44840</v>
      </c>
      <c r="C576" s="1" t="n">
        <v>45798</v>
      </c>
      <c r="D576" t="inlineStr">
        <is>
          <t>NORRBOTTENS LÄN</t>
        </is>
      </c>
      <c r="E576" t="inlineStr">
        <is>
          <t>PITEÅ</t>
        </is>
      </c>
      <c r="F576" t="inlineStr">
        <is>
          <t>Sveaskog</t>
        </is>
      </c>
      <c r="G576" t="n">
        <v>8.800000000000001</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HYPERLINK("https://klasma.github.io/Logging_2581/artfynd/A 44649-2022 artfynd.xlsx", "A 44649-2022")</f>
        <v/>
      </c>
      <c r="T576">
        <f>HYPERLINK("https://klasma.github.io/Logging_2581/kartor/A 44649-2022 karta.png", "A 44649-2022")</f>
        <v/>
      </c>
      <c r="V576">
        <f>HYPERLINK("https://klasma.github.io/Logging_2581/klagomål/A 44649-2022 FSC-klagomål.docx", "A 44649-2022")</f>
        <v/>
      </c>
      <c r="W576">
        <f>HYPERLINK("https://klasma.github.io/Logging_2581/klagomålsmail/A 44649-2022 FSC-klagomål mail.docx", "A 44649-2022")</f>
        <v/>
      </c>
      <c r="X576">
        <f>HYPERLINK("https://klasma.github.io/Logging_2581/tillsyn/A 44649-2022 tillsynsbegäran.docx", "A 44649-2022")</f>
        <v/>
      </c>
      <c r="Y576">
        <f>HYPERLINK("https://klasma.github.io/Logging_2581/tillsynsmail/A 44649-2022 tillsynsbegäran mail.docx", "A 44649-2022")</f>
        <v/>
      </c>
    </row>
    <row r="577" ht="15" customHeight="1">
      <c r="A577" t="inlineStr">
        <is>
          <t>A 47260-2022</t>
        </is>
      </c>
      <c r="B577" s="1" t="n">
        <v>44852</v>
      </c>
      <c r="C577" s="1" t="n">
        <v>45798</v>
      </c>
      <c r="D577" t="inlineStr">
        <is>
          <t>NORRBOTTENS LÄN</t>
        </is>
      </c>
      <c r="E577" t="inlineStr">
        <is>
          <t>PITEÅ</t>
        </is>
      </c>
      <c r="F577" t="inlineStr">
        <is>
          <t>SCA</t>
        </is>
      </c>
      <c r="G577" t="n">
        <v>5</v>
      </c>
      <c r="H577" t="n">
        <v>0</v>
      </c>
      <c r="I577" t="n">
        <v>0</v>
      </c>
      <c r="J577" t="n">
        <v>2</v>
      </c>
      <c r="K577" t="n">
        <v>0</v>
      </c>
      <c r="L577" t="n">
        <v>0</v>
      </c>
      <c r="M577" t="n">
        <v>0</v>
      </c>
      <c r="N577" t="n">
        <v>0</v>
      </c>
      <c r="O577" t="n">
        <v>2</v>
      </c>
      <c r="P577" t="n">
        <v>0</v>
      </c>
      <c r="Q577" t="n">
        <v>2</v>
      </c>
      <c r="R577" s="2" t="inlineStr">
        <is>
          <t>Violettgrå tagellav
Vitgrynig nållav</t>
        </is>
      </c>
      <c r="S577">
        <f>HYPERLINK("https://klasma.github.io/Logging_2581/artfynd/A 47260-2022 artfynd.xlsx", "A 47260-2022")</f>
        <v/>
      </c>
      <c r="T577">
        <f>HYPERLINK("https://klasma.github.io/Logging_2581/kartor/A 47260-2022 karta.png", "A 47260-2022")</f>
        <v/>
      </c>
      <c r="V577">
        <f>HYPERLINK("https://klasma.github.io/Logging_2581/klagomål/A 47260-2022 FSC-klagomål.docx", "A 47260-2022")</f>
        <v/>
      </c>
      <c r="W577">
        <f>HYPERLINK("https://klasma.github.io/Logging_2581/klagomålsmail/A 47260-2022 FSC-klagomål mail.docx", "A 47260-2022")</f>
        <v/>
      </c>
      <c r="X577">
        <f>HYPERLINK("https://klasma.github.io/Logging_2581/tillsyn/A 47260-2022 tillsynsbegäran.docx", "A 47260-2022")</f>
        <v/>
      </c>
      <c r="Y577">
        <f>HYPERLINK("https://klasma.github.io/Logging_2581/tillsynsmail/A 47260-2022 tillsynsbegäran mail.docx", "A 47260-2022")</f>
        <v/>
      </c>
    </row>
    <row r="578" ht="15" customHeight="1">
      <c r="A578" t="inlineStr">
        <is>
          <t>A 48598-2022</t>
        </is>
      </c>
      <c r="B578" s="1" t="n">
        <v>44859</v>
      </c>
      <c r="C578" s="1" t="n">
        <v>45798</v>
      </c>
      <c r="D578" t="inlineStr">
        <is>
          <t>NORRBOTTENS LÄN</t>
        </is>
      </c>
      <c r="E578" t="inlineStr">
        <is>
          <t>PITEÅ</t>
        </is>
      </c>
      <c r="G578" t="n">
        <v>4.3</v>
      </c>
      <c r="H578" t="n">
        <v>1</v>
      </c>
      <c r="I578" t="n">
        <v>0</v>
      </c>
      <c r="J578" t="n">
        <v>1</v>
      </c>
      <c r="K578" t="n">
        <v>1</v>
      </c>
      <c r="L578" t="n">
        <v>0</v>
      </c>
      <c r="M578" t="n">
        <v>0</v>
      </c>
      <c r="N578" t="n">
        <v>0</v>
      </c>
      <c r="O578" t="n">
        <v>2</v>
      </c>
      <c r="P578" t="n">
        <v>1</v>
      </c>
      <c r="Q578" t="n">
        <v>2</v>
      </c>
      <c r="R578" s="2" t="inlineStr">
        <is>
          <t>Norna
Lunglav</t>
        </is>
      </c>
      <c r="S578">
        <f>HYPERLINK("https://klasma.github.io/Logging_2581/artfynd/A 48598-2022 artfynd.xlsx", "A 48598-2022")</f>
        <v/>
      </c>
      <c r="T578">
        <f>HYPERLINK("https://klasma.github.io/Logging_2581/kartor/A 48598-2022 karta.png", "A 48598-2022")</f>
        <v/>
      </c>
      <c r="V578">
        <f>HYPERLINK("https://klasma.github.io/Logging_2581/klagomål/A 48598-2022 FSC-klagomål.docx", "A 48598-2022")</f>
        <v/>
      </c>
      <c r="W578">
        <f>HYPERLINK("https://klasma.github.io/Logging_2581/klagomålsmail/A 48598-2022 FSC-klagomål mail.docx", "A 48598-2022")</f>
        <v/>
      </c>
      <c r="X578">
        <f>HYPERLINK("https://klasma.github.io/Logging_2581/tillsyn/A 48598-2022 tillsynsbegäran.docx", "A 48598-2022")</f>
        <v/>
      </c>
      <c r="Y578">
        <f>HYPERLINK("https://klasma.github.io/Logging_2581/tillsynsmail/A 48598-2022 tillsynsbegäran mail.docx", "A 48598-2022")</f>
        <v/>
      </c>
    </row>
    <row r="579" ht="15" customHeight="1">
      <c r="A579" t="inlineStr">
        <is>
          <t>A 50237-2022</t>
        </is>
      </c>
      <c r="B579" s="1" t="n">
        <v>44865</v>
      </c>
      <c r="C579" s="1" t="n">
        <v>45798</v>
      </c>
      <c r="D579" t="inlineStr">
        <is>
          <t>NORRBOTTENS LÄN</t>
        </is>
      </c>
      <c r="E579" t="inlineStr">
        <is>
          <t>JOKKMOKK</t>
        </is>
      </c>
      <c r="F579" t="inlineStr">
        <is>
          <t>Sveaskog</t>
        </is>
      </c>
      <c r="G579" t="n">
        <v>13.4</v>
      </c>
      <c r="H579" t="n">
        <v>1</v>
      </c>
      <c r="I579" t="n">
        <v>1</v>
      </c>
      <c r="J579" t="n">
        <v>0</v>
      </c>
      <c r="K579" t="n">
        <v>0</v>
      </c>
      <c r="L579" t="n">
        <v>0</v>
      </c>
      <c r="M579" t="n">
        <v>0</v>
      </c>
      <c r="N579" t="n">
        <v>0</v>
      </c>
      <c r="O579" t="n">
        <v>0</v>
      </c>
      <c r="P579" t="n">
        <v>0</v>
      </c>
      <c r="Q579" t="n">
        <v>2</v>
      </c>
      <c r="R579" s="2" t="inlineStr">
        <is>
          <t>Vedticka
Lavskrika</t>
        </is>
      </c>
      <c r="S579">
        <f>HYPERLINK("https://klasma.github.io/Logging_2510/artfynd/A 50237-2022 artfynd.xlsx", "A 50237-2022")</f>
        <v/>
      </c>
      <c r="T579">
        <f>HYPERLINK("https://klasma.github.io/Logging_2510/kartor/A 50237-2022 karta.png", "A 50237-2022")</f>
        <v/>
      </c>
      <c r="V579">
        <f>HYPERLINK("https://klasma.github.io/Logging_2510/klagomål/A 50237-2022 FSC-klagomål.docx", "A 50237-2022")</f>
        <v/>
      </c>
      <c r="W579">
        <f>HYPERLINK("https://klasma.github.io/Logging_2510/klagomålsmail/A 50237-2022 FSC-klagomål mail.docx", "A 50237-2022")</f>
        <v/>
      </c>
      <c r="X579">
        <f>HYPERLINK("https://klasma.github.io/Logging_2510/tillsyn/A 50237-2022 tillsynsbegäran.docx", "A 50237-2022")</f>
        <v/>
      </c>
      <c r="Y579">
        <f>HYPERLINK("https://klasma.github.io/Logging_2510/tillsynsmail/A 50237-2022 tillsynsbegäran mail.docx", "A 50237-2022")</f>
        <v/>
      </c>
      <c r="Z579">
        <f>HYPERLINK("https://klasma.github.io/Logging_2510/fåglar/A 50237-2022 prioriterade fågelarter.docx", "A 50237-2022")</f>
        <v/>
      </c>
    </row>
    <row r="580" ht="15" customHeight="1">
      <c r="A580" t="inlineStr">
        <is>
          <t>A 51133-2022</t>
        </is>
      </c>
      <c r="B580" s="1" t="n">
        <v>44868</v>
      </c>
      <c r="C580" s="1" t="n">
        <v>45798</v>
      </c>
      <c r="D580" t="inlineStr">
        <is>
          <t>NORRBOTTENS LÄN</t>
        </is>
      </c>
      <c r="E580" t="inlineStr">
        <is>
          <t>ARVIDSJAUR</t>
        </is>
      </c>
      <c r="F580" t="inlineStr">
        <is>
          <t>Sveaskog</t>
        </is>
      </c>
      <c r="G580" t="n">
        <v>4.4</v>
      </c>
      <c r="H580" t="n">
        <v>1</v>
      </c>
      <c r="I580" t="n">
        <v>0</v>
      </c>
      <c r="J580" t="n">
        <v>2</v>
      </c>
      <c r="K580" t="n">
        <v>0</v>
      </c>
      <c r="L580" t="n">
        <v>0</v>
      </c>
      <c r="M580" t="n">
        <v>0</v>
      </c>
      <c r="N580" t="n">
        <v>0</v>
      </c>
      <c r="O580" t="n">
        <v>2</v>
      </c>
      <c r="P580" t="n">
        <v>0</v>
      </c>
      <c r="Q580" t="n">
        <v>2</v>
      </c>
      <c r="R580" s="2" t="inlineStr">
        <is>
          <t>Granticka
Talltita</t>
        </is>
      </c>
      <c r="S580">
        <f>HYPERLINK("https://klasma.github.io/Logging_2505/artfynd/A 51133-2022 artfynd.xlsx", "A 51133-2022")</f>
        <v/>
      </c>
      <c r="T580">
        <f>HYPERLINK("https://klasma.github.io/Logging_2505/kartor/A 51133-2022 karta.png", "A 51133-2022")</f>
        <v/>
      </c>
      <c r="V580">
        <f>HYPERLINK("https://klasma.github.io/Logging_2505/klagomål/A 51133-2022 FSC-klagomål.docx", "A 51133-2022")</f>
        <v/>
      </c>
      <c r="W580">
        <f>HYPERLINK("https://klasma.github.io/Logging_2505/klagomålsmail/A 51133-2022 FSC-klagomål mail.docx", "A 51133-2022")</f>
        <v/>
      </c>
      <c r="X580">
        <f>HYPERLINK("https://klasma.github.io/Logging_2505/tillsyn/A 51133-2022 tillsynsbegäran.docx", "A 51133-2022")</f>
        <v/>
      </c>
      <c r="Y580">
        <f>HYPERLINK("https://klasma.github.io/Logging_2505/tillsynsmail/A 51133-2022 tillsynsbegäran mail.docx", "A 51133-2022")</f>
        <v/>
      </c>
      <c r="Z580">
        <f>HYPERLINK("https://klasma.github.io/Logging_2505/fåglar/A 51133-2022 prioriterade fågelarter.docx", "A 51133-2022")</f>
        <v/>
      </c>
    </row>
    <row r="581" ht="15" customHeight="1">
      <c r="A581" t="inlineStr">
        <is>
          <t>A 52513-2022</t>
        </is>
      </c>
      <c r="B581" s="1" t="n">
        <v>44874</v>
      </c>
      <c r="C581" s="1" t="n">
        <v>45798</v>
      </c>
      <c r="D581" t="inlineStr">
        <is>
          <t>NORRBOTTENS LÄN</t>
        </is>
      </c>
      <c r="E581" t="inlineStr">
        <is>
          <t>ÄLVSBYN</t>
        </is>
      </c>
      <c r="F581" t="inlineStr">
        <is>
          <t>Sveaskog</t>
        </is>
      </c>
      <c r="G581" t="n">
        <v>2.3</v>
      </c>
      <c r="H581" t="n">
        <v>0</v>
      </c>
      <c r="I581" t="n">
        <v>0</v>
      </c>
      <c r="J581" t="n">
        <v>2</v>
      </c>
      <c r="K581" t="n">
        <v>0</v>
      </c>
      <c r="L581" t="n">
        <v>0</v>
      </c>
      <c r="M581" t="n">
        <v>0</v>
      </c>
      <c r="N581" t="n">
        <v>0</v>
      </c>
      <c r="O581" t="n">
        <v>2</v>
      </c>
      <c r="P581" t="n">
        <v>0</v>
      </c>
      <c r="Q581" t="n">
        <v>2</v>
      </c>
      <c r="R581" s="2" t="inlineStr">
        <is>
          <t>Gammelgransskål
Lunglav</t>
        </is>
      </c>
      <c r="S581">
        <f>HYPERLINK("https://klasma.github.io/Logging_2560/artfynd/A 52513-2022 artfynd.xlsx", "A 52513-2022")</f>
        <v/>
      </c>
      <c r="T581">
        <f>HYPERLINK("https://klasma.github.io/Logging_2560/kartor/A 52513-2022 karta.png", "A 52513-2022")</f>
        <v/>
      </c>
      <c r="V581">
        <f>HYPERLINK("https://klasma.github.io/Logging_2560/klagomål/A 52513-2022 FSC-klagomål.docx", "A 52513-2022")</f>
        <v/>
      </c>
      <c r="W581">
        <f>HYPERLINK("https://klasma.github.io/Logging_2560/klagomålsmail/A 52513-2022 FSC-klagomål mail.docx", "A 52513-2022")</f>
        <v/>
      </c>
      <c r="X581">
        <f>HYPERLINK("https://klasma.github.io/Logging_2560/tillsyn/A 52513-2022 tillsynsbegäran.docx", "A 52513-2022")</f>
        <v/>
      </c>
      <c r="Y581">
        <f>HYPERLINK("https://klasma.github.io/Logging_2560/tillsynsmail/A 52513-2022 tillsynsbegäran mail.docx", "A 52513-2022")</f>
        <v/>
      </c>
    </row>
    <row r="582" ht="15" customHeight="1">
      <c r="A582" t="inlineStr">
        <is>
          <t>A 54178-2022</t>
        </is>
      </c>
      <c r="B582" s="1" t="n">
        <v>44881</v>
      </c>
      <c r="C582" s="1" t="n">
        <v>45798</v>
      </c>
      <c r="D582" t="inlineStr">
        <is>
          <t>NORRBOTTENS LÄN</t>
        </is>
      </c>
      <c r="E582" t="inlineStr">
        <is>
          <t>BODEN</t>
        </is>
      </c>
      <c r="F582" t="inlineStr">
        <is>
          <t>Sveaskog</t>
        </is>
      </c>
      <c r="G582" t="n">
        <v>3.1</v>
      </c>
      <c r="H582" t="n">
        <v>1</v>
      </c>
      <c r="I582" t="n">
        <v>0</v>
      </c>
      <c r="J582" t="n">
        <v>1</v>
      </c>
      <c r="K582" t="n">
        <v>0</v>
      </c>
      <c r="L582" t="n">
        <v>0</v>
      </c>
      <c r="M582" t="n">
        <v>0</v>
      </c>
      <c r="N582" t="n">
        <v>0</v>
      </c>
      <c r="O582" t="n">
        <v>1</v>
      </c>
      <c r="P582" t="n">
        <v>0</v>
      </c>
      <c r="Q582" t="n">
        <v>2</v>
      </c>
      <c r="R582" s="2" t="inlineStr">
        <is>
          <t>Granticka
Blåsippa</t>
        </is>
      </c>
      <c r="S582">
        <f>HYPERLINK("https://klasma.github.io/Logging_2582/artfynd/A 54178-2022 artfynd.xlsx", "A 54178-2022")</f>
        <v/>
      </c>
      <c r="T582">
        <f>HYPERLINK("https://klasma.github.io/Logging_2582/kartor/A 54178-2022 karta.png", "A 54178-2022")</f>
        <v/>
      </c>
      <c r="V582">
        <f>HYPERLINK("https://klasma.github.io/Logging_2582/klagomål/A 54178-2022 FSC-klagomål.docx", "A 54178-2022")</f>
        <v/>
      </c>
      <c r="W582">
        <f>HYPERLINK("https://klasma.github.io/Logging_2582/klagomålsmail/A 54178-2022 FSC-klagomål mail.docx", "A 54178-2022")</f>
        <v/>
      </c>
      <c r="X582">
        <f>HYPERLINK("https://klasma.github.io/Logging_2582/tillsyn/A 54178-2022 tillsynsbegäran.docx", "A 54178-2022")</f>
        <v/>
      </c>
      <c r="Y582">
        <f>HYPERLINK("https://klasma.github.io/Logging_2582/tillsynsmail/A 54178-2022 tillsynsbegäran mail.docx", "A 54178-2022")</f>
        <v/>
      </c>
    </row>
    <row r="583" ht="15" customHeight="1">
      <c r="A583" t="inlineStr">
        <is>
          <t>A 60480-2022</t>
        </is>
      </c>
      <c r="B583" s="1" t="n">
        <v>44911</v>
      </c>
      <c r="C583" s="1" t="n">
        <v>45798</v>
      </c>
      <c r="D583" t="inlineStr">
        <is>
          <t>NORRBOTTENS LÄN</t>
        </is>
      </c>
      <c r="E583" t="inlineStr">
        <is>
          <t>ÖVERKALIX</t>
        </is>
      </c>
      <c r="F583" t="inlineStr">
        <is>
          <t>Sveaskog</t>
        </is>
      </c>
      <c r="G583" t="n">
        <v>1.6</v>
      </c>
      <c r="H583" t="n">
        <v>0</v>
      </c>
      <c r="I583" t="n">
        <v>0</v>
      </c>
      <c r="J583" t="n">
        <v>2</v>
      </c>
      <c r="K583" t="n">
        <v>0</v>
      </c>
      <c r="L583" t="n">
        <v>0</v>
      </c>
      <c r="M583" t="n">
        <v>0</v>
      </c>
      <c r="N583" t="n">
        <v>0</v>
      </c>
      <c r="O583" t="n">
        <v>2</v>
      </c>
      <c r="P583" t="n">
        <v>0</v>
      </c>
      <c r="Q583" t="n">
        <v>2</v>
      </c>
      <c r="R583" s="2" t="inlineStr">
        <is>
          <t>Kolflarnlav
Nordtagging</t>
        </is>
      </c>
      <c r="S583">
        <f>HYPERLINK("https://klasma.github.io/Logging_2513/artfynd/A 60480-2022 artfynd.xlsx", "A 60480-2022")</f>
        <v/>
      </c>
      <c r="T583">
        <f>HYPERLINK("https://klasma.github.io/Logging_2513/kartor/A 60480-2022 karta.png", "A 60480-2022")</f>
        <v/>
      </c>
      <c r="V583">
        <f>HYPERLINK("https://klasma.github.io/Logging_2513/klagomål/A 60480-2022 FSC-klagomål.docx", "A 60480-2022")</f>
        <v/>
      </c>
      <c r="W583">
        <f>HYPERLINK("https://klasma.github.io/Logging_2513/klagomålsmail/A 60480-2022 FSC-klagomål mail.docx", "A 60480-2022")</f>
        <v/>
      </c>
      <c r="X583">
        <f>HYPERLINK("https://klasma.github.io/Logging_2513/tillsyn/A 60480-2022 tillsynsbegäran.docx", "A 60480-2022")</f>
        <v/>
      </c>
      <c r="Y583">
        <f>HYPERLINK("https://klasma.github.io/Logging_2513/tillsynsmail/A 60480-2022 tillsynsbegäran mail.docx", "A 60480-2022")</f>
        <v/>
      </c>
    </row>
    <row r="584" ht="15" customHeight="1">
      <c r="A584" t="inlineStr">
        <is>
          <t>A 62435-2022</t>
        </is>
      </c>
      <c r="B584" s="1" t="n">
        <v>44916</v>
      </c>
      <c r="C584" s="1" t="n">
        <v>45798</v>
      </c>
      <c r="D584" t="inlineStr">
        <is>
          <t>NORRBOTTENS LÄN</t>
        </is>
      </c>
      <c r="E584" t="inlineStr">
        <is>
          <t>KIRUNA</t>
        </is>
      </c>
      <c r="G584" t="n">
        <v>13.3</v>
      </c>
      <c r="H584" t="n">
        <v>0</v>
      </c>
      <c r="I584" t="n">
        <v>0</v>
      </c>
      <c r="J584" t="n">
        <v>2</v>
      </c>
      <c r="K584" t="n">
        <v>0</v>
      </c>
      <c r="L584" t="n">
        <v>0</v>
      </c>
      <c r="M584" t="n">
        <v>0</v>
      </c>
      <c r="N584" t="n">
        <v>0</v>
      </c>
      <c r="O584" t="n">
        <v>2</v>
      </c>
      <c r="P584" t="n">
        <v>0</v>
      </c>
      <c r="Q584" t="n">
        <v>2</v>
      </c>
      <c r="R584" s="2" t="inlineStr">
        <is>
          <t>Harticka
Rosenticka</t>
        </is>
      </c>
      <c r="S584">
        <f>HYPERLINK("https://klasma.github.io/Logging_2584/artfynd/A 62435-2022 artfynd.xlsx", "A 62435-2022")</f>
        <v/>
      </c>
      <c r="T584">
        <f>HYPERLINK("https://klasma.github.io/Logging_2584/kartor/A 62435-2022 karta.png", "A 62435-2022")</f>
        <v/>
      </c>
      <c r="V584">
        <f>HYPERLINK("https://klasma.github.io/Logging_2584/klagomål/A 62435-2022 FSC-klagomål.docx", "A 62435-2022")</f>
        <v/>
      </c>
      <c r="W584">
        <f>HYPERLINK("https://klasma.github.io/Logging_2584/klagomålsmail/A 62435-2022 FSC-klagomål mail.docx", "A 62435-2022")</f>
        <v/>
      </c>
      <c r="X584">
        <f>HYPERLINK("https://klasma.github.io/Logging_2584/tillsyn/A 62435-2022 tillsynsbegäran.docx", "A 62435-2022")</f>
        <v/>
      </c>
      <c r="Y584">
        <f>HYPERLINK("https://klasma.github.io/Logging_2584/tillsynsmail/A 62435-2022 tillsynsbegäran mail.docx", "A 62435-2022")</f>
        <v/>
      </c>
    </row>
    <row r="585" ht="15" customHeight="1">
      <c r="A585" t="inlineStr">
        <is>
          <t>A 1385-2023</t>
        </is>
      </c>
      <c r="B585" s="1" t="n">
        <v>44930</v>
      </c>
      <c r="C585" s="1" t="n">
        <v>45798</v>
      </c>
      <c r="D585" t="inlineStr">
        <is>
          <t>NORRBOTTENS LÄN</t>
        </is>
      </c>
      <c r="E585" t="inlineStr">
        <is>
          <t>PAJALA</t>
        </is>
      </c>
      <c r="G585" t="n">
        <v>2.7</v>
      </c>
      <c r="H585" t="n">
        <v>0</v>
      </c>
      <c r="I585" t="n">
        <v>1</v>
      </c>
      <c r="J585" t="n">
        <v>1</v>
      </c>
      <c r="K585" t="n">
        <v>0</v>
      </c>
      <c r="L585" t="n">
        <v>0</v>
      </c>
      <c r="M585" t="n">
        <v>0</v>
      </c>
      <c r="N585" t="n">
        <v>0</v>
      </c>
      <c r="O585" t="n">
        <v>1</v>
      </c>
      <c r="P585" t="n">
        <v>0</v>
      </c>
      <c r="Q585" t="n">
        <v>2</v>
      </c>
      <c r="R585" s="2" t="inlineStr">
        <is>
          <t>Gammelgransskål
Skör kvastmossa</t>
        </is>
      </c>
      <c r="S585">
        <f>HYPERLINK("https://klasma.github.io/Logging_2521/artfynd/A 1385-2023 artfynd.xlsx", "A 1385-2023")</f>
        <v/>
      </c>
      <c r="T585">
        <f>HYPERLINK("https://klasma.github.io/Logging_2521/kartor/A 1385-2023 karta.png", "A 1385-2023")</f>
        <v/>
      </c>
      <c r="V585">
        <f>HYPERLINK("https://klasma.github.io/Logging_2521/klagomål/A 1385-2023 FSC-klagomål.docx", "A 1385-2023")</f>
        <v/>
      </c>
      <c r="W585">
        <f>HYPERLINK("https://klasma.github.io/Logging_2521/klagomålsmail/A 1385-2023 FSC-klagomål mail.docx", "A 1385-2023")</f>
        <v/>
      </c>
      <c r="X585">
        <f>HYPERLINK("https://klasma.github.io/Logging_2521/tillsyn/A 1385-2023 tillsynsbegäran.docx", "A 1385-2023")</f>
        <v/>
      </c>
      <c r="Y585">
        <f>HYPERLINK("https://klasma.github.io/Logging_2521/tillsynsmail/A 1385-2023 tillsynsbegäran mail.docx", "A 1385-2023")</f>
        <v/>
      </c>
    </row>
    <row r="586" ht="15" customHeight="1">
      <c r="A586" t="inlineStr">
        <is>
          <t>A 2817-2023</t>
        </is>
      </c>
      <c r="B586" s="1" t="n">
        <v>44944</v>
      </c>
      <c r="C586" s="1" t="n">
        <v>45798</v>
      </c>
      <c r="D586" t="inlineStr">
        <is>
          <t>NORRBOTTENS LÄN</t>
        </is>
      </c>
      <c r="E586" t="inlineStr">
        <is>
          <t>PITEÅ</t>
        </is>
      </c>
      <c r="G586" t="n">
        <v>4.9</v>
      </c>
      <c r="H586" t="n">
        <v>0</v>
      </c>
      <c r="I586" t="n">
        <v>0</v>
      </c>
      <c r="J586" t="n">
        <v>2</v>
      </c>
      <c r="K586" t="n">
        <v>0</v>
      </c>
      <c r="L586" t="n">
        <v>0</v>
      </c>
      <c r="M586" t="n">
        <v>0</v>
      </c>
      <c r="N586" t="n">
        <v>0</v>
      </c>
      <c r="O586" t="n">
        <v>2</v>
      </c>
      <c r="P586" t="n">
        <v>0</v>
      </c>
      <c r="Q586" t="n">
        <v>2</v>
      </c>
      <c r="R586" s="2" t="inlineStr">
        <is>
          <t>Ullticka
Violettgrå tagellav</t>
        </is>
      </c>
      <c r="S586">
        <f>HYPERLINK("https://klasma.github.io/Logging_2581/artfynd/A 2817-2023 artfynd.xlsx", "A 2817-2023")</f>
        <v/>
      </c>
      <c r="T586">
        <f>HYPERLINK("https://klasma.github.io/Logging_2581/kartor/A 2817-2023 karta.png", "A 2817-2023")</f>
        <v/>
      </c>
      <c r="V586">
        <f>HYPERLINK("https://klasma.github.io/Logging_2581/klagomål/A 2817-2023 FSC-klagomål.docx", "A 2817-2023")</f>
        <v/>
      </c>
      <c r="W586">
        <f>HYPERLINK("https://klasma.github.io/Logging_2581/klagomålsmail/A 2817-2023 FSC-klagomål mail.docx", "A 2817-2023")</f>
        <v/>
      </c>
      <c r="X586">
        <f>HYPERLINK("https://klasma.github.io/Logging_2581/tillsyn/A 2817-2023 tillsynsbegäran.docx", "A 2817-2023")</f>
        <v/>
      </c>
      <c r="Y586">
        <f>HYPERLINK("https://klasma.github.io/Logging_2581/tillsynsmail/A 2817-2023 tillsynsbegäran mail.docx", "A 2817-2023")</f>
        <v/>
      </c>
    </row>
    <row r="587" ht="15" customHeight="1">
      <c r="A587" t="inlineStr">
        <is>
          <t>A 6180-2023</t>
        </is>
      </c>
      <c r="B587" s="1" t="n">
        <v>44964</v>
      </c>
      <c r="C587" s="1" t="n">
        <v>45798</v>
      </c>
      <c r="D587" t="inlineStr">
        <is>
          <t>NORRBOTTENS LÄN</t>
        </is>
      </c>
      <c r="E587" t="inlineStr">
        <is>
          <t>PAJALA</t>
        </is>
      </c>
      <c r="G587" t="n">
        <v>16.3</v>
      </c>
      <c r="H587" t="n">
        <v>1</v>
      </c>
      <c r="I587" t="n">
        <v>0</v>
      </c>
      <c r="J587" t="n">
        <v>2</v>
      </c>
      <c r="K587" t="n">
        <v>0</v>
      </c>
      <c r="L587" t="n">
        <v>0</v>
      </c>
      <c r="M587" t="n">
        <v>0</v>
      </c>
      <c r="N587" t="n">
        <v>0</v>
      </c>
      <c r="O587" t="n">
        <v>2</v>
      </c>
      <c r="P587" t="n">
        <v>0</v>
      </c>
      <c r="Q587" t="n">
        <v>2</v>
      </c>
      <c r="R587" s="2" t="inlineStr">
        <is>
          <t>Knottrig blåslav
Tretåig hackspett</t>
        </is>
      </c>
      <c r="S587">
        <f>HYPERLINK("https://klasma.github.io/Logging_2521/artfynd/A 6180-2023 artfynd.xlsx", "A 6180-2023")</f>
        <v/>
      </c>
      <c r="T587">
        <f>HYPERLINK("https://klasma.github.io/Logging_2521/kartor/A 6180-2023 karta.png", "A 6180-2023")</f>
        <v/>
      </c>
      <c r="V587">
        <f>HYPERLINK("https://klasma.github.io/Logging_2521/klagomål/A 6180-2023 FSC-klagomål.docx", "A 6180-2023")</f>
        <v/>
      </c>
      <c r="W587">
        <f>HYPERLINK("https://klasma.github.io/Logging_2521/klagomålsmail/A 6180-2023 FSC-klagomål mail.docx", "A 6180-2023")</f>
        <v/>
      </c>
      <c r="X587">
        <f>HYPERLINK("https://klasma.github.io/Logging_2521/tillsyn/A 6180-2023 tillsynsbegäran.docx", "A 6180-2023")</f>
        <v/>
      </c>
      <c r="Y587">
        <f>HYPERLINK("https://klasma.github.io/Logging_2521/tillsynsmail/A 6180-2023 tillsynsbegäran mail.docx", "A 6180-2023")</f>
        <v/>
      </c>
      <c r="Z587">
        <f>HYPERLINK("https://klasma.github.io/Logging_2521/fåglar/A 6180-2023 prioriterade fågelarter.docx", "A 6180-2023")</f>
        <v/>
      </c>
    </row>
    <row r="588" ht="15" customHeight="1">
      <c r="A588" t="inlineStr">
        <is>
          <t>A 10166-2023</t>
        </is>
      </c>
      <c r="B588" s="1" t="n">
        <v>44980</v>
      </c>
      <c r="C588" s="1" t="n">
        <v>45798</v>
      </c>
      <c r="D588" t="inlineStr">
        <is>
          <t>NORRBOTTENS LÄN</t>
        </is>
      </c>
      <c r="E588" t="inlineStr">
        <is>
          <t>GÄLLIVARE</t>
        </is>
      </c>
      <c r="F588" t="inlineStr">
        <is>
          <t>Allmännings- och besparingsskogar</t>
        </is>
      </c>
      <c r="G588" t="n">
        <v>18.6</v>
      </c>
      <c r="H588" t="n">
        <v>0</v>
      </c>
      <c r="I588" t="n">
        <v>1</v>
      </c>
      <c r="J588" t="n">
        <v>1</v>
      </c>
      <c r="K588" t="n">
        <v>0</v>
      </c>
      <c r="L588" t="n">
        <v>0</v>
      </c>
      <c r="M588" t="n">
        <v>0</v>
      </c>
      <c r="N588" t="n">
        <v>0</v>
      </c>
      <c r="O588" t="n">
        <v>1</v>
      </c>
      <c r="P588" t="n">
        <v>0</v>
      </c>
      <c r="Q588" t="n">
        <v>2</v>
      </c>
      <c r="R588" s="2" t="inlineStr">
        <is>
          <t>Garnlav
Dropptaggsvamp</t>
        </is>
      </c>
      <c r="S588">
        <f>HYPERLINK("https://klasma.github.io/Logging_2523/artfynd/A 10166-2023 artfynd.xlsx", "A 10166-2023")</f>
        <v/>
      </c>
      <c r="T588">
        <f>HYPERLINK("https://klasma.github.io/Logging_2523/kartor/A 10166-2023 karta.png", "A 10166-2023")</f>
        <v/>
      </c>
      <c r="V588">
        <f>HYPERLINK("https://klasma.github.io/Logging_2523/klagomål/A 10166-2023 FSC-klagomål.docx", "A 10166-2023")</f>
        <v/>
      </c>
      <c r="W588">
        <f>HYPERLINK("https://klasma.github.io/Logging_2523/klagomålsmail/A 10166-2023 FSC-klagomål mail.docx", "A 10166-2023")</f>
        <v/>
      </c>
      <c r="X588">
        <f>HYPERLINK("https://klasma.github.io/Logging_2523/tillsyn/A 10166-2023 tillsynsbegäran.docx", "A 10166-2023")</f>
        <v/>
      </c>
      <c r="Y588">
        <f>HYPERLINK("https://klasma.github.io/Logging_2523/tillsynsmail/A 10166-2023 tillsynsbegäran mail.docx", "A 10166-2023")</f>
        <v/>
      </c>
    </row>
    <row r="589" ht="15" customHeight="1">
      <c r="A589" t="inlineStr">
        <is>
          <t>A 14971-2023</t>
        </is>
      </c>
      <c r="B589" s="1" t="n">
        <v>45014</v>
      </c>
      <c r="C589" s="1" t="n">
        <v>45798</v>
      </c>
      <c r="D589" t="inlineStr">
        <is>
          <t>NORRBOTTENS LÄN</t>
        </is>
      </c>
      <c r="E589" t="inlineStr">
        <is>
          <t>PAJALA</t>
        </is>
      </c>
      <c r="F589" t="inlineStr">
        <is>
          <t>Allmännings- och besparingsskogar</t>
        </is>
      </c>
      <c r="G589" t="n">
        <v>49.6</v>
      </c>
      <c r="H589" t="n">
        <v>0</v>
      </c>
      <c r="I589" t="n">
        <v>0</v>
      </c>
      <c r="J589" t="n">
        <v>2</v>
      </c>
      <c r="K589" t="n">
        <v>0</v>
      </c>
      <c r="L589" t="n">
        <v>0</v>
      </c>
      <c r="M589" t="n">
        <v>0</v>
      </c>
      <c r="N589" t="n">
        <v>0</v>
      </c>
      <c r="O589" t="n">
        <v>2</v>
      </c>
      <c r="P589" t="n">
        <v>0</v>
      </c>
      <c r="Q589" t="n">
        <v>2</v>
      </c>
      <c r="R589" s="2" t="inlineStr">
        <is>
          <t>Blanksvart spiklav
Garnlav</t>
        </is>
      </c>
      <c r="S589">
        <f>HYPERLINK("https://klasma.github.io/Logging_2521/artfynd/A 14971-2023 artfynd.xlsx", "A 14971-2023")</f>
        <v/>
      </c>
      <c r="T589">
        <f>HYPERLINK("https://klasma.github.io/Logging_2521/kartor/A 14971-2023 karta.png", "A 14971-2023")</f>
        <v/>
      </c>
      <c r="V589">
        <f>HYPERLINK("https://klasma.github.io/Logging_2521/klagomål/A 14971-2023 FSC-klagomål.docx", "A 14971-2023")</f>
        <v/>
      </c>
      <c r="W589">
        <f>HYPERLINK("https://klasma.github.io/Logging_2521/klagomålsmail/A 14971-2023 FSC-klagomål mail.docx", "A 14971-2023")</f>
        <v/>
      </c>
      <c r="X589">
        <f>HYPERLINK("https://klasma.github.io/Logging_2521/tillsyn/A 14971-2023 tillsynsbegäran.docx", "A 14971-2023")</f>
        <v/>
      </c>
      <c r="Y589">
        <f>HYPERLINK("https://klasma.github.io/Logging_2521/tillsynsmail/A 14971-2023 tillsynsbegäran mail.docx", "A 14971-2023")</f>
        <v/>
      </c>
    </row>
    <row r="590" ht="15" customHeight="1">
      <c r="A590" t="inlineStr">
        <is>
          <t>A 17549-2023</t>
        </is>
      </c>
      <c r="B590" s="1" t="n">
        <v>45034</v>
      </c>
      <c r="C590" s="1" t="n">
        <v>45798</v>
      </c>
      <c r="D590" t="inlineStr">
        <is>
          <t>NORRBOTTENS LÄN</t>
        </is>
      </c>
      <c r="E590" t="inlineStr">
        <is>
          <t>ARJEPLOG</t>
        </is>
      </c>
      <c r="G590" t="n">
        <v>18.8</v>
      </c>
      <c r="H590" t="n">
        <v>1</v>
      </c>
      <c r="I590" t="n">
        <v>0</v>
      </c>
      <c r="J590" t="n">
        <v>2</v>
      </c>
      <c r="K590" t="n">
        <v>0</v>
      </c>
      <c r="L590" t="n">
        <v>0</v>
      </c>
      <c r="M590" t="n">
        <v>0</v>
      </c>
      <c r="N590" t="n">
        <v>0</v>
      </c>
      <c r="O590" t="n">
        <v>2</v>
      </c>
      <c r="P590" t="n">
        <v>0</v>
      </c>
      <c r="Q590" t="n">
        <v>2</v>
      </c>
      <c r="R590" s="2" t="inlineStr">
        <is>
          <t>Granticka
Tretåig hackspett</t>
        </is>
      </c>
      <c r="S590">
        <f>HYPERLINK("https://klasma.github.io/Logging_2506/artfynd/A 17549-2023 artfynd.xlsx", "A 17549-2023")</f>
        <v/>
      </c>
      <c r="T590">
        <f>HYPERLINK("https://klasma.github.io/Logging_2506/kartor/A 17549-2023 karta.png", "A 17549-2023")</f>
        <v/>
      </c>
      <c r="V590">
        <f>HYPERLINK("https://klasma.github.io/Logging_2506/klagomål/A 17549-2023 FSC-klagomål.docx", "A 17549-2023")</f>
        <v/>
      </c>
      <c r="W590">
        <f>HYPERLINK("https://klasma.github.io/Logging_2506/klagomålsmail/A 17549-2023 FSC-klagomål mail.docx", "A 17549-2023")</f>
        <v/>
      </c>
      <c r="X590">
        <f>HYPERLINK("https://klasma.github.io/Logging_2506/tillsyn/A 17549-2023 tillsynsbegäran.docx", "A 17549-2023")</f>
        <v/>
      </c>
      <c r="Y590">
        <f>HYPERLINK("https://klasma.github.io/Logging_2506/tillsynsmail/A 17549-2023 tillsynsbegäran mail.docx", "A 17549-2023")</f>
        <v/>
      </c>
      <c r="Z590">
        <f>HYPERLINK("https://klasma.github.io/Logging_2506/fåglar/A 17549-2023 prioriterade fågelarter.docx", "A 17549-2023")</f>
        <v/>
      </c>
    </row>
    <row r="591" ht="15" customHeight="1">
      <c r="A591" t="inlineStr">
        <is>
          <t>A 22906-2023</t>
        </is>
      </c>
      <c r="B591" s="1" t="n">
        <v>45072</v>
      </c>
      <c r="C591" s="1" t="n">
        <v>45798</v>
      </c>
      <c r="D591" t="inlineStr">
        <is>
          <t>NORRBOTTENS LÄN</t>
        </is>
      </c>
      <c r="E591" t="inlineStr">
        <is>
          <t>BODEN</t>
        </is>
      </c>
      <c r="F591" t="inlineStr">
        <is>
          <t>Sveaskog</t>
        </is>
      </c>
      <c r="G591" t="n">
        <v>3.5</v>
      </c>
      <c r="H591" t="n">
        <v>2</v>
      </c>
      <c r="I591" t="n">
        <v>0</v>
      </c>
      <c r="J591" t="n">
        <v>2</v>
      </c>
      <c r="K591" t="n">
        <v>0</v>
      </c>
      <c r="L591" t="n">
        <v>0</v>
      </c>
      <c r="M591" t="n">
        <v>0</v>
      </c>
      <c r="N591" t="n">
        <v>0</v>
      </c>
      <c r="O591" t="n">
        <v>2</v>
      </c>
      <c r="P591" t="n">
        <v>0</v>
      </c>
      <c r="Q591" t="n">
        <v>2</v>
      </c>
      <c r="R591" s="2" t="inlineStr">
        <is>
          <t>Talltita
Utter</t>
        </is>
      </c>
      <c r="S591">
        <f>HYPERLINK("https://klasma.github.io/Logging_2582/artfynd/A 22906-2023 artfynd.xlsx", "A 22906-2023")</f>
        <v/>
      </c>
      <c r="T591">
        <f>HYPERLINK("https://klasma.github.io/Logging_2582/kartor/A 22906-2023 karta.png", "A 22906-2023")</f>
        <v/>
      </c>
      <c r="V591">
        <f>HYPERLINK("https://klasma.github.io/Logging_2582/klagomål/A 22906-2023 FSC-klagomål.docx", "A 22906-2023")</f>
        <v/>
      </c>
      <c r="W591">
        <f>HYPERLINK("https://klasma.github.io/Logging_2582/klagomålsmail/A 22906-2023 FSC-klagomål mail.docx", "A 22906-2023")</f>
        <v/>
      </c>
      <c r="X591">
        <f>HYPERLINK("https://klasma.github.io/Logging_2582/tillsyn/A 22906-2023 tillsynsbegäran.docx", "A 22906-2023")</f>
        <v/>
      </c>
      <c r="Y591">
        <f>HYPERLINK("https://klasma.github.io/Logging_2582/tillsynsmail/A 22906-2023 tillsynsbegäran mail.docx", "A 22906-2023")</f>
        <v/>
      </c>
      <c r="Z591">
        <f>HYPERLINK("https://klasma.github.io/Logging_2582/fåglar/A 22906-2023 prioriterade fågelarter.docx", "A 22906-2023")</f>
        <v/>
      </c>
    </row>
    <row r="592" ht="15" customHeight="1">
      <c r="A592" t="inlineStr">
        <is>
          <t>A 25033-2023</t>
        </is>
      </c>
      <c r="B592" s="1" t="n">
        <v>45086</v>
      </c>
      <c r="C592" s="1" t="n">
        <v>45798</v>
      </c>
      <c r="D592" t="inlineStr">
        <is>
          <t>NORRBOTTENS LÄN</t>
        </is>
      </c>
      <c r="E592" t="inlineStr">
        <is>
          <t>KALIX</t>
        </is>
      </c>
      <c r="G592" t="n">
        <v>2.4</v>
      </c>
      <c r="H592" t="n">
        <v>1</v>
      </c>
      <c r="I592" t="n">
        <v>1</v>
      </c>
      <c r="J592" t="n">
        <v>0</v>
      </c>
      <c r="K592" t="n">
        <v>0</v>
      </c>
      <c r="L592" t="n">
        <v>0</v>
      </c>
      <c r="M592" t="n">
        <v>0</v>
      </c>
      <c r="N592" t="n">
        <v>0</v>
      </c>
      <c r="O592" t="n">
        <v>0</v>
      </c>
      <c r="P592" t="n">
        <v>0</v>
      </c>
      <c r="Q592" t="n">
        <v>2</v>
      </c>
      <c r="R592" s="2" t="inlineStr">
        <is>
          <t>Grönpyrola
Äkta lopplummer</t>
        </is>
      </c>
      <c r="S592">
        <f>HYPERLINK("https://klasma.github.io/Logging_2514/artfynd/A 25033-2023 artfynd.xlsx", "A 25033-2023")</f>
        <v/>
      </c>
      <c r="T592">
        <f>HYPERLINK("https://klasma.github.io/Logging_2514/kartor/A 25033-2023 karta.png", "A 25033-2023")</f>
        <v/>
      </c>
      <c r="V592">
        <f>HYPERLINK("https://klasma.github.io/Logging_2514/klagomål/A 25033-2023 FSC-klagomål.docx", "A 25033-2023")</f>
        <v/>
      </c>
      <c r="W592">
        <f>HYPERLINK("https://klasma.github.io/Logging_2514/klagomålsmail/A 25033-2023 FSC-klagomål mail.docx", "A 25033-2023")</f>
        <v/>
      </c>
      <c r="X592">
        <f>HYPERLINK("https://klasma.github.io/Logging_2514/tillsyn/A 25033-2023 tillsynsbegäran.docx", "A 25033-2023")</f>
        <v/>
      </c>
      <c r="Y592">
        <f>HYPERLINK("https://klasma.github.io/Logging_2514/tillsynsmail/A 25033-2023 tillsynsbegäran mail.docx", "A 25033-2023")</f>
        <v/>
      </c>
    </row>
    <row r="593" ht="15" customHeight="1">
      <c r="A593" t="inlineStr">
        <is>
          <t>A 27018-2023</t>
        </is>
      </c>
      <c r="B593" s="1" t="n">
        <v>45094</v>
      </c>
      <c r="C593" s="1" t="n">
        <v>45798</v>
      </c>
      <c r="D593" t="inlineStr">
        <is>
          <t>NORRBOTTENS LÄN</t>
        </is>
      </c>
      <c r="E593" t="inlineStr">
        <is>
          <t>JOKKMOKK</t>
        </is>
      </c>
      <c r="F593" t="inlineStr">
        <is>
          <t>SCA</t>
        </is>
      </c>
      <c r="G593" t="n">
        <v>4.9</v>
      </c>
      <c r="H593" t="n">
        <v>0</v>
      </c>
      <c r="I593" t="n">
        <v>2</v>
      </c>
      <c r="J593" t="n">
        <v>0</v>
      </c>
      <c r="K593" t="n">
        <v>0</v>
      </c>
      <c r="L593" t="n">
        <v>0</v>
      </c>
      <c r="M593" t="n">
        <v>0</v>
      </c>
      <c r="N593" t="n">
        <v>0</v>
      </c>
      <c r="O593" t="n">
        <v>0</v>
      </c>
      <c r="P593" t="n">
        <v>0</v>
      </c>
      <c r="Q593" t="n">
        <v>2</v>
      </c>
      <c r="R593" s="2" t="inlineStr">
        <is>
          <t>Skinnlav
Vedticka</t>
        </is>
      </c>
      <c r="S593">
        <f>HYPERLINK("https://klasma.github.io/Logging_2510/artfynd/A 27018-2023 artfynd.xlsx", "A 27018-2023")</f>
        <v/>
      </c>
      <c r="T593">
        <f>HYPERLINK("https://klasma.github.io/Logging_2510/kartor/A 27018-2023 karta.png", "A 27018-2023")</f>
        <v/>
      </c>
      <c r="V593">
        <f>HYPERLINK("https://klasma.github.io/Logging_2510/klagomål/A 27018-2023 FSC-klagomål.docx", "A 27018-2023")</f>
        <v/>
      </c>
      <c r="W593">
        <f>HYPERLINK("https://klasma.github.io/Logging_2510/klagomålsmail/A 27018-2023 FSC-klagomål mail.docx", "A 27018-2023")</f>
        <v/>
      </c>
      <c r="X593">
        <f>HYPERLINK("https://klasma.github.io/Logging_2510/tillsyn/A 27018-2023 tillsynsbegäran.docx", "A 27018-2023")</f>
        <v/>
      </c>
      <c r="Y593">
        <f>HYPERLINK("https://klasma.github.io/Logging_2510/tillsynsmail/A 27018-2023 tillsynsbegäran mail.docx", "A 27018-2023")</f>
        <v/>
      </c>
    </row>
    <row r="594" ht="15" customHeight="1">
      <c r="A594" t="inlineStr">
        <is>
          <t>A 29877-2023</t>
        </is>
      </c>
      <c r="B594" s="1" t="n">
        <v>45107</v>
      </c>
      <c r="C594" s="1" t="n">
        <v>45798</v>
      </c>
      <c r="D594" t="inlineStr">
        <is>
          <t>NORRBOTTENS LÄN</t>
        </is>
      </c>
      <c r="E594" t="inlineStr">
        <is>
          <t>ÄLVSBYN</t>
        </is>
      </c>
      <c r="F594" t="inlineStr">
        <is>
          <t>Sveaskog</t>
        </is>
      </c>
      <c r="G594" t="n">
        <v>8.300000000000001</v>
      </c>
      <c r="H594" t="n">
        <v>0</v>
      </c>
      <c r="I594" t="n">
        <v>0</v>
      </c>
      <c r="J594" t="n">
        <v>2</v>
      </c>
      <c r="K594" t="n">
        <v>0</v>
      </c>
      <c r="L594" t="n">
        <v>0</v>
      </c>
      <c r="M594" t="n">
        <v>0</v>
      </c>
      <c r="N594" t="n">
        <v>0</v>
      </c>
      <c r="O594" t="n">
        <v>2</v>
      </c>
      <c r="P594" t="n">
        <v>0</v>
      </c>
      <c r="Q594" t="n">
        <v>2</v>
      </c>
      <c r="R594" s="2" t="inlineStr">
        <is>
          <t>Kolflarnlav
Lunglav</t>
        </is>
      </c>
      <c r="S594">
        <f>HYPERLINK("https://klasma.github.io/Logging_2560/artfynd/A 29877-2023 artfynd.xlsx", "A 29877-2023")</f>
        <v/>
      </c>
      <c r="T594">
        <f>HYPERLINK("https://klasma.github.io/Logging_2560/kartor/A 29877-2023 karta.png", "A 29877-2023")</f>
        <v/>
      </c>
      <c r="V594">
        <f>HYPERLINK("https://klasma.github.io/Logging_2560/klagomål/A 29877-2023 FSC-klagomål.docx", "A 29877-2023")</f>
        <v/>
      </c>
      <c r="W594">
        <f>HYPERLINK("https://klasma.github.io/Logging_2560/klagomålsmail/A 29877-2023 FSC-klagomål mail.docx", "A 29877-2023")</f>
        <v/>
      </c>
      <c r="X594">
        <f>HYPERLINK("https://klasma.github.io/Logging_2560/tillsyn/A 29877-2023 tillsynsbegäran.docx", "A 29877-2023")</f>
        <v/>
      </c>
      <c r="Y594">
        <f>HYPERLINK("https://klasma.github.io/Logging_2560/tillsynsmail/A 29877-2023 tillsynsbegäran mail.docx", "A 29877-2023")</f>
        <v/>
      </c>
    </row>
    <row r="595" ht="15" customHeight="1">
      <c r="A595" t="inlineStr">
        <is>
          <t>A 32982-2023</t>
        </is>
      </c>
      <c r="B595" s="1" t="n">
        <v>45113</v>
      </c>
      <c r="C595" s="1" t="n">
        <v>45798</v>
      </c>
      <c r="D595" t="inlineStr">
        <is>
          <t>NORRBOTTENS LÄN</t>
        </is>
      </c>
      <c r="E595" t="inlineStr">
        <is>
          <t>JOKKMOKK</t>
        </is>
      </c>
      <c r="F595" t="inlineStr">
        <is>
          <t>Övriga statliga verk och myndigheter</t>
        </is>
      </c>
      <c r="G595" t="n">
        <v>21</v>
      </c>
      <c r="H595" t="n">
        <v>0</v>
      </c>
      <c r="I595" t="n">
        <v>0</v>
      </c>
      <c r="J595" t="n">
        <v>0</v>
      </c>
      <c r="K595" t="n">
        <v>2</v>
      </c>
      <c r="L595" t="n">
        <v>0</v>
      </c>
      <c r="M595" t="n">
        <v>0</v>
      </c>
      <c r="N595" t="n">
        <v>0</v>
      </c>
      <c r="O595" t="n">
        <v>2</v>
      </c>
      <c r="P595" t="n">
        <v>2</v>
      </c>
      <c r="Q595" t="n">
        <v>2</v>
      </c>
      <c r="R595" s="2" t="inlineStr">
        <is>
          <t>Smalfotad taggsvamp
Tajgataggsvamp</t>
        </is>
      </c>
      <c r="S595">
        <f>HYPERLINK("https://klasma.github.io/Logging_2510/artfynd/A 32982-2023 artfynd.xlsx", "A 32982-2023")</f>
        <v/>
      </c>
      <c r="T595">
        <f>HYPERLINK("https://klasma.github.io/Logging_2510/kartor/A 32982-2023 karta.png", "A 32982-2023")</f>
        <v/>
      </c>
      <c r="V595">
        <f>HYPERLINK("https://klasma.github.io/Logging_2510/klagomål/A 32982-2023 FSC-klagomål.docx", "A 32982-2023")</f>
        <v/>
      </c>
      <c r="W595">
        <f>HYPERLINK("https://klasma.github.io/Logging_2510/klagomålsmail/A 32982-2023 FSC-klagomål mail.docx", "A 32982-2023")</f>
        <v/>
      </c>
      <c r="X595">
        <f>HYPERLINK("https://klasma.github.io/Logging_2510/tillsyn/A 32982-2023 tillsynsbegäran.docx", "A 32982-2023")</f>
        <v/>
      </c>
      <c r="Y595">
        <f>HYPERLINK("https://klasma.github.io/Logging_2510/tillsynsmail/A 32982-2023 tillsynsbegäran mail.docx", "A 32982-2023")</f>
        <v/>
      </c>
    </row>
    <row r="596" ht="15" customHeight="1">
      <c r="A596" t="inlineStr">
        <is>
          <t>A 33146-2023</t>
        </is>
      </c>
      <c r="B596" s="1" t="n">
        <v>45114</v>
      </c>
      <c r="C596" s="1" t="n">
        <v>45798</v>
      </c>
      <c r="D596" t="inlineStr">
        <is>
          <t>NORRBOTTENS LÄN</t>
        </is>
      </c>
      <c r="E596" t="inlineStr">
        <is>
          <t>JOKKMOKK</t>
        </is>
      </c>
      <c r="F596" t="inlineStr">
        <is>
          <t>Övriga statliga verk och myndigheter</t>
        </is>
      </c>
      <c r="G596" t="n">
        <v>14.5</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HYPERLINK("https://klasma.github.io/Logging_2510/artfynd/A 33146-2023 artfynd.xlsx", "A 33146-2023")</f>
        <v/>
      </c>
      <c r="T596">
        <f>HYPERLINK("https://klasma.github.io/Logging_2510/kartor/A 33146-2023 karta.png", "A 33146-2023")</f>
        <v/>
      </c>
      <c r="V596">
        <f>HYPERLINK("https://klasma.github.io/Logging_2510/klagomål/A 33146-2023 FSC-klagomål.docx", "A 33146-2023")</f>
        <v/>
      </c>
      <c r="W596">
        <f>HYPERLINK("https://klasma.github.io/Logging_2510/klagomålsmail/A 33146-2023 FSC-klagomål mail.docx", "A 33146-2023")</f>
        <v/>
      </c>
      <c r="X596">
        <f>HYPERLINK("https://klasma.github.io/Logging_2510/tillsyn/A 33146-2023 tillsynsbegäran.docx", "A 33146-2023")</f>
        <v/>
      </c>
      <c r="Y596">
        <f>HYPERLINK("https://klasma.github.io/Logging_2510/tillsynsmail/A 33146-2023 tillsynsbegäran mail.docx", "A 33146-2023")</f>
        <v/>
      </c>
    </row>
    <row r="597" ht="15" customHeight="1">
      <c r="A597" t="inlineStr">
        <is>
          <t>A 32301-2023</t>
        </is>
      </c>
      <c r="B597" s="1" t="n">
        <v>45120</v>
      </c>
      <c r="C597" s="1" t="n">
        <v>45798</v>
      </c>
      <c r="D597" t="inlineStr">
        <is>
          <t>NORRBOTTENS LÄN</t>
        </is>
      </c>
      <c r="E597" t="inlineStr">
        <is>
          <t>PITEÅ</t>
        </is>
      </c>
      <c r="F597" t="inlineStr">
        <is>
          <t>Sveaskog</t>
        </is>
      </c>
      <c r="G597" t="n">
        <v>27.7</v>
      </c>
      <c r="H597" t="n">
        <v>1</v>
      </c>
      <c r="I597" t="n">
        <v>0</v>
      </c>
      <c r="J597" t="n">
        <v>1</v>
      </c>
      <c r="K597" t="n">
        <v>0</v>
      </c>
      <c r="L597" t="n">
        <v>0</v>
      </c>
      <c r="M597" t="n">
        <v>0</v>
      </c>
      <c r="N597" t="n">
        <v>0</v>
      </c>
      <c r="O597" t="n">
        <v>1</v>
      </c>
      <c r="P597" t="n">
        <v>0</v>
      </c>
      <c r="Q597" t="n">
        <v>2</v>
      </c>
      <c r="R597" s="2" t="inlineStr">
        <is>
          <t>Lunglav
Fläcknycklar</t>
        </is>
      </c>
      <c r="S597">
        <f>HYPERLINK("https://klasma.github.io/Logging_2581/artfynd/A 32301-2023 artfynd.xlsx", "A 32301-2023")</f>
        <v/>
      </c>
      <c r="T597">
        <f>HYPERLINK("https://klasma.github.io/Logging_2581/kartor/A 32301-2023 karta.png", "A 32301-2023")</f>
        <v/>
      </c>
      <c r="V597">
        <f>HYPERLINK("https://klasma.github.io/Logging_2581/klagomål/A 32301-2023 FSC-klagomål.docx", "A 32301-2023")</f>
        <v/>
      </c>
      <c r="W597">
        <f>HYPERLINK("https://klasma.github.io/Logging_2581/klagomålsmail/A 32301-2023 FSC-klagomål mail.docx", "A 32301-2023")</f>
        <v/>
      </c>
      <c r="X597">
        <f>HYPERLINK("https://klasma.github.io/Logging_2581/tillsyn/A 32301-2023 tillsynsbegäran.docx", "A 32301-2023")</f>
        <v/>
      </c>
      <c r="Y597">
        <f>HYPERLINK("https://klasma.github.io/Logging_2581/tillsynsmail/A 32301-2023 tillsynsbegäran mail.docx", "A 32301-2023")</f>
        <v/>
      </c>
    </row>
    <row r="598" ht="15" customHeight="1">
      <c r="A598" t="inlineStr">
        <is>
          <t>A 34164-2023</t>
        </is>
      </c>
      <c r="B598" s="1" t="n">
        <v>45137</v>
      </c>
      <c r="C598" s="1" t="n">
        <v>45798</v>
      </c>
      <c r="D598" t="inlineStr">
        <is>
          <t>NORRBOTTENS LÄN</t>
        </is>
      </c>
      <c r="E598" t="inlineStr">
        <is>
          <t>BODEN</t>
        </is>
      </c>
      <c r="F598" t="inlineStr">
        <is>
          <t>SCA</t>
        </is>
      </c>
      <c r="G598" t="n">
        <v>2.2</v>
      </c>
      <c r="H598" t="n">
        <v>1</v>
      </c>
      <c r="I598" t="n">
        <v>0</v>
      </c>
      <c r="J598" t="n">
        <v>2</v>
      </c>
      <c r="K598" t="n">
        <v>0</v>
      </c>
      <c r="L598" t="n">
        <v>0</v>
      </c>
      <c r="M598" t="n">
        <v>0</v>
      </c>
      <c r="N598" t="n">
        <v>0</v>
      </c>
      <c r="O598" t="n">
        <v>2</v>
      </c>
      <c r="P598" t="n">
        <v>0</v>
      </c>
      <c r="Q598" t="n">
        <v>2</v>
      </c>
      <c r="R598" s="2" t="inlineStr">
        <is>
          <t>Garnlav
Tretåig hackspett</t>
        </is>
      </c>
      <c r="S598">
        <f>HYPERLINK("https://klasma.github.io/Logging_2582/artfynd/A 34164-2023 artfynd.xlsx", "A 34164-2023")</f>
        <v/>
      </c>
      <c r="T598">
        <f>HYPERLINK("https://klasma.github.io/Logging_2582/kartor/A 34164-2023 karta.png", "A 34164-2023")</f>
        <v/>
      </c>
      <c r="V598">
        <f>HYPERLINK("https://klasma.github.io/Logging_2582/klagomål/A 34164-2023 FSC-klagomål.docx", "A 34164-2023")</f>
        <v/>
      </c>
      <c r="W598">
        <f>HYPERLINK("https://klasma.github.io/Logging_2582/klagomålsmail/A 34164-2023 FSC-klagomål mail.docx", "A 34164-2023")</f>
        <v/>
      </c>
      <c r="X598">
        <f>HYPERLINK("https://klasma.github.io/Logging_2582/tillsyn/A 34164-2023 tillsynsbegäran.docx", "A 34164-2023")</f>
        <v/>
      </c>
      <c r="Y598">
        <f>HYPERLINK("https://klasma.github.io/Logging_2582/tillsynsmail/A 34164-2023 tillsynsbegäran mail.docx", "A 34164-2023")</f>
        <v/>
      </c>
      <c r="Z598">
        <f>HYPERLINK("https://klasma.github.io/Logging_2582/fåglar/A 34164-2023 prioriterade fågelarter.docx", "A 34164-2023")</f>
        <v/>
      </c>
    </row>
    <row r="599" ht="15" customHeight="1">
      <c r="A599" t="inlineStr">
        <is>
          <t>A 36248-2023</t>
        </is>
      </c>
      <c r="B599" s="1" t="n">
        <v>45150</v>
      </c>
      <c r="C599" s="1" t="n">
        <v>45798</v>
      </c>
      <c r="D599" t="inlineStr">
        <is>
          <t>NORRBOTTENS LÄN</t>
        </is>
      </c>
      <c r="E599" t="inlineStr">
        <is>
          <t>GÄLLIVARE</t>
        </is>
      </c>
      <c r="F599" t="inlineStr">
        <is>
          <t>SCA</t>
        </is>
      </c>
      <c r="G599" t="n">
        <v>6.4</v>
      </c>
      <c r="H599" t="n">
        <v>0</v>
      </c>
      <c r="I599" t="n">
        <v>0</v>
      </c>
      <c r="J599" t="n">
        <v>1</v>
      </c>
      <c r="K599" t="n">
        <v>1</v>
      </c>
      <c r="L599" t="n">
        <v>0</v>
      </c>
      <c r="M599" t="n">
        <v>0</v>
      </c>
      <c r="N599" t="n">
        <v>0</v>
      </c>
      <c r="O599" t="n">
        <v>2</v>
      </c>
      <c r="P599" t="n">
        <v>1</v>
      </c>
      <c r="Q599" t="n">
        <v>2</v>
      </c>
      <c r="R599" s="2" t="inlineStr">
        <is>
          <t>Gräddporing
Nordtagging</t>
        </is>
      </c>
      <c r="S599">
        <f>HYPERLINK("https://klasma.github.io/Logging_2523/artfynd/A 36248-2023 artfynd.xlsx", "A 36248-2023")</f>
        <v/>
      </c>
      <c r="T599">
        <f>HYPERLINK("https://klasma.github.io/Logging_2523/kartor/A 36248-2023 karta.png", "A 36248-2023")</f>
        <v/>
      </c>
      <c r="V599">
        <f>HYPERLINK("https://klasma.github.io/Logging_2523/klagomål/A 36248-2023 FSC-klagomål.docx", "A 36248-2023")</f>
        <v/>
      </c>
      <c r="W599">
        <f>HYPERLINK("https://klasma.github.io/Logging_2523/klagomålsmail/A 36248-2023 FSC-klagomål mail.docx", "A 36248-2023")</f>
        <v/>
      </c>
      <c r="X599">
        <f>HYPERLINK("https://klasma.github.io/Logging_2523/tillsyn/A 36248-2023 tillsynsbegäran.docx", "A 36248-2023")</f>
        <v/>
      </c>
      <c r="Y599">
        <f>HYPERLINK("https://klasma.github.io/Logging_2523/tillsynsmail/A 36248-2023 tillsynsbegäran mail.docx", "A 36248-2023")</f>
        <v/>
      </c>
    </row>
    <row r="600" ht="15" customHeight="1">
      <c r="A600" t="inlineStr">
        <is>
          <t>A 36252-2023</t>
        </is>
      </c>
      <c r="B600" s="1" t="n">
        <v>45150</v>
      </c>
      <c r="C600" s="1" t="n">
        <v>45798</v>
      </c>
      <c r="D600" t="inlineStr">
        <is>
          <t>NORRBOTTENS LÄN</t>
        </is>
      </c>
      <c r="E600" t="inlineStr">
        <is>
          <t>GÄLLIVARE</t>
        </is>
      </c>
      <c r="F600" t="inlineStr">
        <is>
          <t>SCA</t>
        </is>
      </c>
      <c r="G600" t="n">
        <v>14.1</v>
      </c>
      <c r="H600" t="n">
        <v>0</v>
      </c>
      <c r="I600" t="n">
        <v>0</v>
      </c>
      <c r="J600" t="n">
        <v>2</v>
      </c>
      <c r="K600" t="n">
        <v>0</v>
      </c>
      <c r="L600" t="n">
        <v>0</v>
      </c>
      <c r="M600" t="n">
        <v>0</v>
      </c>
      <c r="N600" t="n">
        <v>0</v>
      </c>
      <c r="O600" t="n">
        <v>2</v>
      </c>
      <c r="P600" t="n">
        <v>0</v>
      </c>
      <c r="Q600" t="n">
        <v>2</v>
      </c>
      <c r="R600" s="2" t="inlineStr">
        <is>
          <t>Svartvit taggsvamp
Talltaggsvamp</t>
        </is>
      </c>
      <c r="S600">
        <f>HYPERLINK("https://klasma.github.io/Logging_2523/artfynd/A 36252-2023 artfynd.xlsx", "A 36252-2023")</f>
        <v/>
      </c>
      <c r="T600">
        <f>HYPERLINK("https://klasma.github.io/Logging_2523/kartor/A 36252-2023 karta.png", "A 36252-2023")</f>
        <v/>
      </c>
      <c r="V600">
        <f>HYPERLINK("https://klasma.github.io/Logging_2523/klagomål/A 36252-2023 FSC-klagomål.docx", "A 36252-2023")</f>
        <v/>
      </c>
      <c r="W600">
        <f>HYPERLINK("https://klasma.github.io/Logging_2523/klagomålsmail/A 36252-2023 FSC-klagomål mail.docx", "A 36252-2023")</f>
        <v/>
      </c>
      <c r="X600">
        <f>HYPERLINK("https://klasma.github.io/Logging_2523/tillsyn/A 36252-2023 tillsynsbegäran.docx", "A 36252-2023")</f>
        <v/>
      </c>
      <c r="Y600">
        <f>HYPERLINK("https://klasma.github.io/Logging_2523/tillsynsmail/A 36252-2023 tillsynsbegäran mail.docx", "A 36252-2023")</f>
        <v/>
      </c>
    </row>
    <row r="601" ht="15" customHeight="1">
      <c r="A601" t="inlineStr">
        <is>
          <t>A 36981-2023</t>
        </is>
      </c>
      <c r="B601" s="1" t="n">
        <v>45154</v>
      </c>
      <c r="C601" s="1" t="n">
        <v>45798</v>
      </c>
      <c r="D601" t="inlineStr">
        <is>
          <t>NORRBOTTENS LÄN</t>
        </is>
      </c>
      <c r="E601" t="inlineStr">
        <is>
          <t>GÄLLIVARE</t>
        </is>
      </c>
      <c r="F601" t="inlineStr">
        <is>
          <t>SCA</t>
        </is>
      </c>
      <c r="G601" t="n">
        <v>18.9</v>
      </c>
      <c r="H601" t="n">
        <v>2</v>
      </c>
      <c r="I601" t="n">
        <v>1</v>
      </c>
      <c r="J601" t="n">
        <v>0</v>
      </c>
      <c r="K601" t="n">
        <v>0</v>
      </c>
      <c r="L601" t="n">
        <v>0</v>
      </c>
      <c r="M601" t="n">
        <v>0</v>
      </c>
      <c r="N601" t="n">
        <v>0</v>
      </c>
      <c r="O601" t="n">
        <v>0</v>
      </c>
      <c r="P601" t="n">
        <v>0</v>
      </c>
      <c r="Q601" t="n">
        <v>2</v>
      </c>
      <c r="R601" s="2" t="inlineStr">
        <is>
          <t>Spindelblomster
Revlummer</t>
        </is>
      </c>
      <c r="S601">
        <f>HYPERLINK("https://klasma.github.io/Logging_2523/artfynd/A 36981-2023 artfynd.xlsx", "A 36981-2023")</f>
        <v/>
      </c>
      <c r="T601">
        <f>HYPERLINK("https://klasma.github.io/Logging_2523/kartor/A 36981-2023 karta.png", "A 36981-2023")</f>
        <v/>
      </c>
      <c r="V601">
        <f>HYPERLINK("https://klasma.github.io/Logging_2523/klagomål/A 36981-2023 FSC-klagomål.docx", "A 36981-2023")</f>
        <v/>
      </c>
      <c r="W601">
        <f>HYPERLINK("https://klasma.github.io/Logging_2523/klagomålsmail/A 36981-2023 FSC-klagomål mail.docx", "A 36981-2023")</f>
        <v/>
      </c>
      <c r="X601">
        <f>HYPERLINK("https://klasma.github.io/Logging_2523/tillsyn/A 36981-2023 tillsynsbegäran.docx", "A 36981-2023")</f>
        <v/>
      </c>
      <c r="Y601">
        <f>HYPERLINK("https://klasma.github.io/Logging_2523/tillsynsmail/A 36981-2023 tillsynsbegäran mail.docx", "A 36981-2023")</f>
        <v/>
      </c>
    </row>
    <row r="602" ht="15" customHeight="1">
      <c r="A602" t="inlineStr">
        <is>
          <t>A 38557-2023</t>
        </is>
      </c>
      <c r="B602" s="1" t="n">
        <v>45160</v>
      </c>
      <c r="C602" s="1" t="n">
        <v>45798</v>
      </c>
      <c r="D602" t="inlineStr">
        <is>
          <t>NORRBOTTENS LÄN</t>
        </is>
      </c>
      <c r="E602" t="inlineStr">
        <is>
          <t>PAJALA</t>
        </is>
      </c>
      <c r="G602" t="n">
        <v>14.1</v>
      </c>
      <c r="H602" t="n">
        <v>2</v>
      </c>
      <c r="I602" t="n">
        <v>0</v>
      </c>
      <c r="J602" t="n">
        <v>0</v>
      </c>
      <c r="K602" t="n">
        <v>1</v>
      </c>
      <c r="L602" t="n">
        <v>0</v>
      </c>
      <c r="M602" t="n">
        <v>0</v>
      </c>
      <c r="N602" t="n">
        <v>0</v>
      </c>
      <c r="O602" t="n">
        <v>1</v>
      </c>
      <c r="P602" t="n">
        <v>1</v>
      </c>
      <c r="Q602" t="n">
        <v>2</v>
      </c>
      <c r="R602" s="2" t="inlineStr">
        <is>
          <t>Knärot
Revlummer</t>
        </is>
      </c>
      <c r="S602">
        <f>HYPERLINK("https://klasma.github.io/Logging_2521/artfynd/A 38557-2023 artfynd.xlsx", "A 38557-2023")</f>
        <v/>
      </c>
      <c r="T602">
        <f>HYPERLINK("https://klasma.github.io/Logging_2521/kartor/A 38557-2023 karta.png", "A 38557-2023")</f>
        <v/>
      </c>
      <c r="U602">
        <f>HYPERLINK("https://klasma.github.io/Logging_2521/knärot/A 38557-2023 karta knärot.png", "A 38557-2023")</f>
        <v/>
      </c>
      <c r="V602">
        <f>HYPERLINK("https://klasma.github.io/Logging_2521/klagomål/A 38557-2023 FSC-klagomål.docx", "A 38557-2023")</f>
        <v/>
      </c>
      <c r="W602">
        <f>HYPERLINK("https://klasma.github.io/Logging_2521/klagomålsmail/A 38557-2023 FSC-klagomål mail.docx", "A 38557-2023")</f>
        <v/>
      </c>
      <c r="X602">
        <f>HYPERLINK("https://klasma.github.io/Logging_2521/tillsyn/A 38557-2023 tillsynsbegäran.docx", "A 38557-2023")</f>
        <v/>
      </c>
      <c r="Y602">
        <f>HYPERLINK("https://klasma.github.io/Logging_2521/tillsynsmail/A 38557-2023 tillsynsbegäran mail.docx", "A 38557-2023")</f>
        <v/>
      </c>
    </row>
    <row r="603" ht="15" customHeight="1">
      <c r="A603" t="inlineStr">
        <is>
          <t>A 38161-2023</t>
        </is>
      </c>
      <c r="B603" s="1" t="n">
        <v>45161</v>
      </c>
      <c r="C603" s="1" t="n">
        <v>45798</v>
      </c>
      <c r="D603" t="inlineStr">
        <is>
          <t>NORRBOTTENS LÄN</t>
        </is>
      </c>
      <c r="E603" t="inlineStr">
        <is>
          <t>LULEÅ</t>
        </is>
      </c>
      <c r="G603" t="n">
        <v>23.3</v>
      </c>
      <c r="H603" t="n">
        <v>0</v>
      </c>
      <c r="I603" t="n">
        <v>0</v>
      </c>
      <c r="J603" t="n">
        <v>2</v>
      </c>
      <c r="K603" t="n">
        <v>0</v>
      </c>
      <c r="L603" t="n">
        <v>0</v>
      </c>
      <c r="M603" t="n">
        <v>0</v>
      </c>
      <c r="N603" t="n">
        <v>0</v>
      </c>
      <c r="O603" t="n">
        <v>2</v>
      </c>
      <c r="P603" t="n">
        <v>0</v>
      </c>
      <c r="Q603" t="n">
        <v>2</v>
      </c>
      <c r="R603" s="2" t="inlineStr">
        <is>
          <t>Garnlav
Orange taggsvamp</t>
        </is>
      </c>
      <c r="S603">
        <f>HYPERLINK("https://klasma.github.io/Logging_2580/artfynd/A 38161-2023 artfynd.xlsx", "A 38161-2023")</f>
        <v/>
      </c>
      <c r="T603">
        <f>HYPERLINK("https://klasma.github.io/Logging_2580/kartor/A 38161-2023 karta.png", "A 38161-2023")</f>
        <v/>
      </c>
      <c r="V603">
        <f>HYPERLINK("https://klasma.github.io/Logging_2580/klagomål/A 38161-2023 FSC-klagomål.docx", "A 38161-2023")</f>
        <v/>
      </c>
      <c r="W603">
        <f>HYPERLINK("https://klasma.github.io/Logging_2580/klagomålsmail/A 38161-2023 FSC-klagomål mail.docx", "A 38161-2023")</f>
        <v/>
      </c>
      <c r="X603">
        <f>HYPERLINK("https://klasma.github.io/Logging_2580/tillsyn/A 38161-2023 tillsynsbegäran.docx", "A 38161-2023")</f>
        <v/>
      </c>
      <c r="Y603">
        <f>HYPERLINK("https://klasma.github.io/Logging_2580/tillsynsmail/A 38161-2023 tillsynsbegäran mail.docx", "A 38161-2023")</f>
        <v/>
      </c>
    </row>
    <row r="604" ht="15" customHeight="1">
      <c r="A604" t="inlineStr">
        <is>
          <t>A 39974-2023</t>
        </is>
      </c>
      <c r="B604" s="1" t="n">
        <v>45168</v>
      </c>
      <c r="C604" s="1" t="n">
        <v>45798</v>
      </c>
      <c r="D604" t="inlineStr">
        <is>
          <t>NORRBOTTENS LÄN</t>
        </is>
      </c>
      <c r="E604" t="inlineStr">
        <is>
          <t>BODEN</t>
        </is>
      </c>
      <c r="F604" t="inlineStr">
        <is>
          <t>Sveaskog</t>
        </is>
      </c>
      <c r="G604" t="n">
        <v>12.9</v>
      </c>
      <c r="H604" t="n">
        <v>0</v>
      </c>
      <c r="I604" t="n">
        <v>1</v>
      </c>
      <c r="J604" t="n">
        <v>1</v>
      </c>
      <c r="K604" t="n">
        <v>0</v>
      </c>
      <c r="L604" t="n">
        <v>0</v>
      </c>
      <c r="M604" t="n">
        <v>0</v>
      </c>
      <c r="N604" t="n">
        <v>0</v>
      </c>
      <c r="O604" t="n">
        <v>1</v>
      </c>
      <c r="P604" t="n">
        <v>0</v>
      </c>
      <c r="Q604" t="n">
        <v>2</v>
      </c>
      <c r="R604" s="2" t="inlineStr">
        <is>
          <t>Garnlav
Bronshjon</t>
        </is>
      </c>
      <c r="S604">
        <f>HYPERLINK("https://klasma.github.io/Logging_2582/artfynd/A 39974-2023 artfynd.xlsx", "A 39974-2023")</f>
        <v/>
      </c>
      <c r="T604">
        <f>HYPERLINK("https://klasma.github.io/Logging_2582/kartor/A 39974-2023 karta.png", "A 39974-2023")</f>
        <v/>
      </c>
      <c r="V604">
        <f>HYPERLINK("https://klasma.github.io/Logging_2582/klagomål/A 39974-2023 FSC-klagomål.docx", "A 39974-2023")</f>
        <v/>
      </c>
      <c r="W604">
        <f>HYPERLINK("https://klasma.github.io/Logging_2582/klagomålsmail/A 39974-2023 FSC-klagomål mail.docx", "A 39974-2023")</f>
        <v/>
      </c>
      <c r="X604">
        <f>HYPERLINK("https://klasma.github.io/Logging_2582/tillsyn/A 39974-2023 tillsynsbegäran.docx", "A 39974-2023")</f>
        <v/>
      </c>
      <c r="Y604">
        <f>HYPERLINK("https://klasma.github.io/Logging_2582/tillsynsmail/A 39974-2023 tillsynsbegäran mail.docx", "A 39974-2023")</f>
        <v/>
      </c>
    </row>
    <row r="605" ht="15" customHeight="1">
      <c r="A605" t="inlineStr">
        <is>
          <t>A 40467-2023</t>
        </is>
      </c>
      <c r="B605" s="1" t="n">
        <v>45170</v>
      </c>
      <c r="C605" s="1" t="n">
        <v>45798</v>
      </c>
      <c r="D605" t="inlineStr">
        <is>
          <t>NORRBOTTENS LÄN</t>
        </is>
      </c>
      <c r="E605" t="inlineStr">
        <is>
          <t>BODEN</t>
        </is>
      </c>
      <c r="F605" t="inlineStr">
        <is>
          <t>Sveaskog</t>
        </is>
      </c>
      <c r="G605" t="n">
        <v>22.7</v>
      </c>
      <c r="H605" t="n">
        <v>1</v>
      </c>
      <c r="I605" t="n">
        <v>0</v>
      </c>
      <c r="J605" t="n">
        <v>1</v>
      </c>
      <c r="K605" t="n">
        <v>1</v>
      </c>
      <c r="L605" t="n">
        <v>0</v>
      </c>
      <c r="M605" t="n">
        <v>0</v>
      </c>
      <c r="N605" t="n">
        <v>0</v>
      </c>
      <c r="O605" t="n">
        <v>2</v>
      </c>
      <c r="P605" t="n">
        <v>1</v>
      </c>
      <c r="Q605" t="n">
        <v>2</v>
      </c>
      <c r="R605" s="2" t="inlineStr">
        <is>
          <t>Knärot
Mörk kolflarnlav</t>
        </is>
      </c>
      <c r="S605">
        <f>HYPERLINK("https://klasma.github.io/Logging_2582/artfynd/A 40467-2023 artfynd.xlsx", "A 40467-2023")</f>
        <v/>
      </c>
      <c r="T605">
        <f>HYPERLINK("https://klasma.github.io/Logging_2582/kartor/A 40467-2023 karta.png", "A 40467-2023")</f>
        <v/>
      </c>
      <c r="U605">
        <f>HYPERLINK("https://klasma.github.io/Logging_2582/knärot/A 40467-2023 karta knärot.png", "A 40467-2023")</f>
        <v/>
      </c>
      <c r="V605">
        <f>HYPERLINK("https://klasma.github.io/Logging_2582/klagomål/A 40467-2023 FSC-klagomål.docx", "A 40467-2023")</f>
        <v/>
      </c>
      <c r="W605">
        <f>HYPERLINK("https://klasma.github.io/Logging_2582/klagomålsmail/A 40467-2023 FSC-klagomål mail.docx", "A 40467-2023")</f>
        <v/>
      </c>
      <c r="X605">
        <f>HYPERLINK("https://klasma.github.io/Logging_2582/tillsyn/A 40467-2023 tillsynsbegäran.docx", "A 40467-2023")</f>
        <v/>
      </c>
      <c r="Y605">
        <f>HYPERLINK("https://klasma.github.io/Logging_2582/tillsynsmail/A 40467-2023 tillsynsbegäran mail.docx", "A 40467-2023")</f>
        <v/>
      </c>
    </row>
    <row r="606" ht="15" customHeight="1">
      <c r="A606" t="inlineStr">
        <is>
          <t>A 40706-2023</t>
        </is>
      </c>
      <c r="B606" s="1" t="n">
        <v>45170</v>
      </c>
      <c r="C606" s="1" t="n">
        <v>45798</v>
      </c>
      <c r="D606" t="inlineStr">
        <is>
          <t>NORRBOTTENS LÄN</t>
        </is>
      </c>
      <c r="E606" t="inlineStr">
        <is>
          <t>ÖVERKALIX</t>
        </is>
      </c>
      <c r="F606" t="inlineStr">
        <is>
          <t>Sveaskog</t>
        </is>
      </c>
      <c r="G606" t="n">
        <v>7.1</v>
      </c>
      <c r="H606" t="n">
        <v>1</v>
      </c>
      <c r="I606" t="n">
        <v>1</v>
      </c>
      <c r="J606" t="n">
        <v>0</v>
      </c>
      <c r="K606" t="n">
        <v>1</v>
      </c>
      <c r="L606" t="n">
        <v>0</v>
      </c>
      <c r="M606" t="n">
        <v>0</v>
      </c>
      <c r="N606" t="n">
        <v>0</v>
      </c>
      <c r="O606" t="n">
        <v>1</v>
      </c>
      <c r="P606" t="n">
        <v>1</v>
      </c>
      <c r="Q606" t="n">
        <v>2</v>
      </c>
      <c r="R606" s="2" t="inlineStr">
        <is>
          <t>Knärot
Dropptaggsvamp</t>
        </is>
      </c>
      <c r="S606">
        <f>HYPERLINK("https://klasma.github.io/Logging_2513/artfynd/A 40706-2023 artfynd.xlsx", "A 40706-2023")</f>
        <v/>
      </c>
      <c r="T606">
        <f>HYPERLINK("https://klasma.github.io/Logging_2513/kartor/A 40706-2023 karta.png", "A 40706-2023")</f>
        <v/>
      </c>
      <c r="U606">
        <f>HYPERLINK("https://klasma.github.io/Logging_2513/knärot/A 40706-2023 karta knärot.png", "A 40706-2023")</f>
        <v/>
      </c>
      <c r="V606">
        <f>HYPERLINK("https://klasma.github.io/Logging_2513/klagomål/A 40706-2023 FSC-klagomål.docx", "A 40706-2023")</f>
        <v/>
      </c>
      <c r="W606">
        <f>HYPERLINK("https://klasma.github.io/Logging_2513/klagomålsmail/A 40706-2023 FSC-klagomål mail.docx", "A 40706-2023")</f>
        <v/>
      </c>
      <c r="X606">
        <f>HYPERLINK("https://klasma.github.io/Logging_2513/tillsyn/A 40706-2023 tillsynsbegäran.docx", "A 40706-2023")</f>
        <v/>
      </c>
      <c r="Y606">
        <f>HYPERLINK("https://klasma.github.io/Logging_2513/tillsynsmail/A 40706-2023 tillsynsbegäran mail.docx", "A 40706-2023")</f>
        <v/>
      </c>
    </row>
    <row r="607" ht="15" customHeight="1">
      <c r="A607" t="inlineStr">
        <is>
          <t>A 41650-2023</t>
        </is>
      </c>
      <c r="B607" s="1" t="n">
        <v>45175</v>
      </c>
      <c r="C607" s="1" t="n">
        <v>45798</v>
      </c>
      <c r="D607" t="inlineStr">
        <is>
          <t>NORRBOTTENS LÄN</t>
        </is>
      </c>
      <c r="E607" t="inlineStr">
        <is>
          <t>GÄLLIVARE</t>
        </is>
      </c>
      <c r="F607" t="inlineStr">
        <is>
          <t>SCA</t>
        </is>
      </c>
      <c r="G607" t="n">
        <v>16.1</v>
      </c>
      <c r="H607" t="n">
        <v>0</v>
      </c>
      <c r="I607" t="n">
        <v>0</v>
      </c>
      <c r="J607" t="n">
        <v>1</v>
      </c>
      <c r="K607" t="n">
        <v>1</v>
      </c>
      <c r="L607" t="n">
        <v>0</v>
      </c>
      <c r="M607" t="n">
        <v>0</v>
      </c>
      <c r="N607" t="n">
        <v>0</v>
      </c>
      <c r="O607" t="n">
        <v>2</v>
      </c>
      <c r="P607" t="n">
        <v>1</v>
      </c>
      <c r="Q607" t="n">
        <v>2</v>
      </c>
      <c r="R607" s="2" t="inlineStr">
        <is>
          <t>Gräddporing
Vaddporing</t>
        </is>
      </c>
      <c r="S607">
        <f>HYPERLINK("https://klasma.github.io/Logging_2523/artfynd/A 41650-2023 artfynd.xlsx", "A 41650-2023")</f>
        <v/>
      </c>
      <c r="T607">
        <f>HYPERLINK("https://klasma.github.io/Logging_2523/kartor/A 41650-2023 karta.png", "A 41650-2023")</f>
        <v/>
      </c>
      <c r="V607">
        <f>HYPERLINK("https://klasma.github.io/Logging_2523/klagomål/A 41650-2023 FSC-klagomål.docx", "A 41650-2023")</f>
        <v/>
      </c>
      <c r="W607">
        <f>HYPERLINK("https://klasma.github.io/Logging_2523/klagomålsmail/A 41650-2023 FSC-klagomål mail.docx", "A 41650-2023")</f>
        <v/>
      </c>
      <c r="X607">
        <f>HYPERLINK("https://klasma.github.io/Logging_2523/tillsyn/A 41650-2023 tillsynsbegäran.docx", "A 41650-2023")</f>
        <v/>
      </c>
      <c r="Y607">
        <f>HYPERLINK("https://klasma.github.io/Logging_2523/tillsynsmail/A 41650-2023 tillsynsbegäran mail.docx", "A 41650-2023")</f>
        <v/>
      </c>
    </row>
    <row r="608" ht="15" customHeight="1">
      <c r="A608" t="inlineStr">
        <is>
          <t>A 41651-2023</t>
        </is>
      </c>
      <c r="B608" s="1" t="n">
        <v>45175</v>
      </c>
      <c r="C608" s="1" t="n">
        <v>45798</v>
      </c>
      <c r="D608" t="inlineStr">
        <is>
          <t>NORRBOTTENS LÄN</t>
        </is>
      </c>
      <c r="E608" t="inlineStr">
        <is>
          <t>GÄLLIVARE</t>
        </is>
      </c>
      <c r="F608" t="inlineStr">
        <is>
          <t>SCA</t>
        </is>
      </c>
      <c r="G608" t="n">
        <v>2.7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HYPERLINK("https://klasma.github.io/Logging_2523/artfynd/A 41651-2023 artfynd.xlsx", "A 41651-2023")</f>
        <v/>
      </c>
      <c r="T608">
        <f>HYPERLINK("https://klasma.github.io/Logging_2523/kartor/A 41651-2023 karta.png", "A 41651-2023")</f>
        <v/>
      </c>
      <c r="V608">
        <f>HYPERLINK("https://klasma.github.io/Logging_2523/klagomål/A 41651-2023 FSC-klagomål.docx", "A 41651-2023")</f>
        <v/>
      </c>
      <c r="W608">
        <f>HYPERLINK("https://klasma.github.io/Logging_2523/klagomålsmail/A 41651-2023 FSC-klagomål mail.docx", "A 41651-2023")</f>
        <v/>
      </c>
      <c r="X608">
        <f>HYPERLINK("https://klasma.github.io/Logging_2523/tillsyn/A 41651-2023 tillsynsbegäran.docx", "A 41651-2023")</f>
        <v/>
      </c>
      <c r="Y608">
        <f>HYPERLINK("https://klasma.github.io/Logging_2523/tillsynsmail/A 41651-2023 tillsynsbegäran mail.docx", "A 41651-2023")</f>
        <v/>
      </c>
      <c r="Z608">
        <f>HYPERLINK("https://klasma.github.io/Logging_2523/fåglar/A 41651-2023 prioriterade fågelarter.docx", "A 41651-2023")</f>
        <v/>
      </c>
    </row>
    <row r="609" ht="15" customHeight="1">
      <c r="A609" t="inlineStr">
        <is>
          <t>A 43898-2023</t>
        </is>
      </c>
      <c r="B609" s="1" t="n">
        <v>45187</v>
      </c>
      <c r="C609" s="1" t="n">
        <v>45798</v>
      </c>
      <c r="D609" t="inlineStr">
        <is>
          <t>NORRBOTTENS LÄN</t>
        </is>
      </c>
      <c r="E609" t="inlineStr">
        <is>
          <t>PITEÅ</t>
        </is>
      </c>
      <c r="G609" t="n">
        <v>3.3</v>
      </c>
      <c r="H609" t="n">
        <v>2</v>
      </c>
      <c r="I609" t="n">
        <v>0</v>
      </c>
      <c r="J609" t="n">
        <v>1</v>
      </c>
      <c r="K609" t="n">
        <v>0</v>
      </c>
      <c r="L609" t="n">
        <v>0</v>
      </c>
      <c r="M609" t="n">
        <v>0</v>
      </c>
      <c r="N609" t="n">
        <v>0</v>
      </c>
      <c r="O609" t="n">
        <v>1</v>
      </c>
      <c r="P609" t="n">
        <v>0</v>
      </c>
      <c r="Q609" t="n">
        <v>2</v>
      </c>
      <c r="R609" s="2" t="inlineStr">
        <is>
          <t>Spillkråka
Revlummer</t>
        </is>
      </c>
      <c r="S609">
        <f>HYPERLINK("https://klasma.github.io/Logging_2581/artfynd/A 43898-2023 artfynd.xlsx", "A 43898-2023")</f>
        <v/>
      </c>
      <c r="T609">
        <f>HYPERLINK("https://klasma.github.io/Logging_2581/kartor/A 43898-2023 karta.png", "A 43898-2023")</f>
        <v/>
      </c>
      <c r="V609">
        <f>HYPERLINK("https://klasma.github.io/Logging_2581/klagomål/A 43898-2023 FSC-klagomål.docx", "A 43898-2023")</f>
        <v/>
      </c>
      <c r="W609">
        <f>HYPERLINK("https://klasma.github.io/Logging_2581/klagomålsmail/A 43898-2023 FSC-klagomål mail.docx", "A 43898-2023")</f>
        <v/>
      </c>
      <c r="X609">
        <f>HYPERLINK("https://klasma.github.io/Logging_2581/tillsyn/A 43898-2023 tillsynsbegäran.docx", "A 43898-2023")</f>
        <v/>
      </c>
      <c r="Y609">
        <f>HYPERLINK("https://klasma.github.io/Logging_2581/tillsynsmail/A 43898-2023 tillsynsbegäran mail.docx", "A 43898-2023")</f>
        <v/>
      </c>
      <c r="Z609">
        <f>HYPERLINK("https://klasma.github.io/Logging_2581/fåglar/A 43898-2023 prioriterade fågelarter.docx", "A 43898-2023")</f>
        <v/>
      </c>
    </row>
    <row r="610" ht="15" customHeight="1">
      <c r="A610" t="inlineStr">
        <is>
          <t>A 44185-2023</t>
        </is>
      </c>
      <c r="B610" s="1" t="n">
        <v>45188</v>
      </c>
      <c r="C610" s="1" t="n">
        <v>45798</v>
      </c>
      <c r="D610" t="inlineStr">
        <is>
          <t>NORRBOTTENS LÄN</t>
        </is>
      </c>
      <c r="E610" t="inlineStr">
        <is>
          <t>BODEN</t>
        </is>
      </c>
      <c r="F610" t="inlineStr">
        <is>
          <t>Sveaskog</t>
        </is>
      </c>
      <c r="G610" t="n">
        <v>22</v>
      </c>
      <c r="H610" t="n">
        <v>1</v>
      </c>
      <c r="I610" t="n">
        <v>1</v>
      </c>
      <c r="J610" t="n">
        <v>0</v>
      </c>
      <c r="K610" t="n">
        <v>1</v>
      </c>
      <c r="L610" t="n">
        <v>0</v>
      </c>
      <c r="M610" t="n">
        <v>0</v>
      </c>
      <c r="N610" t="n">
        <v>0</v>
      </c>
      <c r="O610" t="n">
        <v>1</v>
      </c>
      <c r="P610" t="n">
        <v>1</v>
      </c>
      <c r="Q610" t="n">
        <v>2</v>
      </c>
      <c r="R610" s="2" t="inlineStr">
        <is>
          <t>Doftticka
Stuplav</t>
        </is>
      </c>
      <c r="S610">
        <f>HYPERLINK("https://klasma.github.io/Logging_2582/artfynd/A 44185-2023 artfynd.xlsx", "A 44185-2023")</f>
        <v/>
      </c>
      <c r="T610">
        <f>HYPERLINK("https://klasma.github.io/Logging_2582/kartor/A 44185-2023 karta.png", "A 44185-2023")</f>
        <v/>
      </c>
      <c r="V610">
        <f>HYPERLINK("https://klasma.github.io/Logging_2582/klagomål/A 44185-2023 FSC-klagomål.docx", "A 44185-2023")</f>
        <v/>
      </c>
      <c r="W610">
        <f>HYPERLINK("https://klasma.github.io/Logging_2582/klagomålsmail/A 44185-2023 FSC-klagomål mail.docx", "A 44185-2023")</f>
        <v/>
      </c>
      <c r="X610">
        <f>HYPERLINK("https://klasma.github.io/Logging_2582/tillsyn/A 44185-2023 tillsynsbegäran.docx", "A 44185-2023")</f>
        <v/>
      </c>
      <c r="Y610">
        <f>HYPERLINK("https://klasma.github.io/Logging_2582/tillsynsmail/A 44185-2023 tillsynsbegäran mail.docx", "A 44185-2023")</f>
        <v/>
      </c>
    </row>
    <row r="611" ht="15" customHeight="1">
      <c r="A611" t="inlineStr">
        <is>
          <t>A 45030-2023</t>
        </is>
      </c>
      <c r="B611" s="1" t="n">
        <v>45190</v>
      </c>
      <c r="C611" s="1" t="n">
        <v>45798</v>
      </c>
      <c r="D611" t="inlineStr">
        <is>
          <t>NORRBOTTENS LÄN</t>
        </is>
      </c>
      <c r="E611" t="inlineStr">
        <is>
          <t>ARJEPLOG</t>
        </is>
      </c>
      <c r="F611" t="inlineStr">
        <is>
          <t>Övriga statliga verk och myndigheter</t>
        </is>
      </c>
      <c r="G611" t="n">
        <v>3.8</v>
      </c>
      <c r="H611" t="n">
        <v>0</v>
      </c>
      <c r="I611" t="n">
        <v>0</v>
      </c>
      <c r="J611" t="n">
        <v>2</v>
      </c>
      <c r="K611" t="n">
        <v>0</v>
      </c>
      <c r="L611" t="n">
        <v>0</v>
      </c>
      <c r="M611" t="n">
        <v>0</v>
      </c>
      <c r="N611" t="n">
        <v>0</v>
      </c>
      <c r="O611" t="n">
        <v>2</v>
      </c>
      <c r="P611" t="n">
        <v>0</v>
      </c>
      <c r="Q611" t="n">
        <v>2</v>
      </c>
      <c r="R611" s="2" t="inlineStr">
        <is>
          <t>Harticka
Ullticka</t>
        </is>
      </c>
      <c r="S611">
        <f>HYPERLINK("https://klasma.github.io/Logging_2506/artfynd/A 45030-2023 artfynd.xlsx", "A 45030-2023")</f>
        <v/>
      </c>
      <c r="T611">
        <f>HYPERLINK("https://klasma.github.io/Logging_2506/kartor/A 45030-2023 karta.png", "A 45030-2023")</f>
        <v/>
      </c>
      <c r="V611">
        <f>HYPERLINK("https://klasma.github.io/Logging_2506/klagomål/A 45030-2023 FSC-klagomål.docx", "A 45030-2023")</f>
        <v/>
      </c>
      <c r="W611">
        <f>HYPERLINK("https://klasma.github.io/Logging_2506/klagomålsmail/A 45030-2023 FSC-klagomål mail.docx", "A 45030-2023")</f>
        <v/>
      </c>
      <c r="X611">
        <f>HYPERLINK("https://klasma.github.io/Logging_2506/tillsyn/A 45030-2023 tillsynsbegäran.docx", "A 45030-2023")</f>
        <v/>
      </c>
      <c r="Y611">
        <f>HYPERLINK("https://klasma.github.io/Logging_2506/tillsynsmail/A 45030-2023 tillsynsbegäran mail.docx", "A 45030-2023")</f>
        <v/>
      </c>
    </row>
    <row r="612" ht="15" customHeight="1">
      <c r="A612" t="inlineStr">
        <is>
          <t>A 45032-2023</t>
        </is>
      </c>
      <c r="B612" s="1" t="n">
        <v>45190</v>
      </c>
      <c r="C612" s="1" t="n">
        <v>45798</v>
      </c>
      <c r="D612" t="inlineStr">
        <is>
          <t>NORRBOTTENS LÄN</t>
        </is>
      </c>
      <c r="E612" t="inlineStr">
        <is>
          <t>ARJEPLOG</t>
        </is>
      </c>
      <c r="F612" t="inlineStr">
        <is>
          <t>Övriga statliga verk och myndigheter</t>
        </is>
      </c>
      <c r="G612" t="n">
        <v>6.3</v>
      </c>
      <c r="H612" t="n">
        <v>1</v>
      </c>
      <c r="I612" t="n">
        <v>0</v>
      </c>
      <c r="J612" t="n">
        <v>2</v>
      </c>
      <c r="K612" t="n">
        <v>0</v>
      </c>
      <c r="L612" t="n">
        <v>0</v>
      </c>
      <c r="M612" t="n">
        <v>0</v>
      </c>
      <c r="N612" t="n">
        <v>0</v>
      </c>
      <c r="O612" t="n">
        <v>2</v>
      </c>
      <c r="P612" t="n">
        <v>0</v>
      </c>
      <c r="Q612" t="n">
        <v>2</v>
      </c>
      <c r="R612" s="2" t="inlineStr">
        <is>
          <t>Gammelgransskål
Tretåig hackspett</t>
        </is>
      </c>
      <c r="S612">
        <f>HYPERLINK("https://klasma.github.io/Logging_2506/artfynd/A 45032-2023 artfynd.xlsx", "A 45032-2023")</f>
        <v/>
      </c>
      <c r="T612">
        <f>HYPERLINK("https://klasma.github.io/Logging_2506/kartor/A 45032-2023 karta.png", "A 45032-2023")</f>
        <v/>
      </c>
      <c r="V612">
        <f>HYPERLINK("https://klasma.github.io/Logging_2506/klagomål/A 45032-2023 FSC-klagomål.docx", "A 45032-2023")</f>
        <v/>
      </c>
      <c r="W612">
        <f>HYPERLINK("https://klasma.github.io/Logging_2506/klagomålsmail/A 45032-2023 FSC-klagomål mail.docx", "A 45032-2023")</f>
        <v/>
      </c>
      <c r="X612">
        <f>HYPERLINK("https://klasma.github.io/Logging_2506/tillsyn/A 45032-2023 tillsynsbegäran.docx", "A 45032-2023")</f>
        <v/>
      </c>
      <c r="Y612">
        <f>HYPERLINK("https://klasma.github.io/Logging_2506/tillsynsmail/A 45032-2023 tillsynsbegäran mail.docx", "A 45032-2023")</f>
        <v/>
      </c>
      <c r="Z612">
        <f>HYPERLINK("https://klasma.github.io/Logging_2506/fåglar/A 45032-2023 prioriterade fågelarter.docx", "A 45032-2023")</f>
        <v/>
      </c>
    </row>
    <row r="613" ht="15" customHeight="1">
      <c r="A613" t="inlineStr">
        <is>
          <t>A 47696-2023</t>
        </is>
      </c>
      <c r="B613" s="1" t="n">
        <v>45198</v>
      </c>
      <c r="C613" s="1" t="n">
        <v>45798</v>
      </c>
      <c r="D613" t="inlineStr">
        <is>
          <t>NORRBOTTENS LÄN</t>
        </is>
      </c>
      <c r="E613" t="inlineStr">
        <is>
          <t>ÖVERKALIX</t>
        </is>
      </c>
      <c r="G613" t="n">
        <v>10</v>
      </c>
      <c r="H613" t="n">
        <v>0</v>
      </c>
      <c r="I613" t="n">
        <v>0</v>
      </c>
      <c r="J613" t="n">
        <v>1</v>
      </c>
      <c r="K613" t="n">
        <v>1</v>
      </c>
      <c r="L613" t="n">
        <v>0</v>
      </c>
      <c r="M613" t="n">
        <v>0</v>
      </c>
      <c r="N613" t="n">
        <v>0</v>
      </c>
      <c r="O613" t="n">
        <v>2</v>
      </c>
      <c r="P613" t="n">
        <v>1</v>
      </c>
      <c r="Q613" t="n">
        <v>2</v>
      </c>
      <c r="R613" s="2" t="inlineStr">
        <is>
          <t>Tallgråticka
Skrovlig taggsvamp</t>
        </is>
      </c>
      <c r="S613">
        <f>HYPERLINK("https://klasma.github.io/Logging_2513/artfynd/A 47696-2023 artfynd.xlsx", "A 47696-2023")</f>
        <v/>
      </c>
      <c r="T613">
        <f>HYPERLINK("https://klasma.github.io/Logging_2513/kartor/A 47696-2023 karta.png", "A 47696-2023")</f>
        <v/>
      </c>
      <c r="V613">
        <f>HYPERLINK("https://klasma.github.io/Logging_2513/klagomål/A 47696-2023 FSC-klagomål.docx", "A 47696-2023")</f>
        <v/>
      </c>
      <c r="W613">
        <f>HYPERLINK("https://klasma.github.io/Logging_2513/klagomålsmail/A 47696-2023 FSC-klagomål mail.docx", "A 47696-2023")</f>
        <v/>
      </c>
      <c r="X613">
        <f>HYPERLINK("https://klasma.github.io/Logging_2513/tillsyn/A 47696-2023 tillsynsbegäran.docx", "A 47696-2023")</f>
        <v/>
      </c>
      <c r="Y613">
        <f>HYPERLINK("https://klasma.github.io/Logging_2513/tillsynsmail/A 47696-2023 tillsynsbegäran mail.docx", "A 47696-2023")</f>
        <v/>
      </c>
    </row>
    <row r="614" ht="15" customHeight="1">
      <c r="A614" t="inlineStr">
        <is>
          <t>A 46856-2023</t>
        </is>
      </c>
      <c r="B614" s="1" t="n">
        <v>45200</v>
      </c>
      <c r="C614" s="1" t="n">
        <v>45798</v>
      </c>
      <c r="D614" t="inlineStr">
        <is>
          <t>NORRBOTTENS LÄN</t>
        </is>
      </c>
      <c r="E614" t="inlineStr">
        <is>
          <t>GÄLLIVARE</t>
        </is>
      </c>
      <c r="F614" t="inlineStr">
        <is>
          <t>SCA</t>
        </is>
      </c>
      <c r="G614" t="n">
        <v>15.2</v>
      </c>
      <c r="H614" t="n">
        <v>1</v>
      </c>
      <c r="I614" t="n">
        <v>0</v>
      </c>
      <c r="J614" t="n">
        <v>2</v>
      </c>
      <c r="K614" t="n">
        <v>0</v>
      </c>
      <c r="L614" t="n">
        <v>0</v>
      </c>
      <c r="M614" t="n">
        <v>0</v>
      </c>
      <c r="N614" t="n">
        <v>0</v>
      </c>
      <c r="O614" t="n">
        <v>2</v>
      </c>
      <c r="P614" t="n">
        <v>0</v>
      </c>
      <c r="Q614" t="n">
        <v>2</v>
      </c>
      <c r="R614" s="2" t="inlineStr">
        <is>
          <t>Garnlav
Tretåig hackspett</t>
        </is>
      </c>
      <c r="S614">
        <f>HYPERLINK("https://klasma.github.io/Logging_2523/artfynd/A 46856-2023 artfynd.xlsx", "A 46856-2023")</f>
        <v/>
      </c>
      <c r="T614">
        <f>HYPERLINK("https://klasma.github.io/Logging_2523/kartor/A 46856-2023 karta.png", "A 46856-2023")</f>
        <v/>
      </c>
      <c r="V614">
        <f>HYPERLINK("https://klasma.github.io/Logging_2523/klagomål/A 46856-2023 FSC-klagomål.docx", "A 46856-2023")</f>
        <v/>
      </c>
      <c r="W614">
        <f>HYPERLINK("https://klasma.github.io/Logging_2523/klagomålsmail/A 46856-2023 FSC-klagomål mail.docx", "A 46856-2023")</f>
        <v/>
      </c>
      <c r="X614">
        <f>HYPERLINK("https://klasma.github.io/Logging_2523/tillsyn/A 46856-2023 tillsynsbegäran.docx", "A 46856-2023")</f>
        <v/>
      </c>
      <c r="Y614">
        <f>HYPERLINK("https://klasma.github.io/Logging_2523/tillsynsmail/A 46856-2023 tillsynsbegäran mail.docx", "A 46856-2023")</f>
        <v/>
      </c>
      <c r="Z614">
        <f>HYPERLINK("https://klasma.github.io/Logging_2523/fåglar/A 46856-2023 prioriterade fågelarter.docx", "A 46856-2023")</f>
        <v/>
      </c>
    </row>
    <row r="615" ht="15" customHeight="1">
      <c r="A615" t="inlineStr">
        <is>
          <t>A 47131-2023</t>
        </is>
      </c>
      <c r="B615" s="1" t="n">
        <v>45201</v>
      </c>
      <c r="C615" s="1" t="n">
        <v>45798</v>
      </c>
      <c r="D615" t="inlineStr">
        <is>
          <t>NORRBOTTENS LÄN</t>
        </is>
      </c>
      <c r="E615" t="inlineStr">
        <is>
          <t>ÄLVSBYN</t>
        </is>
      </c>
      <c r="F615" t="inlineStr">
        <is>
          <t>Sveaskog</t>
        </is>
      </c>
      <c r="G615" t="n">
        <v>13.6</v>
      </c>
      <c r="H615" t="n">
        <v>0</v>
      </c>
      <c r="I615" t="n">
        <v>0</v>
      </c>
      <c r="J615" t="n">
        <v>2</v>
      </c>
      <c r="K615" t="n">
        <v>0</v>
      </c>
      <c r="L615" t="n">
        <v>0</v>
      </c>
      <c r="M615" t="n">
        <v>0</v>
      </c>
      <c r="N615" t="n">
        <v>0</v>
      </c>
      <c r="O615" t="n">
        <v>2</v>
      </c>
      <c r="P615" t="n">
        <v>0</v>
      </c>
      <c r="Q615" t="n">
        <v>2</v>
      </c>
      <c r="R615" s="2" t="inlineStr">
        <is>
          <t>Lunglav
Tallriska</t>
        </is>
      </c>
      <c r="S615">
        <f>HYPERLINK("https://klasma.github.io/Logging_2560/artfynd/A 47131-2023 artfynd.xlsx", "A 47131-2023")</f>
        <v/>
      </c>
      <c r="T615">
        <f>HYPERLINK("https://klasma.github.io/Logging_2560/kartor/A 47131-2023 karta.png", "A 47131-2023")</f>
        <v/>
      </c>
      <c r="V615">
        <f>HYPERLINK("https://klasma.github.io/Logging_2560/klagomål/A 47131-2023 FSC-klagomål.docx", "A 47131-2023")</f>
        <v/>
      </c>
      <c r="W615">
        <f>HYPERLINK("https://klasma.github.io/Logging_2560/klagomålsmail/A 47131-2023 FSC-klagomål mail.docx", "A 47131-2023")</f>
        <v/>
      </c>
      <c r="X615">
        <f>HYPERLINK("https://klasma.github.io/Logging_2560/tillsyn/A 47131-2023 tillsynsbegäran.docx", "A 47131-2023")</f>
        <v/>
      </c>
      <c r="Y615">
        <f>HYPERLINK("https://klasma.github.io/Logging_2560/tillsynsmail/A 47131-2023 tillsynsbegäran mail.docx", "A 47131-2023")</f>
        <v/>
      </c>
    </row>
    <row r="616" ht="15" customHeight="1">
      <c r="A616" t="inlineStr">
        <is>
          <t>A 47807-2023</t>
        </is>
      </c>
      <c r="B616" s="1" t="n">
        <v>45204</v>
      </c>
      <c r="C616" s="1" t="n">
        <v>45798</v>
      </c>
      <c r="D616" t="inlineStr">
        <is>
          <t>NORRBOTTENS LÄN</t>
        </is>
      </c>
      <c r="E616" t="inlineStr">
        <is>
          <t>ARVIDSJAUR</t>
        </is>
      </c>
      <c r="F616" t="inlineStr">
        <is>
          <t>Sveaskog</t>
        </is>
      </c>
      <c r="G616" t="n">
        <v>15.3</v>
      </c>
      <c r="H616" t="n">
        <v>2</v>
      </c>
      <c r="I616" t="n">
        <v>0</v>
      </c>
      <c r="J616" t="n">
        <v>2</v>
      </c>
      <c r="K616" t="n">
        <v>0</v>
      </c>
      <c r="L616" t="n">
        <v>0</v>
      </c>
      <c r="M616" t="n">
        <v>0</v>
      </c>
      <c r="N616" t="n">
        <v>0</v>
      </c>
      <c r="O616" t="n">
        <v>2</v>
      </c>
      <c r="P616" t="n">
        <v>0</v>
      </c>
      <c r="Q616" t="n">
        <v>2</v>
      </c>
      <c r="R616" s="2" t="inlineStr">
        <is>
          <t>Järpe
Talltita</t>
        </is>
      </c>
      <c r="S616">
        <f>HYPERLINK("https://klasma.github.io/Logging_2505/artfynd/A 47807-2023 artfynd.xlsx", "A 47807-2023")</f>
        <v/>
      </c>
      <c r="T616">
        <f>HYPERLINK("https://klasma.github.io/Logging_2505/kartor/A 47807-2023 karta.png", "A 47807-2023")</f>
        <v/>
      </c>
      <c r="V616">
        <f>HYPERLINK("https://klasma.github.io/Logging_2505/klagomål/A 47807-2023 FSC-klagomål.docx", "A 47807-2023")</f>
        <v/>
      </c>
      <c r="W616">
        <f>HYPERLINK("https://klasma.github.io/Logging_2505/klagomålsmail/A 47807-2023 FSC-klagomål mail.docx", "A 47807-2023")</f>
        <v/>
      </c>
      <c r="X616">
        <f>HYPERLINK("https://klasma.github.io/Logging_2505/tillsyn/A 47807-2023 tillsynsbegäran.docx", "A 47807-2023")</f>
        <v/>
      </c>
      <c r="Y616">
        <f>HYPERLINK("https://klasma.github.io/Logging_2505/tillsynsmail/A 47807-2023 tillsynsbegäran mail.docx", "A 47807-2023")</f>
        <v/>
      </c>
      <c r="Z616">
        <f>HYPERLINK("https://klasma.github.io/Logging_2505/fåglar/A 47807-2023 prioriterade fågelarter.docx", "A 47807-2023")</f>
        <v/>
      </c>
    </row>
    <row r="617" ht="15" customHeight="1">
      <c r="A617" t="inlineStr">
        <is>
          <t>A 48980-2023</t>
        </is>
      </c>
      <c r="B617" s="1" t="n">
        <v>45209</v>
      </c>
      <c r="C617" s="1" t="n">
        <v>45798</v>
      </c>
      <c r="D617" t="inlineStr">
        <is>
          <t>NORRBOTTENS LÄN</t>
        </is>
      </c>
      <c r="E617" t="inlineStr">
        <is>
          <t>PITEÅ</t>
        </is>
      </c>
      <c r="G617" t="n">
        <v>15.1</v>
      </c>
      <c r="H617" t="n">
        <v>0</v>
      </c>
      <c r="I617" t="n">
        <v>1</v>
      </c>
      <c r="J617" t="n">
        <v>1</v>
      </c>
      <c r="K617" t="n">
        <v>0</v>
      </c>
      <c r="L617" t="n">
        <v>0</v>
      </c>
      <c r="M617" t="n">
        <v>0</v>
      </c>
      <c r="N617" t="n">
        <v>0</v>
      </c>
      <c r="O617" t="n">
        <v>1</v>
      </c>
      <c r="P617" t="n">
        <v>0</v>
      </c>
      <c r="Q617" t="n">
        <v>2</v>
      </c>
      <c r="R617" s="2" t="inlineStr">
        <is>
          <t>Lunglav
Skinnlav</t>
        </is>
      </c>
      <c r="S617">
        <f>HYPERLINK("https://klasma.github.io/Logging_2581/artfynd/A 48980-2023 artfynd.xlsx", "A 48980-2023")</f>
        <v/>
      </c>
      <c r="T617">
        <f>HYPERLINK("https://klasma.github.io/Logging_2581/kartor/A 48980-2023 karta.png", "A 48980-2023")</f>
        <v/>
      </c>
      <c r="V617">
        <f>HYPERLINK("https://klasma.github.io/Logging_2581/klagomål/A 48980-2023 FSC-klagomål.docx", "A 48980-2023")</f>
        <v/>
      </c>
      <c r="W617">
        <f>HYPERLINK("https://klasma.github.io/Logging_2581/klagomålsmail/A 48980-2023 FSC-klagomål mail.docx", "A 48980-2023")</f>
        <v/>
      </c>
      <c r="X617">
        <f>HYPERLINK("https://klasma.github.io/Logging_2581/tillsyn/A 48980-2023 tillsynsbegäran.docx", "A 48980-2023")</f>
        <v/>
      </c>
      <c r="Y617">
        <f>HYPERLINK("https://klasma.github.io/Logging_2581/tillsynsmail/A 48980-2023 tillsynsbegäran mail.docx", "A 48980-2023")</f>
        <v/>
      </c>
    </row>
    <row r="618" ht="15" customHeight="1">
      <c r="A618" t="inlineStr">
        <is>
          <t>A 50957-2023</t>
        </is>
      </c>
      <c r="B618" s="1" t="n">
        <v>45211</v>
      </c>
      <c r="C618" s="1" t="n">
        <v>45798</v>
      </c>
      <c r="D618" t="inlineStr">
        <is>
          <t>NORRBOTTENS LÄN</t>
        </is>
      </c>
      <c r="E618" t="inlineStr">
        <is>
          <t>ÖVERTORNEÅ</t>
        </is>
      </c>
      <c r="G618" t="n">
        <v>34.4</v>
      </c>
      <c r="H618" t="n">
        <v>1</v>
      </c>
      <c r="I618" t="n">
        <v>0</v>
      </c>
      <c r="J618" t="n">
        <v>1</v>
      </c>
      <c r="K618" t="n">
        <v>0</v>
      </c>
      <c r="L618" t="n">
        <v>0</v>
      </c>
      <c r="M618" t="n">
        <v>0</v>
      </c>
      <c r="N618" t="n">
        <v>0</v>
      </c>
      <c r="O618" t="n">
        <v>1</v>
      </c>
      <c r="P618" t="n">
        <v>0</v>
      </c>
      <c r="Q618" t="n">
        <v>2</v>
      </c>
      <c r="R618" s="2" t="inlineStr">
        <is>
          <t>Garnlav
Lavskrika</t>
        </is>
      </c>
      <c r="S618">
        <f>HYPERLINK("https://klasma.github.io/Logging_2518/artfynd/A 50957-2023 artfynd.xlsx", "A 50957-2023")</f>
        <v/>
      </c>
      <c r="T618">
        <f>HYPERLINK("https://klasma.github.io/Logging_2518/kartor/A 50957-2023 karta.png", "A 50957-2023")</f>
        <v/>
      </c>
      <c r="V618">
        <f>HYPERLINK("https://klasma.github.io/Logging_2518/klagomål/A 50957-2023 FSC-klagomål.docx", "A 50957-2023")</f>
        <v/>
      </c>
      <c r="W618">
        <f>HYPERLINK("https://klasma.github.io/Logging_2518/klagomålsmail/A 50957-2023 FSC-klagomål mail.docx", "A 50957-2023")</f>
        <v/>
      </c>
      <c r="X618">
        <f>HYPERLINK("https://klasma.github.io/Logging_2518/tillsyn/A 50957-2023 tillsynsbegäran.docx", "A 50957-2023")</f>
        <v/>
      </c>
      <c r="Y618">
        <f>HYPERLINK("https://klasma.github.io/Logging_2518/tillsynsmail/A 50957-2023 tillsynsbegäran mail.docx", "A 50957-2023")</f>
        <v/>
      </c>
      <c r="Z618">
        <f>HYPERLINK("https://klasma.github.io/Logging_2518/fåglar/A 50957-2023 prioriterade fågelarter.docx", "A 50957-2023")</f>
        <v/>
      </c>
    </row>
    <row r="619" ht="15" customHeight="1">
      <c r="A619" t="inlineStr">
        <is>
          <t>A 52399-2023</t>
        </is>
      </c>
      <c r="B619" s="1" t="n">
        <v>45224</v>
      </c>
      <c r="C619" s="1" t="n">
        <v>45798</v>
      </c>
      <c r="D619" t="inlineStr">
        <is>
          <t>NORRBOTTENS LÄN</t>
        </is>
      </c>
      <c r="E619" t="inlineStr">
        <is>
          <t>LULEÅ</t>
        </is>
      </c>
      <c r="F619" t="inlineStr">
        <is>
          <t>SCA</t>
        </is>
      </c>
      <c r="G619" t="n">
        <v>3</v>
      </c>
      <c r="H619" t="n">
        <v>0</v>
      </c>
      <c r="I619" t="n">
        <v>1</v>
      </c>
      <c r="J619" t="n">
        <v>1</v>
      </c>
      <c r="K619" t="n">
        <v>0</v>
      </c>
      <c r="L619" t="n">
        <v>0</v>
      </c>
      <c r="M619" t="n">
        <v>0</v>
      </c>
      <c r="N619" t="n">
        <v>0</v>
      </c>
      <c r="O619" t="n">
        <v>1</v>
      </c>
      <c r="P619" t="n">
        <v>0</v>
      </c>
      <c r="Q619" t="n">
        <v>2</v>
      </c>
      <c r="R619" s="2" t="inlineStr">
        <is>
          <t>Garnlav
Skinnlav</t>
        </is>
      </c>
      <c r="S619">
        <f>HYPERLINK("https://klasma.github.io/Logging_2580/artfynd/A 52399-2023 artfynd.xlsx", "A 52399-2023")</f>
        <v/>
      </c>
      <c r="T619">
        <f>HYPERLINK("https://klasma.github.io/Logging_2580/kartor/A 52399-2023 karta.png", "A 52399-2023")</f>
        <v/>
      </c>
      <c r="V619">
        <f>HYPERLINK("https://klasma.github.io/Logging_2580/klagomål/A 52399-2023 FSC-klagomål.docx", "A 52399-2023")</f>
        <v/>
      </c>
      <c r="W619">
        <f>HYPERLINK("https://klasma.github.io/Logging_2580/klagomålsmail/A 52399-2023 FSC-klagomål mail.docx", "A 52399-2023")</f>
        <v/>
      </c>
      <c r="X619">
        <f>HYPERLINK("https://klasma.github.io/Logging_2580/tillsyn/A 52399-2023 tillsynsbegäran.docx", "A 52399-2023")</f>
        <v/>
      </c>
      <c r="Y619">
        <f>HYPERLINK("https://klasma.github.io/Logging_2580/tillsynsmail/A 52399-2023 tillsynsbegäran mail.docx", "A 52399-2023")</f>
        <v/>
      </c>
    </row>
    <row r="620" ht="15" customHeight="1">
      <c r="A620" t="inlineStr">
        <is>
          <t>A 54371-2023</t>
        </is>
      </c>
      <c r="B620" s="1" t="n">
        <v>45233</v>
      </c>
      <c r="C620" s="1" t="n">
        <v>45798</v>
      </c>
      <c r="D620" t="inlineStr">
        <is>
          <t>NORRBOTTENS LÄN</t>
        </is>
      </c>
      <c r="E620" t="inlineStr">
        <is>
          <t>GÄLLIVARE</t>
        </is>
      </c>
      <c r="F620" t="inlineStr">
        <is>
          <t>Sveaskog</t>
        </is>
      </c>
      <c r="G620" t="n">
        <v>15</v>
      </c>
      <c r="H620" t="n">
        <v>0</v>
      </c>
      <c r="I620" t="n">
        <v>0</v>
      </c>
      <c r="J620" t="n">
        <v>2</v>
      </c>
      <c r="K620" t="n">
        <v>0</v>
      </c>
      <c r="L620" t="n">
        <v>0</v>
      </c>
      <c r="M620" t="n">
        <v>0</v>
      </c>
      <c r="N620" t="n">
        <v>0</v>
      </c>
      <c r="O620" t="n">
        <v>2</v>
      </c>
      <c r="P620" t="n">
        <v>0</v>
      </c>
      <c r="Q620" t="n">
        <v>2</v>
      </c>
      <c r="R620" s="2" t="inlineStr">
        <is>
          <t>Gammelgransskål
Vitgrynig nållav</t>
        </is>
      </c>
      <c r="S620">
        <f>HYPERLINK("https://klasma.github.io/Logging_2523/artfynd/A 54371-2023 artfynd.xlsx", "A 54371-2023")</f>
        <v/>
      </c>
      <c r="T620">
        <f>HYPERLINK("https://klasma.github.io/Logging_2523/kartor/A 54371-2023 karta.png", "A 54371-2023")</f>
        <v/>
      </c>
      <c r="V620">
        <f>HYPERLINK("https://klasma.github.io/Logging_2523/klagomål/A 54371-2023 FSC-klagomål.docx", "A 54371-2023")</f>
        <v/>
      </c>
      <c r="W620">
        <f>HYPERLINK("https://klasma.github.io/Logging_2523/klagomålsmail/A 54371-2023 FSC-klagomål mail.docx", "A 54371-2023")</f>
        <v/>
      </c>
      <c r="X620">
        <f>HYPERLINK("https://klasma.github.io/Logging_2523/tillsyn/A 54371-2023 tillsynsbegäran.docx", "A 54371-2023")</f>
        <v/>
      </c>
      <c r="Y620">
        <f>HYPERLINK("https://klasma.github.io/Logging_2523/tillsynsmail/A 54371-2023 tillsynsbegäran mail.docx", "A 54371-2023")</f>
        <v/>
      </c>
    </row>
    <row r="621" ht="15" customHeight="1">
      <c r="A621" t="inlineStr">
        <is>
          <t>A 55162-2023</t>
        </is>
      </c>
      <c r="B621" s="1" t="n">
        <v>45237</v>
      </c>
      <c r="C621" s="1" t="n">
        <v>45798</v>
      </c>
      <c r="D621" t="inlineStr">
        <is>
          <t>NORRBOTTENS LÄN</t>
        </is>
      </c>
      <c r="E621" t="inlineStr">
        <is>
          <t>PAJALA</t>
        </is>
      </c>
      <c r="F621" t="inlineStr">
        <is>
          <t>Sveaskog</t>
        </is>
      </c>
      <c r="G621" t="n">
        <v>7.1</v>
      </c>
      <c r="H621" t="n">
        <v>0</v>
      </c>
      <c r="I621" t="n">
        <v>0</v>
      </c>
      <c r="J621" t="n">
        <v>2</v>
      </c>
      <c r="K621" t="n">
        <v>0</v>
      </c>
      <c r="L621" t="n">
        <v>0</v>
      </c>
      <c r="M621" t="n">
        <v>0</v>
      </c>
      <c r="N621" t="n">
        <v>0</v>
      </c>
      <c r="O621" t="n">
        <v>2</v>
      </c>
      <c r="P621" t="n">
        <v>0</v>
      </c>
      <c r="Q621" t="n">
        <v>2</v>
      </c>
      <c r="R621" s="2" t="inlineStr">
        <is>
          <t>Knottrig blåslav
Lunglav</t>
        </is>
      </c>
      <c r="S621">
        <f>HYPERLINK("https://klasma.github.io/Logging_2521/artfynd/A 55162-2023 artfynd.xlsx", "A 55162-2023")</f>
        <v/>
      </c>
      <c r="T621">
        <f>HYPERLINK("https://klasma.github.io/Logging_2521/kartor/A 55162-2023 karta.png", "A 55162-2023")</f>
        <v/>
      </c>
      <c r="V621">
        <f>HYPERLINK("https://klasma.github.io/Logging_2521/klagomål/A 55162-2023 FSC-klagomål.docx", "A 55162-2023")</f>
        <v/>
      </c>
      <c r="W621">
        <f>HYPERLINK("https://klasma.github.io/Logging_2521/klagomålsmail/A 55162-2023 FSC-klagomål mail.docx", "A 55162-2023")</f>
        <v/>
      </c>
      <c r="X621">
        <f>HYPERLINK("https://klasma.github.io/Logging_2521/tillsyn/A 55162-2023 tillsynsbegäran.docx", "A 55162-2023")</f>
        <v/>
      </c>
      <c r="Y621">
        <f>HYPERLINK("https://klasma.github.io/Logging_2521/tillsynsmail/A 55162-2023 tillsynsbegäran mail.docx", "A 55162-2023")</f>
        <v/>
      </c>
    </row>
    <row r="622" ht="15" customHeight="1">
      <c r="A622" t="inlineStr">
        <is>
          <t>A 55908-2023</t>
        </is>
      </c>
      <c r="B622" s="1" t="n">
        <v>45239</v>
      </c>
      <c r="C622" s="1" t="n">
        <v>45798</v>
      </c>
      <c r="D622" t="inlineStr">
        <is>
          <t>NORRBOTTENS LÄN</t>
        </is>
      </c>
      <c r="E622" t="inlineStr">
        <is>
          <t>LULEÅ</t>
        </is>
      </c>
      <c r="G622" t="n">
        <v>39.7</v>
      </c>
      <c r="H622" t="n">
        <v>0</v>
      </c>
      <c r="I622" t="n">
        <v>1</v>
      </c>
      <c r="J622" t="n">
        <v>1</v>
      </c>
      <c r="K622" t="n">
        <v>0</v>
      </c>
      <c r="L622" t="n">
        <v>0</v>
      </c>
      <c r="M622" t="n">
        <v>0</v>
      </c>
      <c r="N622" t="n">
        <v>0</v>
      </c>
      <c r="O622" t="n">
        <v>1</v>
      </c>
      <c r="P622" t="n">
        <v>0</v>
      </c>
      <c r="Q622" t="n">
        <v>2</v>
      </c>
      <c r="R622" s="2" t="inlineStr">
        <is>
          <t>Harticka
Gräsull</t>
        </is>
      </c>
      <c r="S622">
        <f>HYPERLINK("https://klasma.github.io/Logging_2580/artfynd/A 55908-2023 artfynd.xlsx", "A 55908-2023")</f>
        <v/>
      </c>
      <c r="T622">
        <f>HYPERLINK("https://klasma.github.io/Logging_2580/kartor/A 55908-2023 karta.png", "A 55908-2023")</f>
        <v/>
      </c>
      <c r="V622">
        <f>HYPERLINK("https://klasma.github.io/Logging_2580/klagomål/A 55908-2023 FSC-klagomål.docx", "A 55908-2023")</f>
        <v/>
      </c>
      <c r="W622">
        <f>HYPERLINK("https://klasma.github.io/Logging_2580/klagomålsmail/A 55908-2023 FSC-klagomål mail.docx", "A 55908-2023")</f>
        <v/>
      </c>
      <c r="X622">
        <f>HYPERLINK("https://klasma.github.io/Logging_2580/tillsyn/A 55908-2023 tillsynsbegäran.docx", "A 55908-2023")</f>
        <v/>
      </c>
      <c r="Y622">
        <f>HYPERLINK("https://klasma.github.io/Logging_2580/tillsynsmail/A 55908-2023 tillsynsbegäran mail.docx", "A 55908-2023")</f>
        <v/>
      </c>
    </row>
    <row r="623" ht="15" customHeight="1">
      <c r="A623" t="inlineStr">
        <is>
          <t>A 56501-2023</t>
        </is>
      </c>
      <c r="B623" s="1" t="n">
        <v>45243</v>
      </c>
      <c r="C623" s="1" t="n">
        <v>45798</v>
      </c>
      <c r="D623" t="inlineStr">
        <is>
          <t>NORRBOTTENS LÄN</t>
        </is>
      </c>
      <c r="E623" t="inlineStr">
        <is>
          <t>PITEÅ</t>
        </is>
      </c>
      <c r="F623" t="inlineStr">
        <is>
          <t>Sveaskog</t>
        </is>
      </c>
      <c r="G623" t="n">
        <v>1.1</v>
      </c>
      <c r="H623" t="n">
        <v>0</v>
      </c>
      <c r="I623" t="n">
        <v>1</v>
      </c>
      <c r="J623" t="n">
        <v>1</v>
      </c>
      <c r="K623" t="n">
        <v>0</v>
      </c>
      <c r="L623" t="n">
        <v>0</v>
      </c>
      <c r="M623" t="n">
        <v>0</v>
      </c>
      <c r="N623" t="n">
        <v>0</v>
      </c>
      <c r="O623" t="n">
        <v>1</v>
      </c>
      <c r="P623" t="n">
        <v>0</v>
      </c>
      <c r="Q623" t="n">
        <v>2</v>
      </c>
      <c r="R623" s="2" t="inlineStr">
        <is>
          <t>Granticka
Vedticka</t>
        </is>
      </c>
      <c r="S623">
        <f>HYPERLINK("https://klasma.github.io/Logging_2581/artfynd/A 56501-2023 artfynd.xlsx", "A 56501-2023")</f>
        <v/>
      </c>
      <c r="T623">
        <f>HYPERLINK("https://klasma.github.io/Logging_2581/kartor/A 56501-2023 karta.png", "A 56501-2023")</f>
        <v/>
      </c>
      <c r="V623">
        <f>HYPERLINK("https://klasma.github.io/Logging_2581/klagomål/A 56501-2023 FSC-klagomål.docx", "A 56501-2023")</f>
        <v/>
      </c>
      <c r="W623">
        <f>HYPERLINK("https://klasma.github.io/Logging_2581/klagomålsmail/A 56501-2023 FSC-klagomål mail.docx", "A 56501-2023")</f>
        <v/>
      </c>
      <c r="X623">
        <f>HYPERLINK("https://klasma.github.io/Logging_2581/tillsyn/A 56501-2023 tillsynsbegäran.docx", "A 56501-2023")</f>
        <v/>
      </c>
      <c r="Y623">
        <f>HYPERLINK("https://klasma.github.io/Logging_2581/tillsynsmail/A 56501-2023 tillsynsbegäran mail.docx", "A 56501-2023")</f>
        <v/>
      </c>
    </row>
    <row r="624" ht="15" customHeight="1">
      <c r="A624" t="inlineStr">
        <is>
          <t>A 58642-2023</t>
        </is>
      </c>
      <c r="B624" s="1" t="n">
        <v>45251</v>
      </c>
      <c r="C624" s="1" t="n">
        <v>45798</v>
      </c>
      <c r="D624" t="inlineStr">
        <is>
          <t>NORRBOTTENS LÄN</t>
        </is>
      </c>
      <c r="E624" t="inlineStr">
        <is>
          <t>GÄLLIVARE</t>
        </is>
      </c>
      <c r="F624" t="inlineStr">
        <is>
          <t>Sveaskog</t>
        </is>
      </c>
      <c r="G624" t="n">
        <v>20.3</v>
      </c>
      <c r="H624" t="n">
        <v>0</v>
      </c>
      <c r="I624" t="n">
        <v>0</v>
      </c>
      <c r="J624" t="n">
        <v>2</v>
      </c>
      <c r="K624" t="n">
        <v>0</v>
      </c>
      <c r="L624" t="n">
        <v>0</v>
      </c>
      <c r="M624" t="n">
        <v>0</v>
      </c>
      <c r="N624" t="n">
        <v>0</v>
      </c>
      <c r="O624" t="n">
        <v>2</v>
      </c>
      <c r="P624" t="n">
        <v>0</v>
      </c>
      <c r="Q624" t="n">
        <v>2</v>
      </c>
      <c r="R624" s="2" t="inlineStr">
        <is>
          <t>Blå taggsvamp
Vaddporing</t>
        </is>
      </c>
      <c r="S624">
        <f>HYPERLINK("https://klasma.github.io/Logging_2523/artfynd/A 58642-2023 artfynd.xlsx", "A 58642-2023")</f>
        <v/>
      </c>
      <c r="T624">
        <f>HYPERLINK("https://klasma.github.io/Logging_2523/kartor/A 58642-2023 karta.png", "A 58642-2023")</f>
        <v/>
      </c>
      <c r="V624">
        <f>HYPERLINK("https://klasma.github.io/Logging_2523/klagomål/A 58642-2023 FSC-klagomål.docx", "A 58642-2023")</f>
        <v/>
      </c>
      <c r="W624">
        <f>HYPERLINK("https://klasma.github.io/Logging_2523/klagomålsmail/A 58642-2023 FSC-klagomål mail.docx", "A 58642-2023")</f>
        <v/>
      </c>
      <c r="X624">
        <f>HYPERLINK("https://klasma.github.io/Logging_2523/tillsyn/A 58642-2023 tillsynsbegäran.docx", "A 58642-2023")</f>
        <v/>
      </c>
      <c r="Y624">
        <f>HYPERLINK("https://klasma.github.io/Logging_2523/tillsynsmail/A 58642-2023 tillsynsbegäran mail.docx", "A 58642-2023")</f>
        <v/>
      </c>
    </row>
    <row r="625" ht="15" customHeight="1">
      <c r="A625" t="inlineStr">
        <is>
          <t>A 59362-2023</t>
        </is>
      </c>
      <c r="B625" s="1" t="n">
        <v>45253</v>
      </c>
      <c r="C625" s="1" t="n">
        <v>45798</v>
      </c>
      <c r="D625" t="inlineStr">
        <is>
          <t>NORRBOTTENS LÄN</t>
        </is>
      </c>
      <c r="E625" t="inlineStr">
        <is>
          <t>LULEÅ</t>
        </is>
      </c>
      <c r="F625" t="inlineStr">
        <is>
          <t>Sveaskog</t>
        </is>
      </c>
      <c r="G625" t="n">
        <v>3.1</v>
      </c>
      <c r="H625" t="n">
        <v>0</v>
      </c>
      <c r="I625" t="n">
        <v>1</v>
      </c>
      <c r="J625" t="n">
        <v>1</v>
      </c>
      <c r="K625" t="n">
        <v>0</v>
      </c>
      <c r="L625" t="n">
        <v>0</v>
      </c>
      <c r="M625" t="n">
        <v>0</v>
      </c>
      <c r="N625" t="n">
        <v>0</v>
      </c>
      <c r="O625" t="n">
        <v>1</v>
      </c>
      <c r="P625" t="n">
        <v>0</v>
      </c>
      <c r="Q625" t="n">
        <v>2</v>
      </c>
      <c r="R625" s="2" t="inlineStr">
        <is>
          <t>Stiftgelélav
Stor aspticka</t>
        </is>
      </c>
      <c r="S625">
        <f>HYPERLINK("https://klasma.github.io/Logging_2580/artfynd/A 59362-2023 artfynd.xlsx", "A 59362-2023")</f>
        <v/>
      </c>
      <c r="T625">
        <f>HYPERLINK("https://klasma.github.io/Logging_2580/kartor/A 59362-2023 karta.png", "A 59362-2023")</f>
        <v/>
      </c>
      <c r="V625">
        <f>HYPERLINK("https://klasma.github.io/Logging_2580/klagomål/A 59362-2023 FSC-klagomål.docx", "A 59362-2023")</f>
        <v/>
      </c>
      <c r="W625">
        <f>HYPERLINK("https://klasma.github.io/Logging_2580/klagomålsmail/A 59362-2023 FSC-klagomål mail.docx", "A 59362-2023")</f>
        <v/>
      </c>
      <c r="X625">
        <f>HYPERLINK("https://klasma.github.io/Logging_2580/tillsyn/A 59362-2023 tillsynsbegäran.docx", "A 59362-2023")</f>
        <v/>
      </c>
      <c r="Y625">
        <f>HYPERLINK("https://klasma.github.io/Logging_2580/tillsynsmail/A 59362-2023 tillsynsbegäran mail.docx", "A 59362-2023")</f>
        <v/>
      </c>
    </row>
    <row r="626" ht="15" customHeight="1">
      <c r="A626" t="inlineStr">
        <is>
          <t>A 62199-2023</t>
        </is>
      </c>
      <c r="B626" s="1" t="n">
        <v>45267</v>
      </c>
      <c r="C626" s="1" t="n">
        <v>45798</v>
      </c>
      <c r="D626" t="inlineStr">
        <is>
          <t>NORRBOTTENS LÄN</t>
        </is>
      </c>
      <c r="E626" t="inlineStr">
        <is>
          <t>ÖVERTORNEÅ</t>
        </is>
      </c>
      <c r="G626" t="n">
        <v>3.6</v>
      </c>
      <c r="H626" t="n">
        <v>1</v>
      </c>
      <c r="I626" t="n">
        <v>0</v>
      </c>
      <c r="J626" t="n">
        <v>2</v>
      </c>
      <c r="K626" t="n">
        <v>0</v>
      </c>
      <c r="L626" t="n">
        <v>0</v>
      </c>
      <c r="M626" t="n">
        <v>0</v>
      </c>
      <c r="N626" t="n">
        <v>0</v>
      </c>
      <c r="O626" t="n">
        <v>2</v>
      </c>
      <c r="P626" t="n">
        <v>0</v>
      </c>
      <c r="Q626" t="n">
        <v>2</v>
      </c>
      <c r="R626" s="2" t="inlineStr">
        <is>
          <t>Garnlav
Spillkråka</t>
        </is>
      </c>
      <c r="S626">
        <f>HYPERLINK("https://klasma.github.io/Logging_2518/artfynd/A 62199-2023 artfynd.xlsx", "A 62199-2023")</f>
        <v/>
      </c>
      <c r="T626">
        <f>HYPERLINK("https://klasma.github.io/Logging_2518/kartor/A 62199-2023 karta.png", "A 62199-2023")</f>
        <v/>
      </c>
      <c r="V626">
        <f>HYPERLINK("https://klasma.github.io/Logging_2518/klagomål/A 62199-2023 FSC-klagomål.docx", "A 62199-2023")</f>
        <v/>
      </c>
      <c r="W626">
        <f>HYPERLINK("https://klasma.github.io/Logging_2518/klagomålsmail/A 62199-2023 FSC-klagomål mail.docx", "A 62199-2023")</f>
        <v/>
      </c>
      <c r="X626">
        <f>HYPERLINK("https://klasma.github.io/Logging_2518/tillsyn/A 62199-2023 tillsynsbegäran.docx", "A 62199-2023")</f>
        <v/>
      </c>
      <c r="Y626">
        <f>HYPERLINK("https://klasma.github.io/Logging_2518/tillsynsmail/A 62199-2023 tillsynsbegäran mail.docx", "A 62199-2023")</f>
        <v/>
      </c>
      <c r="Z626">
        <f>HYPERLINK("https://klasma.github.io/Logging_2518/fåglar/A 62199-2023 prioriterade fågelarter.docx", "A 62199-2023")</f>
        <v/>
      </c>
    </row>
    <row r="627" ht="15" customHeight="1">
      <c r="A627" t="inlineStr">
        <is>
          <t>A 62537-2023</t>
        </is>
      </c>
      <c r="B627" s="1" t="n">
        <v>45268</v>
      </c>
      <c r="C627" s="1" t="n">
        <v>45798</v>
      </c>
      <c r="D627" t="inlineStr">
        <is>
          <t>NORRBOTTENS LÄN</t>
        </is>
      </c>
      <c r="E627" t="inlineStr">
        <is>
          <t>KALIX</t>
        </is>
      </c>
      <c r="G627" t="n">
        <v>6.9</v>
      </c>
      <c r="H627" t="n">
        <v>1</v>
      </c>
      <c r="I627" t="n">
        <v>1</v>
      </c>
      <c r="J627" t="n">
        <v>0</v>
      </c>
      <c r="K627" t="n">
        <v>0</v>
      </c>
      <c r="L627" t="n">
        <v>0</v>
      </c>
      <c r="M627" t="n">
        <v>0</v>
      </c>
      <c r="N627" t="n">
        <v>0</v>
      </c>
      <c r="O627" t="n">
        <v>0</v>
      </c>
      <c r="P627" t="n">
        <v>0</v>
      </c>
      <c r="Q627" t="n">
        <v>2</v>
      </c>
      <c r="R627" s="2" t="inlineStr">
        <is>
          <t>Tibast
Äkta lopplummer</t>
        </is>
      </c>
      <c r="S627">
        <f>HYPERLINK("https://klasma.github.io/Logging_2514/artfynd/A 62537-2023 artfynd.xlsx", "A 62537-2023")</f>
        <v/>
      </c>
      <c r="T627">
        <f>HYPERLINK("https://klasma.github.io/Logging_2514/kartor/A 62537-2023 karta.png", "A 62537-2023")</f>
        <v/>
      </c>
      <c r="V627">
        <f>HYPERLINK("https://klasma.github.io/Logging_2514/klagomål/A 62537-2023 FSC-klagomål.docx", "A 62537-2023")</f>
        <v/>
      </c>
      <c r="W627">
        <f>HYPERLINK("https://klasma.github.io/Logging_2514/klagomålsmail/A 62537-2023 FSC-klagomål mail.docx", "A 62537-2023")</f>
        <v/>
      </c>
      <c r="X627">
        <f>HYPERLINK("https://klasma.github.io/Logging_2514/tillsyn/A 62537-2023 tillsynsbegäran.docx", "A 62537-2023")</f>
        <v/>
      </c>
      <c r="Y627">
        <f>HYPERLINK("https://klasma.github.io/Logging_2514/tillsynsmail/A 62537-2023 tillsynsbegäran mail.docx", "A 62537-2023")</f>
        <v/>
      </c>
    </row>
    <row r="628" ht="15" customHeight="1">
      <c r="A628" t="inlineStr">
        <is>
          <t>A 64829-2023</t>
        </is>
      </c>
      <c r="B628" s="1" t="n">
        <v>45281</v>
      </c>
      <c r="C628" s="1" t="n">
        <v>45798</v>
      </c>
      <c r="D628" t="inlineStr">
        <is>
          <t>NORRBOTTENS LÄN</t>
        </is>
      </c>
      <c r="E628" t="inlineStr">
        <is>
          <t>KIRUNA</t>
        </is>
      </c>
      <c r="G628" t="n">
        <v>31.7</v>
      </c>
      <c r="H628" t="n">
        <v>1</v>
      </c>
      <c r="I628" t="n">
        <v>0</v>
      </c>
      <c r="J628" t="n">
        <v>1</v>
      </c>
      <c r="K628" t="n">
        <v>0</v>
      </c>
      <c r="L628" t="n">
        <v>0</v>
      </c>
      <c r="M628" t="n">
        <v>0</v>
      </c>
      <c r="N628" t="n">
        <v>0</v>
      </c>
      <c r="O628" t="n">
        <v>1</v>
      </c>
      <c r="P628" t="n">
        <v>0</v>
      </c>
      <c r="Q628" t="n">
        <v>2</v>
      </c>
      <c r="R628" s="2" t="inlineStr">
        <is>
          <t>Månlåsbräken
Mattlummer</t>
        </is>
      </c>
      <c r="S628">
        <f>HYPERLINK("https://klasma.github.io/Logging_2584/artfynd/A 64829-2023 artfynd.xlsx", "A 64829-2023")</f>
        <v/>
      </c>
      <c r="T628">
        <f>HYPERLINK("https://klasma.github.io/Logging_2584/kartor/A 64829-2023 karta.png", "A 64829-2023")</f>
        <v/>
      </c>
      <c r="V628">
        <f>HYPERLINK("https://klasma.github.io/Logging_2584/klagomål/A 64829-2023 FSC-klagomål.docx", "A 64829-2023")</f>
        <v/>
      </c>
      <c r="W628">
        <f>HYPERLINK("https://klasma.github.io/Logging_2584/klagomålsmail/A 64829-2023 FSC-klagomål mail.docx", "A 64829-2023")</f>
        <v/>
      </c>
      <c r="X628">
        <f>HYPERLINK("https://klasma.github.io/Logging_2584/tillsyn/A 64829-2023 tillsynsbegäran.docx", "A 64829-2023")</f>
        <v/>
      </c>
      <c r="Y628">
        <f>HYPERLINK("https://klasma.github.io/Logging_2584/tillsynsmail/A 64829-2023 tillsynsbegäran mail.docx", "A 64829-2023")</f>
        <v/>
      </c>
    </row>
    <row r="629" ht="15" customHeight="1">
      <c r="A629" t="inlineStr">
        <is>
          <t>A 101-2024</t>
        </is>
      </c>
      <c r="B629" s="1" t="n">
        <v>45293</v>
      </c>
      <c r="C629" s="1" t="n">
        <v>45798</v>
      </c>
      <c r="D629" t="inlineStr">
        <is>
          <t>NORRBOTTENS LÄN</t>
        </is>
      </c>
      <c r="E629" t="inlineStr">
        <is>
          <t>PITEÅ</t>
        </is>
      </c>
      <c r="G629" t="n">
        <v>4.7</v>
      </c>
      <c r="H629" t="n">
        <v>1</v>
      </c>
      <c r="I629" t="n">
        <v>2</v>
      </c>
      <c r="J629" t="n">
        <v>0</v>
      </c>
      <c r="K629" t="n">
        <v>0</v>
      </c>
      <c r="L629" t="n">
        <v>0</v>
      </c>
      <c r="M629" t="n">
        <v>0</v>
      </c>
      <c r="N629" t="n">
        <v>0</v>
      </c>
      <c r="O629" t="n">
        <v>0</v>
      </c>
      <c r="P629" t="n">
        <v>0</v>
      </c>
      <c r="Q629" t="n">
        <v>2</v>
      </c>
      <c r="R629" s="2" t="inlineStr">
        <is>
          <t>Plattlummer
Vedticka</t>
        </is>
      </c>
      <c r="S629">
        <f>HYPERLINK("https://klasma.github.io/Logging_2581/artfynd/A 101-2024 artfynd.xlsx", "A 101-2024")</f>
        <v/>
      </c>
      <c r="T629">
        <f>HYPERLINK("https://klasma.github.io/Logging_2581/kartor/A 101-2024 karta.png", "A 101-2024")</f>
        <v/>
      </c>
      <c r="V629">
        <f>HYPERLINK("https://klasma.github.io/Logging_2581/klagomål/A 101-2024 FSC-klagomål.docx", "A 101-2024")</f>
        <v/>
      </c>
      <c r="W629">
        <f>HYPERLINK("https://klasma.github.io/Logging_2581/klagomålsmail/A 101-2024 FSC-klagomål mail.docx", "A 101-2024")</f>
        <v/>
      </c>
      <c r="X629">
        <f>HYPERLINK("https://klasma.github.io/Logging_2581/tillsyn/A 101-2024 tillsynsbegäran.docx", "A 101-2024")</f>
        <v/>
      </c>
      <c r="Y629">
        <f>HYPERLINK("https://klasma.github.io/Logging_2581/tillsynsmail/A 101-2024 tillsynsbegäran mail.docx", "A 101-2024")</f>
        <v/>
      </c>
    </row>
    <row r="630" ht="15" customHeight="1">
      <c r="A630" t="inlineStr">
        <is>
          <t>A 569-2024</t>
        </is>
      </c>
      <c r="B630" s="1" t="n">
        <v>45299</v>
      </c>
      <c r="C630" s="1" t="n">
        <v>45798</v>
      </c>
      <c r="D630" t="inlineStr">
        <is>
          <t>NORRBOTTENS LÄN</t>
        </is>
      </c>
      <c r="E630" t="inlineStr">
        <is>
          <t>ÄLVSBYN</t>
        </is>
      </c>
      <c r="F630" t="inlineStr">
        <is>
          <t>Sveaskog</t>
        </is>
      </c>
      <c r="G630" t="n">
        <v>3.2</v>
      </c>
      <c r="H630" t="n">
        <v>0</v>
      </c>
      <c r="I630" t="n">
        <v>1</v>
      </c>
      <c r="J630" t="n">
        <v>1</v>
      </c>
      <c r="K630" t="n">
        <v>0</v>
      </c>
      <c r="L630" t="n">
        <v>0</v>
      </c>
      <c r="M630" t="n">
        <v>0</v>
      </c>
      <c r="N630" t="n">
        <v>0</v>
      </c>
      <c r="O630" t="n">
        <v>1</v>
      </c>
      <c r="P630" t="n">
        <v>0</v>
      </c>
      <c r="Q630" t="n">
        <v>2</v>
      </c>
      <c r="R630" s="2" t="inlineStr">
        <is>
          <t>Orange taggsvamp
Skarp dropptaggsvamp</t>
        </is>
      </c>
      <c r="S630">
        <f>HYPERLINK("https://klasma.github.io/Logging_2560/artfynd/A 569-2024 artfynd.xlsx", "A 569-2024")</f>
        <v/>
      </c>
      <c r="T630">
        <f>HYPERLINK("https://klasma.github.io/Logging_2560/kartor/A 569-2024 karta.png", "A 569-2024")</f>
        <v/>
      </c>
      <c r="V630">
        <f>HYPERLINK("https://klasma.github.io/Logging_2560/klagomål/A 569-2024 FSC-klagomål.docx", "A 569-2024")</f>
        <v/>
      </c>
      <c r="W630">
        <f>HYPERLINK("https://klasma.github.io/Logging_2560/klagomålsmail/A 569-2024 FSC-klagomål mail.docx", "A 569-2024")</f>
        <v/>
      </c>
      <c r="X630">
        <f>HYPERLINK("https://klasma.github.io/Logging_2560/tillsyn/A 569-2024 tillsynsbegäran.docx", "A 569-2024")</f>
        <v/>
      </c>
      <c r="Y630">
        <f>HYPERLINK("https://klasma.github.io/Logging_2560/tillsynsmail/A 569-2024 tillsynsbegäran mail.docx", "A 569-2024")</f>
        <v/>
      </c>
    </row>
    <row r="631" ht="15" customHeight="1">
      <c r="A631" t="inlineStr">
        <is>
          <t>A 900-2024</t>
        </is>
      </c>
      <c r="B631" s="1" t="n">
        <v>45301</v>
      </c>
      <c r="C631" s="1" t="n">
        <v>45798</v>
      </c>
      <c r="D631" t="inlineStr">
        <is>
          <t>NORRBOTTENS LÄN</t>
        </is>
      </c>
      <c r="E631" t="inlineStr">
        <is>
          <t>BODEN</t>
        </is>
      </c>
      <c r="G631" t="n">
        <v>5.2</v>
      </c>
      <c r="H631" t="n">
        <v>2</v>
      </c>
      <c r="I631" t="n">
        <v>0</v>
      </c>
      <c r="J631" t="n">
        <v>0</v>
      </c>
      <c r="K631" t="n">
        <v>1</v>
      </c>
      <c r="L631" t="n">
        <v>0</v>
      </c>
      <c r="M631" t="n">
        <v>0</v>
      </c>
      <c r="N631" t="n">
        <v>0</v>
      </c>
      <c r="O631" t="n">
        <v>1</v>
      </c>
      <c r="P631" t="n">
        <v>1</v>
      </c>
      <c r="Q631" t="n">
        <v>2</v>
      </c>
      <c r="R631" s="2" t="inlineStr">
        <is>
          <t>Knärot
Revlummer</t>
        </is>
      </c>
      <c r="S631">
        <f>HYPERLINK("https://klasma.github.io/Logging_2582/artfynd/A 900-2024 artfynd.xlsx", "A 900-2024")</f>
        <v/>
      </c>
      <c r="T631">
        <f>HYPERLINK("https://klasma.github.io/Logging_2582/kartor/A 900-2024 karta.png", "A 900-2024")</f>
        <v/>
      </c>
      <c r="U631">
        <f>HYPERLINK("https://klasma.github.io/Logging_2582/knärot/A 900-2024 karta knärot.png", "A 900-2024")</f>
        <v/>
      </c>
      <c r="V631">
        <f>HYPERLINK("https://klasma.github.io/Logging_2582/klagomål/A 900-2024 FSC-klagomål.docx", "A 900-2024")</f>
        <v/>
      </c>
      <c r="W631">
        <f>HYPERLINK("https://klasma.github.io/Logging_2582/klagomålsmail/A 900-2024 FSC-klagomål mail.docx", "A 900-2024")</f>
        <v/>
      </c>
      <c r="X631">
        <f>HYPERLINK("https://klasma.github.io/Logging_2582/tillsyn/A 900-2024 tillsynsbegäran.docx", "A 900-2024")</f>
        <v/>
      </c>
      <c r="Y631">
        <f>HYPERLINK("https://klasma.github.io/Logging_2582/tillsynsmail/A 900-2024 tillsynsbegäran mail.docx", "A 900-2024")</f>
        <v/>
      </c>
    </row>
    <row r="632" ht="15" customHeight="1">
      <c r="A632" t="inlineStr">
        <is>
          <t>A 1890-2024</t>
        </is>
      </c>
      <c r="B632" s="1" t="n">
        <v>45308</v>
      </c>
      <c r="C632" s="1" t="n">
        <v>45798</v>
      </c>
      <c r="D632" t="inlineStr">
        <is>
          <t>NORRBOTTENS LÄN</t>
        </is>
      </c>
      <c r="E632" t="inlineStr">
        <is>
          <t>JOKKMOKK</t>
        </is>
      </c>
      <c r="F632" t="inlineStr">
        <is>
          <t>Sveaskog</t>
        </is>
      </c>
      <c r="G632" t="n">
        <v>2.9</v>
      </c>
      <c r="H632" t="n">
        <v>0</v>
      </c>
      <c r="I632" t="n">
        <v>0</v>
      </c>
      <c r="J632" t="n">
        <v>2</v>
      </c>
      <c r="K632" t="n">
        <v>0</v>
      </c>
      <c r="L632" t="n">
        <v>0</v>
      </c>
      <c r="M632" t="n">
        <v>0</v>
      </c>
      <c r="N632" t="n">
        <v>0</v>
      </c>
      <c r="O632" t="n">
        <v>2</v>
      </c>
      <c r="P632" t="n">
        <v>0</v>
      </c>
      <c r="Q632" t="n">
        <v>2</v>
      </c>
      <c r="R632" s="2" t="inlineStr">
        <is>
          <t>Kolflarnlav
Tallticka</t>
        </is>
      </c>
      <c r="S632">
        <f>HYPERLINK("https://klasma.github.io/Logging_2510/artfynd/A 1890-2024 artfynd.xlsx", "A 1890-2024")</f>
        <v/>
      </c>
      <c r="T632">
        <f>HYPERLINK("https://klasma.github.io/Logging_2510/kartor/A 1890-2024 karta.png", "A 1890-2024")</f>
        <v/>
      </c>
      <c r="V632">
        <f>HYPERLINK("https://klasma.github.io/Logging_2510/klagomål/A 1890-2024 FSC-klagomål.docx", "A 1890-2024")</f>
        <v/>
      </c>
      <c r="W632">
        <f>HYPERLINK("https://klasma.github.io/Logging_2510/klagomålsmail/A 1890-2024 FSC-klagomål mail.docx", "A 1890-2024")</f>
        <v/>
      </c>
      <c r="X632">
        <f>HYPERLINK("https://klasma.github.io/Logging_2510/tillsyn/A 1890-2024 tillsynsbegäran.docx", "A 1890-2024")</f>
        <v/>
      </c>
      <c r="Y632">
        <f>HYPERLINK("https://klasma.github.io/Logging_2510/tillsynsmail/A 1890-2024 tillsynsbegäran mail.docx", "A 1890-2024")</f>
        <v/>
      </c>
    </row>
    <row r="633" ht="15" customHeight="1">
      <c r="A633" t="inlineStr">
        <is>
          <t>A 4367-2024</t>
        </is>
      </c>
      <c r="B633" s="1" t="n">
        <v>45326</v>
      </c>
      <c r="C633" s="1" t="n">
        <v>45798</v>
      </c>
      <c r="D633" t="inlineStr">
        <is>
          <t>NORRBOTTENS LÄN</t>
        </is>
      </c>
      <c r="E633" t="inlineStr">
        <is>
          <t>KIRUNA</t>
        </is>
      </c>
      <c r="G633" t="n">
        <v>7.5</v>
      </c>
      <c r="H633" t="n">
        <v>0</v>
      </c>
      <c r="I633" t="n">
        <v>0</v>
      </c>
      <c r="J633" t="n">
        <v>2</v>
      </c>
      <c r="K633" t="n">
        <v>0</v>
      </c>
      <c r="L633" t="n">
        <v>0</v>
      </c>
      <c r="M633" t="n">
        <v>0</v>
      </c>
      <c r="N633" t="n">
        <v>0</v>
      </c>
      <c r="O633" t="n">
        <v>2</v>
      </c>
      <c r="P633" t="n">
        <v>0</v>
      </c>
      <c r="Q633" t="n">
        <v>2</v>
      </c>
      <c r="R633" s="2" t="inlineStr">
        <is>
          <t>Granticka
Tallticka</t>
        </is>
      </c>
      <c r="S633">
        <f>HYPERLINK("https://klasma.github.io/Logging_2584/artfynd/A 4367-2024 artfynd.xlsx", "A 4367-2024")</f>
        <v/>
      </c>
      <c r="T633">
        <f>HYPERLINK("https://klasma.github.io/Logging_2584/kartor/A 4367-2024 karta.png", "A 4367-2024")</f>
        <v/>
      </c>
      <c r="V633">
        <f>HYPERLINK("https://klasma.github.io/Logging_2584/klagomål/A 4367-2024 FSC-klagomål.docx", "A 4367-2024")</f>
        <v/>
      </c>
      <c r="W633">
        <f>HYPERLINK("https://klasma.github.io/Logging_2584/klagomålsmail/A 4367-2024 FSC-klagomål mail.docx", "A 4367-2024")</f>
        <v/>
      </c>
      <c r="X633">
        <f>HYPERLINK("https://klasma.github.io/Logging_2584/tillsyn/A 4367-2024 tillsynsbegäran.docx", "A 4367-2024")</f>
        <v/>
      </c>
      <c r="Y633">
        <f>HYPERLINK("https://klasma.github.io/Logging_2584/tillsynsmail/A 4367-2024 tillsynsbegäran mail.docx", "A 4367-2024")</f>
        <v/>
      </c>
    </row>
    <row r="634" ht="15" customHeight="1">
      <c r="A634" t="inlineStr">
        <is>
          <t>A 6639-2024</t>
        </is>
      </c>
      <c r="B634" s="1" t="n">
        <v>45341</v>
      </c>
      <c r="C634" s="1" t="n">
        <v>45798</v>
      </c>
      <c r="D634" t="inlineStr">
        <is>
          <t>NORRBOTTENS LÄN</t>
        </is>
      </c>
      <c r="E634" t="inlineStr">
        <is>
          <t>BODEN</t>
        </is>
      </c>
      <c r="F634" t="inlineStr">
        <is>
          <t>Övriga statliga verk och myndigheter</t>
        </is>
      </c>
      <c r="G634" t="n">
        <v>23.8</v>
      </c>
      <c r="H634" t="n">
        <v>0</v>
      </c>
      <c r="I634" t="n">
        <v>0</v>
      </c>
      <c r="J634" t="n">
        <v>2</v>
      </c>
      <c r="K634" t="n">
        <v>0</v>
      </c>
      <c r="L634" t="n">
        <v>0</v>
      </c>
      <c r="M634" t="n">
        <v>0</v>
      </c>
      <c r="N634" t="n">
        <v>0</v>
      </c>
      <c r="O634" t="n">
        <v>2</v>
      </c>
      <c r="P634" t="n">
        <v>0</v>
      </c>
      <c r="Q634" t="n">
        <v>2</v>
      </c>
      <c r="R634" s="2" t="inlineStr">
        <is>
          <t>Granticka
Lunglav</t>
        </is>
      </c>
      <c r="S634">
        <f>HYPERLINK("https://klasma.github.io/Logging_2582/artfynd/A 6639-2024 artfynd.xlsx", "A 6639-2024")</f>
        <v/>
      </c>
      <c r="T634">
        <f>HYPERLINK("https://klasma.github.io/Logging_2582/kartor/A 6639-2024 karta.png", "A 6639-2024")</f>
        <v/>
      </c>
      <c r="V634">
        <f>HYPERLINK("https://klasma.github.io/Logging_2582/klagomål/A 6639-2024 FSC-klagomål.docx", "A 6639-2024")</f>
        <v/>
      </c>
      <c r="W634">
        <f>HYPERLINK("https://klasma.github.io/Logging_2582/klagomålsmail/A 6639-2024 FSC-klagomål mail.docx", "A 6639-2024")</f>
        <v/>
      </c>
      <c r="X634">
        <f>HYPERLINK("https://klasma.github.io/Logging_2582/tillsyn/A 6639-2024 tillsynsbegäran.docx", "A 6639-2024")</f>
        <v/>
      </c>
      <c r="Y634">
        <f>HYPERLINK("https://klasma.github.io/Logging_2582/tillsynsmail/A 6639-2024 tillsynsbegäran mail.docx", "A 6639-2024")</f>
        <v/>
      </c>
    </row>
    <row r="635" ht="15" customHeight="1">
      <c r="A635" t="inlineStr">
        <is>
          <t>A 15605-2024</t>
        </is>
      </c>
      <c r="B635" s="1" t="n">
        <v>45402</v>
      </c>
      <c r="C635" s="1" t="n">
        <v>45798</v>
      </c>
      <c r="D635" t="inlineStr">
        <is>
          <t>NORRBOTTENS LÄN</t>
        </is>
      </c>
      <c r="E635" t="inlineStr">
        <is>
          <t>BODEN</t>
        </is>
      </c>
      <c r="G635" t="n">
        <v>6</v>
      </c>
      <c r="H635" t="n">
        <v>0</v>
      </c>
      <c r="I635" t="n">
        <v>1</v>
      </c>
      <c r="J635" t="n">
        <v>1</v>
      </c>
      <c r="K635" t="n">
        <v>0</v>
      </c>
      <c r="L635" t="n">
        <v>0</v>
      </c>
      <c r="M635" t="n">
        <v>0</v>
      </c>
      <c r="N635" t="n">
        <v>0</v>
      </c>
      <c r="O635" t="n">
        <v>1</v>
      </c>
      <c r="P635" t="n">
        <v>0</v>
      </c>
      <c r="Q635" t="n">
        <v>2</v>
      </c>
      <c r="R635" s="2" t="inlineStr">
        <is>
          <t>Gammelgransskål
Bollvitmossa</t>
        </is>
      </c>
      <c r="S635">
        <f>HYPERLINK("https://klasma.github.io/Logging_2582/artfynd/A 15605-2024 artfynd.xlsx", "A 15605-2024")</f>
        <v/>
      </c>
      <c r="T635">
        <f>HYPERLINK("https://klasma.github.io/Logging_2582/kartor/A 15605-2024 karta.png", "A 15605-2024")</f>
        <v/>
      </c>
      <c r="V635">
        <f>HYPERLINK("https://klasma.github.io/Logging_2582/klagomål/A 15605-2024 FSC-klagomål.docx", "A 15605-2024")</f>
        <v/>
      </c>
      <c r="W635">
        <f>HYPERLINK("https://klasma.github.io/Logging_2582/klagomålsmail/A 15605-2024 FSC-klagomål mail.docx", "A 15605-2024")</f>
        <v/>
      </c>
      <c r="X635">
        <f>HYPERLINK("https://klasma.github.io/Logging_2582/tillsyn/A 15605-2024 tillsynsbegäran.docx", "A 15605-2024")</f>
        <v/>
      </c>
      <c r="Y635">
        <f>HYPERLINK("https://klasma.github.io/Logging_2582/tillsynsmail/A 15605-2024 tillsynsbegäran mail.docx", "A 15605-2024")</f>
        <v/>
      </c>
    </row>
    <row r="636" ht="15" customHeight="1">
      <c r="A636" t="inlineStr">
        <is>
          <t>A 16255-2024</t>
        </is>
      </c>
      <c r="B636" s="1" t="n">
        <v>45407</v>
      </c>
      <c r="C636" s="1" t="n">
        <v>45798</v>
      </c>
      <c r="D636" t="inlineStr">
        <is>
          <t>NORRBOTTENS LÄN</t>
        </is>
      </c>
      <c r="E636" t="inlineStr">
        <is>
          <t>ÄLVSBYN</t>
        </is>
      </c>
      <c r="F636" t="inlineStr">
        <is>
          <t>SCA</t>
        </is>
      </c>
      <c r="G636" t="n">
        <v>18.5</v>
      </c>
      <c r="H636" t="n">
        <v>1</v>
      </c>
      <c r="I636" t="n">
        <v>1</v>
      </c>
      <c r="J636" t="n">
        <v>1</v>
      </c>
      <c r="K636" t="n">
        <v>0</v>
      </c>
      <c r="L636" t="n">
        <v>0</v>
      </c>
      <c r="M636" t="n">
        <v>0</v>
      </c>
      <c r="N636" t="n">
        <v>0</v>
      </c>
      <c r="O636" t="n">
        <v>1</v>
      </c>
      <c r="P636" t="n">
        <v>0</v>
      </c>
      <c r="Q636" t="n">
        <v>2</v>
      </c>
      <c r="R636" s="2" t="inlineStr">
        <is>
          <t>Gammelgransskål
Lappranunkel</t>
        </is>
      </c>
      <c r="S636">
        <f>HYPERLINK("https://klasma.github.io/Logging_2560/artfynd/A 16255-2024 artfynd.xlsx", "A 16255-2024")</f>
        <v/>
      </c>
      <c r="T636">
        <f>HYPERLINK("https://klasma.github.io/Logging_2560/kartor/A 16255-2024 karta.png", "A 16255-2024")</f>
        <v/>
      </c>
      <c r="V636">
        <f>HYPERLINK("https://klasma.github.io/Logging_2560/klagomål/A 16255-2024 FSC-klagomål.docx", "A 16255-2024")</f>
        <v/>
      </c>
      <c r="W636">
        <f>HYPERLINK("https://klasma.github.io/Logging_2560/klagomålsmail/A 16255-2024 FSC-klagomål mail.docx", "A 16255-2024")</f>
        <v/>
      </c>
      <c r="X636">
        <f>HYPERLINK("https://klasma.github.io/Logging_2560/tillsyn/A 16255-2024 tillsynsbegäran.docx", "A 16255-2024")</f>
        <v/>
      </c>
      <c r="Y636">
        <f>HYPERLINK("https://klasma.github.io/Logging_2560/tillsynsmail/A 16255-2024 tillsynsbegäran mail.docx", "A 16255-2024")</f>
        <v/>
      </c>
    </row>
    <row r="637" ht="15" customHeight="1">
      <c r="A637" t="inlineStr">
        <is>
          <t>A 19871-2024</t>
        </is>
      </c>
      <c r="B637" s="1" t="n">
        <v>45433</v>
      </c>
      <c r="C637" s="1" t="n">
        <v>45798</v>
      </c>
      <c r="D637" t="inlineStr">
        <is>
          <t>NORRBOTTENS LÄN</t>
        </is>
      </c>
      <c r="E637" t="inlineStr">
        <is>
          <t>LULEÅ</t>
        </is>
      </c>
      <c r="G637" t="n">
        <v>2.3</v>
      </c>
      <c r="H637" t="n">
        <v>1</v>
      </c>
      <c r="I637" t="n">
        <v>1</v>
      </c>
      <c r="J637" t="n">
        <v>1</v>
      </c>
      <c r="K637" t="n">
        <v>0</v>
      </c>
      <c r="L637" t="n">
        <v>0</v>
      </c>
      <c r="M637" t="n">
        <v>0</v>
      </c>
      <c r="N637" t="n">
        <v>0</v>
      </c>
      <c r="O637" t="n">
        <v>1</v>
      </c>
      <c r="P637" t="n">
        <v>0</v>
      </c>
      <c r="Q637" t="n">
        <v>2</v>
      </c>
      <c r="R637" s="2" t="inlineStr">
        <is>
          <t>Spillkråka
Stuplav</t>
        </is>
      </c>
      <c r="S637">
        <f>HYPERLINK("https://klasma.github.io/Logging_2580/artfynd/A 19871-2024 artfynd.xlsx", "A 19871-2024")</f>
        <v/>
      </c>
      <c r="T637">
        <f>HYPERLINK("https://klasma.github.io/Logging_2580/kartor/A 19871-2024 karta.png", "A 19871-2024")</f>
        <v/>
      </c>
      <c r="V637">
        <f>HYPERLINK("https://klasma.github.io/Logging_2580/klagomål/A 19871-2024 FSC-klagomål.docx", "A 19871-2024")</f>
        <v/>
      </c>
      <c r="W637">
        <f>HYPERLINK("https://klasma.github.io/Logging_2580/klagomålsmail/A 19871-2024 FSC-klagomål mail.docx", "A 19871-2024")</f>
        <v/>
      </c>
      <c r="X637">
        <f>HYPERLINK("https://klasma.github.io/Logging_2580/tillsyn/A 19871-2024 tillsynsbegäran.docx", "A 19871-2024")</f>
        <v/>
      </c>
      <c r="Y637">
        <f>HYPERLINK("https://klasma.github.io/Logging_2580/tillsynsmail/A 19871-2024 tillsynsbegäran mail.docx", "A 19871-2024")</f>
        <v/>
      </c>
      <c r="Z637">
        <f>HYPERLINK("https://klasma.github.io/Logging_2580/fåglar/A 19871-2024 prioriterade fågelarter.docx", "A 19871-2024")</f>
        <v/>
      </c>
    </row>
    <row r="638" ht="15" customHeight="1">
      <c r="A638" t="inlineStr">
        <is>
          <t>A 20673-2024</t>
        </is>
      </c>
      <c r="B638" s="1" t="n">
        <v>45436</v>
      </c>
      <c r="C638" s="1" t="n">
        <v>45798</v>
      </c>
      <c r="D638" t="inlineStr">
        <is>
          <t>NORRBOTTENS LÄN</t>
        </is>
      </c>
      <c r="E638" t="inlineStr">
        <is>
          <t>LULEÅ</t>
        </is>
      </c>
      <c r="G638" t="n">
        <v>0.7</v>
      </c>
      <c r="H638" t="n">
        <v>0</v>
      </c>
      <c r="I638" t="n">
        <v>0</v>
      </c>
      <c r="J638" t="n">
        <v>1</v>
      </c>
      <c r="K638" t="n">
        <v>1</v>
      </c>
      <c r="L638" t="n">
        <v>0</v>
      </c>
      <c r="M638" t="n">
        <v>0</v>
      </c>
      <c r="N638" t="n">
        <v>0</v>
      </c>
      <c r="O638" t="n">
        <v>2</v>
      </c>
      <c r="P638" t="n">
        <v>1</v>
      </c>
      <c r="Q638" t="n">
        <v>2</v>
      </c>
      <c r="R638" s="2" t="inlineStr">
        <is>
          <t>Smalfotad taggsvamp
Orange taggsvamp</t>
        </is>
      </c>
      <c r="S638">
        <f>HYPERLINK("https://klasma.github.io/Logging_2580/artfynd/A 20673-2024 artfynd.xlsx", "A 20673-2024")</f>
        <v/>
      </c>
      <c r="T638">
        <f>HYPERLINK("https://klasma.github.io/Logging_2580/kartor/A 20673-2024 karta.png", "A 20673-2024")</f>
        <v/>
      </c>
      <c r="V638">
        <f>HYPERLINK("https://klasma.github.io/Logging_2580/klagomål/A 20673-2024 FSC-klagomål.docx", "A 20673-2024")</f>
        <v/>
      </c>
      <c r="W638">
        <f>HYPERLINK("https://klasma.github.io/Logging_2580/klagomålsmail/A 20673-2024 FSC-klagomål mail.docx", "A 20673-2024")</f>
        <v/>
      </c>
      <c r="X638">
        <f>HYPERLINK("https://klasma.github.io/Logging_2580/tillsyn/A 20673-2024 tillsynsbegäran.docx", "A 20673-2024")</f>
        <v/>
      </c>
      <c r="Y638">
        <f>HYPERLINK("https://klasma.github.io/Logging_2580/tillsynsmail/A 20673-2024 tillsynsbegäran mail.docx", "A 20673-2024")</f>
        <v/>
      </c>
    </row>
    <row r="639" ht="15" customHeight="1">
      <c r="A639" t="inlineStr">
        <is>
          <t>A 23134-2024</t>
        </is>
      </c>
      <c r="B639" s="1" t="n">
        <v>45450</v>
      </c>
      <c r="C639" s="1" t="n">
        <v>45798</v>
      </c>
      <c r="D639" t="inlineStr">
        <is>
          <t>NORRBOTTENS LÄN</t>
        </is>
      </c>
      <c r="E639" t="inlineStr">
        <is>
          <t>ÄLVSBYN</t>
        </is>
      </c>
      <c r="F639" t="inlineStr">
        <is>
          <t>Sveaskog</t>
        </is>
      </c>
      <c r="G639" t="n">
        <v>27.4</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23134-2024 artfynd.xlsx", "A 23134-2024")</f>
        <v/>
      </c>
      <c r="T639">
        <f>HYPERLINK("https://klasma.github.io/Logging_2560/kartor/A 23134-2024 karta.png", "A 23134-2024")</f>
        <v/>
      </c>
      <c r="V639">
        <f>HYPERLINK("https://klasma.github.io/Logging_2560/klagomål/A 23134-2024 FSC-klagomål.docx", "A 23134-2024")</f>
        <v/>
      </c>
      <c r="W639">
        <f>HYPERLINK("https://klasma.github.io/Logging_2560/klagomålsmail/A 23134-2024 FSC-klagomål mail.docx", "A 23134-2024")</f>
        <v/>
      </c>
      <c r="X639">
        <f>HYPERLINK("https://klasma.github.io/Logging_2560/tillsyn/A 23134-2024 tillsynsbegäran.docx", "A 23134-2024")</f>
        <v/>
      </c>
      <c r="Y639">
        <f>HYPERLINK("https://klasma.github.io/Logging_2560/tillsynsmail/A 23134-2024 tillsynsbegäran mail.docx", "A 23134-2024")</f>
        <v/>
      </c>
    </row>
    <row r="640" ht="15" customHeight="1">
      <c r="A640" t="inlineStr">
        <is>
          <t>A 24386-2024</t>
        </is>
      </c>
      <c r="B640" s="1" t="n">
        <v>45457</v>
      </c>
      <c r="C640" s="1" t="n">
        <v>45798</v>
      </c>
      <c r="D640" t="inlineStr">
        <is>
          <t>NORRBOTTENS LÄN</t>
        </is>
      </c>
      <c r="E640" t="inlineStr">
        <is>
          <t>ÄLVSBYN</t>
        </is>
      </c>
      <c r="F640" t="inlineStr">
        <is>
          <t>Sveaskog</t>
        </is>
      </c>
      <c r="G640" t="n">
        <v>11</v>
      </c>
      <c r="H640" t="n">
        <v>0</v>
      </c>
      <c r="I640" t="n">
        <v>1</v>
      </c>
      <c r="J640" t="n">
        <v>1</v>
      </c>
      <c r="K640" t="n">
        <v>0</v>
      </c>
      <c r="L640" t="n">
        <v>0</v>
      </c>
      <c r="M640" t="n">
        <v>0</v>
      </c>
      <c r="N640" t="n">
        <v>0</v>
      </c>
      <c r="O640" t="n">
        <v>1</v>
      </c>
      <c r="P640" t="n">
        <v>0</v>
      </c>
      <c r="Q640" t="n">
        <v>2</v>
      </c>
      <c r="R640" s="2" t="inlineStr">
        <is>
          <t>Lunglav
Stuplav</t>
        </is>
      </c>
      <c r="S640">
        <f>HYPERLINK("https://klasma.github.io/Logging_2560/artfynd/A 24386-2024 artfynd.xlsx", "A 24386-2024")</f>
        <v/>
      </c>
      <c r="T640">
        <f>HYPERLINK("https://klasma.github.io/Logging_2560/kartor/A 24386-2024 karta.png", "A 24386-2024")</f>
        <v/>
      </c>
      <c r="V640">
        <f>HYPERLINK("https://klasma.github.io/Logging_2560/klagomål/A 24386-2024 FSC-klagomål.docx", "A 24386-2024")</f>
        <v/>
      </c>
      <c r="W640">
        <f>HYPERLINK("https://klasma.github.io/Logging_2560/klagomålsmail/A 24386-2024 FSC-klagomål mail.docx", "A 24386-2024")</f>
        <v/>
      </c>
      <c r="X640">
        <f>HYPERLINK("https://klasma.github.io/Logging_2560/tillsyn/A 24386-2024 tillsynsbegäran.docx", "A 24386-2024")</f>
        <v/>
      </c>
      <c r="Y640">
        <f>HYPERLINK("https://klasma.github.io/Logging_2560/tillsynsmail/A 24386-2024 tillsynsbegäran mail.docx", "A 24386-2024")</f>
        <v/>
      </c>
    </row>
    <row r="641" ht="15" customHeight="1">
      <c r="A641" t="inlineStr">
        <is>
          <t>A 25526-2024</t>
        </is>
      </c>
      <c r="B641" s="1" t="n">
        <v>45463</v>
      </c>
      <c r="C641" s="1" t="n">
        <v>45798</v>
      </c>
      <c r="D641" t="inlineStr">
        <is>
          <t>NORRBOTTENS LÄN</t>
        </is>
      </c>
      <c r="E641" t="inlineStr">
        <is>
          <t>LULEÅ</t>
        </is>
      </c>
      <c r="G641" t="n">
        <v>1.6</v>
      </c>
      <c r="H641" t="n">
        <v>0</v>
      </c>
      <c r="I641" t="n">
        <v>0</v>
      </c>
      <c r="J641" t="n">
        <v>2</v>
      </c>
      <c r="K641" t="n">
        <v>0</v>
      </c>
      <c r="L641" t="n">
        <v>0</v>
      </c>
      <c r="M641" t="n">
        <v>0</v>
      </c>
      <c r="N641" t="n">
        <v>0</v>
      </c>
      <c r="O641" t="n">
        <v>2</v>
      </c>
      <c r="P641" t="n">
        <v>0</v>
      </c>
      <c r="Q641" t="n">
        <v>2</v>
      </c>
      <c r="R641" s="2" t="inlineStr">
        <is>
          <t>Gammelgransskål
Garnlav</t>
        </is>
      </c>
      <c r="S641">
        <f>HYPERLINK("https://klasma.github.io/Logging_2580/artfynd/A 25526-2024 artfynd.xlsx", "A 25526-2024")</f>
        <v/>
      </c>
      <c r="T641">
        <f>HYPERLINK("https://klasma.github.io/Logging_2580/kartor/A 25526-2024 karta.png", "A 25526-2024")</f>
        <v/>
      </c>
      <c r="V641">
        <f>HYPERLINK("https://klasma.github.io/Logging_2580/klagomål/A 25526-2024 FSC-klagomål.docx", "A 25526-2024")</f>
        <v/>
      </c>
      <c r="W641">
        <f>HYPERLINK("https://klasma.github.io/Logging_2580/klagomålsmail/A 25526-2024 FSC-klagomål mail.docx", "A 25526-2024")</f>
        <v/>
      </c>
      <c r="X641">
        <f>HYPERLINK("https://klasma.github.io/Logging_2580/tillsyn/A 25526-2024 tillsynsbegäran.docx", "A 25526-2024")</f>
        <v/>
      </c>
      <c r="Y641">
        <f>HYPERLINK("https://klasma.github.io/Logging_2580/tillsynsmail/A 25526-2024 tillsynsbegäran mail.docx", "A 25526-2024")</f>
        <v/>
      </c>
    </row>
    <row r="642" ht="15" customHeight="1">
      <c r="A642" t="inlineStr">
        <is>
          <t>A 25540-2024</t>
        </is>
      </c>
      <c r="B642" s="1" t="n">
        <v>45463</v>
      </c>
      <c r="C642" s="1" t="n">
        <v>45798</v>
      </c>
      <c r="D642" t="inlineStr">
        <is>
          <t>NORRBOTTENS LÄN</t>
        </is>
      </c>
      <c r="E642" t="inlineStr">
        <is>
          <t>LULEÅ</t>
        </is>
      </c>
      <c r="G642" t="n">
        <v>1.5</v>
      </c>
      <c r="H642" t="n">
        <v>1</v>
      </c>
      <c r="I642" t="n">
        <v>1</v>
      </c>
      <c r="J642" t="n">
        <v>1</v>
      </c>
      <c r="K642" t="n">
        <v>0</v>
      </c>
      <c r="L642" t="n">
        <v>0</v>
      </c>
      <c r="M642" t="n">
        <v>0</v>
      </c>
      <c r="N642" t="n">
        <v>0</v>
      </c>
      <c r="O642" t="n">
        <v>1</v>
      </c>
      <c r="P642" t="n">
        <v>0</v>
      </c>
      <c r="Q642" t="n">
        <v>2</v>
      </c>
      <c r="R642" s="2" t="inlineStr">
        <is>
          <t>Garnlav
Plattlummer</t>
        </is>
      </c>
      <c r="S642">
        <f>HYPERLINK("https://klasma.github.io/Logging_2580/artfynd/A 25540-2024 artfynd.xlsx", "A 25540-2024")</f>
        <v/>
      </c>
      <c r="T642">
        <f>HYPERLINK("https://klasma.github.io/Logging_2580/kartor/A 25540-2024 karta.png", "A 25540-2024")</f>
        <v/>
      </c>
      <c r="V642">
        <f>HYPERLINK("https://klasma.github.io/Logging_2580/klagomål/A 25540-2024 FSC-klagomål.docx", "A 25540-2024")</f>
        <v/>
      </c>
      <c r="W642">
        <f>HYPERLINK("https://klasma.github.io/Logging_2580/klagomålsmail/A 25540-2024 FSC-klagomål mail.docx", "A 25540-2024")</f>
        <v/>
      </c>
      <c r="X642">
        <f>HYPERLINK("https://klasma.github.io/Logging_2580/tillsyn/A 25540-2024 tillsynsbegäran.docx", "A 25540-2024")</f>
        <v/>
      </c>
      <c r="Y642">
        <f>HYPERLINK("https://klasma.github.io/Logging_2580/tillsynsmail/A 25540-2024 tillsynsbegäran mail.docx", "A 25540-2024")</f>
        <v/>
      </c>
    </row>
    <row r="643" ht="15" customHeight="1">
      <c r="A643" t="inlineStr">
        <is>
          <t>A 26822-2024</t>
        </is>
      </c>
      <c r="B643" s="1" t="n">
        <v>45470</v>
      </c>
      <c r="C643" s="1" t="n">
        <v>45798</v>
      </c>
      <c r="D643" t="inlineStr">
        <is>
          <t>NORRBOTTENS LÄN</t>
        </is>
      </c>
      <c r="E643" t="inlineStr">
        <is>
          <t>BODEN</t>
        </is>
      </c>
      <c r="F643" t="inlineStr">
        <is>
          <t>Sveaskog</t>
        </is>
      </c>
      <c r="G643" t="n">
        <v>10.9</v>
      </c>
      <c r="H643" t="n">
        <v>1</v>
      </c>
      <c r="I643" t="n">
        <v>0</v>
      </c>
      <c r="J643" t="n">
        <v>1</v>
      </c>
      <c r="K643" t="n">
        <v>0</v>
      </c>
      <c r="L643" t="n">
        <v>0</v>
      </c>
      <c r="M643" t="n">
        <v>0</v>
      </c>
      <c r="N643" t="n">
        <v>0</v>
      </c>
      <c r="O643" t="n">
        <v>1</v>
      </c>
      <c r="P643" t="n">
        <v>0</v>
      </c>
      <c r="Q643" t="n">
        <v>2</v>
      </c>
      <c r="R643" s="2" t="inlineStr">
        <is>
          <t>Lunglav
Fläcknycklar</t>
        </is>
      </c>
      <c r="S643">
        <f>HYPERLINK("https://klasma.github.io/Logging_2582/artfynd/A 26822-2024 artfynd.xlsx", "A 26822-2024")</f>
        <v/>
      </c>
      <c r="T643">
        <f>HYPERLINK("https://klasma.github.io/Logging_2582/kartor/A 26822-2024 karta.png", "A 26822-2024")</f>
        <v/>
      </c>
      <c r="V643">
        <f>HYPERLINK("https://klasma.github.io/Logging_2582/klagomål/A 26822-2024 FSC-klagomål.docx", "A 26822-2024")</f>
        <v/>
      </c>
      <c r="W643">
        <f>HYPERLINK("https://klasma.github.io/Logging_2582/klagomålsmail/A 26822-2024 FSC-klagomål mail.docx", "A 26822-2024")</f>
        <v/>
      </c>
      <c r="X643">
        <f>HYPERLINK("https://klasma.github.io/Logging_2582/tillsyn/A 26822-2024 tillsynsbegäran.docx", "A 26822-2024")</f>
        <v/>
      </c>
      <c r="Y643">
        <f>HYPERLINK("https://klasma.github.io/Logging_2582/tillsynsmail/A 26822-2024 tillsynsbegäran mail.docx", "A 26822-2024")</f>
        <v/>
      </c>
    </row>
    <row r="644" ht="15" customHeight="1">
      <c r="A644" t="inlineStr">
        <is>
          <t>A 26825-2024</t>
        </is>
      </c>
      <c r="B644" s="1" t="n">
        <v>45470</v>
      </c>
      <c r="C644" s="1" t="n">
        <v>45798</v>
      </c>
      <c r="D644" t="inlineStr">
        <is>
          <t>NORRBOTTENS LÄN</t>
        </is>
      </c>
      <c r="E644" t="inlineStr">
        <is>
          <t>GÄLLIVARE</t>
        </is>
      </c>
      <c r="F644" t="inlineStr">
        <is>
          <t>Sveaskog</t>
        </is>
      </c>
      <c r="G644" t="n">
        <v>4</v>
      </c>
      <c r="H644" t="n">
        <v>0</v>
      </c>
      <c r="I644" t="n">
        <v>0</v>
      </c>
      <c r="J644" t="n">
        <v>2</v>
      </c>
      <c r="K644" t="n">
        <v>0</v>
      </c>
      <c r="L644" t="n">
        <v>0</v>
      </c>
      <c r="M644" t="n">
        <v>0</v>
      </c>
      <c r="N644" t="n">
        <v>0</v>
      </c>
      <c r="O644" t="n">
        <v>2</v>
      </c>
      <c r="P644" t="n">
        <v>0</v>
      </c>
      <c r="Q644" t="n">
        <v>2</v>
      </c>
      <c r="R644" s="2" t="inlineStr">
        <is>
          <t>Rosenticka
Ullticka</t>
        </is>
      </c>
      <c r="S644">
        <f>HYPERLINK("https://klasma.github.io/Logging_2523/artfynd/A 26825-2024 artfynd.xlsx", "A 26825-2024")</f>
        <v/>
      </c>
      <c r="T644">
        <f>HYPERLINK("https://klasma.github.io/Logging_2523/kartor/A 26825-2024 karta.png", "A 26825-2024")</f>
        <v/>
      </c>
      <c r="V644">
        <f>HYPERLINK("https://klasma.github.io/Logging_2523/klagomål/A 26825-2024 FSC-klagomål.docx", "A 26825-2024")</f>
        <v/>
      </c>
      <c r="W644">
        <f>HYPERLINK("https://klasma.github.io/Logging_2523/klagomålsmail/A 26825-2024 FSC-klagomål mail.docx", "A 26825-2024")</f>
        <v/>
      </c>
      <c r="X644">
        <f>HYPERLINK("https://klasma.github.io/Logging_2523/tillsyn/A 26825-2024 tillsynsbegäran.docx", "A 26825-2024")</f>
        <v/>
      </c>
      <c r="Y644">
        <f>HYPERLINK("https://klasma.github.io/Logging_2523/tillsynsmail/A 26825-2024 tillsynsbegäran mail.docx", "A 26825-2024")</f>
        <v/>
      </c>
    </row>
    <row r="645" ht="15" customHeight="1">
      <c r="A645" t="inlineStr">
        <is>
          <t>A 27250-2024</t>
        </is>
      </c>
      <c r="B645" s="1" t="n">
        <v>45471</v>
      </c>
      <c r="C645" s="1" t="n">
        <v>45798</v>
      </c>
      <c r="D645" t="inlineStr">
        <is>
          <t>NORRBOTTENS LÄN</t>
        </is>
      </c>
      <c r="E645" t="inlineStr">
        <is>
          <t>GÄLLIVARE</t>
        </is>
      </c>
      <c r="F645" t="inlineStr">
        <is>
          <t>Sveaskog</t>
        </is>
      </c>
      <c r="G645" t="n">
        <v>43.8</v>
      </c>
      <c r="H645" t="n">
        <v>0</v>
      </c>
      <c r="I645" t="n">
        <v>1</v>
      </c>
      <c r="J645" t="n">
        <v>1</v>
      </c>
      <c r="K645" t="n">
        <v>0</v>
      </c>
      <c r="L645" t="n">
        <v>0</v>
      </c>
      <c r="M645" t="n">
        <v>0</v>
      </c>
      <c r="N645" t="n">
        <v>0</v>
      </c>
      <c r="O645" t="n">
        <v>1</v>
      </c>
      <c r="P645" t="n">
        <v>0</v>
      </c>
      <c r="Q645" t="n">
        <v>2</v>
      </c>
      <c r="R645" s="2" t="inlineStr">
        <is>
          <t>Kolflarnlav
Dropptaggsvamp</t>
        </is>
      </c>
      <c r="S645">
        <f>HYPERLINK("https://klasma.github.io/Logging_2523/artfynd/A 27250-2024 artfynd.xlsx", "A 27250-2024")</f>
        <v/>
      </c>
      <c r="T645">
        <f>HYPERLINK("https://klasma.github.io/Logging_2523/kartor/A 27250-2024 karta.png", "A 27250-2024")</f>
        <v/>
      </c>
      <c r="V645">
        <f>HYPERLINK("https://klasma.github.io/Logging_2523/klagomål/A 27250-2024 FSC-klagomål.docx", "A 27250-2024")</f>
        <v/>
      </c>
      <c r="W645">
        <f>HYPERLINK("https://klasma.github.io/Logging_2523/klagomålsmail/A 27250-2024 FSC-klagomål mail.docx", "A 27250-2024")</f>
        <v/>
      </c>
      <c r="X645">
        <f>HYPERLINK("https://klasma.github.io/Logging_2523/tillsyn/A 27250-2024 tillsynsbegäran.docx", "A 27250-2024")</f>
        <v/>
      </c>
      <c r="Y645">
        <f>HYPERLINK("https://klasma.github.io/Logging_2523/tillsynsmail/A 27250-2024 tillsynsbegäran mail.docx", "A 27250-2024")</f>
        <v/>
      </c>
    </row>
    <row r="646" ht="15" customHeight="1">
      <c r="A646" t="inlineStr">
        <is>
          <t>A 28577-2024</t>
        </is>
      </c>
      <c r="B646" s="1" t="n">
        <v>45478</v>
      </c>
      <c r="C646" s="1" t="n">
        <v>45798</v>
      </c>
      <c r="D646" t="inlineStr">
        <is>
          <t>NORRBOTTENS LÄN</t>
        </is>
      </c>
      <c r="E646" t="inlineStr">
        <is>
          <t>ÖVERKALIX</t>
        </is>
      </c>
      <c r="F646" t="inlineStr">
        <is>
          <t>Sveaskog</t>
        </is>
      </c>
      <c r="G646" t="n">
        <v>0.8</v>
      </c>
      <c r="H646" t="n">
        <v>1</v>
      </c>
      <c r="I646" t="n">
        <v>1</v>
      </c>
      <c r="J646" t="n">
        <v>1</v>
      </c>
      <c r="K646" t="n">
        <v>0</v>
      </c>
      <c r="L646" t="n">
        <v>0</v>
      </c>
      <c r="M646" t="n">
        <v>0</v>
      </c>
      <c r="N646" t="n">
        <v>0</v>
      </c>
      <c r="O646" t="n">
        <v>1</v>
      </c>
      <c r="P646" t="n">
        <v>0</v>
      </c>
      <c r="Q646" t="n">
        <v>2</v>
      </c>
      <c r="R646" s="2" t="inlineStr">
        <is>
          <t>Månlåsbräken
Plattlummer</t>
        </is>
      </c>
      <c r="S646">
        <f>HYPERLINK("https://klasma.github.io/Logging_2513/artfynd/A 28577-2024 artfynd.xlsx", "A 28577-2024")</f>
        <v/>
      </c>
      <c r="T646">
        <f>HYPERLINK("https://klasma.github.io/Logging_2513/kartor/A 28577-2024 karta.png", "A 28577-2024")</f>
        <v/>
      </c>
      <c r="V646">
        <f>HYPERLINK("https://klasma.github.io/Logging_2513/klagomål/A 28577-2024 FSC-klagomål.docx", "A 28577-2024")</f>
        <v/>
      </c>
      <c r="W646">
        <f>HYPERLINK("https://klasma.github.io/Logging_2513/klagomålsmail/A 28577-2024 FSC-klagomål mail.docx", "A 28577-2024")</f>
        <v/>
      </c>
      <c r="X646">
        <f>HYPERLINK("https://klasma.github.io/Logging_2513/tillsyn/A 28577-2024 tillsynsbegäran.docx", "A 28577-2024")</f>
        <v/>
      </c>
      <c r="Y646">
        <f>HYPERLINK("https://klasma.github.io/Logging_2513/tillsynsmail/A 28577-2024 tillsynsbegäran mail.docx", "A 28577-2024")</f>
        <v/>
      </c>
    </row>
    <row r="647" ht="15" customHeight="1">
      <c r="A647" t="inlineStr">
        <is>
          <t>A 29680-2024</t>
        </is>
      </c>
      <c r="B647" s="1" t="n">
        <v>45485</v>
      </c>
      <c r="C647" s="1" t="n">
        <v>45798</v>
      </c>
      <c r="D647" t="inlineStr">
        <is>
          <t>NORRBOTTENS LÄN</t>
        </is>
      </c>
      <c r="E647" t="inlineStr">
        <is>
          <t>ARVIDSJAUR</t>
        </is>
      </c>
      <c r="F647" t="inlineStr">
        <is>
          <t>SCA</t>
        </is>
      </c>
      <c r="G647" t="n">
        <v>14.3</v>
      </c>
      <c r="H647" t="n">
        <v>2</v>
      </c>
      <c r="I647" t="n">
        <v>0</v>
      </c>
      <c r="J647" t="n">
        <v>0</v>
      </c>
      <c r="K647" t="n">
        <v>0</v>
      </c>
      <c r="L647" t="n">
        <v>0</v>
      </c>
      <c r="M647" t="n">
        <v>0</v>
      </c>
      <c r="N647" t="n">
        <v>0</v>
      </c>
      <c r="O647" t="n">
        <v>0</v>
      </c>
      <c r="P647" t="n">
        <v>0</v>
      </c>
      <c r="Q647" t="n">
        <v>2</v>
      </c>
      <c r="R647" s="2" t="inlineStr">
        <is>
          <t>Fläcknycklar
Mattlummer</t>
        </is>
      </c>
      <c r="S647">
        <f>HYPERLINK("https://klasma.github.io/Logging_2505/artfynd/A 29680-2024 artfynd.xlsx", "A 29680-2024")</f>
        <v/>
      </c>
      <c r="T647">
        <f>HYPERLINK("https://klasma.github.io/Logging_2505/kartor/A 29680-2024 karta.png", "A 29680-2024")</f>
        <v/>
      </c>
      <c r="V647">
        <f>HYPERLINK("https://klasma.github.io/Logging_2505/klagomål/A 29680-2024 FSC-klagomål.docx", "A 29680-2024")</f>
        <v/>
      </c>
      <c r="W647">
        <f>HYPERLINK("https://klasma.github.io/Logging_2505/klagomålsmail/A 29680-2024 FSC-klagomål mail.docx", "A 29680-2024")</f>
        <v/>
      </c>
      <c r="X647">
        <f>HYPERLINK("https://klasma.github.io/Logging_2505/tillsyn/A 29680-2024 tillsynsbegäran.docx", "A 29680-2024")</f>
        <v/>
      </c>
      <c r="Y647">
        <f>HYPERLINK("https://klasma.github.io/Logging_2505/tillsynsmail/A 29680-2024 tillsynsbegäran mail.docx", "A 29680-2024")</f>
        <v/>
      </c>
    </row>
    <row r="648" ht="15" customHeight="1">
      <c r="A648" t="inlineStr">
        <is>
          <t>A 30393-2024</t>
        </is>
      </c>
      <c r="B648" s="1" t="n">
        <v>45491</v>
      </c>
      <c r="C648" s="1" t="n">
        <v>45798</v>
      </c>
      <c r="D648" t="inlineStr">
        <is>
          <t>NORRBOTTENS LÄN</t>
        </is>
      </c>
      <c r="E648" t="inlineStr">
        <is>
          <t>GÄLLIVARE</t>
        </is>
      </c>
      <c r="F648" t="inlineStr">
        <is>
          <t>Sveaskog</t>
        </is>
      </c>
      <c r="G648" t="n">
        <v>14.7</v>
      </c>
      <c r="H648" t="n">
        <v>0</v>
      </c>
      <c r="I648" t="n">
        <v>0</v>
      </c>
      <c r="J648" t="n">
        <v>2</v>
      </c>
      <c r="K648" t="n">
        <v>0</v>
      </c>
      <c r="L648" t="n">
        <v>0</v>
      </c>
      <c r="M648" t="n">
        <v>0</v>
      </c>
      <c r="N648" t="n">
        <v>0</v>
      </c>
      <c r="O648" t="n">
        <v>2</v>
      </c>
      <c r="P648" t="n">
        <v>0</v>
      </c>
      <c r="Q648" t="n">
        <v>2</v>
      </c>
      <c r="R648" s="2" t="inlineStr">
        <is>
          <t>Kolflarnlav
Violmussling</t>
        </is>
      </c>
      <c r="S648">
        <f>HYPERLINK("https://klasma.github.io/Logging_2523/artfynd/A 30393-2024 artfynd.xlsx", "A 30393-2024")</f>
        <v/>
      </c>
      <c r="T648">
        <f>HYPERLINK("https://klasma.github.io/Logging_2523/kartor/A 30393-2024 karta.png", "A 30393-2024")</f>
        <v/>
      </c>
      <c r="V648">
        <f>HYPERLINK("https://klasma.github.io/Logging_2523/klagomål/A 30393-2024 FSC-klagomål.docx", "A 30393-2024")</f>
        <v/>
      </c>
      <c r="W648">
        <f>HYPERLINK("https://klasma.github.io/Logging_2523/klagomålsmail/A 30393-2024 FSC-klagomål mail.docx", "A 30393-2024")</f>
        <v/>
      </c>
      <c r="X648">
        <f>HYPERLINK("https://klasma.github.io/Logging_2523/tillsyn/A 30393-2024 tillsynsbegäran.docx", "A 30393-2024")</f>
        <v/>
      </c>
      <c r="Y648">
        <f>HYPERLINK("https://klasma.github.io/Logging_2523/tillsynsmail/A 30393-2024 tillsynsbegäran mail.docx", "A 30393-2024")</f>
        <v/>
      </c>
    </row>
    <row r="649" ht="15" customHeight="1">
      <c r="A649" t="inlineStr">
        <is>
          <t>A 32818-2024</t>
        </is>
      </c>
      <c r="B649" s="1" t="n">
        <v>45516</v>
      </c>
      <c r="C649" s="1" t="n">
        <v>45798</v>
      </c>
      <c r="D649" t="inlineStr">
        <is>
          <t>NORRBOTTENS LÄN</t>
        </is>
      </c>
      <c r="E649" t="inlineStr">
        <is>
          <t>ÄLVSBYN</t>
        </is>
      </c>
      <c r="F649" t="inlineStr">
        <is>
          <t>Sveaskog</t>
        </is>
      </c>
      <c r="G649" t="n">
        <v>7.6</v>
      </c>
      <c r="H649" t="n">
        <v>0</v>
      </c>
      <c r="I649" t="n">
        <v>1</v>
      </c>
      <c r="J649" t="n">
        <v>1</v>
      </c>
      <c r="K649" t="n">
        <v>0</v>
      </c>
      <c r="L649" t="n">
        <v>0</v>
      </c>
      <c r="M649" t="n">
        <v>0</v>
      </c>
      <c r="N649" t="n">
        <v>0</v>
      </c>
      <c r="O649" t="n">
        <v>1</v>
      </c>
      <c r="P649" t="n">
        <v>0</v>
      </c>
      <c r="Q649" t="n">
        <v>2</v>
      </c>
      <c r="R649" s="2" t="inlineStr">
        <is>
          <t>Lunglav
Stuplav</t>
        </is>
      </c>
      <c r="S649">
        <f>HYPERLINK("https://klasma.github.io/Logging_2560/artfynd/A 32818-2024 artfynd.xlsx", "A 32818-2024")</f>
        <v/>
      </c>
      <c r="T649">
        <f>HYPERLINK("https://klasma.github.io/Logging_2560/kartor/A 32818-2024 karta.png", "A 32818-2024")</f>
        <v/>
      </c>
      <c r="V649">
        <f>HYPERLINK("https://klasma.github.io/Logging_2560/klagomål/A 32818-2024 FSC-klagomål.docx", "A 32818-2024")</f>
        <v/>
      </c>
      <c r="W649">
        <f>HYPERLINK("https://klasma.github.io/Logging_2560/klagomålsmail/A 32818-2024 FSC-klagomål mail.docx", "A 32818-2024")</f>
        <v/>
      </c>
      <c r="X649">
        <f>HYPERLINK("https://klasma.github.io/Logging_2560/tillsyn/A 32818-2024 tillsynsbegäran.docx", "A 32818-2024")</f>
        <v/>
      </c>
      <c r="Y649">
        <f>HYPERLINK("https://klasma.github.io/Logging_2560/tillsynsmail/A 32818-2024 tillsynsbegäran mail.docx", "A 32818-2024")</f>
        <v/>
      </c>
    </row>
    <row r="650" ht="15" customHeight="1">
      <c r="A650" t="inlineStr">
        <is>
          <t>A 32971-2024</t>
        </is>
      </c>
      <c r="B650" s="1" t="n">
        <v>45517</v>
      </c>
      <c r="C650" s="1" t="n">
        <v>45798</v>
      </c>
      <c r="D650" t="inlineStr">
        <is>
          <t>NORRBOTTENS LÄN</t>
        </is>
      </c>
      <c r="E650" t="inlineStr">
        <is>
          <t>BODEN</t>
        </is>
      </c>
      <c r="F650" t="inlineStr">
        <is>
          <t>Sveaskog</t>
        </is>
      </c>
      <c r="G650" t="n">
        <v>10</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32971-2024 artfynd.xlsx", "A 32971-2024")</f>
        <v/>
      </c>
      <c r="T650">
        <f>HYPERLINK("https://klasma.github.io/Logging_2582/kartor/A 32971-2024 karta.png", "A 32971-2024")</f>
        <v/>
      </c>
      <c r="V650">
        <f>HYPERLINK("https://klasma.github.io/Logging_2582/klagomål/A 32971-2024 FSC-klagomål.docx", "A 32971-2024")</f>
        <v/>
      </c>
      <c r="W650">
        <f>HYPERLINK("https://klasma.github.io/Logging_2582/klagomålsmail/A 32971-2024 FSC-klagomål mail.docx", "A 32971-2024")</f>
        <v/>
      </c>
      <c r="X650">
        <f>HYPERLINK("https://klasma.github.io/Logging_2582/tillsyn/A 32971-2024 tillsynsbegäran.docx", "A 32971-2024")</f>
        <v/>
      </c>
      <c r="Y650">
        <f>HYPERLINK("https://klasma.github.io/Logging_2582/tillsynsmail/A 32971-2024 tillsynsbegäran mail.docx", "A 32971-2024")</f>
        <v/>
      </c>
    </row>
    <row r="651" ht="15" customHeight="1">
      <c r="A651" t="inlineStr">
        <is>
          <t>A 34737-2024</t>
        </is>
      </c>
      <c r="B651" s="1" t="n">
        <v>45526</v>
      </c>
      <c r="C651" s="1" t="n">
        <v>45798</v>
      </c>
      <c r="D651" t="inlineStr">
        <is>
          <t>NORRBOTTENS LÄN</t>
        </is>
      </c>
      <c r="E651" t="inlineStr">
        <is>
          <t>BODEN</t>
        </is>
      </c>
      <c r="F651" t="inlineStr">
        <is>
          <t>Sveaskog</t>
        </is>
      </c>
      <c r="G651" t="n">
        <v>6</v>
      </c>
      <c r="H651" t="n">
        <v>1</v>
      </c>
      <c r="I651" t="n">
        <v>0</v>
      </c>
      <c r="J651" t="n">
        <v>1</v>
      </c>
      <c r="K651" t="n">
        <v>0</v>
      </c>
      <c r="L651" t="n">
        <v>0</v>
      </c>
      <c r="M651" t="n">
        <v>0</v>
      </c>
      <c r="N651" t="n">
        <v>0</v>
      </c>
      <c r="O651" t="n">
        <v>1</v>
      </c>
      <c r="P651" t="n">
        <v>0</v>
      </c>
      <c r="Q651" t="n">
        <v>2</v>
      </c>
      <c r="R651" s="2" t="inlineStr">
        <is>
          <t>Lunglav
Fläcknycklar</t>
        </is>
      </c>
      <c r="S651">
        <f>HYPERLINK("https://klasma.github.io/Logging_2582/artfynd/A 34737-2024 artfynd.xlsx", "A 34737-2024")</f>
        <v/>
      </c>
      <c r="T651">
        <f>HYPERLINK("https://klasma.github.io/Logging_2582/kartor/A 34737-2024 karta.png", "A 34737-2024")</f>
        <v/>
      </c>
      <c r="V651">
        <f>HYPERLINK("https://klasma.github.io/Logging_2582/klagomål/A 34737-2024 FSC-klagomål.docx", "A 34737-2024")</f>
        <v/>
      </c>
      <c r="W651">
        <f>HYPERLINK("https://klasma.github.io/Logging_2582/klagomålsmail/A 34737-2024 FSC-klagomål mail.docx", "A 34737-2024")</f>
        <v/>
      </c>
      <c r="X651">
        <f>HYPERLINK("https://klasma.github.io/Logging_2582/tillsyn/A 34737-2024 tillsynsbegäran.docx", "A 34737-2024")</f>
        <v/>
      </c>
      <c r="Y651">
        <f>HYPERLINK("https://klasma.github.io/Logging_2582/tillsynsmail/A 34737-2024 tillsynsbegäran mail.docx", "A 34737-2024")</f>
        <v/>
      </c>
    </row>
    <row r="652" ht="15" customHeight="1">
      <c r="A652" t="inlineStr">
        <is>
          <t>A 34782-2024</t>
        </is>
      </c>
      <c r="B652" s="1" t="n">
        <v>45526</v>
      </c>
      <c r="C652" s="1" t="n">
        <v>45798</v>
      </c>
      <c r="D652" t="inlineStr">
        <is>
          <t>NORRBOTTENS LÄN</t>
        </is>
      </c>
      <c r="E652" t="inlineStr">
        <is>
          <t>GÄLLIVARE</t>
        </is>
      </c>
      <c r="F652" t="inlineStr">
        <is>
          <t>Sveaskog</t>
        </is>
      </c>
      <c r="G652" t="n">
        <v>6.8</v>
      </c>
      <c r="H652" t="n">
        <v>0</v>
      </c>
      <c r="I652" t="n">
        <v>1</v>
      </c>
      <c r="J652" t="n">
        <v>1</v>
      </c>
      <c r="K652" t="n">
        <v>0</v>
      </c>
      <c r="L652" t="n">
        <v>0</v>
      </c>
      <c r="M652" t="n">
        <v>0</v>
      </c>
      <c r="N652" t="n">
        <v>0</v>
      </c>
      <c r="O652" t="n">
        <v>1</v>
      </c>
      <c r="P652" t="n">
        <v>0</v>
      </c>
      <c r="Q652" t="n">
        <v>2</v>
      </c>
      <c r="R652" s="2" t="inlineStr">
        <is>
          <t>Svart taggsvamp
Dropptaggsvamp</t>
        </is>
      </c>
      <c r="S652">
        <f>HYPERLINK("https://klasma.github.io/Logging_2523/artfynd/A 34782-2024 artfynd.xlsx", "A 34782-2024")</f>
        <v/>
      </c>
      <c r="T652">
        <f>HYPERLINK("https://klasma.github.io/Logging_2523/kartor/A 34782-2024 karta.png", "A 34782-2024")</f>
        <v/>
      </c>
      <c r="V652">
        <f>HYPERLINK("https://klasma.github.io/Logging_2523/klagomål/A 34782-2024 FSC-klagomål.docx", "A 34782-2024")</f>
        <v/>
      </c>
      <c r="W652">
        <f>HYPERLINK("https://klasma.github.io/Logging_2523/klagomålsmail/A 34782-2024 FSC-klagomål mail.docx", "A 34782-2024")</f>
        <v/>
      </c>
      <c r="X652">
        <f>HYPERLINK("https://klasma.github.io/Logging_2523/tillsyn/A 34782-2024 tillsynsbegäran.docx", "A 34782-2024")</f>
        <v/>
      </c>
      <c r="Y652">
        <f>HYPERLINK("https://klasma.github.io/Logging_2523/tillsynsmail/A 34782-2024 tillsynsbegäran mail.docx", "A 34782-2024")</f>
        <v/>
      </c>
    </row>
    <row r="653" ht="15" customHeight="1">
      <c r="A653" t="inlineStr">
        <is>
          <t>A 36378-2024</t>
        </is>
      </c>
      <c r="B653" s="1" t="n">
        <v>45534</v>
      </c>
      <c r="C653" s="1" t="n">
        <v>45798</v>
      </c>
      <c r="D653" t="inlineStr">
        <is>
          <t>NORRBOTTENS LÄN</t>
        </is>
      </c>
      <c r="E653" t="inlineStr">
        <is>
          <t>ÖVERKALIX</t>
        </is>
      </c>
      <c r="F653" t="inlineStr">
        <is>
          <t>Sveaskog</t>
        </is>
      </c>
      <c r="G653" t="n">
        <v>21.5</v>
      </c>
      <c r="H653" t="n">
        <v>1</v>
      </c>
      <c r="I653" t="n">
        <v>0</v>
      </c>
      <c r="J653" t="n">
        <v>1</v>
      </c>
      <c r="K653" t="n">
        <v>0</v>
      </c>
      <c r="L653" t="n">
        <v>0</v>
      </c>
      <c r="M653" t="n">
        <v>0</v>
      </c>
      <c r="N653" t="n">
        <v>0</v>
      </c>
      <c r="O653" t="n">
        <v>1</v>
      </c>
      <c r="P653" t="n">
        <v>0</v>
      </c>
      <c r="Q653" t="n">
        <v>2</v>
      </c>
      <c r="R653" s="2" t="inlineStr">
        <is>
          <t>Lunglav
Fläcknycklar</t>
        </is>
      </c>
      <c r="S653">
        <f>HYPERLINK("https://klasma.github.io/Logging_2513/artfynd/A 36378-2024 artfynd.xlsx", "A 36378-2024")</f>
        <v/>
      </c>
      <c r="T653">
        <f>HYPERLINK("https://klasma.github.io/Logging_2513/kartor/A 36378-2024 karta.png", "A 36378-2024")</f>
        <v/>
      </c>
      <c r="V653">
        <f>HYPERLINK("https://klasma.github.io/Logging_2513/klagomål/A 36378-2024 FSC-klagomål.docx", "A 36378-2024")</f>
        <v/>
      </c>
      <c r="W653">
        <f>HYPERLINK("https://klasma.github.io/Logging_2513/klagomålsmail/A 36378-2024 FSC-klagomål mail.docx", "A 36378-2024")</f>
        <v/>
      </c>
      <c r="X653">
        <f>HYPERLINK("https://klasma.github.io/Logging_2513/tillsyn/A 36378-2024 tillsynsbegäran.docx", "A 36378-2024")</f>
        <v/>
      </c>
      <c r="Y653">
        <f>HYPERLINK("https://klasma.github.io/Logging_2513/tillsynsmail/A 36378-2024 tillsynsbegäran mail.docx", "A 36378-2024")</f>
        <v/>
      </c>
    </row>
    <row r="654" ht="15" customHeight="1">
      <c r="A654" t="inlineStr">
        <is>
          <t>A 36508-2024</t>
        </is>
      </c>
      <c r="B654" s="1" t="n">
        <v>45537</v>
      </c>
      <c r="C654" s="1" t="n">
        <v>45798</v>
      </c>
      <c r="D654" t="inlineStr">
        <is>
          <t>NORRBOTTENS LÄN</t>
        </is>
      </c>
      <c r="E654" t="inlineStr">
        <is>
          <t>LULEÅ</t>
        </is>
      </c>
      <c r="G654" t="n">
        <v>7.1</v>
      </c>
      <c r="H654" t="n">
        <v>1</v>
      </c>
      <c r="I654" t="n">
        <v>0</v>
      </c>
      <c r="J654" t="n">
        <v>1</v>
      </c>
      <c r="K654" t="n">
        <v>0</v>
      </c>
      <c r="L654" t="n">
        <v>0</v>
      </c>
      <c r="M654" t="n">
        <v>0</v>
      </c>
      <c r="N654" t="n">
        <v>0</v>
      </c>
      <c r="O654" t="n">
        <v>1</v>
      </c>
      <c r="P654" t="n">
        <v>0</v>
      </c>
      <c r="Q654" t="n">
        <v>2</v>
      </c>
      <c r="R654" s="2" t="inlineStr">
        <is>
          <t>Gammelgransskål
Revlummer</t>
        </is>
      </c>
      <c r="S654">
        <f>HYPERLINK("https://klasma.github.io/Logging_2580/artfynd/A 36508-2024 artfynd.xlsx", "A 36508-2024")</f>
        <v/>
      </c>
      <c r="T654">
        <f>HYPERLINK("https://klasma.github.io/Logging_2580/kartor/A 36508-2024 karta.png", "A 36508-2024")</f>
        <v/>
      </c>
      <c r="V654">
        <f>HYPERLINK("https://klasma.github.io/Logging_2580/klagomål/A 36508-2024 FSC-klagomål.docx", "A 36508-2024")</f>
        <v/>
      </c>
      <c r="W654">
        <f>HYPERLINK("https://klasma.github.io/Logging_2580/klagomålsmail/A 36508-2024 FSC-klagomål mail.docx", "A 36508-2024")</f>
        <v/>
      </c>
      <c r="X654">
        <f>HYPERLINK("https://klasma.github.io/Logging_2580/tillsyn/A 36508-2024 tillsynsbegäran.docx", "A 36508-2024")</f>
        <v/>
      </c>
      <c r="Y654">
        <f>HYPERLINK("https://klasma.github.io/Logging_2580/tillsynsmail/A 36508-2024 tillsynsbegäran mail.docx", "A 36508-2024")</f>
        <v/>
      </c>
    </row>
    <row r="655" ht="15" customHeight="1">
      <c r="A655" t="inlineStr">
        <is>
          <t>A 37905-2024</t>
        </is>
      </c>
      <c r="B655" s="1" t="n">
        <v>45544</v>
      </c>
      <c r="C655" s="1" t="n">
        <v>45798</v>
      </c>
      <c r="D655" t="inlineStr">
        <is>
          <t>NORRBOTTENS LÄN</t>
        </is>
      </c>
      <c r="E655" t="inlineStr">
        <is>
          <t>ÖVERKALIX</t>
        </is>
      </c>
      <c r="G655" t="n">
        <v>25</v>
      </c>
      <c r="H655" t="n">
        <v>2</v>
      </c>
      <c r="I655" t="n">
        <v>1</v>
      </c>
      <c r="J655" t="n">
        <v>0</v>
      </c>
      <c r="K655" t="n">
        <v>0</v>
      </c>
      <c r="L655" t="n">
        <v>0</v>
      </c>
      <c r="M655" t="n">
        <v>0</v>
      </c>
      <c r="N655" t="n">
        <v>0</v>
      </c>
      <c r="O655" t="n">
        <v>0</v>
      </c>
      <c r="P655" t="n">
        <v>0</v>
      </c>
      <c r="Q655" t="n">
        <v>2</v>
      </c>
      <c r="R655" s="2" t="inlineStr">
        <is>
          <t>Plattlummer
Mattlummer</t>
        </is>
      </c>
      <c r="S655">
        <f>HYPERLINK("https://klasma.github.io/Logging_2513/artfynd/A 37905-2024 artfynd.xlsx", "A 37905-2024")</f>
        <v/>
      </c>
      <c r="T655">
        <f>HYPERLINK("https://klasma.github.io/Logging_2513/kartor/A 37905-2024 karta.png", "A 37905-2024")</f>
        <v/>
      </c>
      <c r="V655">
        <f>HYPERLINK("https://klasma.github.io/Logging_2513/klagomål/A 37905-2024 FSC-klagomål.docx", "A 37905-2024")</f>
        <v/>
      </c>
      <c r="W655">
        <f>HYPERLINK("https://klasma.github.io/Logging_2513/klagomålsmail/A 37905-2024 FSC-klagomål mail.docx", "A 37905-2024")</f>
        <v/>
      </c>
      <c r="X655">
        <f>HYPERLINK("https://klasma.github.io/Logging_2513/tillsyn/A 37905-2024 tillsynsbegäran.docx", "A 37905-2024")</f>
        <v/>
      </c>
      <c r="Y655">
        <f>HYPERLINK("https://klasma.github.io/Logging_2513/tillsynsmail/A 37905-2024 tillsynsbegäran mail.docx", "A 37905-2024")</f>
        <v/>
      </c>
    </row>
    <row r="656" ht="15" customHeight="1">
      <c r="A656" t="inlineStr">
        <is>
          <t>A 38570-2024</t>
        </is>
      </c>
      <c r="B656" s="1" t="n">
        <v>45546</v>
      </c>
      <c r="C656" s="1" t="n">
        <v>45798</v>
      </c>
      <c r="D656" t="inlineStr">
        <is>
          <t>NORRBOTTENS LÄN</t>
        </is>
      </c>
      <c r="E656" t="inlineStr">
        <is>
          <t>PITEÅ</t>
        </is>
      </c>
      <c r="G656" t="n">
        <v>13.9</v>
      </c>
      <c r="H656" t="n">
        <v>0</v>
      </c>
      <c r="I656" t="n">
        <v>1</v>
      </c>
      <c r="J656" t="n">
        <v>1</v>
      </c>
      <c r="K656" t="n">
        <v>0</v>
      </c>
      <c r="L656" t="n">
        <v>0</v>
      </c>
      <c r="M656" t="n">
        <v>0</v>
      </c>
      <c r="N656" t="n">
        <v>0</v>
      </c>
      <c r="O656" t="n">
        <v>1</v>
      </c>
      <c r="P656" t="n">
        <v>0</v>
      </c>
      <c r="Q656" t="n">
        <v>2</v>
      </c>
      <c r="R656" s="2" t="inlineStr">
        <is>
          <t>Lunglav
Ögonpyrola</t>
        </is>
      </c>
      <c r="S656">
        <f>HYPERLINK("https://klasma.github.io/Logging_2581/artfynd/A 38570-2024 artfynd.xlsx", "A 38570-2024")</f>
        <v/>
      </c>
      <c r="T656">
        <f>HYPERLINK("https://klasma.github.io/Logging_2581/kartor/A 38570-2024 karta.png", "A 38570-2024")</f>
        <v/>
      </c>
      <c r="V656">
        <f>HYPERLINK("https://klasma.github.io/Logging_2581/klagomål/A 38570-2024 FSC-klagomål.docx", "A 38570-2024")</f>
        <v/>
      </c>
      <c r="W656">
        <f>HYPERLINK("https://klasma.github.io/Logging_2581/klagomålsmail/A 38570-2024 FSC-klagomål mail.docx", "A 38570-2024")</f>
        <v/>
      </c>
      <c r="X656">
        <f>HYPERLINK("https://klasma.github.io/Logging_2581/tillsyn/A 38570-2024 tillsynsbegäran.docx", "A 38570-2024")</f>
        <v/>
      </c>
      <c r="Y656">
        <f>HYPERLINK("https://klasma.github.io/Logging_2581/tillsynsmail/A 38570-2024 tillsynsbegäran mail.docx", "A 38570-2024")</f>
        <v/>
      </c>
    </row>
    <row r="657" ht="15" customHeight="1">
      <c r="A657" t="inlineStr">
        <is>
          <t>A 38744-2024</t>
        </is>
      </c>
      <c r="B657" s="1" t="n">
        <v>45547</v>
      </c>
      <c r="C657" s="1" t="n">
        <v>45798</v>
      </c>
      <c r="D657" t="inlineStr">
        <is>
          <t>NORRBOTTENS LÄN</t>
        </is>
      </c>
      <c r="E657" t="inlineStr">
        <is>
          <t>GÄLLIVARE</t>
        </is>
      </c>
      <c r="F657" t="inlineStr">
        <is>
          <t>Sveaskog</t>
        </is>
      </c>
      <c r="G657" t="n">
        <v>3.7</v>
      </c>
      <c r="H657" t="n">
        <v>0</v>
      </c>
      <c r="I657" t="n">
        <v>1</v>
      </c>
      <c r="J657" t="n">
        <v>1</v>
      </c>
      <c r="K657" t="n">
        <v>0</v>
      </c>
      <c r="L657" t="n">
        <v>0</v>
      </c>
      <c r="M657" t="n">
        <v>0</v>
      </c>
      <c r="N657" t="n">
        <v>0</v>
      </c>
      <c r="O657" t="n">
        <v>1</v>
      </c>
      <c r="P657" t="n">
        <v>0</v>
      </c>
      <c r="Q657" t="n">
        <v>2</v>
      </c>
      <c r="R657" s="2" t="inlineStr">
        <is>
          <t>Kolflarnlav
Skarp dropptaggsvamp</t>
        </is>
      </c>
      <c r="S657">
        <f>HYPERLINK("https://klasma.github.io/Logging_2523/artfynd/A 38744-2024 artfynd.xlsx", "A 38744-2024")</f>
        <v/>
      </c>
      <c r="T657">
        <f>HYPERLINK("https://klasma.github.io/Logging_2523/kartor/A 38744-2024 karta.png", "A 38744-2024")</f>
        <v/>
      </c>
      <c r="V657">
        <f>HYPERLINK("https://klasma.github.io/Logging_2523/klagomål/A 38744-2024 FSC-klagomål.docx", "A 38744-2024")</f>
        <v/>
      </c>
      <c r="W657">
        <f>HYPERLINK("https://klasma.github.io/Logging_2523/klagomålsmail/A 38744-2024 FSC-klagomål mail.docx", "A 38744-2024")</f>
        <v/>
      </c>
      <c r="X657">
        <f>HYPERLINK("https://klasma.github.io/Logging_2523/tillsyn/A 38744-2024 tillsynsbegäran.docx", "A 38744-2024")</f>
        <v/>
      </c>
      <c r="Y657">
        <f>HYPERLINK("https://klasma.github.io/Logging_2523/tillsynsmail/A 38744-2024 tillsynsbegäran mail.docx", "A 38744-2024")</f>
        <v/>
      </c>
    </row>
    <row r="658" ht="15" customHeight="1">
      <c r="A658" t="inlineStr">
        <is>
          <t>A 40698-2024</t>
        </is>
      </c>
      <c r="B658" s="1" t="n">
        <v>45558</v>
      </c>
      <c r="C658" s="1" t="n">
        <v>45798</v>
      </c>
      <c r="D658" t="inlineStr">
        <is>
          <t>NORRBOTTENS LÄN</t>
        </is>
      </c>
      <c r="E658" t="inlineStr">
        <is>
          <t>PAJALA</t>
        </is>
      </c>
      <c r="F658" t="inlineStr">
        <is>
          <t>Sveaskog</t>
        </is>
      </c>
      <c r="G658" t="n">
        <v>7.5</v>
      </c>
      <c r="H658" t="n">
        <v>0</v>
      </c>
      <c r="I658" t="n">
        <v>2</v>
      </c>
      <c r="J658" t="n">
        <v>0</v>
      </c>
      <c r="K658" t="n">
        <v>0</v>
      </c>
      <c r="L658" t="n">
        <v>0</v>
      </c>
      <c r="M658" t="n">
        <v>0</v>
      </c>
      <c r="N658" t="n">
        <v>0</v>
      </c>
      <c r="O658" t="n">
        <v>0</v>
      </c>
      <c r="P658" t="n">
        <v>0</v>
      </c>
      <c r="Q658" t="n">
        <v>2</v>
      </c>
      <c r="R658" s="2" t="inlineStr">
        <is>
          <t>Dropptaggsvamp
Skarp dropptaggsvamp</t>
        </is>
      </c>
      <c r="S658">
        <f>HYPERLINK("https://klasma.github.io/Logging_2521/artfynd/A 40698-2024 artfynd.xlsx", "A 40698-2024")</f>
        <v/>
      </c>
      <c r="T658">
        <f>HYPERLINK("https://klasma.github.io/Logging_2521/kartor/A 40698-2024 karta.png", "A 40698-2024")</f>
        <v/>
      </c>
      <c r="V658">
        <f>HYPERLINK("https://klasma.github.io/Logging_2521/klagomål/A 40698-2024 FSC-klagomål.docx", "A 40698-2024")</f>
        <v/>
      </c>
      <c r="W658">
        <f>HYPERLINK("https://klasma.github.io/Logging_2521/klagomålsmail/A 40698-2024 FSC-klagomål mail.docx", "A 40698-2024")</f>
        <v/>
      </c>
      <c r="X658">
        <f>HYPERLINK("https://klasma.github.io/Logging_2521/tillsyn/A 40698-2024 tillsynsbegäran.docx", "A 40698-2024")</f>
        <v/>
      </c>
      <c r="Y658">
        <f>HYPERLINK("https://klasma.github.io/Logging_2521/tillsynsmail/A 40698-2024 tillsynsbegäran mail.docx", "A 40698-2024")</f>
        <v/>
      </c>
    </row>
    <row r="659" ht="15" customHeight="1">
      <c r="A659" t="inlineStr">
        <is>
          <t>A 40880-2024</t>
        </is>
      </c>
      <c r="B659" s="1" t="n">
        <v>45558</v>
      </c>
      <c r="C659" s="1" t="n">
        <v>45798</v>
      </c>
      <c r="D659" t="inlineStr">
        <is>
          <t>NORRBOTTENS LÄN</t>
        </is>
      </c>
      <c r="E659" t="inlineStr">
        <is>
          <t>PAJALA</t>
        </is>
      </c>
      <c r="F659" t="inlineStr">
        <is>
          <t>Sveaskog</t>
        </is>
      </c>
      <c r="G659" t="n">
        <v>10.4</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HYPERLINK("https://klasma.github.io/Logging_2521/artfynd/A 40880-2024 artfynd.xlsx", "A 40880-2024")</f>
        <v/>
      </c>
      <c r="T659">
        <f>HYPERLINK("https://klasma.github.io/Logging_2521/kartor/A 40880-2024 karta.png", "A 40880-2024")</f>
        <v/>
      </c>
      <c r="V659">
        <f>HYPERLINK("https://klasma.github.io/Logging_2521/klagomål/A 40880-2024 FSC-klagomål.docx", "A 40880-2024")</f>
        <v/>
      </c>
      <c r="W659">
        <f>HYPERLINK("https://klasma.github.io/Logging_2521/klagomålsmail/A 40880-2024 FSC-klagomål mail.docx", "A 40880-2024")</f>
        <v/>
      </c>
      <c r="X659">
        <f>HYPERLINK("https://klasma.github.io/Logging_2521/tillsyn/A 40880-2024 tillsynsbegäran.docx", "A 40880-2024")</f>
        <v/>
      </c>
      <c r="Y659">
        <f>HYPERLINK("https://klasma.github.io/Logging_2521/tillsynsmail/A 40880-2024 tillsynsbegäran mail.docx", "A 40880-2024")</f>
        <v/>
      </c>
    </row>
    <row r="660" ht="15" customHeight="1">
      <c r="A660" t="inlineStr">
        <is>
          <t>A 41087-2024</t>
        </is>
      </c>
      <c r="B660" s="1" t="n">
        <v>45559</v>
      </c>
      <c r="C660" s="1" t="n">
        <v>45798</v>
      </c>
      <c r="D660" t="inlineStr">
        <is>
          <t>NORRBOTTENS LÄN</t>
        </is>
      </c>
      <c r="E660" t="inlineStr">
        <is>
          <t>BODEN</t>
        </is>
      </c>
      <c r="F660" t="inlineStr">
        <is>
          <t>Sveaskog</t>
        </is>
      </c>
      <c r="G660" t="n">
        <v>7.5</v>
      </c>
      <c r="H660" t="n">
        <v>1</v>
      </c>
      <c r="I660" t="n">
        <v>1</v>
      </c>
      <c r="J660" t="n">
        <v>1</v>
      </c>
      <c r="K660" t="n">
        <v>0</v>
      </c>
      <c r="L660" t="n">
        <v>0</v>
      </c>
      <c r="M660" t="n">
        <v>0</v>
      </c>
      <c r="N660" t="n">
        <v>0</v>
      </c>
      <c r="O660" t="n">
        <v>1</v>
      </c>
      <c r="P660" t="n">
        <v>0</v>
      </c>
      <c r="Q660" t="n">
        <v>2</v>
      </c>
      <c r="R660" s="2" t="inlineStr">
        <is>
          <t>Garnlav
Spindelblomster</t>
        </is>
      </c>
      <c r="S660">
        <f>HYPERLINK("https://klasma.github.io/Logging_2582/artfynd/A 41087-2024 artfynd.xlsx", "A 41087-2024")</f>
        <v/>
      </c>
      <c r="T660">
        <f>HYPERLINK("https://klasma.github.io/Logging_2582/kartor/A 41087-2024 karta.png", "A 41087-2024")</f>
        <v/>
      </c>
      <c r="V660">
        <f>HYPERLINK("https://klasma.github.io/Logging_2582/klagomål/A 41087-2024 FSC-klagomål.docx", "A 41087-2024")</f>
        <v/>
      </c>
      <c r="W660">
        <f>HYPERLINK("https://klasma.github.io/Logging_2582/klagomålsmail/A 41087-2024 FSC-klagomål mail.docx", "A 41087-2024")</f>
        <v/>
      </c>
      <c r="X660">
        <f>HYPERLINK("https://klasma.github.io/Logging_2582/tillsyn/A 41087-2024 tillsynsbegäran.docx", "A 41087-2024")</f>
        <v/>
      </c>
      <c r="Y660">
        <f>HYPERLINK("https://klasma.github.io/Logging_2582/tillsynsmail/A 41087-2024 tillsynsbegäran mail.docx", "A 41087-2024")</f>
        <v/>
      </c>
    </row>
    <row r="661" ht="15" customHeight="1">
      <c r="A661" t="inlineStr">
        <is>
          <t>A 42664-2024</t>
        </is>
      </c>
      <c r="B661" s="1" t="n">
        <v>45566</v>
      </c>
      <c r="C661" s="1" t="n">
        <v>45798</v>
      </c>
      <c r="D661" t="inlineStr">
        <is>
          <t>NORRBOTTENS LÄN</t>
        </is>
      </c>
      <c r="E661" t="inlineStr">
        <is>
          <t>ARVIDSJAUR</t>
        </is>
      </c>
      <c r="F661" t="inlineStr">
        <is>
          <t>Sveaskog</t>
        </is>
      </c>
      <c r="G661" t="n">
        <v>11.6</v>
      </c>
      <c r="H661" t="n">
        <v>0</v>
      </c>
      <c r="I661" t="n">
        <v>1</v>
      </c>
      <c r="J661" t="n">
        <v>1</v>
      </c>
      <c r="K661" t="n">
        <v>0</v>
      </c>
      <c r="L661" t="n">
        <v>0</v>
      </c>
      <c r="M661" t="n">
        <v>0</v>
      </c>
      <c r="N661" t="n">
        <v>0</v>
      </c>
      <c r="O661" t="n">
        <v>1</v>
      </c>
      <c r="P661" t="n">
        <v>0</v>
      </c>
      <c r="Q661" t="n">
        <v>2</v>
      </c>
      <c r="R661" s="2" t="inlineStr">
        <is>
          <t>Talltaggsvamp
Dropptaggsvamp</t>
        </is>
      </c>
      <c r="S661">
        <f>HYPERLINK("https://klasma.github.io/Logging_2505/artfynd/A 42664-2024 artfynd.xlsx", "A 42664-2024")</f>
        <v/>
      </c>
      <c r="T661">
        <f>HYPERLINK("https://klasma.github.io/Logging_2505/kartor/A 42664-2024 karta.png", "A 42664-2024")</f>
        <v/>
      </c>
      <c r="V661">
        <f>HYPERLINK("https://klasma.github.io/Logging_2505/klagomål/A 42664-2024 FSC-klagomål.docx", "A 42664-2024")</f>
        <v/>
      </c>
      <c r="W661">
        <f>HYPERLINK("https://klasma.github.io/Logging_2505/klagomålsmail/A 42664-2024 FSC-klagomål mail.docx", "A 42664-2024")</f>
        <v/>
      </c>
      <c r="X661">
        <f>HYPERLINK("https://klasma.github.io/Logging_2505/tillsyn/A 42664-2024 tillsynsbegäran.docx", "A 42664-2024")</f>
        <v/>
      </c>
      <c r="Y661">
        <f>HYPERLINK("https://klasma.github.io/Logging_2505/tillsynsmail/A 42664-2024 tillsynsbegäran mail.docx", "A 42664-2024")</f>
        <v/>
      </c>
    </row>
    <row r="662" ht="15" customHeight="1">
      <c r="A662" t="inlineStr">
        <is>
          <t>A 43761-2024</t>
        </is>
      </c>
      <c r="B662" s="1" t="n">
        <v>45569</v>
      </c>
      <c r="C662" s="1" t="n">
        <v>45798</v>
      </c>
      <c r="D662" t="inlineStr">
        <is>
          <t>NORRBOTTENS LÄN</t>
        </is>
      </c>
      <c r="E662" t="inlineStr">
        <is>
          <t>LULEÅ</t>
        </is>
      </c>
      <c r="G662" t="n">
        <v>14.3</v>
      </c>
      <c r="H662" t="n">
        <v>0</v>
      </c>
      <c r="I662" t="n">
        <v>1</v>
      </c>
      <c r="J662" t="n">
        <v>1</v>
      </c>
      <c r="K662" t="n">
        <v>0</v>
      </c>
      <c r="L662" t="n">
        <v>0</v>
      </c>
      <c r="M662" t="n">
        <v>0</v>
      </c>
      <c r="N662" t="n">
        <v>0</v>
      </c>
      <c r="O662" t="n">
        <v>1</v>
      </c>
      <c r="P662" t="n">
        <v>0</v>
      </c>
      <c r="Q662" t="n">
        <v>2</v>
      </c>
      <c r="R662" s="2" t="inlineStr">
        <is>
          <t>Granticka
Vedticka</t>
        </is>
      </c>
      <c r="S662">
        <f>HYPERLINK("https://klasma.github.io/Logging_2580/artfynd/A 43761-2024 artfynd.xlsx", "A 43761-2024")</f>
        <v/>
      </c>
      <c r="T662">
        <f>HYPERLINK("https://klasma.github.io/Logging_2580/kartor/A 43761-2024 karta.png", "A 43761-2024")</f>
        <v/>
      </c>
      <c r="V662">
        <f>HYPERLINK("https://klasma.github.io/Logging_2580/klagomål/A 43761-2024 FSC-klagomål.docx", "A 43761-2024")</f>
        <v/>
      </c>
      <c r="W662">
        <f>HYPERLINK("https://klasma.github.io/Logging_2580/klagomålsmail/A 43761-2024 FSC-klagomål mail.docx", "A 43761-2024")</f>
        <v/>
      </c>
      <c r="X662">
        <f>HYPERLINK("https://klasma.github.io/Logging_2580/tillsyn/A 43761-2024 tillsynsbegäran.docx", "A 43761-2024")</f>
        <v/>
      </c>
      <c r="Y662">
        <f>HYPERLINK("https://klasma.github.io/Logging_2580/tillsynsmail/A 43761-2024 tillsynsbegäran mail.docx", "A 43761-2024")</f>
        <v/>
      </c>
    </row>
    <row r="663" ht="15" customHeight="1">
      <c r="A663" t="inlineStr">
        <is>
          <t>A 44309-2024</t>
        </is>
      </c>
      <c r="B663" s="1" t="n">
        <v>45573</v>
      </c>
      <c r="C663" s="1" t="n">
        <v>45798</v>
      </c>
      <c r="D663" t="inlineStr">
        <is>
          <t>NORRBOTTENS LÄN</t>
        </is>
      </c>
      <c r="E663" t="inlineStr">
        <is>
          <t>GÄLLIVARE</t>
        </is>
      </c>
      <c r="F663" t="inlineStr">
        <is>
          <t>Sveaskog</t>
        </is>
      </c>
      <c r="G663" t="n">
        <v>11.4</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HYPERLINK("https://klasma.github.io/Logging_2523/artfynd/A 44309-2024 artfynd.xlsx", "A 44309-2024")</f>
        <v/>
      </c>
      <c r="T663">
        <f>HYPERLINK("https://klasma.github.io/Logging_2523/kartor/A 44309-2024 karta.png", "A 44309-2024")</f>
        <v/>
      </c>
      <c r="V663">
        <f>HYPERLINK("https://klasma.github.io/Logging_2523/klagomål/A 44309-2024 FSC-klagomål.docx", "A 44309-2024")</f>
        <v/>
      </c>
      <c r="W663">
        <f>HYPERLINK("https://klasma.github.io/Logging_2523/klagomålsmail/A 44309-2024 FSC-klagomål mail.docx", "A 44309-2024")</f>
        <v/>
      </c>
      <c r="X663">
        <f>HYPERLINK("https://klasma.github.io/Logging_2523/tillsyn/A 44309-2024 tillsynsbegäran.docx", "A 44309-2024")</f>
        <v/>
      </c>
      <c r="Y663">
        <f>HYPERLINK("https://klasma.github.io/Logging_2523/tillsynsmail/A 44309-2024 tillsynsbegäran mail.docx", "A 44309-2024")</f>
        <v/>
      </c>
    </row>
    <row r="664" ht="15" customHeight="1">
      <c r="A664" t="inlineStr">
        <is>
          <t>A 44317-2024</t>
        </is>
      </c>
      <c r="B664" s="1" t="n">
        <v>45573</v>
      </c>
      <c r="C664" s="1" t="n">
        <v>45798</v>
      </c>
      <c r="D664" t="inlineStr">
        <is>
          <t>NORRBOTTENS LÄN</t>
        </is>
      </c>
      <c r="E664" t="inlineStr">
        <is>
          <t>PITEÅ</t>
        </is>
      </c>
      <c r="G664" t="n">
        <v>7.4</v>
      </c>
      <c r="H664" t="n">
        <v>2</v>
      </c>
      <c r="I664" t="n">
        <v>0</v>
      </c>
      <c r="J664" t="n">
        <v>1</v>
      </c>
      <c r="K664" t="n">
        <v>1</v>
      </c>
      <c r="L664" t="n">
        <v>0</v>
      </c>
      <c r="M664" t="n">
        <v>0</v>
      </c>
      <c r="N664" t="n">
        <v>0</v>
      </c>
      <c r="O664" t="n">
        <v>2</v>
      </c>
      <c r="P664" t="n">
        <v>1</v>
      </c>
      <c r="Q664" t="n">
        <v>2</v>
      </c>
      <c r="R664" s="2" t="inlineStr">
        <is>
          <t>Knärot
Rödvingetrast</t>
        </is>
      </c>
      <c r="S664">
        <f>HYPERLINK("https://klasma.github.io/Logging_2581/artfynd/A 44317-2024 artfynd.xlsx", "A 44317-2024")</f>
        <v/>
      </c>
      <c r="T664">
        <f>HYPERLINK("https://klasma.github.io/Logging_2581/kartor/A 44317-2024 karta.png", "A 44317-2024")</f>
        <v/>
      </c>
      <c r="U664">
        <f>HYPERLINK("https://klasma.github.io/Logging_2581/knärot/A 44317-2024 karta knärot.png", "A 44317-2024")</f>
        <v/>
      </c>
      <c r="V664">
        <f>HYPERLINK("https://klasma.github.io/Logging_2581/klagomål/A 44317-2024 FSC-klagomål.docx", "A 44317-2024")</f>
        <v/>
      </c>
      <c r="W664">
        <f>HYPERLINK("https://klasma.github.io/Logging_2581/klagomålsmail/A 44317-2024 FSC-klagomål mail.docx", "A 44317-2024")</f>
        <v/>
      </c>
      <c r="X664">
        <f>HYPERLINK("https://klasma.github.io/Logging_2581/tillsyn/A 44317-2024 tillsynsbegäran.docx", "A 44317-2024")</f>
        <v/>
      </c>
      <c r="Y664">
        <f>HYPERLINK("https://klasma.github.io/Logging_2581/tillsynsmail/A 44317-2024 tillsynsbegäran mail.docx", "A 44317-2024")</f>
        <v/>
      </c>
      <c r="Z664">
        <f>HYPERLINK("https://klasma.github.io/Logging_2581/fåglar/A 44317-2024 prioriterade fågelarter.docx", "A 44317-2024")</f>
        <v/>
      </c>
    </row>
    <row r="665" ht="15" customHeight="1">
      <c r="A665" t="inlineStr">
        <is>
          <t>A 45310-2024</t>
        </is>
      </c>
      <c r="B665" s="1" t="n">
        <v>45576</v>
      </c>
      <c r="C665" s="1" t="n">
        <v>45798</v>
      </c>
      <c r="D665" t="inlineStr">
        <is>
          <t>NORRBOTTENS LÄN</t>
        </is>
      </c>
      <c r="E665" t="inlineStr">
        <is>
          <t>ÄLVSBYN</t>
        </is>
      </c>
      <c r="G665" t="n">
        <v>8.199999999999999</v>
      </c>
      <c r="H665" t="n">
        <v>0</v>
      </c>
      <c r="I665" t="n">
        <v>1</v>
      </c>
      <c r="J665" t="n">
        <v>1</v>
      </c>
      <c r="K665" t="n">
        <v>0</v>
      </c>
      <c r="L665" t="n">
        <v>0</v>
      </c>
      <c r="M665" t="n">
        <v>0</v>
      </c>
      <c r="N665" t="n">
        <v>0</v>
      </c>
      <c r="O665" t="n">
        <v>1</v>
      </c>
      <c r="P665" t="n">
        <v>0</v>
      </c>
      <c r="Q665" t="n">
        <v>2</v>
      </c>
      <c r="R665" s="2" t="inlineStr">
        <is>
          <t>Lunglav
Stuplav</t>
        </is>
      </c>
      <c r="S665">
        <f>HYPERLINK("https://klasma.github.io/Logging_2560/artfynd/A 45310-2024 artfynd.xlsx", "A 45310-2024")</f>
        <v/>
      </c>
      <c r="T665">
        <f>HYPERLINK("https://klasma.github.io/Logging_2560/kartor/A 45310-2024 karta.png", "A 45310-2024")</f>
        <v/>
      </c>
      <c r="V665">
        <f>HYPERLINK("https://klasma.github.io/Logging_2560/klagomål/A 45310-2024 FSC-klagomål.docx", "A 45310-2024")</f>
        <v/>
      </c>
      <c r="W665">
        <f>HYPERLINK("https://klasma.github.io/Logging_2560/klagomålsmail/A 45310-2024 FSC-klagomål mail.docx", "A 45310-2024")</f>
        <v/>
      </c>
      <c r="X665">
        <f>HYPERLINK("https://klasma.github.io/Logging_2560/tillsyn/A 45310-2024 tillsynsbegäran.docx", "A 45310-2024")</f>
        <v/>
      </c>
      <c r="Y665">
        <f>HYPERLINK("https://klasma.github.io/Logging_2560/tillsynsmail/A 45310-2024 tillsynsbegäran mail.docx", "A 45310-2024")</f>
        <v/>
      </c>
    </row>
    <row r="666" ht="15" customHeight="1">
      <c r="A666" t="inlineStr">
        <is>
          <t>A 45314-2024</t>
        </is>
      </c>
      <c r="B666" s="1" t="n">
        <v>45576</v>
      </c>
      <c r="C666" s="1" t="n">
        <v>45798</v>
      </c>
      <c r="D666" t="inlineStr">
        <is>
          <t>NORRBOTTENS LÄN</t>
        </is>
      </c>
      <c r="E666" t="inlineStr">
        <is>
          <t>ÄLVSBYN</t>
        </is>
      </c>
      <c r="F666" t="inlineStr">
        <is>
          <t>Sveaskog</t>
        </is>
      </c>
      <c r="G666" t="n">
        <v>8.6</v>
      </c>
      <c r="H666" t="n">
        <v>0</v>
      </c>
      <c r="I666" t="n">
        <v>1</v>
      </c>
      <c r="J666" t="n">
        <v>1</v>
      </c>
      <c r="K666" t="n">
        <v>0</v>
      </c>
      <c r="L666" t="n">
        <v>0</v>
      </c>
      <c r="M666" t="n">
        <v>0</v>
      </c>
      <c r="N666" t="n">
        <v>0</v>
      </c>
      <c r="O666" t="n">
        <v>1</v>
      </c>
      <c r="P666" t="n">
        <v>0</v>
      </c>
      <c r="Q666" t="n">
        <v>2</v>
      </c>
      <c r="R666" s="2" t="inlineStr">
        <is>
          <t>Orange taggsvamp
Dropptaggsvamp</t>
        </is>
      </c>
      <c r="S666">
        <f>HYPERLINK("https://klasma.github.io/Logging_2560/artfynd/A 45314-2024 artfynd.xlsx", "A 45314-2024")</f>
        <v/>
      </c>
      <c r="T666">
        <f>HYPERLINK("https://klasma.github.io/Logging_2560/kartor/A 45314-2024 karta.png", "A 45314-2024")</f>
        <v/>
      </c>
      <c r="V666">
        <f>HYPERLINK("https://klasma.github.io/Logging_2560/klagomål/A 45314-2024 FSC-klagomål.docx", "A 45314-2024")</f>
        <v/>
      </c>
      <c r="W666">
        <f>HYPERLINK("https://klasma.github.io/Logging_2560/klagomålsmail/A 45314-2024 FSC-klagomål mail.docx", "A 45314-2024")</f>
        <v/>
      </c>
      <c r="X666">
        <f>HYPERLINK("https://klasma.github.io/Logging_2560/tillsyn/A 45314-2024 tillsynsbegäran.docx", "A 45314-2024")</f>
        <v/>
      </c>
      <c r="Y666">
        <f>HYPERLINK("https://klasma.github.io/Logging_2560/tillsynsmail/A 45314-2024 tillsynsbegäran mail.docx", "A 45314-2024")</f>
        <v/>
      </c>
    </row>
    <row r="667" ht="15" customHeight="1">
      <c r="A667" t="inlineStr">
        <is>
          <t>A 45382-2024</t>
        </is>
      </c>
      <c r="B667" s="1" t="n">
        <v>45576</v>
      </c>
      <c r="C667" s="1" t="n">
        <v>45798</v>
      </c>
      <c r="D667" t="inlineStr">
        <is>
          <t>NORRBOTTENS LÄN</t>
        </is>
      </c>
      <c r="E667" t="inlineStr">
        <is>
          <t>GÄLLIVARE</t>
        </is>
      </c>
      <c r="F667" t="inlineStr">
        <is>
          <t>SCA</t>
        </is>
      </c>
      <c r="G667" t="n">
        <v>3.9</v>
      </c>
      <c r="H667" t="n">
        <v>0</v>
      </c>
      <c r="I667" t="n">
        <v>0</v>
      </c>
      <c r="J667" t="n">
        <v>2</v>
      </c>
      <c r="K667" t="n">
        <v>0</v>
      </c>
      <c r="L667" t="n">
        <v>0</v>
      </c>
      <c r="M667" t="n">
        <v>0</v>
      </c>
      <c r="N667" t="n">
        <v>0</v>
      </c>
      <c r="O667" t="n">
        <v>2</v>
      </c>
      <c r="P667" t="n">
        <v>0</v>
      </c>
      <c r="Q667" t="n">
        <v>2</v>
      </c>
      <c r="R667" s="2" t="inlineStr">
        <is>
          <t>Blå taggsvamp
Talltaggsvamp</t>
        </is>
      </c>
      <c r="S667">
        <f>HYPERLINK("https://klasma.github.io/Logging_2523/artfynd/A 45382-2024 artfynd.xlsx", "A 45382-2024")</f>
        <v/>
      </c>
      <c r="T667">
        <f>HYPERLINK("https://klasma.github.io/Logging_2523/kartor/A 45382-2024 karta.png", "A 45382-2024")</f>
        <v/>
      </c>
      <c r="V667">
        <f>HYPERLINK("https://klasma.github.io/Logging_2523/klagomål/A 45382-2024 FSC-klagomål.docx", "A 45382-2024")</f>
        <v/>
      </c>
      <c r="W667">
        <f>HYPERLINK("https://klasma.github.io/Logging_2523/klagomålsmail/A 45382-2024 FSC-klagomål mail.docx", "A 45382-2024")</f>
        <v/>
      </c>
      <c r="X667">
        <f>HYPERLINK("https://klasma.github.io/Logging_2523/tillsyn/A 45382-2024 tillsynsbegäran.docx", "A 45382-2024")</f>
        <v/>
      </c>
      <c r="Y667">
        <f>HYPERLINK("https://klasma.github.io/Logging_2523/tillsynsmail/A 45382-2024 tillsynsbegäran mail.docx", "A 45382-2024")</f>
        <v/>
      </c>
    </row>
    <row r="668" ht="15" customHeight="1">
      <c r="A668" t="inlineStr">
        <is>
          <t>A 45317-2024</t>
        </is>
      </c>
      <c r="B668" s="1" t="n">
        <v>45576</v>
      </c>
      <c r="C668" s="1" t="n">
        <v>45798</v>
      </c>
      <c r="D668" t="inlineStr">
        <is>
          <t>NORRBOTTENS LÄN</t>
        </is>
      </c>
      <c r="E668" t="inlineStr">
        <is>
          <t>ÄLVSBYN</t>
        </is>
      </c>
      <c r="F668" t="inlineStr">
        <is>
          <t>Sveaskog</t>
        </is>
      </c>
      <c r="G668" t="n">
        <v>5.2</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HYPERLINK("https://klasma.github.io/Logging_2560/artfynd/A 45317-2024 artfynd.xlsx", "A 45317-2024")</f>
        <v/>
      </c>
      <c r="T668">
        <f>HYPERLINK("https://klasma.github.io/Logging_2560/kartor/A 45317-2024 karta.png", "A 45317-2024")</f>
        <v/>
      </c>
      <c r="V668">
        <f>HYPERLINK("https://klasma.github.io/Logging_2560/klagomål/A 45317-2024 FSC-klagomål.docx", "A 45317-2024")</f>
        <v/>
      </c>
      <c r="W668">
        <f>HYPERLINK("https://klasma.github.io/Logging_2560/klagomålsmail/A 45317-2024 FSC-klagomål mail.docx", "A 45317-2024")</f>
        <v/>
      </c>
      <c r="X668">
        <f>HYPERLINK("https://klasma.github.io/Logging_2560/tillsyn/A 45317-2024 tillsynsbegäran.docx", "A 45317-2024")</f>
        <v/>
      </c>
      <c r="Y668">
        <f>HYPERLINK("https://klasma.github.io/Logging_2560/tillsynsmail/A 45317-2024 tillsynsbegäran mail.docx", "A 45317-2024")</f>
        <v/>
      </c>
    </row>
    <row r="669" ht="15" customHeight="1">
      <c r="A669" t="inlineStr">
        <is>
          <t>A 45779-2024</t>
        </is>
      </c>
      <c r="B669" s="1" t="n">
        <v>45579</v>
      </c>
      <c r="C669" s="1" t="n">
        <v>45798</v>
      </c>
      <c r="D669" t="inlineStr">
        <is>
          <t>NORRBOTTENS LÄN</t>
        </is>
      </c>
      <c r="E669" t="inlineStr">
        <is>
          <t>ARJEPLOG</t>
        </is>
      </c>
      <c r="F669" t="inlineStr">
        <is>
          <t>Sveaskog</t>
        </is>
      </c>
      <c r="G669" t="n">
        <v>6.8</v>
      </c>
      <c r="H669" t="n">
        <v>0</v>
      </c>
      <c r="I669" t="n">
        <v>0</v>
      </c>
      <c r="J669" t="n">
        <v>2</v>
      </c>
      <c r="K669" t="n">
        <v>0</v>
      </c>
      <c r="L669" t="n">
        <v>0</v>
      </c>
      <c r="M669" t="n">
        <v>0</v>
      </c>
      <c r="N669" t="n">
        <v>0</v>
      </c>
      <c r="O669" t="n">
        <v>2</v>
      </c>
      <c r="P669" t="n">
        <v>0</v>
      </c>
      <c r="Q669" t="n">
        <v>2</v>
      </c>
      <c r="R669" s="2" t="inlineStr">
        <is>
          <t>Granticka
Ullticka</t>
        </is>
      </c>
      <c r="S669">
        <f>HYPERLINK("https://klasma.github.io/Logging_2506/artfynd/A 45779-2024 artfynd.xlsx", "A 45779-2024")</f>
        <v/>
      </c>
      <c r="T669">
        <f>HYPERLINK("https://klasma.github.io/Logging_2506/kartor/A 45779-2024 karta.png", "A 45779-2024")</f>
        <v/>
      </c>
      <c r="V669">
        <f>HYPERLINK("https://klasma.github.io/Logging_2506/klagomål/A 45779-2024 FSC-klagomål.docx", "A 45779-2024")</f>
        <v/>
      </c>
      <c r="W669">
        <f>HYPERLINK("https://klasma.github.io/Logging_2506/klagomålsmail/A 45779-2024 FSC-klagomål mail.docx", "A 45779-2024")</f>
        <v/>
      </c>
      <c r="X669">
        <f>HYPERLINK("https://klasma.github.io/Logging_2506/tillsyn/A 45779-2024 tillsynsbegäran.docx", "A 45779-2024")</f>
        <v/>
      </c>
      <c r="Y669">
        <f>HYPERLINK("https://klasma.github.io/Logging_2506/tillsynsmail/A 45779-2024 tillsynsbegäran mail.docx", "A 45779-2024")</f>
        <v/>
      </c>
    </row>
    <row r="670" ht="15" customHeight="1">
      <c r="A670" t="inlineStr">
        <is>
          <t>A 46889-2024</t>
        </is>
      </c>
      <c r="B670" s="1" t="n">
        <v>45583</v>
      </c>
      <c r="C670" s="1" t="n">
        <v>45798</v>
      </c>
      <c r="D670" t="inlineStr">
        <is>
          <t>NORRBOTTENS LÄN</t>
        </is>
      </c>
      <c r="E670" t="inlineStr">
        <is>
          <t>GÄLLIVARE</t>
        </is>
      </c>
      <c r="F670" t="inlineStr">
        <is>
          <t>Sveaskog</t>
        </is>
      </c>
      <c r="G670" t="n">
        <v>9.699999999999999</v>
      </c>
      <c r="H670" t="n">
        <v>1</v>
      </c>
      <c r="I670" t="n">
        <v>1</v>
      </c>
      <c r="J670" t="n">
        <v>1</v>
      </c>
      <c r="K670" t="n">
        <v>0</v>
      </c>
      <c r="L670" t="n">
        <v>0</v>
      </c>
      <c r="M670" t="n">
        <v>0</v>
      </c>
      <c r="N670" t="n">
        <v>0</v>
      </c>
      <c r="O670" t="n">
        <v>1</v>
      </c>
      <c r="P670" t="n">
        <v>0</v>
      </c>
      <c r="Q670" t="n">
        <v>2</v>
      </c>
      <c r="R670" s="2" t="inlineStr">
        <is>
          <t>Talltaggsvamp
Plattlummer</t>
        </is>
      </c>
      <c r="S670">
        <f>HYPERLINK("https://klasma.github.io/Logging_2523/artfynd/A 46889-2024 artfynd.xlsx", "A 46889-2024")</f>
        <v/>
      </c>
      <c r="T670">
        <f>HYPERLINK("https://klasma.github.io/Logging_2523/kartor/A 46889-2024 karta.png", "A 46889-2024")</f>
        <v/>
      </c>
      <c r="V670">
        <f>HYPERLINK("https://klasma.github.io/Logging_2523/klagomål/A 46889-2024 FSC-klagomål.docx", "A 46889-2024")</f>
        <v/>
      </c>
      <c r="W670">
        <f>HYPERLINK("https://klasma.github.io/Logging_2523/klagomålsmail/A 46889-2024 FSC-klagomål mail.docx", "A 46889-2024")</f>
        <v/>
      </c>
      <c r="X670">
        <f>HYPERLINK("https://klasma.github.io/Logging_2523/tillsyn/A 46889-2024 tillsynsbegäran.docx", "A 46889-2024")</f>
        <v/>
      </c>
      <c r="Y670">
        <f>HYPERLINK("https://klasma.github.io/Logging_2523/tillsynsmail/A 46889-2024 tillsynsbegäran mail.docx", "A 46889-2024")</f>
        <v/>
      </c>
    </row>
    <row r="671" ht="15" customHeight="1">
      <c r="A671" t="inlineStr">
        <is>
          <t>A 49491-2024</t>
        </is>
      </c>
      <c r="B671" s="1" t="n">
        <v>45596</v>
      </c>
      <c r="C671" s="1" t="n">
        <v>45798</v>
      </c>
      <c r="D671" t="inlineStr">
        <is>
          <t>NORRBOTTENS LÄN</t>
        </is>
      </c>
      <c r="E671" t="inlineStr">
        <is>
          <t>JOKKMOKK</t>
        </is>
      </c>
      <c r="F671" t="inlineStr">
        <is>
          <t>SCA</t>
        </is>
      </c>
      <c r="G671" t="n">
        <v>3.9</v>
      </c>
      <c r="H671" t="n">
        <v>0</v>
      </c>
      <c r="I671" t="n">
        <v>0</v>
      </c>
      <c r="J671" t="n">
        <v>2</v>
      </c>
      <c r="K671" t="n">
        <v>0</v>
      </c>
      <c r="L671" t="n">
        <v>0</v>
      </c>
      <c r="M671" t="n">
        <v>0</v>
      </c>
      <c r="N671" t="n">
        <v>0</v>
      </c>
      <c r="O671" t="n">
        <v>2</v>
      </c>
      <c r="P671" t="n">
        <v>0</v>
      </c>
      <c r="Q671" t="n">
        <v>2</v>
      </c>
      <c r="R671" s="2" t="inlineStr">
        <is>
          <t>Gammelgransskål
Garnlav</t>
        </is>
      </c>
      <c r="S671">
        <f>HYPERLINK("https://klasma.github.io/Logging_2510/artfynd/A 49491-2024 artfynd.xlsx", "A 49491-2024")</f>
        <v/>
      </c>
      <c r="T671">
        <f>HYPERLINK("https://klasma.github.io/Logging_2510/kartor/A 49491-2024 karta.png", "A 49491-2024")</f>
        <v/>
      </c>
      <c r="V671">
        <f>HYPERLINK("https://klasma.github.io/Logging_2510/klagomål/A 49491-2024 FSC-klagomål.docx", "A 49491-2024")</f>
        <v/>
      </c>
      <c r="W671">
        <f>HYPERLINK("https://klasma.github.io/Logging_2510/klagomålsmail/A 49491-2024 FSC-klagomål mail.docx", "A 49491-2024")</f>
        <v/>
      </c>
      <c r="X671">
        <f>HYPERLINK("https://klasma.github.io/Logging_2510/tillsyn/A 49491-2024 tillsynsbegäran.docx", "A 49491-2024")</f>
        <v/>
      </c>
      <c r="Y671">
        <f>HYPERLINK("https://klasma.github.io/Logging_2510/tillsynsmail/A 49491-2024 tillsynsbegäran mail.docx", "A 49491-2024")</f>
        <v/>
      </c>
    </row>
    <row r="672" ht="15" customHeight="1">
      <c r="A672" t="inlineStr">
        <is>
          <t>A 53163-2024</t>
        </is>
      </c>
      <c r="B672" s="1" t="n">
        <v>45611</v>
      </c>
      <c r="C672" s="1" t="n">
        <v>45798</v>
      </c>
      <c r="D672" t="inlineStr">
        <is>
          <t>NORRBOTTENS LÄN</t>
        </is>
      </c>
      <c r="E672" t="inlineStr">
        <is>
          <t>ARVIDSJAUR</t>
        </is>
      </c>
      <c r="F672" t="inlineStr">
        <is>
          <t>Sveaskog</t>
        </is>
      </c>
      <c r="G672" t="n">
        <v>7.8</v>
      </c>
      <c r="H672" t="n">
        <v>1</v>
      </c>
      <c r="I672" t="n">
        <v>2</v>
      </c>
      <c r="J672" t="n">
        <v>0</v>
      </c>
      <c r="K672" t="n">
        <v>0</v>
      </c>
      <c r="L672" t="n">
        <v>0</v>
      </c>
      <c r="M672" t="n">
        <v>0</v>
      </c>
      <c r="N672" t="n">
        <v>0</v>
      </c>
      <c r="O672" t="n">
        <v>0</v>
      </c>
      <c r="P672" t="n">
        <v>0</v>
      </c>
      <c r="Q672" t="n">
        <v>2</v>
      </c>
      <c r="R672" s="2" t="inlineStr">
        <is>
          <t>Dropptaggsvamp
Plattlummer</t>
        </is>
      </c>
      <c r="S672">
        <f>HYPERLINK("https://klasma.github.io/Logging_2505/artfynd/A 53163-2024 artfynd.xlsx", "A 53163-2024")</f>
        <v/>
      </c>
      <c r="T672">
        <f>HYPERLINK("https://klasma.github.io/Logging_2505/kartor/A 53163-2024 karta.png", "A 53163-2024")</f>
        <v/>
      </c>
      <c r="V672">
        <f>HYPERLINK("https://klasma.github.io/Logging_2505/klagomål/A 53163-2024 FSC-klagomål.docx", "A 53163-2024")</f>
        <v/>
      </c>
      <c r="W672">
        <f>HYPERLINK("https://klasma.github.io/Logging_2505/klagomålsmail/A 53163-2024 FSC-klagomål mail.docx", "A 53163-2024")</f>
        <v/>
      </c>
      <c r="X672">
        <f>HYPERLINK("https://klasma.github.io/Logging_2505/tillsyn/A 53163-2024 tillsynsbegäran.docx", "A 53163-2024")</f>
        <v/>
      </c>
      <c r="Y672">
        <f>HYPERLINK("https://klasma.github.io/Logging_2505/tillsynsmail/A 53163-2024 tillsynsbegäran mail.docx", "A 53163-2024")</f>
        <v/>
      </c>
    </row>
    <row r="673" ht="15" customHeight="1">
      <c r="A673" t="inlineStr">
        <is>
          <t>A 53366-2024</t>
        </is>
      </c>
      <c r="B673" s="1" t="n">
        <v>45614</v>
      </c>
      <c r="C673" s="1" t="n">
        <v>45798</v>
      </c>
      <c r="D673" t="inlineStr">
        <is>
          <t>NORRBOTTENS LÄN</t>
        </is>
      </c>
      <c r="E673" t="inlineStr">
        <is>
          <t>JOKKMOKK</t>
        </is>
      </c>
      <c r="F673" t="inlineStr">
        <is>
          <t>Sveaskog</t>
        </is>
      </c>
      <c r="G673" t="n">
        <v>4.5</v>
      </c>
      <c r="H673" t="n">
        <v>0</v>
      </c>
      <c r="I673" t="n">
        <v>0</v>
      </c>
      <c r="J673" t="n">
        <v>2</v>
      </c>
      <c r="K673" t="n">
        <v>0</v>
      </c>
      <c r="L673" t="n">
        <v>0</v>
      </c>
      <c r="M673" t="n">
        <v>0</v>
      </c>
      <c r="N673" t="n">
        <v>0</v>
      </c>
      <c r="O673" t="n">
        <v>2</v>
      </c>
      <c r="P673" t="n">
        <v>0</v>
      </c>
      <c r="Q673" t="n">
        <v>2</v>
      </c>
      <c r="R673" s="2" t="inlineStr">
        <is>
          <t>Kolflarnlav
Skrovlig taggsvamp</t>
        </is>
      </c>
      <c r="S673">
        <f>HYPERLINK("https://klasma.github.io/Logging_2510/artfynd/A 53366-2024 artfynd.xlsx", "A 53366-2024")</f>
        <v/>
      </c>
      <c r="T673">
        <f>HYPERLINK("https://klasma.github.io/Logging_2510/kartor/A 53366-2024 karta.png", "A 53366-2024")</f>
        <v/>
      </c>
      <c r="V673">
        <f>HYPERLINK("https://klasma.github.io/Logging_2510/klagomål/A 53366-2024 FSC-klagomål.docx", "A 53366-2024")</f>
        <v/>
      </c>
      <c r="W673">
        <f>HYPERLINK("https://klasma.github.io/Logging_2510/klagomålsmail/A 53366-2024 FSC-klagomål mail.docx", "A 53366-2024")</f>
        <v/>
      </c>
      <c r="X673">
        <f>HYPERLINK("https://klasma.github.io/Logging_2510/tillsyn/A 53366-2024 tillsynsbegäran.docx", "A 53366-2024")</f>
        <v/>
      </c>
      <c r="Y673">
        <f>HYPERLINK("https://klasma.github.io/Logging_2510/tillsynsmail/A 53366-2024 tillsynsbegäran mail.docx", "A 53366-2024")</f>
        <v/>
      </c>
    </row>
    <row r="674" ht="15" customHeight="1">
      <c r="A674" t="inlineStr">
        <is>
          <t>A 54332-2024</t>
        </is>
      </c>
      <c r="B674" s="1" t="n">
        <v>45617</v>
      </c>
      <c r="C674" s="1" t="n">
        <v>45798</v>
      </c>
      <c r="D674" t="inlineStr">
        <is>
          <t>NORRBOTTENS LÄN</t>
        </is>
      </c>
      <c r="E674" t="inlineStr">
        <is>
          <t>KALIX</t>
        </is>
      </c>
      <c r="F674" t="inlineStr">
        <is>
          <t>Sveaskog</t>
        </is>
      </c>
      <c r="G674" t="n">
        <v>10.3</v>
      </c>
      <c r="H674" t="n">
        <v>0</v>
      </c>
      <c r="I674" t="n">
        <v>0</v>
      </c>
      <c r="J674" t="n">
        <v>2</v>
      </c>
      <c r="K674" t="n">
        <v>0</v>
      </c>
      <c r="L674" t="n">
        <v>0</v>
      </c>
      <c r="M674" t="n">
        <v>0</v>
      </c>
      <c r="N674" t="n">
        <v>0</v>
      </c>
      <c r="O674" t="n">
        <v>2</v>
      </c>
      <c r="P674" t="n">
        <v>0</v>
      </c>
      <c r="Q674" t="n">
        <v>2</v>
      </c>
      <c r="R674" s="2" t="inlineStr">
        <is>
          <t>Gammelgransskål
Garnlav</t>
        </is>
      </c>
      <c r="S674">
        <f>HYPERLINK("https://klasma.github.io/Logging_2514/artfynd/A 54332-2024 artfynd.xlsx", "A 54332-2024")</f>
        <v/>
      </c>
      <c r="T674">
        <f>HYPERLINK("https://klasma.github.io/Logging_2514/kartor/A 54332-2024 karta.png", "A 54332-2024")</f>
        <v/>
      </c>
      <c r="V674">
        <f>HYPERLINK("https://klasma.github.io/Logging_2514/klagomål/A 54332-2024 FSC-klagomål.docx", "A 54332-2024")</f>
        <v/>
      </c>
      <c r="W674">
        <f>HYPERLINK("https://klasma.github.io/Logging_2514/klagomålsmail/A 54332-2024 FSC-klagomål mail.docx", "A 54332-2024")</f>
        <v/>
      </c>
      <c r="X674">
        <f>HYPERLINK("https://klasma.github.io/Logging_2514/tillsyn/A 54332-2024 tillsynsbegäran.docx", "A 54332-2024")</f>
        <v/>
      </c>
      <c r="Y674">
        <f>HYPERLINK("https://klasma.github.io/Logging_2514/tillsynsmail/A 54332-2024 tillsynsbegäran mail.docx", "A 54332-2024")</f>
        <v/>
      </c>
    </row>
    <row r="675" ht="15" customHeight="1">
      <c r="A675" t="inlineStr">
        <is>
          <t>A 55038-2024</t>
        </is>
      </c>
      <c r="B675" s="1" t="n">
        <v>45621</v>
      </c>
      <c r="C675" s="1" t="n">
        <v>45798</v>
      </c>
      <c r="D675" t="inlineStr">
        <is>
          <t>NORRBOTTENS LÄN</t>
        </is>
      </c>
      <c r="E675" t="inlineStr">
        <is>
          <t>ÄLVSBYN</t>
        </is>
      </c>
      <c r="F675" t="inlineStr">
        <is>
          <t>Sveaskog</t>
        </is>
      </c>
      <c r="G675" t="n">
        <v>39</v>
      </c>
      <c r="H675" t="n">
        <v>0</v>
      </c>
      <c r="I675" t="n">
        <v>1</v>
      </c>
      <c r="J675" t="n">
        <v>1</v>
      </c>
      <c r="K675" t="n">
        <v>0</v>
      </c>
      <c r="L675" t="n">
        <v>0</v>
      </c>
      <c r="M675" t="n">
        <v>0</v>
      </c>
      <c r="N675" t="n">
        <v>0</v>
      </c>
      <c r="O675" t="n">
        <v>1</v>
      </c>
      <c r="P675" t="n">
        <v>0</v>
      </c>
      <c r="Q675" t="n">
        <v>2</v>
      </c>
      <c r="R675" s="2" t="inlineStr">
        <is>
          <t>Lunglav
Stuplav</t>
        </is>
      </c>
      <c r="S675">
        <f>HYPERLINK("https://klasma.github.io/Logging_2560/artfynd/A 55038-2024 artfynd.xlsx", "A 55038-2024")</f>
        <v/>
      </c>
      <c r="T675">
        <f>HYPERLINK("https://klasma.github.io/Logging_2560/kartor/A 55038-2024 karta.png", "A 55038-2024")</f>
        <v/>
      </c>
      <c r="V675">
        <f>HYPERLINK("https://klasma.github.io/Logging_2560/klagomål/A 55038-2024 FSC-klagomål.docx", "A 55038-2024")</f>
        <v/>
      </c>
      <c r="W675">
        <f>HYPERLINK("https://klasma.github.io/Logging_2560/klagomålsmail/A 55038-2024 FSC-klagomål mail.docx", "A 55038-2024")</f>
        <v/>
      </c>
      <c r="X675">
        <f>HYPERLINK("https://klasma.github.io/Logging_2560/tillsyn/A 55038-2024 tillsynsbegäran.docx", "A 55038-2024")</f>
        <v/>
      </c>
      <c r="Y675">
        <f>HYPERLINK("https://klasma.github.io/Logging_2560/tillsynsmail/A 55038-2024 tillsynsbegäran mail.docx", "A 55038-2024")</f>
        <v/>
      </c>
    </row>
    <row r="676" ht="15" customHeight="1">
      <c r="A676" t="inlineStr">
        <is>
          <t>A 61469-2024</t>
        </is>
      </c>
      <c r="B676" s="1" t="n">
        <v>45646</v>
      </c>
      <c r="C676" s="1" t="n">
        <v>45798</v>
      </c>
      <c r="D676" t="inlineStr">
        <is>
          <t>NORRBOTTENS LÄN</t>
        </is>
      </c>
      <c r="E676" t="inlineStr">
        <is>
          <t>PITEÅ</t>
        </is>
      </c>
      <c r="G676" t="n">
        <v>2</v>
      </c>
      <c r="H676" t="n">
        <v>2</v>
      </c>
      <c r="I676" t="n">
        <v>0</v>
      </c>
      <c r="J676" t="n">
        <v>2</v>
      </c>
      <c r="K676" t="n">
        <v>0</v>
      </c>
      <c r="L676" t="n">
        <v>0</v>
      </c>
      <c r="M676" t="n">
        <v>0</v>
      </c>
      <c r="N676" t="n">
        <v>0</v>
      </c>
      <c r="O676" t="n">
        <v>2</v>
      </c>
      <c r="P676" t="n">
        <v>0</v>
      </c>
      <c r="Q676" t="n">
        <v>2</v>
      </c>
      <c r="R676" s="2" t="inlineStr">
        <is>
          <t>Spillkråka
Tretåig hackspett</t>
        </is>
      </c>
      <c r="S676">
        <f>HYPERLINK("https://klasma.github.io/Logging_2581/artfynd/A 61469-2024 artfynd.xlsx", "A 61469-2024")</f>
        <v/>
      </c>
      <c r="T676">
        <f>HYPERLINK("https://klasma.github.io/Logging_2581/kartor/A 61469-2024 karta.png", "A 61469-2024")</f>
        <v/>
      </c>
      <c r="V676">
        <f>HYPERLINK("https://klasma.github.io/Logging_2581/klagomål/A 61469-2024 FSC-klagomål.docx", "A 61469-2024")</f>
        <v/>
      </c>
      <c r="W676">
        <f>HYPERLINK("https://klasma.github.io/Logging_2581/klagomålsmail/A 61469-2024 FSC-klagomål mail.docx", "A 61469-2024")</f>
        <v/>
      </c>
      <c r="X676">
        <f>HYPERLINK("https://klasma.github.io/Logging_2581/tillsyn/A 61469-2024 tillsynsbegäran.docx", "A 61469-2024")</f>
        <v/>
      </c>
      <c r="Y676">
        <f>HYPERLINK("https://klasma.github.io/Logging_2581/tillsynsmail/A 61469-2024 tillsynsbegäran mail.docx", "A 61469-2024")</f>
        <v/>
      </c>
      <c r="Z676">
        <f>HYPERLINK("https://klasma.github.io/Logging_2581/fåglar/A 61469-2024 prioriterade fågelarter.docx", "A 61469-2024")</f>
        <v/>
      </c>
    </row>
    <row r="677" ht="15" customHeight="1">
      <c r="A677" t="inlineStr">
        <is>
          <t>A 461-2025</t>
        </is>
      </c>
      <c r="B677" s="1" t="n">
        <v>45664</v>
      </c>
      <c r="C677" s="1" t="n">
        <v>45798</v>
      </c>
      <c r="D677" t="inlineStr">
        <is>
          <t>NORRBOTTENS LÄN</t>
        </is>
      </c>
      <c r="E677" t="inlineStr">
        <is>
          <t>JOKKMOKK</t>
        </is>
      </c>
      <c r="F677" t="inlineStr">
        <is>
          <t>Övriga statliga verk och myndigheter</t>
        </is>
      </c>
      <c r="G677" t="n">
        <v>7.6</v>
      </c>
      <c r="H677" t="n">
        <v>0</v>
      </c>
      <c r="I677" t="n">
        <v>0</v>
      </c>
      <c r="J677" t="n">
        <v>2</v>
      </c>
      <c r="K677" t="n">
        <v>0</v>
      </c>
      <c r="L677" t="n">
        <v>0</v>
      </c>
      <c r="M677" t="n">
        <v>0</v>
      </c>
      <c r="N677" t="n">
        <v>0</v>
      </c>
      <c r="O677" t="n">
        <v>2</v>
      </c>
      <c r="P677" t="n">
        <v>0</v>
      </c>
      <c r="Q677" t="n">
        <v>2</v>
      </c>
      <c r="R677" s="2" t="inlineStr">
        <is>
          <t>Blå taggsvamp
Mörk kolflarnlav</t>
        </is>
      </c>
      <c r="S677">
        <f>HYPERLINK("https://klasma.github.io/Logging_2510/artfynd/A 461-2025 artfynd.xlsx", "A 461-2025")</f>
        <v/>
      </c>
      <c r="T677">
        <f>HYPERLINK("https://klasma.github.io/Logging_2510/kartor/A 461-2025 karta.png", "A 461-2025")</f>
        <v/>
      </c>
      <c r="V677">
        <f>HYPERLINK("https://klasma.github.io/Logging_2510/klagomål/A 461-2025 FSC-klagomål.docx", "A 461-2025")</f>
        <v/>
      </c>
      <c r="W677">
        <f>HYPERLINK("https://klasma.github.io/Logging_2510/klagomålsmail/A 461-2025 FSC-klagomål mail.docx", "A 461-2025")</f>
        <v/>
      </c>
      <c r="X677">
        <f>HYPERLINK("https://klasma.github.io/Logging_2510/tillsyn/A 461-2025 tillsynsbegäran.docx", "A 461-2025")</f>
        <v/>
      </c>
      <c r="Y677">
        <f>HYPERLINK("https://klasma.github.io/Logging_2510/tillsynsmail/A 461-2025 tillsynsbegäran mail.docx", "A 461-2025")</f>
        <v/>
      </c>
    </row>
    <row r="678" ht="15" customHeight="1">
      <c r="A678" t="inlineStr">
        <is>
          <t>A 5728-2025</t>
        </is>
      </c>
      <c r="B678" s="1" t="n">
        <v>45694</v>
      </c>
      <c r="C678" s="1" t="n">
        <v>45798</v>
      </c>
      <c r="D678" t="inlineStr">
        <is>
          <t>NORRBOTTENS LÄN</t>
        </is>
      </c>
      <c r="E678" t="inlineStr">
        <is>
          <t>GÄLLIVARE</t>
        </is>
      </c>
      <c r="F678" t="inlineStr">
        <is>
          <t>SCA</t>
        </is>
      </c>
      <c r="G678" t="n">
        <v>13.1</v>
      </c>
      <c r="H678" t="n">
        <v>0</v>
      </c>
      <c r="I678" t="n">
        <v>0</v>
      </c>
      <c r="J678" t="n">
        <v>2</v>
      </c>
      <c r="K678" t="n">
        <v>0</v>
      </c>
      <c r="L678" t="n">
        <v>0</v>
      </c>
      <c r="M678" t="n">
        <v>0</v>
      </c>
      <c r="N678" t="n">
        <v>0</v>
      </c>
      <c r="O678" t="n">
        <v>2</v>
      </c>
      <c r="P678" t="n">
        <v>0</v>
      </c>
      <c r="Q678" t="n">
        <v>2</v>
      </c>
      <c r="R678" s="2" t="inlineStr">
        <is>
          <t>Garnlav
Rosenticka</t>
        </is>
      </c>
      <c r="S678">
        <f>HYPERLINK("https://klasma.github.io/Logging_2523/artfynd/A 5728-2025 artfynd.xlsx", "A 5728-2025")</f>
        <v/>
      </c>
      <c r="T678">
        <f>HYPERLINK("https://klasma.github.io/Logging_2523/kartor/A 5728-2025 karta.png", "A 5728-2025")</f>
        <v/>
      </c>
      <c r="V678">
        <f>HYPERLINK("https://klasma.github.io/Logging_2523/klagomål/A 5728-2025 FSC-klagomål.docx", "A 5728-2025")</f>
        <v/>
      </c>
      <c r="W678">
        <f>HYPERLINK("https://klasma.github.io/Logging_2523/klagomålsmail/A 5728-2025 FSC-klagomål mail.docx", "A 5728-2025")</f>
        <v/>
      </c>
      <c r="X678">
        <f>HYPERLINK("https://klasma.github.io/Logging_2523/tillsyn/A 5728-2025 tillsynsbegäran.docx", "A 5728-2025")</f>
        <v/>
      </c>
      <c r="Y678">
        <f>HYPERLINK("https://klasma.github.io/Logging_2523/tillsynsmail/A 5728-2025 tillsynsbegäran mail.docx", "A 5728-2025")</f>
        <v/>
      </c>
    </row>
    <row r="679" ht="15" customHeight="1">
      <c r="A679" t="inlineStr">
        <is>
          <t>A 5793-2025</t>
        </is>
      </c>
      <c r="B679" s="1" t="n">
        <v>45694</v>
      </c>
      <c r="C679" s="1" t="n">
        <v>45798</v>
      </c>
      <c r="D679" t="inlineStr">
        <is>
          <t>NORRBOTTENS LÄN</t>
        </is>
      </c>
      <c r="E679" t="inlineStr">
        <is>
          <t>GÄLLIVARE</t>
        </is>
      </c>
      <c r="F679" t="inlineStr">
        <is>
          <t>SCA</t>
        </is>
      </c>
      <c r="G679" t="n">
        <v>2.4</v>
      </c>
      <c r="H679" t="n">
        <v>0</v>
      </c>
      <c r="I679" t="n">
        <v>0</v>
      </c>
      <c r="J679" t="n">
        <v>2</v>
      </c>
      <c r="K679" t="n">
        <v>0</v>
      </c>
      <c r="L679" t="n">
        <v>0</v>
      </c>
      <c r="M679" t="n">
        <v>0</v>
      </c>
      <c r="N679" t="n">
        <v>0</v>
      </c>
      <c r="O679" t="n">
        <v>2</v>
      </c>
      <c r="P679" t="n">
        <v>0</v>
      </c>
      <c r="Q679" t="n">
        <v>2</v>
      </c>
      <c r="R679" s="2" t="inlineStr">
        <is>
          <t>Gammelgransskål
Garnlav</t>
        </is>
      </c>
      <c r="S679">
        <f>HYPERLINK("https://klasma.github.io/Logging_2523/artfynd/A 5793-2025 artfynd.xlsx", "A 5793-2025")</f>
        <v/>
      </c>
      <c r="T679">
        <f>HYPERLINK("https://klasma.github.io/Logging_2523/kartor/A 5793-2025 karta.png", "A 5793-2025")</f>
        <v/>
      </c>
      <c r="V679">
        <f>HYPERLINK("https://klasma.github.io/Logging_2523/klagomål/A 5793-2025 FSC-klagomål.docx", "A 5793-2025")</f>
        <v/>
      </c>
      <c r="W679">
        <f>HYPERLINK("https://klasma.github.io/Logging_2523/klagomålsmail/A 5793-2025 FSC-klagomål mail.docx", "A 5793-2025")</f>
        <v/>
      </c>
      <c r="X679">
        <f>HYPERLINK("https://klasma.github.io/Logging_2523/tillsyn/A 5793-2025 tillsynsbegäran.docx", "A 5793-2025")</f>
        <v/>
      </c>
      <c r="Y679">
        <f>HYPERLINK("https://klasma.github.io/Logging_2523/tillsynsmail/A 5793-2025 tillsynsbegäran mail.docx", "A 5793-2025")</f>
        <v/>
      </c>
    </row>
    <row r="680" ht="15" customHeight="1">
      <c r="A680" t="inlineStr">
        <is>
          <t>A 6895-2025</t>
        </is>
      </c>
      <c r="B680" s="1" t="n">
        <v>45701</v>
      </c>
      <c r="C680" s="1" t="n">
        <v>45798</v>
      </c>
      <c r="D680" t="inlineStr">
        <is>
          <t>NORRBOTTENS LÄN</t>
        </is>
      </c>
      <c r="E680" t="inlineStr">
        <is>
          <t>BODEN</t>
        </is>
      </c>
      <c r="G680" t="n">
        <v>1.5</v>
      </c>
      <c r="H680" t="n">
        <v>1</v>
      </c>
      <c r="I680" t="n">
        <v>1</v>
      </c>
      <c r="J680" t="n">
        <v>1</v>
      </c>
      <c r="K680" t="n">
        <v>0</v>
      </c>
      <c r="L680" t="n">
        <v>0</v>
      </c>
      <c r="M680" t="n">
        <v>0</v>
      </c>
      <c r="N680" t="n">
        <v>0</v>
      </c>
      <c r="O680" t="n">
        <v>1</v>
      </c>
      <c r="P680" t="n">
        <v>0</v>
      </c>
      <c r="Q680" t="n">
        <v>2</v>
      </c>
      <c r="R680" s="2" t="inlineStr">
        <is>
          <t>Kolflarnlav
Plattlummer</t>
        </is>
      </c>
      <c r="S680">
        <f>HYPERLINK("https://klasma.github.io/Logging_2582/artfynd/A 6895-2025 artfynd.xlsx", "A 6895-2025")</f>
        <v/>
      </c>
      <c r="T680">
        <f>HYPERLINK("https://klasma.github.io/Logging_2582/kartor/A 6895-2025 karta.png", "A 6895-2025")</f>
        <v/>
      </c>
      <c r="V680">
        <f>HYPERLINK("https://klasma.github.io/Logging_2582/klagomål/A 6895-2025 FSC-klagomål.docx", "A 6895-2025")</f>
        <v/>
      </c>
      <c r="W680">
        <f>HYPERLINK("https://klasma.github.io/Logging_2582/klagomålsmail/A 6895-2025 FSC-klagomål mail.docx", "A 6895-2025")</f>
        <v/>
      </c>
      <c r="X680">
        <f>HYPERLINK("https://klasma.github.io/Logging_2582/tillsyn/A 6895-2025 tillsynsbegäran.docx", "A 6895-2025")</f>
        <v/>
      </c>
      <c r="Y680">
        <f>HYPERLINK("https://klasma.github.io/Logging_2582/tillsynsmail/A 6895-2025 tillsynsbegäran mail.docx", "A 6895-2025")</f>
        <v/>
      </c>
    </row>
    <row r="681" ht="15" customHeight="1">
      <c r="A681" t="inlineStr">
        <is>
          <t>A 9306-2025</t>
        </is>
      </c>
      <c r="B681" s="1" t="n">
        <v>45714</v>
      </c>
      <c r="C681" s="1" t="n">
        <v>45798</v>
      </c>
      <c r="D681" t="inlineStr">
        <is>
          <t>NORRBOTTENS LÄN</t>
        </is>
      </c>
      <c r="E681" t="inlineStr">
        <is>
          <t>BODEN</t>
        </is>
      </c>
      <c r="F681" t="inlineStr">
        <is>
          <t>SCA</t>
        </is>
      </c>
      <c r="G681" t="n">
        <v>11.7</v>
      </c>
      <c r="H681" t="n">
        <v>0</v>
      </c>
      <c r="I681" t="n">
        <v>0</v>
      </c>
      <c r="J681" t="n">
        <v>1</v>
      </c>
      <c r="K681" t="n">
        <v>1</v>
      </c>
      <c r="L681" t="n">
        <v>0</v>
      </c>
      <c r="M681" t="n">
        <v>0</v>
      </c>
      <c r="N681" t="n">
        <v>0</v>
      </c>
      <c r="O681" t="n">
        <v>2</v>
      </c>
      <c r="P681" t="n">
        <v>1</v>
      </c>
      <c r="Q681" t="n">
        <v>2</v>
      </c>
      <c r="R681" s="2" t="inlineStr">
        <is>
          <t>Rynkskinn
Lunglav</t>
        </is>
      </c>
      <c r="S681">
        <f>HYPERLINK("https://klasma.github.io/Logging_2582/artfynd/A 9306-2025 artfynd.xlsx", "A 9306-2025")</f>
        <v/>
      </c>
      <c r="T681">
        <f>HYPERLINK("https://klasma.github.io/Logging_2582/kartor/A 9306-2025 karta.png", "A 9306-2025")</f>
        <v/>
      </c>
      <c r="V681">
        <f>HYPERLINK("https://klasma.github.io/Logging_2582/klagomål/A 9306-2025 FSC-klagomål.docx", "A 9306-2025")</f>
        <v/>
      </c>
      <c r="W681">
        <f>HYPERLINK("https://klasma.github.io/Logging_2582/klagomålsmail/A 9306-2025 FSC-klagomål mail.docx", "A 9306-2025")</f>
        <v/>
      </c>
      <c r="X681">
        <f>HYPERLINK("https://klasma.github.io/Logging_2582/tillsyn/A 9306-2025 tillsynsbegäran.docx", "A 9306-2025")</f>
        <v/>
      </c>
      <c r="Y681">
        <f>HYPERLINK("https://klasma.github.io/Logging_2582/tillsynsmail/A 9306-2025 tillsynsbegäran mail.docx", "A 9306-2025")</f>
        <v/>
      </c>
    </row>
    <row r="682" ht="15" customHeight="1">
      <c r="A682" t="inlineStr">
        <is>
          <t>A 10318-2025</t>
        </is>
      </c>
      <c r="B682" s="1" t="n">
        <v>45720</v>
      </c>
      <c r="C682" s="1" t="n">
        <v>45798</v>
      </c>
      <c r="D682" t="inlineStr">
        <is>
          <t>NORRBOTTENS LÄN</t>
        </is>
      </c>
      <c r="E682" t="inlineStr">
        <is>
          <t>KIRUNA</t>
        </is>
      </c>
      <c r="G682" t="n">
        <v>62.2</v>
      </c>
      <c r="H682" t="n">
        <v>1</v>
      </c>
      <c r="I682" t="n">
        <v>0</v>
      </c>
      <c r="J682" t="n">
        <v>1</v>
      </c>
      <c r="K682" t="n">
        <v>0</v>
      </c>
      <c r="L682" t="n">
        <v>0</v>
      </c>
      <c r="M682" t="n">
        <v>0</v>
      </c>
      <c r="N682" t="n">
        <v>0</v>
      </c>
      <c r="O682" t="n">
        <v>1</v>
      </c>
      <c r="P682" t="n">
        <v>0</v>
      </c>
      <c r="Q682" t="n">
        <v>2</v>
      </c>
      <c r="R682" s="2" t="inlineStr">
        <is>
          <t>Blanksvart spiklav
Lavskrika</t>
        </is>
      </c>
      <c r="S682">
        <f>HYPERLINK("https://klasma.github.io/Logging_252584/artfynd/A 10318-2025 artfynd.xlsx", "A 10318-2025")</f>
        <v/>
      </c>
      <c r="T682">
        <f>HYPERLINK("https://klasma.github.io/Logging_252584/kartor/A 10318-2025 karta.png", "A 10318-2025")</f>
        <v/>
      </c>
      <c r="V682">
        <f>HYPERLINK("https://klasma.github.io/Logging_252584/klagomål/A 10318-2025 FSC-klagomål.docx", "A 10318-2025")</f>
        <v/>
      </c>
      <c r="W682">
        <f>HYPERLINK("https://klasma.github.io/Logging_252584/klagomålsmail/A 10318-2025 FSC-klagomål mail.docx", "A 10318-2025")</f>
        <v/>
      </c>
      <c r="X682">
        <f>HYPERLINK("https://klasma.github.io/Logging_252584/tillsyn/A 10318-2025 tillsynsbegäran.docx", "A 10318-2025")</f>
        <v/>
      </c>
      <c r="Y682">
        <f>HYPERLINK("https://klasma.github.io/Logging_252584/tillsynsmail/A 10318-2025 tillsynsbegäran mail.docx", "A 10318-2025")</f>
        <v/>
      </c>
      <c r="Z682">
        <f>HYPERLINK("https://klasma.github.io/Logging_252584/fåglar/A 10318-2025 prioriterade fågelarter.docx", "A 10318-2025")</f>
        <v/>
      </c>
    </row>
    <row r="683" ht="15" customHeight="1">
      <c r="A683" t="inlineStr">
        <is>
          <t>A 11465-2025</t>
        </is>
      </c>
      <c r="B683" s="1" t="n">
        <v>45726</v>
      </c>
      <c r="C683" s="1" t="n">
        <v>45798</v>
      </c>
      <c r="D683" t="inlineStr">
        <is>
          <t>NORRBOTTENS LÄN</t>
        </is>
      </c>
      <c r="E683" t="inlineStr">
        <is>
          <t>PITEÅ</t>
        </is>
      </c>
      <c r="G683" t="n">
        <v>8.6</v>
      </c>
      <c r="H683" t="n">
        <v>2</v>
      </c>
      <c r="I683" t="n">
        <v>0</v>
      </c>
      <c r="J683" t="n">
        <v>2</v>
      </c>
      <c r="K683" t="n">
        <v>0</v>
      </c>
      <c r="L683" t="n">
        <v>0</v>
      </c>
      <c r="M683" t="n">
        <v>0</v>
      </c>
      <c r="N683" t="n">
        <v>0</v>
      </c>
      <c r="O683" t="n">
        <v>2</v>
      </c>
      <c r="P683" t="n">
        <v>0</v>
      </c>
      <c r="Q683" t="n">
        <v>2</v>
      </c>
      <c r="R683" s="2" t="inlineStr">
        <is>
          <t>Svartvit flugsnappare
Talltita</t>
        </is>
      </c>
      <c r="S683">
        <f>HYPERLINK("https://klasma.github.io/Logging_252581/artfynd/A 11465-2025 artfynd.xlsx", "A 11465-2025")</f>
        <v/>
      </c>
      <c r="T683">
        <f>HYPERLINK("https://klasma.github.io/Logging_252581/kartor/A 11465-2025 karta.png", "A 11465-2025")</f>
        <v/>
      </c>
      <c r="V683">
        <f>HYPERLINK("https://klasma.github.io/Logging_252581/klagomål/A 11465-2025 FSC-klagomål.docx", "A 11465-2025")</f>
        <v/>
      </c>
      <c r="W683">
        <f>HYPERLINK("https://klasma.github.io/Logging_252581/klagomålsmail/A 11465-2025 FSC-klagomål mail.docx", "A 11465-2025")</f>
        <v/>
      </c>
      <c r="X683">
        <f>HYPERLINK("https://klasma.github.io/Logging_252581/tillsyn/A 11465-2025 tillsynsbegäran.docx", "A 11465-2025")</f>
        <v/>
      </c>
      <c r="Y683">
        <f>HYPERLINK("https://klasma.github.io/Logging_252581/tillsynsmail/A 11465-2025 tillsynsbegäran mail.docx", "A 11465-2025")</f>
        <v/>
      </c>
      <c r="Z683">
        <f>HYPERLINK("https://klasma.github.io/Logging_252581/fåglar/A 11465-2025 prioriterade fågelarter.docx", "A 11465-2025")</f>
        <v/>
      </c>
    </row>
    <row r="684" ht="15" customHeight="1">
      <c r="A684" t="inlineStr">
        <is>
          <t>A 11372-2025</t>
        </is>
      </c>
      <c r="B684" s="1" t="n">
        <v>45726</v>
      </c>
      <c r="C684" s="1" t="n">
        <v>45798</v>
      </c>
      <c r="D684" t="inlineStr">
        <is>
          <t>NORRBOTTENS LÄN</t>
        </is>
      </c>
      <c r="E684" t="inlineStr">
        <is>
          <t>PITEÅ</t>
        </is>
      </c>
      <c r="G684" t="n">
        <v>4.7</v>
      </c>
      <c r="H684" t="n">
        <v>2</v>
      </c>
      <c r="I684" t="n">
        <v>0</v>
      </c>
      <c r="J684" t="n">
        <v>1</v>
      </c>
      <c r="K684" t="n">
        <v>0</v>
      </c>
      <c r="L684" t="n">
        <v>0</v>
      </c>
      <c r="M684" t="n">
        <v>0</v>
      </c>
      <c r="N684" t="n">
        <v>0</v>
      </c>
      <c r="O684" t="n">
        <v>1</v>
      </c>
      <c r="P684" t="n">
        <v>0</v>
      </c>
      <c r="Q684" t="n">
        <v>2</v>
      </c>
      <c r="R684" s="2" t="inlineStr">
        <is>
          <t>Tretåig hackspett
Vanlig padda</t>
        </is>
      </c>
      <c r="S684">
        <f>HYPERLINK("https://klasma.github.io/Logging_252581/artfynd/A 11372-2025 artfynd.xlsx", "A 11372-2025")</f>
        <v/>
      </c>
      <c r="T684">
        <f>HYPERLINK("https://klasma.github.io/Logging_252581/kartor/A 11372-2025 karta.png", "A 11372-2025")</f>
        <v/>
      </c>
      <c r="V684">
        <f>HYPERLINK("https://klasma.github.io/Logging_252581/klagomål/A 11372-2025 FSC-klagomål.docx", "A 11372-2025")</f>
        <v/>
      </c>
      <c r="W684">
        <f>HYPERLINK("https://klasma.github.io/Logging_252581/klagomålsmail/A 11372-2025 FSC-klagomål mail.docx", "A 11372-2025")</f>
        <v/>
      </c>
      <c r="X684">
        <f>HYPERLINK("https://klasma.github.io/Logging_252581/tillsyn/A 11372-2025 tillsynsbegäran.docx", "A 11372-2025")</f>
        <v/>
      </c>
      <c r="Y684">
        <f>HYPERLINK("https://klasma.github.io/Logging_252581/tillsynsmail/A 11372-2025 tillsynsbegäran mail.docx", "A 11372-2025")</f>
        <v/>
      </c>
      <c r="Z684">
        <f>HYPERLINK("https://klasma.github.io/Logging_252581/fåglar/A 11372-2025 prioriterade fågelarter.docx", "A 11372-2025")</f>
        <v/>
      </c>
    </row>
    <row r="685" ht="15" customHeight="1">
      <c r="A685" t="inlineStr">
        <is>
          <t>A 11634-2025</t>
        </is>
      </c>
      <c r="B685" s="1" t="n">
        <v>45726</v>
      </c>
      <c r="C685" s="1" t="n">
        <v>45798</v>
      </c>
      <c r="D685" t="inlineStr">
        <is>
          <t>NORRBOTTENS LÄN</t>
        </is>
      </c>
      <c r="E685" t="inlineStr">
        <is>
          <t>ARVIDSJAUR</t>
        </is>
      </c>
      <c r="F685" t="inlineStr">
        <is>
          <t>Allmännings- och besparingsskogar</t>
        </is>
      </c>
      <c r="G685" t="n">
        <v>13.8</v>
      </c>
      <c r="H685" t="n">
        <v>0</v>
      </c>
      <c r="I685" t="n">
        <v>1</v>
      </c>
      <c r="J685" t="n">
        <v>1</v>
      </c>
      <c r="K685" t="n">
        <v>0</v>
      </c>
      <c r="L685" t="n">
        <v>0</v>
      </c>
      <c r="M685" t="n">
        <v>0</v>
      </c>
      <c r="N685" t="n">
        <v>0</v>
      </c>
      <c r="O685" t="n">
        <v>1</v>
      </c>
      <c r="P685" t="n">
        <v>0</v>
      </c>
      <c r="Q685" t="n">
        <v>2</v>
      </c>
      <c r="R685" s="2" t="inlineStr">
        <is>
          <t>Lunglav
Skinnlav</t>
        </is>
      </c>
      <c r="S685">
        <f>HYPERLINK("https://klasma.github.io/Logging_252505/artfynd/A 11634-2025 artfynd.xlsx", "A 11634-2025")</f>
        <v/>
      </c>
      <c r="T685">
        <f>HYPERLINK("https://klasma.github.io/Logging_252505/kartor/A 11634-2025 karta.png", "A 11634-2025")</f>
        <v/>
      </c>
      <c r="V685">
        <f>HYPERLINK("https://klasma.github.io/Logging_252505/klagomål/A 11634-2025 FSC-klagomål.docx", "A 11634-2025")</f>
        <v/>
      </c>
      <c r="W685">
        <f>HYPERLINK("https://klasma.github.io/Logging_252505/klagomålsmail/A 11634-2025 FSC-klagomål mail.docx", "A 11634-2025")</f>
        <v/>
      </c>
      <c r="X685">
        <f>HYPERLINK("https://klasma.github.io/Logging_252505/tillsyn/A 11634-2025 tillsynsbegäran.docx", "A 11634-2025")</f>
        <v/>
      </c>
      <c r="Y685">
        <f>HYPERLINK("https://klasma.github.io/Logging_252505/tillsynsmail/A 11634-2025 tillsynsbegäran mail.docx", "A 11634-2025")</f>
        <v/>
      </c>
    </row>
    <row r="686" ht="15" customHeight="1">
      <c r="A686" t="inlineStr">
        <is>
          <t>A 12395-2025</t>
        </is>
      </c>
      <c r="B686" s="1" t="n">
        <v>45730</v>
      </c>
      <c r="C686" s="1" t="n">
        <v>45798</v>
      </c>
      <c r="D686" t="inlineStr">
        <is>
          <t>NORRBOTTENS LÄN</t>
        </is>
      </c>
      <c r="E686" t="inlineStr">
        <is>
          <t>KALIX</t>
        </is>
      </c>
      <c r="F686" t="inlineStr">
        <is>
          <t>SCA</t>
        </is>
      </c>
      <c r="G686" t="n">
        <v>3.4</v>
      </c>
      <c r="H686" t="n">
        <v>0</v>
      </c>
      <c r="I686" t="n">
        <v>0</v>
      </c>
      <c r="J686" t="n">
        <v>2</v>
      </c>
      <c r="K686" t="n">
        <v>0</v>
      </c>
      <c r="L686" t="n">
        <v>0</v>
      </c>
      <c r="M686" t="n">
        <v>0</v>
      </c>
      <c r="N686" t="n">
        <v>0</v>
      </c>
      <c r="O686" t="n">
        <v>2</v>
      </c>
      <c r="P686" t="n">
        <v>0</v>
      </c>
      <c r="Q686" t="n">
        <v>2</v>
      </c>
      <c r="R686" s="2" t="inlineStr">
        <is>
          <t>Granticka
Vitgrynig nållav</t>
        </is>
      </c>
      <c r="S686">
        <f>HYPERLINK("https://klasma.github.io/Logging_252514/artfynd/A 12395-2025 artfynd.xlsx", "A 12395-2025")</f>
        <v/>
      </c>
      <c r="T686">
        <f>HYPERLINK("https://klasma.github.io/Logging_252514/kartor/A 12395-2025 karta.png", "A 12395-2025")</f>
        <v/>
      </c>
      <c r="V686">
        <f>HYPERLINK("https://klasma.github.io/Logging_252514/klagomål/A 12395-2025 FSC-klagomål.docx", "A 12395-2025")</f>
        <v/>
      </c>
      <c r="W686">
        <f>HYPERLINK("https://klasma.github.io/Logging_252514/klagomålsmail/A 12395-2025 FSC-klagomål mail.docx", "A 12395-2025")</f>
        <v/>
      </c>
      <c r="X686">
        <f>HYPERLINK("https://klasma.github.io/Logging_252514/tillsyn/A 12395-2025 tillsynsbegäran.docx", "A 12395-2025")</f>
        <v/>
      </c>
      <c r="Y686">
        <f>HYPERLINK("https://klasma.github.io/Logging_252514/tillsynsmail/A 12395-2025 tillsynsbegäran mail.docx", "A 12395-2025")</f>
        <v/>
      </c>
    </row>
    <row r="687" ht="15" customHeight="1">
      <c r="A687" t="inlineStr">
        <is>
          <t>A 14184-2025</t>
        </is>
      </c>
      <c r="B687" s="1" t="n">
        <v>45740</v>
      </c>
      <c r="C687" s="1" t="n">
        <v>45798</v>
      </c>
      <c r="D687" t="inlineStr">
        <is>
          <t>NORRBOTTENS LÄN</t>
        </is>
      </c>
      <c r="E687" t="inlineStr">
        <is>
          <t>LULEÅ</t>
        </is>
      </c>
      <c r="G687" t="n">
        <v>9.1</v>
      </c>
      <c r="H687" t="n">
        <v>0</v>
      </c>
      <c r="I687" t="n">
        <v>1</v>
      </c>
      <c r="J687" t="n">
        <v>1</v>
      </c>
      <c r="K687" t="n">
        <v>0</v>
      </c>
      <c r="L687" t="n">
        <v>0</v>
      </c>
      <c r="M687" t="n">
        <v>0</v>
      </c>
      <c r="N687" t="n">
        <v>0</v>
      </c>
      <c r="O687" t="n">
        <v>1</v>
      </c>
      <c r="P687" t="n">
        <v>0</v>
      </c>
      <c r="Q687" t="n">
        <v>2</v>
      </c>
      <c r="R687" s="2" t="inlineStr">
        <is>
          <t>Granticka
Stuplav</t>
        </is>
      </c>
      <c r="S687">
        <f>HYPERLINK("https://klasma.github.io/Logging_252580/artfynd/A 14184-2025 artfynd.xlsx", "A 14184-2025")</f>
        <v/>
      </c>
      <c r="T687">
        <f>HYPERLINK("https://klasma.github.io/Logging_252580/kartor/A 14184-2025 karta.png", "A 14184-2025")</f>
        <v/>
      </c>
      <c r="V687">
        <f>HYPERLINK("https://klasma.github.io/Logging_252580/klagomål/A 14184-2025 FSC-klagomål.docx", "A 14184-2025")</f>
        <v/>
      </c>
      <c r="W687">
        <f>HYPERLINK("https://klasma.github.io/Logging_252580/klagomålsmail/A 14184-2025 FSC-klagomål mail.docx", "A 14184-2025")</f>
        <v/>
      </c>
      <c r="X687">
        <f>HYPERLINK("https://klasma.github.io/Logging_252580/tillsyn/A 14184-2025 tillsynsbegäran.docx", "A 14184-2025")</f>
        <v/>
      </c>
      <c r="Y687">
        <f>HYPERLINK("https://klasma.github.io/Logging_252580/tillsynsmail/A 14184-2025 tillsynsbegäran mail.docx", "A 14184-2025")</f>
        <v/>
      </c>
    </row>
    <row r="688" ht="15" customHeight="1">
      <c r="A688" t="inlineStr">
        <is>
          <t>A 15155-2025</t>
        </is>
      </c>
      <c r="B688" s="1" t="n">
        <v>45744</v>
      </c>
      <c r="C688" s="1" t="n">
        <v>45798</v>
      </c>
      <c r="D688" t="inlineStr">
        <is>
          <t>NORRBOTTENS LÄN</t>
        </is>
      </c>
      <c r="E688" t="inlineStr">
        <is>
          <t>GÄLLIVARE</t>
        </is>
      </c>
      <c r="F688" t="inlineStr">
        <is>
          <t>Sveaskog</t>
        </is>
      </c>
      <c r="G688" t="n">
        <v>1.9</v>
      </c>
      <c r="H688" t="n">
        <v>1</v>
      </c>
      <c r="I688" t="n">
        <v>0</v>
      </c>
      <c r="J688" t="n">
        <v>2</v>
      </c>
      <c r="K688" t="n">
        <v>0</v>
      </c>
      <c r="L688" t="n">
        <v>0</v>
      </c>
      <c r="M688" t="n">
        <v>0</v>
      </c>
      <c r="N688" t="n">
        <v>0</v>
      </c>
      <c r="O688" t="n">
        <v>2</v>
      </c>
      <c r="P688" t="n">
        <v>0</v>
      </c>
      <c r="Q688" t="n">
        <v>2</v>
      </c>
      <c r="R688" s="2" t="inlineStr">
        <is>
          <t>Mospindling
Talltita</t>
        </is>
      </c>
      <c r="S688">
        <f>HYPERLINK("https://klasma.github.io/Logging_252523/artfynd/A 15155-2025 artfynd.xlsx", "A 15155-2025")</f>
        <v/>
      </c>
      <c r="T688">
        <f>HYPERLINK("https://klasma.github.io/Logging_252523/kartor/A 15155-2025 karta.png", "A 15155-2025")</f>
        <v/>
      </c>
      <c r="V688">
        <f>HYPERLINK("https://klasma.github.io/Logging_252523/klagomål/A 15155-2025 FSC-klagomål.docx", "A 15155-2025")</f>
        <v/>
      </c>
      <c r="W688">
        <f>HYPERLINK("https://klasma.github.io/Logging_252523/klagomålsmail/A 15155-2025 FSC-klagomål mail.docx", "A 15155-2025")</f>
        <v/>
      </c>
      <c r="X688">
        <f>HYPERLINK("https://klasma.github.io/Logging_252523/tillsyn/A 15155-2025 tillsynsbegäran.docx", "A 15155-2025")</f>
        <v/>
      </c>
      <c r="Y688">
        <f>HYPERLINK("https://klasma.github.io/Logging_252523/tillsynsmail/A 15155-2025 tillsynsbegäran mail.docx", "A 15155-2025")</f>
        <v/>
      </c>
      <c r="Z688">
        <f>HYPERLINK("https://klasma.github.io/Logging_252523/fåglar/A 15155-2025 prioriterade fågelarter.docx", "A 15155-2025")</f>
        <v/>
      </c>
    </row>
    <row r="689" ht="15" customHeight="1">
      <c r="A689" t="inlineStr">
        <is>
          <t>A 15827-2025</t>
        </is>
      </c>
      <c r="B689" s="1" t="n">
        <v>45748</v>
      </c>
      <c r="C689" s="1" t="n">
        <v>45798</v>
      </c>
      <c r="D689" t="inlineStr">
        <is>
          <t>NORRBOTTENS LÄN</t>
        </is>
      </c>
      <c r="E689" t="inlineStr">
        <is>
          <t>JOKKMOKK</t>
        </is>
      </c>
      <c r="G689" t="n">
        <v>23</v>
      </c>
      <c r="H689" t="n">
        <v>0</v>
      </c>
      <c r="I689" t="n">
        <v>0</v>
      </c>
      <c r="J689" t="n">
        <v>2</v>
      </c>
      <c r="K689" t="n">
        <v>0</v>
      </c>
      <c r="L689" t="n">
        <v>0</v>
      </c>
      <c r="M689" t="n">
        <v>0</v>
      </c>
      <c r="N689" t="n">
        <v>0</v>
      </c>
      <c r="O689" t="n">
        <v>2</v>
      </c>
      <c r="P689" t="n">
        <v>0</v>
      </c>
      <c r="Q689" t="n">
        <v>2</v>
      </c>
      <c r="R689" s="2" t="inlineStr">
        <is>
          <t>Dvärgbägarlav
Vaddporing</t>
        </is>
      </c>
      <c r="S689">
        <f>HYPERLINK("https://klasma.github.io/Logging_252510/artfynd/A 15827-2025 artfynd.xlsx", "A 15827-2025")</f>
        <v/>
      </c>
      <c r="T689">
        <f>HYPERLINK("https://klasma.github.io/Logging_252510/kartor/A 15827-2025 karta.png", "A 15827-2025")</f>
        <v/>
      </c>
      <c r="V689">
        <f>HYPERLINK("https://klasma.github.io/Logging_252510/klagomål/A 15827-2025 FSC-klagomål.docx", "A 15827-2025")</f>
        <v/>
      </c>
      <c r="W689">
        <f>HYPERLINK("https://klasma.github.io/Logging_252510/klagomålsmail/A 15827-2025 FSC-klagomål mail.docx", "A 15827-2025")</f>
        <v/>
      </c>
      <c r="X689">
        <f>HYPERLINK("https://klasma.github.io/Logging_252510/tillsyn/A 15827-2025 tillsynsbegäran.docx", "A 15827-2025")</f>
        <v/>
      </c>
      <c r="Y689">
        <f>HYPERLINK("https://klasma.github.io/Logging_252510/tillsynsmail/A 15827-2025 tillsynsbegäran mail.docx", "A 15827-2025")</f>
        <v/>
      </c>
    </row>
    <row r="690" ht="15" customHeight="1">
      <c r="A690" t="inlineStr">
        <is>
          <t>A 16537-2025</t>
        </is>
      </c>
      <c r="B690" s="1" t="n">
        <v>45751</v>
      </c>
      <c r="C690" s="1" t="n">
        <v>45798</v>
      </c>
      <c r="D690" t="inlineStr">
        <is>
          <t>NORRBOTTENS LÄN</t>
        </is>
      </c>
      <c r="E690" t="inlineStr">
        <is>
          <t>ÖVERTORNEÅ</t>
        </is>
      </c>
      <c r="G690" t="n">
        <v>7.6</v>
      </c>
      <c r="H690" t="n">
        <v>2</v>
      </c>
      <c r="I690" t="n">
        <v>0</v>
      </c>
      <c r="J690" t="n">
        <v>1</v>
      </c>
      <c r="K690" t="n">
        <v>0</v>
      </c>
      <c r="L690" t="n">
        <v>0</v>
      </c>
      <c r="M690" t="n">
        <v>0</v>
      </c>
      <c r="N690" t="n">
        <v>0</v>
      </c>
      <c r="O690" t="n">
        <v>1</v>
      </c>
      <c r="P690" t="n">
        <v>0</v>
      </c>
      <c r="Q690" t="n">
        <v>2</v>
      </c>
      <c r="R690" s="2" t="inlineStr">
        <is>
          <t>Tretåig hackspett
Tjäder</t>
        </is>
      </c>
      <c r="S690">
        <f>HYPERLINK("https://klasma.github.io/Logging_252518/artfynd/A 16537-2025 artfynd.xlsx", "A 16537-2025")</f>
        <v/>
      </c>
      <c r="T690">
        <f>HYPERLINK("https://klasma.github.io/Logging_252518/kartor/A 16537-2025 karta.png", "A 16537-2025")</f>
        <v/>
      </c>
      <c r="V690">
        <f>HYPERLINK("https://klasma.github.io/Logging_252518/klagomål/A 16537-2025 FSC-klagomål.docx", "A 16537-2025")</f>
        <v/>
      </c>
      <c r="W690">
        <f>HYPERLINK("https://klasma.github.io/Logging_252518/klagomålsmail/A 16537-2025 FSC-klagomål mail.docx", "A 16537-2025")</f>
        <v/>
      </c>
      <c r="X690">
        <f>HYPERLINK("https://klasma.github.io/Logging_252518/tillsyn/A 16537-2025 tillsynsbegäran.docx", "A 16537-2025")</f>
        <v/>
      </c>
      <c r="Y690">
        <f>HYPERLINK("https://klasma.github.io/Logging_252518/tillsynsmail/A 16537-2025 tillsynsbegäran mail.docx", "A 16537-2025")</f>
        <v/>
      </c>
      <c r="Z690">
        <f>HYPERLINK("https://klasma.github.io/Logging_252518/fåglar/A 16537-2025 prioriterade fågelarter.docx", "A 16537-2025")</f>
        <v/>
      </c>
    </row>
    <row r="691" ht="15" customHeight="1">
      <c r="A691" t="inlineStr">
        <is>
          <t>A 17802-2025</t>
        </is>
      </c>
      <c r="B691" s="1" t="n">
        <v>45758</v>
      </c>
      <c r="C691" s="1" t="n">
        <v>45798</v>
      </c>
      <c r="D691" t="inlineStr">
        <is>
          <t>NORRBOTTENS LÄN</t>
        </is>
      </c>
      <c r="E691" t="inlineStr">
        <is>
          <t>ÖVERKALIX</t>
        </is>
      </c>
      <c r="F691" t="inlineStr">
        <is>
          <t>Sveaskog</t>
        </is>
      </c>
      <c r="G691" t="n">
        <v>1.6</v>
      </c>
      <c r="H691" t="n">
        <v>2</v>
      </c>
      <c r="I691" t="n">
        <v>0</v>
      </c>
      <c r="J691" t="n">
        <v>0</v>
      </c>
      <c r="K691" t="n">
        <v>0</v>
      </c>
      <c r="L691" t="n">
        <v>0</v>
      </c>
      <c r="M691" t="n">
        <v>0</v>
      </c>
      <c r="N691" t="n">
        <v>0</v>
      </c>
      <c r="O691" t="n">
        <v>0</v>
      </c>
      <c r="P691" t="n">
        <v>0</v>
      </c>
      <c r="Q691" t="n">
        <v>2</v>
      </c>
      <c r="R691" s="2" t="inlineStr">
        <is>
          <t>Hökuggla
Tjäder</t>
        </is>
      </c>
      <c r="S691">
        <f>HYPERLINK("https://klasma.github.io/Logging_252513/artfynd/A 17802-2025 artfynd.xlsx", "A 17802-2025")</f>
        <v/>
      </c>
      <c r="T691">
        <f>HYPERLINK("https://klasma.github.io/Logging_252513/kartor/A 17802-2025 karta.png", "A 17802-2025")</f>
        <v/>
      </c>
      <c r="V691">
        <f>HYPERLINK("https://klasma.github.io/Logging_252513/klagomål/A 17802-2025 FSC-klagomål.docx", "A 17802-2025")</f>
        <v/>
      </c>
      <c r="W691">
        <f>HYPERLINK("https://klasma.github.io/Logging_252513/klagomålsmail/A 17802-2025 FSC-klagomål mail.docx", "A 17802-2025")</f>
        <v/>
      </c>
      <c r="X691">
        <f>HYPERLINK("https://klasma.github.io/Logging_252513/tillsyn/A 17802-2025 tillsynsbegäran.docx", "A 17802-2025")</f>
        <v/>
      </c>
      <c r="Y691">
        <f>HYPERLINK("https://klasma.github.io/Logging_252513/tillsynsmail/A 17802-2025 tillsynsbegäran mail.docx", "A 17802-2025")</f>
        <v/>
      </c>
      <c r="Z691">
        <f>HYPERLINK("https://klasma.github.io/Logging_252513/fåglar/A 17802-2025 prioriterade fågelarter.docx", "A 17802-2025")</f>
        <v/>
      </c>
    </row>
    <row r="692" ht="15" customHeight="1">
      <c r="A692" t="inlineStr">
        <is>
          <t>A 19275-2025</t>
        </is>
      </c>
      <c r="B692" s="1" t="n">
        <v>45769</v>
      </c>
      <c r="C692" s="1" t="n">
        <v>45798</v>
      </c>
      <c r="D692" t="inlineStr">
        <is>
          <t>NORRBOTTENS LÄN</t>
        </is>
      </c>
      <c r="E692" t="inlineStr">
        <is>
          <t>ÖVERKALIX</t>
        </is>
      </c>
      <c r="F692" t="inlineStr">
        <is>
          <t>Sveaskog</t>
        </is>
      </c>
      <c r="G692" t="n">
        <v>16.3</v>
      </c>
      <c r="H692" t="n">
        <v>2</v>
      </c>
      <c r="I692" t="n">
        <v>1</v>
      </c>
      <c r="J692" t="n">
        <v>0</v>
      </c>
      <c r="K692" t="n">
        <v>1</v>
      </c>
      <c r="L692" t="n">
        <v>0</v>
      </c>
      <c r="M692" t="n">
        <v>0</v>
      </c>
      <c r="N692" t="n">
        <v>0</v>
      </c>
      <c r="O692" t="n">
        <v>1</v>
      </c>
      <c r="P692" t="n">
        <v>1</v>
      </c>
      <c r="Q692" t="n">
        <v>2</v>
      </c>
      <c r="R692" s="2" t="inlineStr">
        <is>
          <t>Knärot
Plattlummer</t>
        </is>
      </c>
      <c r="S692">
        <f>HYPERLINK("https://klasma.github.io/Logging_252513/artfynd/A 19275-2025 artfynd.xlsx", "A 19275-2025")</f>
        <v/>
      </c>
      <c r="T692">
        <f>HYPERLINK("https://klasma.github.io/Logging_252513/kartor/A 19275-2025 karta.png", "A 19275-2025")</f>
        <v/>
      </c>
      <c r="U692">
        <f>HYPERLINK("https://klasma.github.io/Logging_252513/knärot/A 19275-2025 karta knärot.png", "A 19275-2025")</f>
        <v/>
      </c>
      <c r="V692">
        <f>HYPERLINK("https://klasma.github.io/Logging_252513/klagomål/A 19275-2025 FSC-klagomål.docx", "A 19275-2025")</f>
        <v/>
      </c>
      <c r="W692">
        <f>HYPERLINK("https://klasma.github.io/Logging_252513/klagomålsmail/A 19275-2025 FSC-klagomål mail.docx", "A 19275-2025")</f>
        <v/>
      </c>
      <c r="X692">
        <f>HYPERLINK("https://klasma.github.io/Logging_252513/tillsyn/A 19275-2025 tillsynsbegäran.docx", "A 19275-2025")</f>
        <v/>
      </c>
      <c r="Y692">
        <f>HYPERLINK("https://klasma.github.io/Logging_252513/tillsynsmail/A 19275-2025 tillsynsbegäran mail.docx", "A 19275-2025")</f>
        <v/>
      </c>
    </row>
    <row r="693" ht="15" customHeight="1">
      <c r="A693" t="inlineStr">
        <is>
          <t>A 20758-2025</t>
        </is>
      </c>
      <c r="B693" s="1" t="n">
        <v>45776</v>
      </c>
      <c r="C693" s="1" t="n">
        <v>45798</v>
      </c>
      <c r="D693" t="inlineStr">
        <is>
          <t>NORRBOTTENS LÄN</t>
        </is>
      </c>
      <c r="E693" t="inlineStr">
        <is>
          <t>KIRUNA</t>
        </is>
      </c>
      <c r="F693" t="inlineStr">
        <is>
          <t>Sveaskog</t>
        </is>
      </c>
      <c r="G693" t="n">
        <v>2</v>
      </c>
      <c r="H693" t="n">
        <v>0</v>
      </c>
      <c r="I693" t="n">
        <v>2</v>
      </c>
      <c r="J693" t="n">
        <v>0</v>
      </c>
      <c r="K693" t="n">
        <v>0</v>
      </c>
      <c r="L693" t="n">
        <v>0</v>
      </c>
      <c r="M693" t="n">
        <v>0</v>
      </c>
      <c r="N693" t="n">
        <v>0</v>
      </c>
      <c r="O693" t="n">
        <v>0</v>
      </c>
      <c r="P693" t="n">
        <v>0</v>
      </c>
      <c r="Q693" t="n">
        <v>2</v>
      </c>
      <c r="R693" s="2" t="inlineStr">
        <is>
          <t>Bårdlav
Stuplav</t>
        </is>
      </c>
      <c r="S693">
        <f>HYPERLINK("https://klasma.github.io/Logging_252584/artfynd/A 20758-2025 artfynd.xlsx", "A 20758-2025")</f>
        <v/>
      </c>
      <c r="T693">
        <f>HYPERLINK("https://klasma.github.io/Logging_252584/kartor/A 20758-2025 karta.png", "A 20758-2025")</f>
        <v/>
      </c>
      <c r="V693">
        <f>HYPERLINK("https://klasma.github.io/Logging_252584/klagomål/A 20758-2025 FSC-klagomål.docx", "A 20758-2025")</f>
        <v/>
      </c>
      <c r="W693">
        <f>HYPERLINK("https://klasma.github.io/Logging_252584/klagomålsmail/A 20758-2025 FSC-klagomål mail.docx", "A 20758-2025")</f>
        <v/>
      </c>
      <c r="X693">
        <f>HYPERLINK("https://klasma.github.io/Logging_252584/tillsyn/A 20758-2025 tillsynsbegäran.docx", "A 20758-2025")</f>
        <v/>
      </c>
      <c r="Y693">
        <f>HYPERLINK("https://klasma.github.io/Logging_252584/tillsynsmail/A 20758-2025 tillsynsbegäran mail.docx", "A 20758-2025")</f>
        <v/>
      </c>
    </row>
    <row r="694" ht="15" customHeight="1">
      <c r="A694" t="inlineStr">
        <is>
          <t>A 21856-2025</t>
        </is>
      </c>
      <c r="B694" s="1" t="n">
        <v>45784</v>
      </c>
      <c r="C694" s="1" t="n">
        <v>45798</v>
      </c>
      <c r="D694" t="inlineStr">
        <is>
          <t>NORRBOTTENS LÄN</t>
        </is>
      </c>
      <c r="E694" t="inlineStr">
        <is>
          <t>ÄLVSBYN</t>
        </is>
      </c>
      <c r="F694" t="inlineStr">
        <is>
          <t>Sveaskog</t>
        </is>
      </c>
      <c r="G694" t="n">
        <v>26.9</v>
      </c>
      <c r="H694" t="n">
        <v>1</v>
      </c>
      <c r="I694" t="n">
        <v>2</v>
      </c>
      <c r="J694" t="n">
        <v>0</v>
      </c>
      <c r="K694" t="n">
        <v>0</v>
      </c>
      <c r="L694" t="n">
        <v>0</v>
      </c>
      <c r="M694" t="n">
        <v>0</v>
      </c>
      <c r="N694" t="n">
        <v>0</v>
      </c>
      <c r="O694" t="n">
        <v>0</v>
      </c>
      <c r="P694" t="n">
        <v>0</v>
      </c>
      <c r="Q694" t="n">
        <v>2</v>
      </c>
      <c r="R694" s="2" t="inlineStr">
        <is>
          <t>Plattlummer
Tibast</t>
        </is>
      </c>
      <c r="S694">
        <f>HYPERLINK("https://klasma.github.io/Logging_252560/artfynd/A 21856-2025 artfynd.xlsx", "A 21856-2025")</f>
        <v/>
      </c>
      <c r="T694">
        <f>HYPERLINK("https://klasma.github.io/Logging_252560/kartor/A 21856-2025 karta.png", "A 21856-2025")</f>
        <v/>
      </c>
      <c r="V694">
        <f>HYPERLINK("https://klasma.github.io/Logging_252560/klagomål/A 21856-2025 FSC-klagomål.docx", "A 21856-2025")</f>
        <v/>
      </c>
      <c r="W694">
        <f>HYPERLINK("https://klasma.github.io/Logging_252560/klagomålsmail/A 21856-2025 FSC-klagomål mail.docx", "A 21856-2025")</f>
        <v/>
      </c>
      <c r="X694">
        <f>HYPERLINK("https://klasma.github.io/Logging_252560/tillsyn/A 21856-2025 tillsynsbegäran.docx", "A 21856-2025")</f>
        <v/>
      </c>
      <c r="Y694">
        <f>HYPERLINK("https://klasma.github.io/Logging_252560/tillsynsmail/A 21856-2025 tillsynsbegäran mail.docx", "A 21856-2025")</f>
        <v/>
      </c>
    </row>
    <row r="695" ht="15" customHeight="1">
      <c r="A695" t="inlineStr">
        <is>
          <t>A 22567-2025</t>
        </is>
      </c>
      <c r="B695" s="1" t="n">
        <v>45789</v>
      </c>
      <c r="C695" s="1" t="n">
        <v>45798</v>
      </c>
      <c r="D695" t="inlineStr">
        <is>
          <t>NORRBOTTENS LÄN</t>
        </is>
      </c>
      <c r="E695" t="inlineStr">
        <is>
          <t>ÄLVSBYN</t>
        </is>
      </c>
      <c r="F695" t="inlineStr">
        <is>
          <t>Sveaskog</t>
        </is>
      </c>
      <c r="G695" t="n">
        <v>3.1</v>
      </c>
      <c r="H695" t="n">
        <v>0</v>
      </c>
      <c r="I695" t="n">
        <v>0</v>
      </c>
      <c r="J695" t="n">
        <v>1</v>
      </c>
      <c r="K695" t="n">
        <v>1</v>
      </c>
      <c r="L695" t="n">
        <v>0</v>
      </c>
      <c r="M695" t="n">
        <v>0</v>
      </c>
      <c r="N695" t="n">
        <v>0</v>
      </c>
      <c r="O695" t="n">
        <v>2</v>
      </c>
      <c r="P695" t="n">
        <v>1</v>
      </c>
      <c r="Q695" t="n">
        <v>2</v>
      </c>
      <c r="R695" s="2" t="inlineStr">
        <is>
          <t>Rotfingersvamp
Orange taggsvamp</t>
        </is>
      </c>
      <c r="S695">
        <f>HYPERLINK("https://klasma.github.io/Logging_252560/artfynd/A 22567-2025 artfynd.xlsx", "A 22567-2025")</f>
        <v/>
      </c>
      <c r="T695">
        <f>HYPERLINK("https://klasma.github.io/Logging_252560/kartor/A 22567-2025 karta.png", "A 22567-2025")</f>
        <v/>
      </c>
      <c r="V695">
        <f>HYPERLINK("https://klasma.github.io/Logging_252560/klagomål/A 22567-2025 FSC-klagomål.docx", "A 22567-2025")</f>
        <v/>
      </c>
      <c r="W695">
        <f>HYPERLINK("https://klasma.github.io/Logging_252560/klagomålsmail/A 22567-2025 FSC-klagomål mail.docx", "A 22567-2025")</f>
        <v/>
      </c>
      <c r="X695">
        <f>HYPERLINK("https://klasma.github.io/Logging_252560/tillsyn/A 22567-2025 tillsynsbegäran.docx", "A 22567-2025")</f>
        <v/>
      </c>
      <c r="Y695">
        <f>HYPERLINK("https://klasma.github.io/Logging_252560/tillsynsmail/A 22567-2025 tillsynsbegäran mail.docx", "A 22567-2025")</f>
        <v/>
      </c>
    </row>
    <row r="696" ht="15" customHeight="1">
      <c r="A696" t="inlineStr">
        <is>
          <t>A 18136-2019</t>
        </is>
      </c>
      <c r="B696" s="1" t="n">
        <v>43556</v>
      </c>
      <c r="C696" s="1" t="n">
        <v>45798</v>
      </c>
      <c r="D696" t="inlineStr">
        <is>
          <t>NORRBOTTENS LÄN</t>
        </is>
      </c>
      <c r="E696" t="inlineStr">
        <is>
          <t>ARVIDSJAUR</t>
        </is>
      </c>
      <c r="G696" t="n">
        <v>4.8</v>
      </c>
      <c r="H696" t="n">
        <v>1</v>
      </c>
      <c r="I696" t="n">
        <v>0</v>
      </c>
      <c r="J696" t="n">
        <v>0</v>
      </c>
      <c r="K696" t="n">
        <v>0</v>
      </c>
      <c r="L696" t="n">
        <v>0</v>
      </c>
      <c r="M696" t="n">
        <v>1</v>
      </c>
      <c r="N696" t="n">
        <v>0</v>
      </c>
      <c r="O696" t="n">
        <v>1</v>
      </c>
      <c r="P696" t="n">
        <v>1</v>
      </c>
      <c r="Q696" t="n">
        <v>1</v>
      </c>
      <c r="R696" s="2" t="inlineStr">
        <is>
          <t>Ortolansparv</t>
        </is>
      </c>
      <c r="S696">
        <f>HYPERLINK("https://klasma.github.io/Logging_2505/artfynd/A 18136-2019 artfynd.xlsx", "A 18136-2019")</f>
        <v/>
      </c>
      <c r="T696">
        <f>HYPERLINK("https://klasma.github.io/Logging_2505/kartor/A 18136-2019 karta.png", "A 18136-2019")</f>
        <v/>
      </c>
      <c r="V696">
        <f>HYPERLINK("https://klasma.github.io/Logging_2505/klagomål/A 18136-2019 FSC-klagomål.docx", "A 18136-2019")</f>
        <v/>
      </c>
      <c r="W696">
        <f>HYPERLINK("https://klasma.github.io/Logging_2505/klagomålsmail/A 18136-2019 FSC-klagomål mail.docx", "A 18136-2019")</f>
        <v/>
      </c>
      <c r="X696">
        <f>HYPERLINK("https://klasma.github.io/Logging_2505/tillsyn/A 18136-2019 tillsynsbegäran.docx", "A 18136-2019")</f>
        <v/>
      </c>
      <c r="Y696">
        <f>HYPERLINK("https://klasma.github.io/Logging_2505/tillsynsmail/A 18136-2019 tillsynsbegäran mail.docx", "A 18136-2019")</f>
        <v/>
      </c>
      <c r="Z696">
        <f>HYPERLINK("https://klasma.github.io/Logging_2505/fåglar/A 18136-2019 prioriterade fågelarter.docx", "A 18136-2019")</f>
        <v/>
      </c>
    </row>
    <row r="697" ht="15" customHeight="1">
      <c r="A697" t="inlineStr">
        <is>
          <t>A 22812-2019</t>
        </is>
      </c>
      <c r="B697" s="1" t="n">
        <v>43590</v>
      </c>
      <c r="C697" s="1" t="n">
        <v>45798</v>
      </c>
      <c r="D697" t="inlineStr">
        <is>
          <t>NORRBOTTENS LÄN</t>
        </is>
      </c>
      <c r="E697" t="inlineStr">
        <is>
          <t>KIRUNA</t>
        </is>
      </c>
      <c r="G697" t="n">
        <v>22.6</v>
      </c>
      <c r="H697" t="n">
        <v>0</v>
      </c>
      <c r="I697" t="n">
        <v>0</v>
      </c>
      <c r="J697" t="n">
        <v>1</v>
      </c>
      <c r="K697" t="n">
        <v>0</v>
      </c>
      <c r="L697" t="n">
        <v>0</v>
      </c>
      <c r="M697" t="n">
        <v>0</v>
      </c>
      <c r="N697" t="n">
        <v>0</v>
      </c>
      <c r="O697" t="n">
        <v>1</v>
      </c>
      <c r="P697" t="n">
        <v>0</v>
      </c>
      <c r="Q697" t="n">
        <v>1</v>
      </c>
      <c r="R697" s="2" t="inlineStr">
        <is>
          <t>Garnlav</t>
        </is>
      </c>
      <c r="S697">
        <f>HYPERLINK("https://klasma.github.io/Logging_2584/artfynd/A 22812-2019 artfynd.xlsx", "A 22812-2019")</f>
        <v/>
      </c>
      <c r="T697">
        <f>HYPERLINK("https://klasma.github.io/Logging_2584/kartor/A 22812-2019 karta.png", "A 22812-2019")</f>
        <v/>
      </c>
      <c r="V697">
        <f>HYPERLINK("https://klasma.github.io/Logging_2584/klagomål/A 22812-2019 FSC-klagomål.docx", "A 22812-2019")</f>
        <v/>
      </c>
      <c r="W697">
        <f>HYPERLINK("https://klasma.github.io/Logging_2584/klagomålsmail/A 22812-2019 FSC-klagomål mail.docx", "A 22812-2019")</f>
        <v/>
      </c>
      <c r="X697">
        <f>HYPERLINK("https://klasma.github.io/Logging_2584/tillsyn/A 22812-2019 tillsynsbegäran.docx", "A 22812-2019")</f>
        <v/>
      </c>
      <c r="Y697">
        <f>HYPERLINK("https://klasma.github.io/Logging_2584/tillsynsmail/A 22812-2019 tillsynsbegäran mail.docx", "A 22812-2019")</f>
        <v/>
      </c>
    </row>
    <row r="698" ht="15" customHeight="1">
      <c r="A698" t="inlineStr">
        <is>
          <t>A 28204-2019</t>
        </is>
      </c>
      <c r="B698" s="1" t="n">
        <v>43621</v>
      </c>
      <c r="C698" s="1" t="n">
        <v>45798</v>
      </c>
      <c r="D698" t="inlineStr">
        <is>
          <t>NORRBOTTENS LÄN</t>
        </is>
      </c>
      <c r="E698" t="inlineStr">
        <is>
          <t>GÄLLIVARE</t>
        </is>
      </c>
      <c r="F698" t="inlineStr">
        <is>
          <t>SCA</t>
        </is>
      </c>
      <c r="G698" t="n">
        <v>2.6</v>
      </c>
      <c r="H698" t="n">
        <v>0</v>
      </c>
      <c r="I698" t="n">
        <v>1</v>
      </c>
      <c r="J698" t="n">
        <v>0</v>
      </c>
      <c r="K698" t="n">
        <v>0</v>
      </c>
      <c r="L698" t="n">
        <v>0</v>
      </c>
      <c r="M698" t="n">
        <v>0</v>
      </c>
      <c r="N698" t="n">
        <v>0</v>
      </c>
      <c r="O698" t="n">
        <v>0</v>
      </c>
      <c r="P698" t="n">
        <v>0</v>
      </c>
      <c r="Q698" t="n">
        <v>1</v>
      </c>
      <c r="R698" s="2" t="inlineStr">
        <is>
          <t>Bollvitmossa</t>
        </is>
      </c>
      <c r="S698">
        <f>HYPERLINK("https://klasma.github.io/Logging_2523/artfynd/A 28204-2019 artfynd.xlsx", "A 28204-2019")</f>
        <v/>
      </c>
      <c r="T698">
        <f>HYPERLINK("https://klasma.github.io/Logging_2523/kartor/A 28204-2019 karta.png", "A 28204-2019")</f>
        <v/>
      </c>
      <c r="V698">
        <f>HYPERLINK("https://klasma.github.io/Logging_2523/klagomål/A 28204-2019 FSC-klagomål.docx", "A 28204-2019")</f>
        <v/>
      </c>
      <c r="W698">
        <f>HYPERLINK("https://klasma.github.io/Logging_2523/klagomålsmail/A 28204-2019 FSC-klagomål mail.docx", "A 28204-2019")</f>
        <v/>
      </c>
      <c r="X698">
        <f>HYPERLINK("https://klasma.github.io/Logging_2523/tillsyn/A 28204-2019 tillsynsbegäran.docx", "A 28204-2019")</f>
        <v/>
      </c>
      <c r="Y698">
        <f>HYPERLINK("https://klasma.github.io/Logging_2523/tillsynsmail/A 28204-2019 tillsynsbegäran mail.docx", "A 28204-2019")</f>
        <v/>
      </c>
    </row>
    <row r="699" ht="15" customHeight="1">
      <c r="A699" t="inlineStr">
        <is>
          <t>A 29381-2019</t>
        </is>
      </c>
      <c r="B699" s="1" t="n">
        <v>43629</v>
      </c>
      <c r="C699" s="1" t="n">
        <v>45798</v>
      </c>
      <c r="D699" t="inlineStr">
        <is>
          <t>NORRBOTTENS LÄN</t>
        </is>
      </c>
      <c r="E699" t="inlineStr">
        <is>
          <t>ÖVERTORNEÅ</t>
        </is>
      </c>
      <c r="G699" t="n">
        <v>7</v>
      </c>
      <c r="H699" t="n">
        <v>0</v>
      </c>
      <c r="I699" t="n">
        <v>0</v>
      </c>
      <c r="J699" t="n">
        <v>1</v>
      </c>
      <c r="K699" t="n">
        <v>0</v>
      </c>
      <c r="L699" t="n">
        <v>0</v>
      </c>
      <c r="M699" t="n">
        <v>0</v>
      </c>
      <c r="N699" t="n">
        <v>0</v>
      </c>
      <c r="O699" t="n">
        <v>1</v>
      </c>
      <c r="P699" t="n">
        <v>0</v>
      </c>
      <c r="Q699" t="n">
        <v>1</v>
      </c>
      <c r="R699" s="2" t="inlineStr">
        <is>
          <t>Garnlav</t>
        </is>
      </c>
      <c r="S699">
        <f>HYPERLINK("https://klasma.github.io/Logging_2518/artfynd/A 29381-2019 artfynd.xlsx", "A 29381-2019")</f>
        <v/>
      </c>
      <c r="T699">
        <f>HYPERLINK("https://klasma.github.io/Logging_2518/kartor/A 29381-2019 karta.png", "A 29381-2019")</f>
        <v/>
      </c>
      <c r="V699">
        <f>HYPERLINK("https://klasma.github.io/Logging_2518/klagomål/A 29381-2019 FSC-klagomål.docx", "A 29381-2019")</f>
        <v/>
      </c>
      <c r="W699">
        <f>HYPERLINK("https://klasma.github.io/Logging_2518/klagomålsmail/A 29381-2019 FSC-klagomål mail.docx", "A 29381-2019")</f>
        <v/>
      </c>
      <c r="X699">
        <f>HYPERLINK("https://klasma.github.io/Logging_2518/tillsyn/A 29381-2019 tillsynsbegäran.docx", "A 29381-2019")</f>
        <v/>
      </c>
      <c r="Y699">
        <f>HYPERLINK("https://klasma.github.io/Logging_2518/tillsynsmail/A 29381-2019 tillsynsbegäran mail.docx", "A 29381-2019")</f>
        <v/>
      </c>
    </row>
    <row r="700" ht="15" customHeight="1">
      <c r="A700" t="inlineStr">
        <is>
          <t>A 30414-2019</t>
        </is>
      </c>
      <c r="B700" s="1" t="n">
        <v>43635</v>
      </c>
      <c r="C700" s="1" t="n">
        <v>45798</v>
      </c>
      <c r="D700" t="inlineStr">
        <is>
          <t>NORRBOTTENS LÄN</t>
        </is>
      </c>
      <c r="E700" t="inlineStr">
        <is>
          <t>ARVIDSJAUR</t>
        </is>
      </c>
      <c r="F700" t="inlineStr">
        <is>
          <t>Sveaskog</t>
        </is>
      </c>
      <c r="G700" t="n">
        <v>4.3</v>
      </c>
      <c r="H700" t="n">
        <v>0</v>
      </c>
      <c r="I700" t="n">
        <v>0</v>
      </c>
      <c r="J700" t="n">
        <v>1</v>
      </c>
      <c r="K700" t="n">
        <v>0</v>
      </c>
      <c r="L700" t="n">
        <v>0</v>
      </c>
      <c r="M700" t="n">
        <v>0</v>
      </c>
      <c r="N700" t="n">
        <v>0</v>
      </c>
      <c r="O700" t="n">
        <v>1</v>
      </c>
      <c r="P700" t="n">
        <v>0</v>
      </c>
      <c r="Q700" t="n">
        <v>1</v>
      </c>
      <c r="R700" s="2" t="inlineStr">
        <is>
          <t>Motaggsvamp</t>
        </is>
      </c>
      <c r="S700">
        <f>HYPERLINK("https://klasma.github.io/Logging_2505/artfynd/A 30414-2019 artfynd.xlsx", "A 30414-2019")</f>
        <v/>
      </c>
      <c r="T700">
        <f>HYPERLINK("https://klasma.github.io/Logging_2505/kartor/A 30414-2019 karta.png", "A 30414-2019")</f>
        <v/>
      </c>
      <c r="V700">
        <f>HYPERLINK("https://klasma.github.io/Logging_2505/klagomål/A 30414-2019 FSC-klagomål.docx", "A 30414-2019")</f>
        <v/>
      </c>
      <c r="W700">
        <f>HYPERLINK("https://klasma.github.io/Logging_2505/klagomålsmail/A 30414-2019 FSC-klagomål mail.docx", "A 30414-2019")</f>
        <v/>
      </c>
      <c r="X700">
        <f>HYPERLINK("https://klasma.github.io/Logging_2505/tillsyn/A 30414-2019 tillsynsbegäran.docx", "A 30414-2019")</f>
        <v/>
      </c>
      <c r="Y700">
        <f>HYPERLINK("https://klasma.github.io/Logging_2505/tillsynsmail/A 30414-2019 tillsynsbegäran mail.docx", "A 30414-2019")</f>
        <v/>
      </c>
    </row>
    <row r="701" ht="15" customHeight="1">
      <c r="A701" t="inlineStr">
        <is>
          <t>A 30693-2019</t>
        </is>
      </c>
      <c r="B701" s="1" t="n">
        <v>43636</v>
      </c>
      <c r="C701" s="1" t="n">
        <v>45798</v>
      </c>
      <c r="D701" t="inlineStr">
        <is>
          <t>NORRBOTTENS LÄN</t>
        </is>
      </c>
      <c r="E701" t="inlineStr">
        <is>
          <t>GÄLLIVARE</t>
        </is>
      </c>
      <c r="F701" t="inlineStr">
        <is>
          <t>Sveaskog</t>
        </is>
      </c>
      <c r="G701" t="n">
        <v>7.3</v>
      </c>
      <c r="H701" t="n">
        <v>1</v>
      </c>
      <c r="I701" t="n">
        <v>1</v>
      </c>
      <c r="J701" t="n">
        <v>0</v>
      </c>
      <c r="K701" t="n">
        <v>0</v>
      </c>
      <c r="L701" t="n">
        <v>0</v>
      </c>
      <c r="M701" t="n">
        <v>0</v>
      </c>
      <c r="N701" t="n">
        <v>0</v>
      </c>
      <c r="O701" t="n">
        <v>0</v>
      </c>
      <c r="P701" t="n">
        <v>0</v>
      </c>
      <c r="Q701" t="n">
        <v>1</v>
      </c>
      <c r="R701" s="2" t="inlineStr">
        <is>
          <t>Spindelblomster</t>
        </is>
      </c>
      <c r="S701">
        <f>HYPERLINK("https://klasma.github.io/Logging_2523/artfynd/A 30693-2019 artfynd.xlsx", "A 30693-2019")</f>
        <v/>
      </c>
      <c r="T701">
        <f>HYPERLINK("https://klasma.github.io/Logging_2523/kartor/A 30693-2019 karta.png", "A 30693-2019")</f>
        <v/>
      </c>
      <c r="V701">
        <f>HYPERLINK("https://klasma.github.io/Logging_2523/klagomål/A 30693-2019 FSC-klagomål.docx", "A 30693-2019")</f>
        <v/>
      </c>
      <c r="W701">
        <f>HYPERLINK("https://klasma.github.io/Logging_2523/klagomålsmail/A 30693-2019 FSC-klagomål mail.docx", "A 30693-2019")</f>
        <v/>
      </c>
      <c r="X701">
        <f>HYPERLINK("https://klasma.github.io/Logging_2523/tillsyn/A 30693-2019 tillsynsbegäran.docx", "A 30693-2019")</f>
        <v/>
      </c>
      <c r="Y701">
        <f>HYPERLINK("https://klasma.github.io/Logging_2523/tillsynsmail/A 30693-2019 tillsynsbegäran mail.docx", "A 30693-2019")</f>
        <v/>
      </c>
    </row>
    <row r="702" ht="15" customHeight="1">
      <c r="A702" t="inlineStr">
        <is>
          <t>A 31611-2019</t>
        </is>
      </c>
      <c r="B702" s="1" t="n">
        <v>43642</v>
      </c>
      <c r="C702" s="1" t="n">
        <v>45798</v>
      </c>
      <c r="D702" t="inlineStr">
        <is>
          <t>NORRBOTTENS LÄN</t>
        </is>
      </c>
      <c r="E702" t="inlineStr">
        <is>
          <t>ARVIDSJAUR</t>
        </is>
      </c>
      <c r="F702" t="inlineStr">
        <is>
          <t>Sveaskog</t>
        </is>
      </c>
      <c r="G702" t="n">
        <v>21.5</v>
      </c>
      <c r="H702" t="n">
        <v>0</v>
      </c>
      <c r="I702" t="n">
        <v>0</v>
      </c>
      <c r="J702" t="n">
        <v>1</v>
      </c>
      <c r="K702" t="n">
        <v>0</v>
      </c>
      <c r="L702" t="n">
        <v>0</v>
      </c>
      <c r="M702" t="n">
        <v>0</v>
      </c>
      <c r="N702" t="n">
        <v>0</v>
      </c>
      <c r="O702" t="n">
        <v>1</v>
      </c>
      <c r="P702" t="n">
        <v>0</v>
      </c>
      <c r="Q702" t="n">
        <v>1</v>
      </c>
      <c r="R702" s="2" t="inlineStr">
        <is>
          <t>Vaddporing</t>
        </is>
      </c>
      <c r="S702">
        <f>HYPERLINK("https://klasma.github.io/Logging_2505/artfynd/A 31611-2019 artfynd.xlsx", "A 31611-2019")</f>
        <v/>
      </c>
      <c r="T702">
        <f>HYPERLINK("https://klasma.github.io/Logging_2505/kartor/A 31611-2019 karta.png", "A 31611-2019")</f>
        <v/>
      </c>
      <c r="V702">
        <f>HYPERLINK("https://klasma.github.io/Logging_2505/klagomål/A 31611-2019 FSC-klagomål.docx", "A 31611-2019")</f>
        <v/>
      </c>
      <c r="W702">
        <f>HYPERLINK("https://klasma.github.io/Logging_2505/klagomålsmail/A 31611-2019 FSC-klagomål mail.docx", "A 31611-2019")</f>
        <v/>
      </c>
      <c r="X702">
        <f>HYPERLINK("https://klasma.github.io/Logging_2505/tillsyn/A 31611-2019 tillsynsbegäran.docx", "A 31611-2019")</f>
        <v/>
      </c>
      <c r="Y702">
        <f>HYPERLINK("https://klasma.github.io/Logging_2505/tillsynsmail/A 31611-2019 tillsynsbegäran mail.docx", "A 31611-2019")</f>
        <v/>
      </c>
    </row>
    <row r="703" ht="15" customHeight="1">
      <c r="A703" t="inlineStr">
        <is>
          <t>A 32173-2019</t>
        </is>
      </c>
      <c r="B703" s="1" t="n">
        <v>43643</v>
      </c>
      <c r="C703" s="1" t="n">
        <v>45798</v>
      </c>
      <c r="D703" t="inlineStr">
        <is>
          <t>NORRBOTTENS LÄN</t>
        </is>
      </c>
      <c r="E703" t="inlineStr">
        <is>
          <t>ARVIDSJAUR</t>
        </is>
      </c>
      <c r="F703" t="inlineStr">
        <is>
          <t>Sveaskog</t>
        </is>
      </c>
      <c r="G703" t="n">
        <v>6.1</v>
      </c>
      <c r="H703" t="n">
        <v>0</v>
      </c>
      <c r="I703" t="n">
        <v>0</v>
      </c>
      <c r="J703" t="n">
        <v>1</v>
      </c>
      <c r="K703" t="n">
        <v>0</v>
      </c>
      <c r="L703" t="n">
        <v>0</v>
      </c>
      <c r="M703" t="n">
        <v>0</v>
      </c>
      <c r="N703" t="n">
        <v>0</v>
      </c>
      <c r="O703" t="n">
        <v>1</v>
      </c>
      <c r="P703" t="n">
        <v>0</v>
      </c>
      <c r="Q703" t="n">
        <v>1</v>
      </c>
      <c r="R703" s="2" t="inlineStr">
        <is>
          <t>Motaggsvamp</t>
        </is>
      </c>
      <c r="S703">
        <f>HYPERLINK("https://klasma.github.io/Logging_2505/artfynd/A 32173-2019 artfynd.xlsx", "A 32173-2019")</f>
        <v/>
      </c>
      <c r="T703">
        <f>HYPERLINK("https://klasma.github.io/Logging_2505/kartor/A 32173-2019 karta.png", "A 32173-2019")</f>
        <v/>
      </c>
      <c r="V703">
        <f>HYPERLINK("https://klasma.github.io/Logging_2505/klagomål/A 32173-2019 FSC-klagomål.docx", "A 32173-2019")</f>
        <v/>
      </c>
      <c r="W703">
        <f>HYPERLINK("https://klasma.github.io/Logging_2505/klagomålsmail/A 32173-2019 FSC-klagomål mail.docx", "A 32173-2019")</f>
        <v/>
      </c>
      <c r="X703">
        <f>HYPERLINK("https://klasma.github.io/Logging_2505/tillsyn/A 32173-2019 tillsynsbegäran.docx", "A 32173-2019")</f>
        <v/>
      </c>
      <c r="Y703">
        <f>HYPERLINK("https://klasma.github.io/Logging_2505/tillsynsmail/A 32173-2019 tillsynsbegäran mail.docx", "A 32173-2019")</f>
        <v/>
      </c>
    </row>
    <row r="704" ht="15" customHeight="1">
      <c r="A704" t="inlineStr">
        <is>
          <t>A 33473-2019</t>
        </is>
      </c>
      <c r="B704" s="1" t="n">
        <v>43650</v>
      </c>
      <c r="C704" s="1" t="n">
        <v>45798</v>
      </c>
      <c r="D704" t="inlineStr">
        <is>
          <t>NORRBOTTENS LÄN</t>
        </is>
      </c>
      <c r="E704" t="inlineStr">
        <is>
          <t>JOKKMOKK</t>
        </is>
      </c>
      <c r="F704" t="inlineStr">
        <is>
          <t>SCA</t>
        </is>
      </c>
      <c r="G704" t="n">
        <v>3.7</v>
      </c>
      <c r="H704" t="n">
        <v>0</v>
      </c>
      <c r="I704" t="n">
        <v>1</v>
      </c>
      <c r="J704" t="n">
        <v>0</v>
      </c>
      <c r="K704" t="n">
        <v>0</v>
      </c>
      <c r="L704" t="n">
        <v>0</v>
      </c>
      <c r="M704" t="n">
        <v>0</v>
      </c>
      <c r="N704" t="n">
        <v>0</v>
      </c>
      <c r="O704" t="n">
        <v>0</v>
      </c>
      <c r="P704" t="n">
        <v>0</v>
      </c>
      <c r="Q704" t="n">
        <v>1</v>
      </c>
      <c r="R704" s="2" t="inlineStr">
        <is>
          <t>Dropptaggsvamp</t>
        </is>
      </c>
      <c r="S704">
        <f>HYPERLINK("https://klasma.github.io/Logging_2510/artfynd/A 33473-2019 artfynd.xlsx", "A 33473-2019")</f>
        <v/>
      </c>
      <c r="T704">
        <f>HYPERLINK("https://klasma.github.io/Logging_2510/kartor/A 33473-2019 karta.png", "A 33473-2019")</f>
        <v/>
      </c>
      <c r="V704">
        <f>HYPERLINK("https://klasma.github.io/Logging_2510/klagomål/A 33473-2019 FSC-klagomål.docx", "A 33473-2019")</f>
        <v/>
      </c>
      <c r="W704">
        <f>HYPERLINK("https://klasma.github.io/Logging_2510/klagomålsmail/A 33473-2019 FSC-klagomål mail.docx", "A 33473-2019")</f>
        <v/>
      </c>
      <c r="X704">
        <f>HYPERLINK("https://klasma.github.io/Logging_2510/tillsyn/A 33473-2019 tillsynsbegäran.docx", "A 33473-2019")</f>
        <v/>
      </c>
      <c r="Y704">
        <f>HYPERLINK("https://klasma.github.io/Logging_2510/tillsynsmail/A 33473-2019 tillsynsbegäran mail.docx", "A 33473-2019")</f>
        <v/>
      </c>
    </row>
    <row r="705" ht="15" customHeight="1">
      <c r="A705" t="inlineStr">
        <is>
          <t>A 33820-2019</t>
        </is>
      </c>
      <c r="B705" s="1" t="n">
        <v>43651</v>
      </c>
      <c r="C705" s="1" t="n">
        <v>45798</v>
      </c>
      <c r="D705" t="inlineStr">
        <is>
          <t>NORRBOTTENS LÄN</t>
        </is>
      </c>
      <c r="E705" t="inlineStr">
        <is>
          <t>JOKKMOKK</t>
        </is>
      </c>
      <c r="F705" t="inlineStr">
        <is>
          <t>SCA</t>
        </is>
      </c>
      <c r="G705" t="n">
        <v>3.7</v>
      </c>
      <c r="H705" t="n">
        <v>0</v>
      </c>
      <c r="I705" t="n">
        <v>1</v>
      </c>
      <c r="J705" t="n">
        <v>0</v>
      </c>
      <c r="K705" t="n">
        <v>0</v>
      </c>
      <c r="L705" t="n">
        <v>0</v>
      </c>
      <c r="M705" t="n">
        <v>0</v>
      </c>
      <c r="N705" t="n">
        <v>0</v>
      </c>
      <c r="O705" t="n">
        <v>0</v>
      </c>
      <c r="P705" t="n">
        <v>0</v>
      </c>
      <c r="Q705" t="n">
        <v>1</v>
      </c>
      <c r="R705" s="2" t="inlineStr">
        <is>
          <t>Dropptaggsvamp</t>
        </is>
      </c>
      <c r="S705">
        <f>HYPERLINK("https://klasma.github.io/Logging_2510/artfynd/A 33820-2019 artfynd.xlsx", "A 33820-2019")</f>
        <v/>
      </c>
      <c r="T705">
        <f>HYPERLINK("https://klasma.github.io/Logging_2510/kartor/A 33820-2019 karta.png", "A 33820-2019")</f>
        <v/>
      </c>
      <c r="V705">
        <f>HYPERLINK("https://klasma.github.io/Logging_2510/klagomål/A 33820-2019 FSC-klagomål.docx", "A 33820-2019")</f>
        <v/>
      </c>
      <c r="W705">
        <f>HYPERLINK("https://klasma.github.io/Logging_2510/klagomålsmail/A 33820-2019 FSC-klagomål mail.docx", "A 33820-2019")</f>
        <v/>
      </c>
      <c r="X705">
        <f>HYPERLINK("https://klasma.github.io/Logging_2510/tillsyn/A 33820-2019 tillsynsbegäran.docx", "A 33820-2019")</f>
        <v/>
      </c>
      <c r="Y705">
        <f>HYPERLINK("https://klasma.github.io/Logging_2510/tillsynsmail/A 33820-2019 tillsynsbegäran mail.docx", "A 33820-2019")</f>
        <v/>
      </c>
    </row>
    <row r="706" ht="15" customHeight="1">
      <c r="A706" t="inlineStr">
        <is>
          <t>A 36333-2019</t>
        </is>
      </c>
      <c r="B706" s="1" t="n">
        <v>43661</v>
      </c>
      <c r="C706" s="1" t="n">
        <v>45798</v>
      </c>
      <c r="D706" t="inlineStr">
        <is>
          <t>NORRBOTTENS LÄN</t>
        </is>
      </c>
      <c r="E706" t="inlineStr">
        <is>
          <t>ÖVERKALIX</t>
        </is>
      </c>
      <c r="G706" t="n">
        <v>87.90000000000001</v>
      </c>
      <c r="H706" t="n">
        <v>1</v>
      </c>
      <c r="I706" t="n">
        <v>1</v>
      </c>
      <c r="J706" t="n">
        <v>0</v>
      </c>
      <c r="K706" t="n">
        <v>0</v>
      </c>
      <c r="L706" t="n">
        <v>0</v>
      </c>
      <c r="M706" t="n">
        <v>0</v>
      </c>
      <c r="N706" t="n">
        <v>0</v>
      </c>
      <c r="O706" t="n">
        <v>0</v>
      </c>
      <c r="P706" t="n">
        <v>0</v>
      </c>
      <c r="Q706" t="n">
        <v>1</v>
      </c>
      <c r="R706" s="2" t="inlineStr">
        <is>
          <t>Korallrot</t>
        </is>
      </c>
      <c r="S706">
        <f>HYPERLINK("https://klasma.github.io/Logging_2513/artfynd/A 36333-2019 artfynd.xlsx", "A 36333-2019")</f>
        <v/>
      </c>
      <c r="T706">
        <f>HYPERLINK("https://klasma.github.io/Logging_2513/kartor/A 36333-2019 karta.png", "A 36333-2019")</f>
        <v/>
      </c>
      <c r="V706">
        <f>HYPERLINK("https://klasma.github.io/Logging_2513/klagomål/A 36333-2019 FSC-klagomål.docx", "A 36333-2019")</f>
        <v/>
      </c>
      <c r="W706">
        <f>HYPERLINK("https://klasma.github.io/Logging_2513/klagomålsmail/A 36333-2019 FSC-klagomål mail.docx", "A 36333-2019")</f>
        <v/>
      </c>
      <c r="X706">
        <f>HYPERLINK("https://klasma.github.io/Logging_2513/tillsyn/A 36333-2019 tillsynsbegäran.docx", "A 36333-2019")</f>
        <v/>
      </c>
      <c r="Y706">
        <f>HYPERLINK("https://klasma.github.io/Logging_2513/tillsynsmail/A 36333-2019 tillsynsbegäran mail.docx", "A 36333-2019")</f>
        <v/>
      </c>
    </row>
    <row r="707" ht="15" customHeight="1">
      <c r="A707" t="inlineStr">
        <is>
          <t>A 35824-2019</t>
        </is>
      </c>
      <c r="B707" s="1" t="n">
        <v>43665</v>
      </c>
      <c r="C707" s="1" t="n">
        <v>45798</v>
      </c>
      <c r="D707" t="inlineStr">
        <is>
          <t>NORRBOTTENS LÄN</t>
        </is>
      </c>
      <c r="E707" t="inlineStr">
        <is>
          <t>BODEN</t>
        </is>
      </c>
      <c r="F707" t="inlineStr">
        <is>
          <t>Sveaskog</t>
        </is>
      </c>
      <c r="G707" t="n">
        <v>1.7</v>
      </c>
      <c r="H707" t="n">
        <v>0</v>
      </c>
      <c r="I707" t="n">
        <v>0</v>
      </c>
      <c r="J707" t="n">
        <v>1</v>
      </c>
      <c r="K707" t="n">
        <v>0</v>
      </c>
      <c r="L707" t="n">
        <v>0</v>
      </c>
      <c r="M707" t="n">
        <v>0</v>
      </c>
      <c r="N707" t="n">
        <v>0</v>
      </c>
      <c r="O707" t="n">
        <v>1</v>
      </c>
      <c r="P707" t="n">
        <v>0</v>
      </c>
      <c r="Q707" t="n">
        <v>1</v>
      </c>
      <c r="R707" s="2" t="inlineStr">
        <is>
          <t>Gammelgransskål</t>
        </is>
      </c>
      <c r="S707">
        <f>HYPERLINK("https://klasma.github.io/Logging_2582/artfynd/A 35824-2019 artfynd.xlsx", "A 35824-2019")</f>
        <v/>
      </c>
      <c r="T707">
        <f>HYPERLINK("https://klasma.github.io/Logging_2582/kartor/A 35824-2019 karta.png", "A 35824-2019")</f>
        <v/>
      </c>
      <c r="V707">
        <f>HYPERLINK("https://klasma.github.io/Logging_2582/klagomål/A 35824-2019 FSC-klagomål.docx", "A 35824-2019")</f>
        <v/>
      </c>
      <c r="W707">
        <f>HYPERLINK("https://klasma.github.io/Logging_2582/klagomålsmail/A 35824-2019 FSC-klagomål mail.docx", "A 35824-2019")</f>
        <v/>
      </c>
      <c r="X707">
        <f>HYPERLINK("https://klasma.github.io/Logging_2582/tillsyn/A 35824-2019 tillsynsbegäran.docx", "A 35824-2019")</f>
        <v/>
      </c>
      <c r="Y707">
        <f>HYPERLINK("https://klasma.github.io/Logging_2582/tillsynsmail/A 35824-2019 tillsynsbegäran mail.docx", "A 35824-2019")</f>
        <v/>
      </c>
    </row>
    <row r="708" ht="15" customHeight="1">
      <c r="A708" t="inlineStr">
        <is>
          <t>A 38711-2019</t>
        </is>
      </c>
      <c r="B708" s="1" t="n">
        <v>43686</v>
      </c>
      <c r="C708" s="1" t="n">
        <v>45798</v>
      </c>
      <c r="D708" t="inlineStr">
        <is>
          <t>NORRBOTTENS LÄN</t>
        </is>
      </c>
      <c r="E708" t="inlineStr">
        <is>
          <t>ÖVERTORNEÅ</t>
        </is>
      </c>
      <c r="F708" t="inlineStr">
        <is>
          <t>Sveaskog</t>
        </is>
      </c>
      <c r="G708" t="n">
        <v>9.4</v>
      </c>
      <c r="H708" t="n">
        <v>1</v>
      </c>
      <c r="I708" t="n">
        <v>0</v>
      </c>
      <c r="J708" t="n">
        <v>1</v>
      </c>
      <c r="K708" t="n">
        <v>0</v>
      </c>
      <c r="L708" t="n">
        <v>0</v>
      </c>
      <c r="M708" t="n">
        <v>0</v>
      </c>
      <c r="N708" t="n">
        <v>0</v>
      </c>
      <c r="O708" t="n">
        <v>1</v>
      </c>
      <c r="P708" t="n">
        <v>0</v>
      </c>
      <c r="Q708" t="n">
        <v>1</v>
      </c>
      <c r="R708" s="2" t="inlineStr">
        <is>
          <t>Kungsörn</t>
        </is>
      </c>
      <c r="S708">
        <f>HYPERLINK("https://klasma.github.io/Logging_2518/artfynd/A 38711-2019 artfynd.xlsx", "A 38711-2019")</f>
        <v/>
      </c>
      <c r="T708">
        <f>HYPERLINK("https://klasma.github.io/Logging_2518/kartor/A 38711-2019 karta.png", "A 38711-2019")</f>
        <v/>
      </c>
      <c r="V708">
        <f>HYPERLINK("https://klasma.github.io/Logging_2518/klagomål/A 38711-2019 FSC-klagomål.docx", "A 38711-2019")</f>
        <v/>
      </c>
      <c r="W708">
        <f>HYPERLINK("https://klasma.github.io/Logging_2518/klagomålsmail/A 38711-2019 FSC-klagomål mail.docx", "A 38711-2019")</f>
        <v/>
      </c>
      <c r="X708">
        <f>HYPERLINK("https://klasma.github.io/Logging_2518/tillsyn/A 38711-2019 tillsynsbegäran.docx", "A 38711-2019")</f>
        <v/>
      </c>
      <c r="Y708">
        <f>HYPERLINK("https://klasma.github.io/Logging_2518/tillsynsmail/A 38711-2019 tillsynsbegäran mail.docx", "A 38711-2019")</f>
        <v/>
      </c>
      <c r="Z708">
        <f>HYPERLINK("https://klasma.github.io/Logging_2518/fåglar/A 38711-2019 prioriterade fågelarter.docx", "A 38711-2019")</f>
        <v/>
      </c>
    </row>
    <row r="709" ht="15" customHeight="1">
      <c r="A709" t="inlineStr">
        <is>
          <t>A 40260-2019</t>
        </is>
      </c>
      <c r="B709" s="1" t="n">
        <v>43695</v>
      </c>
      <c r="C709" s="1" t="n">
        <v>45798</v>
      </c>
      <c r="D709" t="inlineStr">
        <is>
          <t>NORRBOTTENS LÄN</t>
        </is>
      </c>
      <c r="E709" t="inlineStr">
        <is>
          <t>ÖVERKALIX</t>
        </is>
      </c>
      <c r="G709" t="n">
        <v>27.4</v>
      </c>
      <c r="H709" t="n">
        <v>0</v>
      </c>
      <c r="I709" t="n">
        <v>1</v>
      </c>
      <c r="J709" t="n">
        <v>0</v>
      </c>
      <c r="K709" t="n">
        <v>0</v>
      </c>
      <c r="L709" t="n">
        <v>0</v>
      </c>
      <c r="M709" t="n">
        <v>0</v>
      </c>
      <c r="N709" t="n">
        <v>0</v>
      </c>
      <c r="O709" t="n">
        <v>0</v>
      </c>
      <c r="P709" t="n">
        <v>0</v>
      </c>
      <c r="Q709" t="n">
        <v>1</v>
      </c>
      <c r="R709" s="2" t="inlineStr">
        <is>
          <t>Ögonpyrola</t>
        </is>
      </c>
      <c r="S709">
        <f>HYPERLINK("https://klasma.github.io/Logging_2513/artfynd/A 40260-2019 artfynd.xlsx", "A 40260-2019")</f>
        <v/>
      </c>
      <c r="T709">
        <f>HYPERLINK("https://klasma.github.io/Logging_2513/kartor/A 40260-2019 karta.png", "A 40260-2019")</f>
        <v/>
      </c>
      <c r="V709">
        <f>HYPERLINK("https://klasma.github.io/Logging_2513/klagomål/A 40260-2019 FSC-klagomål.docx", "A 40260-2019")</f>
        <v/>
      </c>
      <c r="W709">
        <f>HYPERLINK("https://klasma.github.io/Logging_2513/klagomålsmail/A 40260-2019 FSC-klagomål mail.docx", "A 40260-2019")</f>
        <v/>
      </c>
      <c r="X709">
        <f>HYPERLINK("https://klasma.github.io/Logging_2513/tillsyn/A 40260-2019 tillsynsbegäran.docx", "A 40260-2019")</f>
        <v/>
      </c>
      <c r="Y709">
        <f>HYPERLINK("https://klasma.github.io/Logging_2513/tillsynsmail/A 40260-2019 tillsynsbegäran mail.docx", "A 40260-2019")</f>
        <v/>
      </c>
    </row>
    <row r="710" ht="15" customHeight="1">
      <c r="A710" t="inlineStr">
        <is>
          <t>A 41384-2019</t>
        </is>
      </c>
      <c r="B710" s="1" t="n">
        <v>43698</v>
      </c>
      <c r="C710" s="1" t="n">
        <v>45798</v>
      </c>
      <c r="D710" t="inlineStr">
        <is>
          <t>NORRBOTTENS LÄN</t>
        </is>
      </c>
      <c r="E710" t="inlineStr">
        <is>
          <t>GÄLLIVARE</t>
        </is>
      </c>
      <c r="F710" t="inlineStr">
        <is>
          <t>Sveaskog</t>
        </is>
      </c>
      <c r="G710" t="n">
        <v>3</v>
      </c>
      <c r="H710" t="n">
        <v>0</v>
      </c>
      <c r="I710" t="n">
        <v>0</v>
      </c>
      <c r="J710" t="n">
        <v>1</v>
      </c>
      <c r="K710" t="n">
        <v>0</v>
      </c>
      <c r="L710" t="n">
        <v>0</v>
      </c>
      <c r="M710" t="n">
        <v>0</v>
      </c>
      <c r="N710" t="n">
        <v>0</v>
      </c>
      <c r="O710" t="n">
        <v>1</v>
      </c>
      <c r="P710" t="n">
        <v>0</v>
      </c>
      <c r="Q710" t="n">
        <v>1</v>
      </c>
      <c r="R710" s="2" t="inlineStr">
        <is>
          <t>Kolflarnlav</t>
        </is>
      </c>
      <c r="S710">
        <f>HYPERLINK("https://klasma.github.io/Logging_2523/artfynd/A 41384-2019 artfynd.xlsx", "A 41384-2019")</f>
        <v/>
      </c>
      <c r="T710">
        <f>HYPERLINK("https://klasma.github.io/Logging_2523/kartor/A 41384-2019 karta.png", "A 41384-2019")</f>
        <v/>
      </c>
      <c r="V710">
        <f>HYPERLINK("https://klasma.github.io/Logging_2523/klagomål/A 41384-2019 FSC-klagomål.docx", "A 41384-2019")</f>
        <v/>
      </c>
      <c r="W710">
        <f>HYPERLINK("https://klasma.github.io/Logging_2523/klagomålsmail/A 41384-2019 FSC-klagomål mail.docx", "A 41384-2019")</f>
        <v/>
      </c>
      <c r="X710">
        <f>HYPERLINK("https://klasma.github.io/Logging_2523/tillsyn/A 41384-2019 tillsynsbegäran.docx", "A 41384-2019")</f>
        <v/>
      </c>
      <c r="Y710">
        <f>HYPERLINK("https://klasma.github.io/Logging_2523/tillsynsmail/A 41384-2019 tillsynsbegäran mail.docx", "A 41384-2019")</f>
        <v/>
      </c>
    </row>
    <row r="711" ht="15" customHeight="1">
      <c r="A711" t="inlineStr">
        <is>
          <t>A 45656-2019</t>
        </is>
      </c>
      <c r="B711" s="1" t="n">
        <v>43704</v>
      </c>
      <c r="C711" s="1" t="n">
        <v>45798</v>
      </c>
      <c r="D711" t="inlineStr">
        <is>
          <t>NORRBOTTENS LÄN</t>
        </is>
      </c>
      <c r="E711" t="inlineStr">
        <is>
          <t>GÄLLIVARE</t>
        </is>
      </c>
      <c r="G711" t="n">
        <v>1.5</v>
      </c>
      <c r="H711" t="n">
        <v>0</v>
      </c>
      <c r="I711" t="n">
        <v>0</v>
      </c>
      <c r="J711" t="n">
        <v>1</v>
      </c>
      <c r="K711" t="n">
        <v>0</v>
      </c>
      <c r="L711" t="n">
        <v>0</v>
      </c>
      <c r="M711" t="n">
        <v>0</v>
      </c>
      <c r="N711" t="n">
        <v>0</v>
      </c>
      <c r="O711" t="n">
        <v>1</v>
      </c>
      <c r="P711" t="n">
        <v>0</v>
      </c>
      <c r="Q711" t="n">
        <v>1</v>
      </c>
      <c r="R711" s="2" t="inlineStr">
        <is>
          <t>Knottrig blåslav</t>
        </is>
      </c>
      <c r="S711">
        <f>HYPERLINK("https://klasma.github.io/Logging_2523/artfynd/A 45656-2019 artfynd.xlsx", "A 45656-2019")</f>
        <v/>
      </c>
      <c r="T711">
        <f>HYPERLINK("https://klasma.github.io/Logging_2523/kartor/A 45656-2019 karta.png", "A 45656-2019")</f>
        <v/>
      </c>
      <c r="V711">
        <f>HYPERLINK("https://klasma.github.io/Logging_2523/klagomål/A 45656-2019 FSC-klagomål.docx", "A 45656-2019")</f>
        <v/>
      </c>
      <c r="W711">
        <f>HYPERLINK("https://klasma.github.io/Logging_2523/klagomålsmail/A 45656-2019 FSC-klagomål mail.docx", "A 45656-2019")</f>
        <v/>
      </c>
      <c r="X711">
        <f>HYPERLINK("https://klasma.github.io/Logging_2523/tillsyn/A 45656-2019 tillsynsbegäran.docx", "A 45656-2019")</f>
        <v/>
      </c>
      <c r="Y711">
        <f>HYPERLINK("https://klasma.github.io/Logging_2523/tillsynsmail/A 45656-2019 tillsynsbegäran mail.docx", "A 45656-2019")</f>
        <v/>
      </c>
    </row>
    <row r="712" ht="15" customHeight="1">
      <c r="A712" t="inlineStr">
        <is>
          <t>A 45558-2019</t>
        </is>
      </c>
      <c r="B712" s="1" t="n">
        <v>43714</v>
      </c>
      <c r="C712" s="1" t="n">
        <v>45798</v>
      </c>
      <c r="D712" t="inlineStr">
        <is>
          <t>NORRBOTTENS LÄN</t>
        </is>
      </c>
      <c r="E712" t="inlineStr">
        <is>
          <t>PITEÅ</t>
        </is>
      </c>
      <c r="F712" t="inlineStr">
        <is>
          <t>SCA</t>
        </is>
      </c>
      <c r="G712" t="n">
        <v>6.4</v>
      </c>
      <c r="H712" t="n">
        <v>0</v>
      </c>
      <c r="I712" t="n">
        <v>0</v>
      </c>
      <c r="J712" t="n">
        <v>1</v>
      </c>
      <c r="K712" t="n">
        <v>0</v>
      </c>
      <c r="L712" t="n">
        <v>0</v>
      </c>
      <c r="M712" t="n">
        <v>0</v>
      </c>
      <c r="N712" t="n">
        <v>0</v>
      </c>
      <c r="O712" t="n">
        <v>1</v>
      </c>
      <c r="P712" t="n">
        <v>0</v>
      </c>
      <c r="Q712" t="n">
        <v>1</v>
      </c>
      <c r="R712" s="2" t="inlineStr">
        <is>
          <t>Ullticka</t>
        </is>
      </c>
      <c r="S712">
        <f>HYPERLINK("https://klasma.github.io/Logging_2581/artfynd/A 45558-2019 artfynd.xlsx", "A 45558-2019")</f>
        <v/>
      </c>
      <c r="T712">
        <f>HYPERLINK("https://klasma.github.io/Logging_2581/kartor/A 45558-2019 karta.png", "A 45558-2019")</f>
        <v/>
      </c>
      <c r="V712">
        <f>HYPERLINK("https://klasma.github.io/Logging_2581/klagomål/A 45558-2019 FSC-klagomål.docx", "A 45558-2019")</f>
        <v/>
      </c>
      <c r="W712">
        <f>HYPERLINK("https://klasma.github.io/Logging_2581/klagomålsmail/A 45558-2019 FSC-klagomål mail.docx", "A 45558-2019")</f>
        <v/>
      </c>
      <c r="X712">
        <f>HYPERLINK("https://klasma.github.io/Logging_2581/tillsyn/A 45558-2019 tillsynsbegäran.docx", "A 45558-2019")</f>
        <v/>
      </c>
      <c r="Y712">
        <f>HYPERLINK("https://klasma.github.io/Logging_2581/tillsynsmail/A 45558-2019 tillsynsbegäran mail.docx", "A 45558-2019")</f>
        <v/>
      </c>
    </row>
    <row r="713" ht="15" customHeight="1">
      <c r="A713" t="inlineStr">
        <is>
          <t>A 46134-2019</t>
        </is>
      </c>
      <c r="B713" s="1" t="n">
        <v>43718</v>
      </c>
      <c r="C713" s="1" t="n">
        <v>45798</v>
      </c>
      <c r="D713" t="inlineStr">
        <is>
          <t>NORRBOTTENS LÄN</t>
        </is>
      </c>
      <c r="E713" t="inlineStr">
        <is>
          <t>PAJALA</t>
        </is>
      </c>
      <c r="F713" t="inlineStr">
        <is>
          <t>Sveaskog</t>
        </is>
      </c>
      <c r="G713" t="n">
        <v>10.1</v>
      </c>
      <c r="H713" t="n">
        <v>0</v>
      </c>
      <c r="I713" t="n">
        <v>0</v>
      </c>
      <c r="J713" t="n">
        <v>1</v>
      </c>
      <c r="K713" t="n">
        <v>0</v>
      </c>
      <c r="L713" t="n">
        <v>0</v>
      </c>
      <c r="M713" t="n">
        <v>0</v>
      </c>
      <c r="N713" t="n">
        <v>0</v>
      </c>
      <c r="O713" t="n">
        <v>1</v>
      </c>
      <c r="P713" t="n">
        <v>0</v>
      </c>
      <c r="Q713" t="n">
        <v>1</v>
      </c>
      <c r="R713" s="2" t="inlineStr">
        <is>
          <t>Garnlav</t>
        </is>
      </c>
      <c r="S713">
        <f>HYPERLINK("https://klasma.github.io/Logging_2521/artfynd/A 46134-2019 artfynd.xlsx", "A 46134-2019")</f>
        <v/>
      </c>
      <c r="T713">
        <f>HYPERLINK("https://klasma.github.io/Logging_2521/kartor/A 46134-2019 karta.png", "A 46134-2019")</f>
        <v/>
      </c>
      <c r="V713">
        <f>HYPERLINK("https://klasma.github.io/Logging_2521/klagomål/A 46134-2019 FSC-klagomål.docx", "A 46134-2019")</f>
        <v/>
      </c>
      <c r="W713">
        <f>HYPERLINK("https://klasma.github.io/Logging_2521/klagomålsmail/A 46134-2019 FSC-klagomål mail.docx", "A 46134-2019")</f>
        <v/>
      </c>
      <c r="X713">
        <f>HYPERLINK("https://klasma.github.io/Logging_2521/tillsyn/A 46134-2019 tillsynsbegäran.docx", "A 46134-2019")</f>
        <v/>
      </c>
      <c r="Y713">
        <f>HYPERLINK("https://klasma.github.io/Logging_2521/tillsynsmail/A 46134-2019 tillsynsbegäran mail.docx", "A 46134-2019")</f>
        <v/>
      </c>
    </row>
    <row r="714" ht="15" customHeight="1">
      <c r="A714" t="inlineStr">
        <is>
          <t>A 47305-2019</t>
        </is>
      </c>
      <c r="B714" s="1" t="n">
        <v>43721</v>
      </c>
      <c r="C714" s="1" t="n">
        <v>45798</v>
      </c>
      <c r="D714" t="inlineStr">
        <is>
          <t>NORRBOTTENS LÄN</t>
        </is>
      </c>
      <c r="E714" t="inlineStr">
        <is>
          <t>KALIX</t>
        </is>
      </c>
      <c r="G714" t="n">
        <v>2.4</v>
      </c>
      <c r="H714" t="n">
        <v>0</v>
      </c>
      <c r="I714" t="n">
        <v>0</v>
      </c>
      <c r="J714" t="n">
        <v>1</v>
      </c>
      <c r="K714" t="n">
        <v>0</v>
      </c>
      <c r="L714" t="n">
        <v>0</v>
      </c>
      <c r="M714" t="n">
        <v>0</v>
      </c>
      <c r="N714" t="n">
        <v>0</v>
      </c>
      <c r="O714" t="n">
        <v>1</v>
      </c>
      <c r="P714" t="n">
        <v>0</v>
      </c>
      <c r="Q714" t="n">
        <v>1</v>
      </c>
      <c r="R714" s="2" t="inlineStr">
        <is>
          <t>Ullticka</t>
        </is>
      </c>
      <c r="S714">
        <f>HYPERLINK("https://klasma.github.io/Logging_2514/artfynd/A 47305-2019 artfynd.xlsx", "A 47305-2019")</f>
        <v/>
      </c>
      <c r="T714">
        <f>HYPERLINK("https://klasma.github.io/Logging_2514/kartor/A 47305-2019 karta.png", "A 47305-2019")</f>
        <v/>
      </c>
      <c r="V714">
        <f>HYPERLINK("https://klasma.github.io/Logging_2514/klagomål/A 47305-2019 FSC-klagomål.docx", "A 47305-2019")</f>
        <v/>
      </c>
      <c r="W714">
        <f>HYPERLINK("https://klasma.github.io/Logging_2514/klagomålsmail/A 47305-2019 FSC-klagomål mail.docx", "A 47305-2019")</f>
        <v/>
      </c>
      <c r="X714">
        <f>HYPERLINK("https://klasma.github.io/Logging_2514/tillsyn/A 47305-2019 tillsynsbegäran.docx", "A 47305-2019")</f>
        <v/>
      </c>
      <c r="Y714">
        <f>HYPERLINK("https://klasma.github.io/Logging_2514/tillsynsmail/A 47305-2019 tillsynsbegäran mail.docx", "A 47305-2019")</f>
        <v/>
      </c>
    </row>
    <row r="715" ht="15" customHeight="1">
      <c r="A715" t="inlineStr">
        <is>
          <t>A 51078-2019</t>
        </is>
      </c>
      <c r="B715" s="1" t="n">
        <v>43739</v>
      </c>
      <c r="C715" s="1" t="n">
        <v>45798</v>
      </c>
      <c r="D715" t="inlineStr">
        <is>
          <t>NORRBOTTENS LÄN</t>
        </is>
      </c>
      <c r="E715" t="inlineStr">
        <is>
          <t>ÄLVSBYN</t>
        </is>
      </c>
      <c r="F715" t="inlineStr">
        <is>
          <t>Sveaskog</t>
        </is>
      </c>
      <c r="G715" t="n">
        <v>14.8</v>
      </c>
      <c r="H715" t="n">
        <v>1</v>
      </c>
      <c r="I715" t="n">
        <v>0</v>
      </c>
      <c r="J715" t="n">
        <v>1</v>
      </c>
      <c r="K715" t="n">
        <v>0</v>
      </c>
      <c r="L715" t="n">
        <v>0</v>
      </c>
      <c r="M715" t="n">
        <v>0</v>
      </c>
      <c r="N715" t="n">
        <v>0</v>
      </c>
      <c r="O715" t="n">
        <v>1</v>
      </c>
      <c r="P715" t="n">
        <v>0</v>
      </c>
      <c r="Q715" t="n">
        <v>1</v>
      </c>
      <c r="R715" s="2" t="inlineStr">
        <is>
          <t>Tretåig hackspett</t>
        </is>
      </c>
      <c r="S715">
        <f>HYPERLINK("https://klasma.github.io/Logging_2560/artfynd/A 51078-2019 artfynd.xlsx", "A 51078-2019")</f>
        <v/>
      </c>
      <c r="T715">
        <f>HYPERLINK("https://klasma.github.io/Logging_2560/kartor/A 51078-2019 karta.png", "A 51078-2019")</f>
        <v/>
      </c>
      <c r="V715">
        <f>HYPERLINK("https://klasma.github.io/Logging_2560/klagomål/A 51078-2019 FSC-klagomål.docx", "A 51078-2019")</f>
        <v/>
      </c>
      <c r="W715">
        <f>HYPERLINK("https://klasma.github.io/Logging_2560/klagomålsmail/A 51078-2019 FSC-klagomål mail.docx", "A 51078-2019")</f>
        <v/>
      </c>
      <c r="X715">
        <f>HYPERLINK("https://klasma.github.io/Logging_2560/tillsyn/A 51078-2019 tillsynsbegäran.docx", "A 51078-2019")</f>
        <v/>
      </c>
      <c r="Y715">
        <f>HYPERLINK("https://klasma.github.io/Logging_2560/tillsynsmail/A 51078-2019 tillsynsbegäran mail.docx", "A 51078-2019")</f>
        <v/>
      </c>
      <c r="Z715">
        <f>HYPERLINK("https://klasma.github.io/Logging_2560/fåglar/A 51078-2019 prioriterade fågelarter.docx", "A 51078-2019")</f>
        <v/>
      </c>
    </row>
    <row r="716" ht="15" customHeight="1">
      <c r="A716" t="inlineStr">
        <is>
          <t>A 54126-2019</t>
        </is>
      </c>
      <c r="B716" s="1" t="n">
        <v>43752</v>
      </c>
      <c r="C716" s="1" t="n">
        <v>45798</v>
      </c>
      <c r="D716" t="inlineStr">
        <is>
          <t>NORRBOTTENS LÄN</t>
        </is>
      </c>
      <c r="E716" t="inlineStr">
        <is>
          <t>BODEN</t>
        </is>
      </c>
      <c r="F716" t="inlineStr">
        <is>
          <t>SCA</t>
        </is>
      </c>
      <c r="G716" t="n">
        <v>7.6</v>
      </c>
      <c r="H716" t="n">
        <v>1</v>
      </c>
      <c r="I716" t="n">
        <v>0</v>
      </c>
      <c r="J716" t="n">
        <v>0</v>
      </c>
      <c r="K716" t="n">
        <v>1</v>
      </c>
      <c r="L716" t="n">
        <v>0</v>
      </c>
      <c r="M716" t="n">
        <v>0</v>
      </c>
      <c r="N716" t="n">
        <v>0</v>
      </c>
      <c r="O716" t="n">
        <v>1</v>
      </c>
      <c r="P716" t="n">
        <v>1</v>
      </c>
      <c r="Q716" t="n">
        <v>1</v>
      </c>
      <c r="R716" s="2" t="inlineStr">
        <is>
          <t>Knärot</t>
        </is>
      </c>
      <c r="S716">
        <f>HYPERLINK("https://klasma.github.io/Logging_2582/artfynd/A 54126-2019 artfynd.xlsx", "A 54126-2019")</f>
        <v/>
      </c>
      <c r="T716">
        <f>HYPERLINK("https://klasma.github.io/Logging_2582/kartor/A 54126-2019 karta.png", "A 54126-2019")</f>
        <v/>
      </c>
      <c r="U716">
        <f>HYPERLINK("https://klasma.github.io/Logging_2582/knärot/A 54126-2019 karta knärot.png", "A 54126-2019")</f>
        <v/>
      </c>
      <c r="V716">
        <f>HYPERLINK("https://klasma.github.io/Logging_2582/klagomål/A 54126-2019 FSC-klagomål.docx", "A 54126-2019")</f>
        <v/>
      </c>
      <c r="W716">
        <f>HYPERLINK("https://klasma.github.io/Logging_2582/klagomålsmail/A 54126-2019 FSC-klagomål mail.docx", "A 54126-2019")</f>
        <v/>
      </c>
      <c r="X716">
        <f>HYPERLINK("https://klasma.github.io/Logging_2582/tillsyn/A 54126-2019 tillsynsbegäran.docx", "A 54126-2019")</f>
        <v/>
      </c>
      <c r="Y716">
        <f>HYPERLINK("https://klasma.github.io/Logging_2582/tillsynsmail/A 54126-2019 tillsynsbegäran mail.docx", "A 54126-2019")</f>
        <v/>
      </c>
    </row>
    <row r="717" ht="15" customHeight="1">
      <c r="A717" t="inlineStr">
        <is>
          <t>A 56937-2019</t>
        </is>
      </c>
      <c r="B717" s="1" t="n">
        <v>43759</v>
      </c>
      <c r="C717" s="1" t="n">
        <v>45798</v>
      </c>
      <c r="D717" t="inlineStr">
        <is>
          <t>NORRBOTTENS LÄN</t>
        </is>
      </c>
      <c r="E717" t="inlineStr">
        <is>
          <t>BODEN</t>
        </is>
      </c>
      <c r="G717" t="n">
        <v>11.2</v>
      </c>
      <c r="H717" t="n">
        <v>1</v>
      </c>
      <c r="I717" t="n">
        <v>0</v>
      </c>
      <c r="J717" t="n">
        <v>1</v>
      </c>
      <c r="K717" t="n">
        <v>0</v>
      </c>
      <c r="L717" t="n">
        <v>0</v>
      </c>
      <c r="M717" t="n">
        <v>0</v>
      </c>
      <c r="N717" t="n">
        <v>0</v>
      </c>
      <c r="O717" t="n">
        <v>1</v>
      </c>
      <c r="P717" t="n">
        <v>0</v>
      </c>
      <c r="Q717" t="n">
        <v>1</v>
      </c>
      <c r="R717" s="2" t="inlineStr">
        <is>
          <t>Rödvingetrast</t>
        </is>
      </c>
      <c r="S717">
        <f>HYPERLINK("https://klasma.github.io/Logging_2582/artfynd/A 56937-2019 artfynd.xlsx", "A 56937-2019")</f>
        <v/>
      </c>
      <c r="T717">
        <f>HYPERLINK("https://klasma.github.io/Logging_2582/kartor/A 56937-2019 karta.png", "A 56937-2019")</f>
        <v/>
      </c>
      <c r="V717">
        <f>HYPERLINK("https://klasma.github.io/Logging_2582/klagomål/A 56937-2019 FSC-klagomål.docx", "A 56937-2019")</f>
        <v/>
      </c>
      <c r="W717">
        <f>HYPERLINK("https://klasma.github.io/Logging_2582/klagomålsmail/A 56937-2019 FSC-klagomål mail.docx", "A 56937-2019")</f>
        <v/>
      </c>
      <c r="X717">
        <f>HYPERLINK("https://klasma.github.io/Logging_2582/tillsyn/A 56937-2019 tillsynsbegäran.docx", "A 56937-2019")</f>
        <v/>
      </c>
      <c r="Y717">
        <f>HYPERLINK("https://klasma.github.io/Logging_2582/tillsynsmail/A 56937-2019 tillsynsbegäran mail.docx", "A 56937-2019")</f>
        <v/>
      </c>
      <c r="Z717">
        <f>HYPERLINK("https://klasma.github.io/Logging_2582/fåglar/A 56937-2019 prioriterade fågelarter.docx", "A 56937-2019")</f>
        <v/>
      </c>
    </row>
    <row r="718" ht="15" customHeight="1">
      <c r="A718" t="inlineStr">
        <is>
          <t>A 58502-2019</t>
        </is>
      </c>
      <c r="B718" s="1" t="n">
        <v>43766</v>
      </c>
      <c r="C718" s="1" t="n">
        <v>45798</v>
      </c>
      <c r="D718" t="inlineStr">
        <is>
          <t>NORRBOTTENS LÄN</t>
        </is>
      </c>
      <c r="E718" t="inlineStr">
        <is>
          <t>ÖVERKALIX</t>
        </is>
      </c>
      <c r="G718" t="n">
        <v>1</v>
      </c>
      <c r="H718" t="n">
        <v>1</v>
      </c>
      <c r="I718" t="n">
        <v>0</v>
      </c>
      <c r="J718" t="n">
        <v>0</v>
      </c>
      <c r="K718" t="n">
        <v>0</v>
      </c>
      <c r="L718" t="n">
        <v>0</v>
      </c>
      <c r="M718" t="n">
        <v>0</v>
      </c>
      <c r="N718" t="n">
        <v>0</v>
      </c>
      <c r="O718" t="n">
        <v>0</v>
      </c>
      <c r="P718" t="n">
        <v>0</v>
      </c>
      <c r="Q718" t="n">
        <v>1</v>
      </c>
      <c r="R718" s="2" t="inlineStr">
        <is>
          <t>Revlummer</t>
        </is>
      </c>
      <c r="S718">
        <f>HYPERLINK("https://klasma.github.io/Logging_2513/artfynd/A 58502-2019 artfynd.xlsx", "A 58502-2019")</f>
        <v/>
      </c>
      <c r="T718">
        <f>HYPERLINK("https://klasma.github.io/Logging_2513/kartor/A 58502-2019 karta.png", "A 58502-2019")</f>
        <v/>
      </c>
      <c r="V718">
        <f>HYPERLINK("https://klasma.github.io/Logging_2513/klagomål/A 58502-2019 FSC-klagomål.docx", "A 58502-2019")</f>
        <v/>
      </c>
      <c r="W718">
        <f>HYPERLINK("https://klasma.github.io/Logging_2513/klagomålsmail/A 58502-2019 FSC-klagomål mail.docx", "A 58502-2019")</f>
        <v/>
      </c>
      <c r="X718">
        <f>HYPERLINK("https://klasma.github.io/Logging_2513/tillsyn/A 58502-2019 tillsynsbegäran.docx", "A 58502-2019")</f>
        <v/>
      </c>
      <c r="Y718">
        <f>HYPERLINK("https://klasma.github.io/Logging_2513/tillsynsmail/A 58502-2019 tillsynsbegäran mail.docx", "A 58502-2019")</f>
        <v/>
      </c>
    </row>
    <row r="719" ht="15" customHeight="1">
      <c r="A719" t="inlineStr">
        <is>
          <t>A 60760-2019</t>
        </is>
      </c>
      <c r="B719" s="1" t="n">
        <v>43781</v>
      </c>
      <c r="C719" s="1" t="n">
        <v>45798</v>
      </c>
      <c r="D719" t="inlineStr">
        <is>
          <t>NORRBOTTENS LÄN</t>
        </is>
      </c>
      <c r="E719" t="inlineStr">
        <is>
          <t>LULEÅ</t>
        </is>
      </c>
      <c r="F719" t="inlineStr">
        <is>
          <t>Kommuner</t>
        </is>
      </c>
      <c r="G719" t="n">
        <v>6.4</v>
      </c>
      <c r="H719" t="n">
        <v>1</v>
      </c>
      <c r="I719" t="n">
        <v>0</v>
      </c>
      <c r="J719" t="n">
        <v>1</v>
      </c>
      <c r="K719" t="n">
        <v>0</v>
      </c>
      <c r="L719" t="n">
        <v>0</v>
      </c>
      <c r="M719" t="n">
        <v>0</v>
      </c>
      <c r="N719" t="n">
        <v>0</v>
      </c>
      <c r="O719" t="n">
        <v>1</v>
      </c>
      <c r="P719" t="n">
        <v>0</v>
      </c>
      <c r="Q719" t="n">
        <v>1</v>
      </c>
      <c r="R719" s="2" t="inlineStr">
        <is>
          <t>Rosenfink</t>
        </is>
      </c>
      <c r="S719">
        <f>HYPERLINK("https://klasma.github.io/Logging_2580/artfynd/A 60760-2019 artfynd.xlsx", "A 60760-2019")</f>
        <v/>
      </c>
      <c r="T719">
        <f>HYPERLINK("https://klasma.github.io/Logging_2580/kartor/A 60760-2019 karta.png", "A 60760-2019")</f>
        <v/>
      </c>
      <c r="V719">
        <f>HYPERLINK("https://klasma.github.io/Logging_2580/klagomål/A 60760-2019 FSC-klagomål.docx", "A 60760-2019")</f>
        <v/>
      </c>
      <c r="W719">
        <f>HYPERLINK("https://klasma.github.io/Logging_2580/klagomålsmail/A 60760-2019 FSC-klagomål mail.docx", "A 60760-2019")</f>
        <v/>
      </c>
      <c r="X719">
        <f>HYPERLINK("https://klasma.github.io/Logging_2580/tillsyn/A 60760-2019 tillsynsbegäran.docx", "A 60760-2019")</f>
        <v/>
      </c>
      <c r="Y719">
        <f>HYPERLINK("https://klasma.github.io/Logging_2580/tillsynsmail/A 60760-2019 tillsynsbegäran mail.docx", "A 60760-2019")</f>
        <v/>
      </c>
      <c r="Z719">
        <f>HYPERLINK("https://klasma.github.io/Logging_2580/fåglar/A 60760-2019 prioriterade fågelarter.docx", "A 60760-2019")</f>
        <v/>
      </c>
    </row>
    <row r="720" ht="15" customHeight="1">
      <c r="A720" t="inlineStr">
        <is>
          <t>A 62168-2019</t>
        </is>
      </c>
      <c r="B720" s="1" t="n">
        <v>43787</v>
      </c>
      <c r="C720" s="1" t="n">
        <v>45798</v>
      </c>
      <c r="D720" t="inlineStr">
        <is>
          <t>NORRBOTTENS LÄN</t>
        </is>
      </c>
      <c r="E720" t="inlineStr">
        <is>
          <t>BODEN</t>
        </is>
      </c>
      <c r="F720" t="inlineStr">
        <is>
          <t>SCA</t>
        </is>
      </c>
      <c r="G720" t="n">
        <v>1.3</v>
      </c>
      <c r="H720" t="n">
        <v>1</v>
      </c>
      <c r="I720" t="n">
        <v>0</v>
      </c>
      <c r="J720" t="n">
        <v>0</v>
      </c>
      <c r="K720" t="n">
        <v>1</v>
      </c>
      <c r="L720" t="n">
        <v>0</v>
      </c>
      <c r="M720" t="n">
        <v>0</v>
      </c>
      <c r="N720" t="n">
        <v>0</v>
      </c>
      <c r="O720" t="n">
        <v>1</v>
      </c>
      <c r="P720" t="n">
        <v>1</v>
      </c>
      <c r="Q720" t="n">
        <v>1</v>
      </c>
      <c r="R720" s="2" t="inlineStr">
        <is>
          <t>Knärot</t>
        </is>
      </c>
      <c r="S720">
        <f>HYPERLINK("https://klasma.github.io/Logging_2582/artfynd/A 62168-2019 artfynd.xlsx", "A 62168-2019")</f>
        <v/>
      </c>
      <c r="T720">
        <f>HYPERLINK("https://klasma.github.io/Logging_2582/kartor/A 62168-2019 karta.png", "A 62168-2019")</f>
        <v/>
      </c>
      <c r="U720">
        <f>HYPERLINK("https://klasma.github.io/Logging_2582/knärot/A 62168-2019 karta knärot.png", "A 62168-2019")</f>
        <v/>
      </c>
      <c r="V720">
        <f>HYPERLINK("https://klasma.github.io/Logging_2582/klagomål/A 62168-2019 FSC-klagomål.docx", "A 62168-2019")</f>
        <v/>
      </c>
      <c r="W720">
        <f>HYPERLINK("https://klasma.github.io/Logging_2582/klagomålsmail/A 62168-2019 FSC-klagomål mail.docx", "A 62168-2019")</f>
        <v/>
      </c>
      <c r="X720">
        <f>HYPERLINK("https://klasma.github.io/Logging_2582/tillsyn/A 62168-2019 tillsynsbegäran.docx", "A 62168-2019")</f>
        <v/>
      </c>
      <c r="Y720">
        <f>HYPERLINK("https://klasma.github.io/Logging_2582/tillsynsmail/A 62168-2019 tillsynsbegäran mail.docx", "A 62168-2019")</f>
        <v/>
      </c>
    </row>
    <row r="721" ht="15" customHeight="1">
      <c r="A721" t="inlineStr">
        <is>
          <t>A 64251-2019</t>
        </is>
      </c>
      <c r="B721" s="1" t="n">
        <v>43797</v>
      </c>
      <c r="C721" s="1" t="n">
        <v>45798</v>
      </c>
      <c r="D721" t="inlineStr">
        <is>
          <t>NORRBOTTENS LÄN</t>
        </is>
      </c>
      <c r="E721" t="inlineStr">
        <is>
          <t>BODEN</t>
        </is>
      </c>
      <c r="F721" t="inlineStr">
        <is>
          <t>Övriga Aktiebolag</t>
        </is>
      </c>
      <c r="G721" t="n">
        <v>10.7</v>
      </c>
      <c r="H721" t="n">
        <v>0</v>
      </c>
      <c r="I721" t="n">
        <v>0</v>
      </c>
      <c r="J721" t="n">
        <v>1</v>
      </c>
      <c r="K721" t="n">
        <v>0</v>
      </c>
      <c r="L721" t="n">
        <v>0</v>
      </c>
      <c r="M721" t="n">
        <v>0</v>
      </c>
      <c r="N721" t="n">
        <v>0</v>
      </c>
      <c r="O721" t="n">
        <v>1</v>
      </c>
      <c r="P721" t="n">
        <v>0</v>
      </c>
      <c r="Q721" t="n">
        <v>1</v>
      </c>
      <c r="R721" s="2" t="inlineStr">
        <is>
          <t>Garnlav</t>
        </is>
      </c>
      <c r="S721">
        <f>HYPERLINK("https://klasma.github.io/Logging_2582/artfynd/A 64251-2019 artfynd.xlsx", "A 64251-2019")</f>
        <v/>
      </c>
      <c r="T721">
        <f>HYPERLINK("https://klasma.github.io/Logging_2582/kartor/A 64251-2019 karta.png", "A 64251-2019")</f>
        <v/>
      </c>
      <c r="V721">
        <f>HYPERLINK("https://klasma.github.io/Logging_2582/klagomål/A 64251-2019 FSC-klagomål.docx", "A 64251-2019")</f>
        <v/>
      </c>
      <c r="W721">
        <f>HYPERLINK("https://klasma.github.io/Logging_2582/klagomålsmail/A 64251-2019 FSC-klagomål mail.docx", "A 64251-2019")</f>
        <v/>
      </c>
      <c r="X721">
        <f>HYPERLINK("https://klasma.github.io/Logging_2582/tillsyn/A 64251-2019 tillsynsbegäran.docx", "A 64251-2019")</f>
        <v/>
      </c>
      <c r="Y721">
        <f>HYPERLINK("https://klasma.github.io/Logging_2582/tillsynsmail/A 64251-2019 tillsynsbegäran mail.docx", "A 64251-2019")</f>
        <v/>
      </c>
    </row>
    <row r="722" ht="15" customHeight="1">
      <c r="A722" t="inlineStr">
        <is>
          <t>A 66430-2019</t>
        </is>
      </c>
      <c r="B722" s="1" t="n">
        <v>43802</v>
      </c>
      <c r="C722" s="1" t="n">
        <v>45798</v>
      </c>
      <c r="D722" t="inlineStr">
        <is>
          <t>NORRBOTTENS LÄN</t>
        </is>
      </c>
      <c r="E722" t="inlineStr">
        <is>
          <t>PITEÅ</t>
        </is>
      </c>
      <c r="G722" t="n">
        <v>3</v>
      </c>
      <c r="H722" t="n">
        <v>0</v>
      </c>
      <c r="I722" t="n">
        <v>0</v>
      </c>
      <c r="J722" t="n">
        <v>1</v>
      </c>
      <c r="K722" t="n">
        <v>0</v>
      </c>
      <c r="L722" t="n">
        <v>0</v>
      </c>
      <c r="M722" t="n">
        <v>0</v>
      </c>
      <c r="N722" t="n">
        <v>0</v>
      </c>
      <c r="O722" t="n">
        <v>1</v>
      </c>
      <c r="P722" t="n">
        <v>0</v>
      </c>
      <c r="Q722" t="n">
        <v>1</v>
      </c>
      <c r="R722" s="2" t="inlineStr">
        <is>
          <t>Igelkott</t>
        </is>
      </c>
      <c r="S722">
        <f>HYPERLINK("https://klasma.github.io/Logging_2581/artfynd/A 66430-2019 artfynd.xlsx", "A 66430-2019")</f>
        <v/>
      </c>
      <c r="T722">
        <f>HYPERLINK("https://klasma.github.io/Logging_2581/kartor/A 66430-2019 karta.png", "A 66430-2019")</f>
        <v/>
      </c>
      <c r="V722">
        <f>HYPERLINK("https://klasma.github.io/Logging_2581/klagomål/A 66430-2019 FSC-klagomål.docx", "A 66430-2019")</f>
        <v/>
      </c>
      <c r="W722">
        <f>HYPERLINK("https://klasma.github.io/Logging_2581/klagomålsmail/A 66430-2019 FSC-klagomål mail.docx", "A 66430-2019")</f>
        <v/>
      </c>
      <c r="X722">
        <f>HYPERLINK("https://klasma.github.io/Logging_2581/tillsyn/A 66430-2019 tillsynsbegäran.docx", "A 66430-2019")</f>
        <v/>
      </c>
      <c r="Y722">
        <f>HYPERLINK("https://klasma.github.io/Logging_2581/tillsynsmail/A 66430-2019 tillsynsbegäran mail.docx", "A 66430-2019")</f>
        <v/>
      </c>
    </row>
    <row r="723" ht="15" customHeight="1">
      <c r="A723" t="inlineStr">
        <is>
          <t>A 13869-2020</t>
        </is>
      </c>
      <c r="B723" s="1" t="n">
        <v>43896</v>
      </c>
      <c r="C723" s="1" t="n">
        <v>45798</v>
      </c>
      <c r="D723" t="inlineStr">
        <is>
          <t>NORRBOTTENS LÄN</t>
        </is>
      </c>
      <c r="E723" t="inlineStr">
        <is>
          <t>PITEÅ</t>
        </is>
      </c>
      <c r="G723" t="n">
        <v>2.2</v>
      </c>
      <c r="H723" t="n">
        <v>0</v>
      </c>
      <c r="I723" t="n">
        <v>0</v>
      </c>
      <c r="J723" t="n">
        <v>1</v>
      </c>
      <c r="K723" t="n">
        <v>0</v>
      </c>
      <c r="L723" t="n">
        <v>0</v>
      </c>
      <c r="M723" t="n">
        <v>0</v>
      </c>
      <c r="N723" t="n">
        <v>0</v>
      </c>
      <c r="O723" t="n">
        <v>1</v>
      </c>
      <c r="P723" t="n">
        <v>0</v>
      </c>
      <c r="Q723" t="n">
        <v>1</v>
      </c>
      <c r="R723" s="2" t="inlineStr">
        <is>
          <t>Äggvaxskivling</t>
        </is>
      </c>
      <c r="S723">
        <f>HYPERLINK("https://klasma.github.io/Logging_2581/artfynd/A 13869-2020 artfynd.xlsx", "A 13869-2020")</f>
        <v/>
      </c>
      <c r="T723">
        <f>HYPERLINK("https://klasma.github.io/Logging_2581/kartor/A 13869-2020 karta.png", "A 13869-2020")</f>
        <v/>
      </c>
      <c r="V723">
        <f>HYPERLINK("https://klasma.github.io/Logging_2581/klagomål/A 13869-2020 FSC-klagomål.docx", "A 13869-2020")</f>
        <v/>
      </c>
      <c r="W723">
        <f>HYPERLINK("https://klasma.github.io/Logging_2581/klagomålsmail/A 13869-2020 FSC-klagomål mail.docx", "A 13869-2020")</f>
        <v/>
      </c>
      <c r="X723">
        <f>HYPERLINK("https://klasma.github.io/Logging_2581/tillsyn/A 13869-2020 tillsynsbegäran.docx", "A 13869-2020")</f>
        <v/>
      </c>
      <c r="Y723">
        <f>HYPERLINK("https://klasma.github.io/Logging_2581/tillsynsmail/A 13869-2020 tillsynsbegäran mail.docx", "A 13869-2020")</f>
        <v/>
      </c>
    </row>
    <row r="724" ht="15" customHeight="1">
      <c r="A724" t="inlineStr">
        <is>
          <t>A 16721-2020</t>
        </is>
      </c>
      <c r="B724" s="1" t="n">
        <v>43908</v>
      </c>
      <c r="C724" s="1" t="n">
        <v>45798</v>
      </c>
      <c r="D724" t="inlineStr">
        <is>
          <t>NORRBOTTENS LÄN</t>
        </is>
      </c>
      <c r="E724" t="inlineStr">
        <is>
          <t>LULEÅ</t>
        </is>
      </c>
      <c r="G724" t="n">
        <v>50</v>
      </c>
      <c r="H724" t="n">
        <v>0</v>
      </c>
      <c r="I724" t="n">
        <v>1</v>
      </c>
      <c r="J724" t="n">
        <v>0</v>
      </c>
      <c r="K724" t="n">
        <v>0</v>
      </c>
      <c r="L724" t="n">
        <v>0</v>
      </c>
      <c r="M724" t="n">
        <v>0</v>
      </c>
      <c r="N724" t="n">
        <v>0</v>
      </c>
      <c r="O724" t="n">
        <v>0</v>
      </c>
      <c r="P724" t="n">
        <v>0</v>
      </c>
      <c r="Q724" t="n">
        <v>1</v>
      </c>
      <c r="R724" s="2" t="inlineStr">
        <is>
          <t>Ögonpyrola</t>
        </is>
      </c>
      <c r="S724">
        <f>HYPERLINK("https://klasma.github.io/Logging_2580/artfynd/A 16721-2020 artfynd.xlsx", "A 16721-2020")</f>
        <v/>
      </c>
      <c r="T724">
        <f>HYPERLINK("https://klasma.github.io/Logging_2580/kartor/A 16721-2020 karta.png", "A 16721-2020")</f>
        <v/>
      </c>
      <c r="V724">
        <f>HYPERLINK("https://klasma.github.io/Logging_2580/klagomål/A 16721-2020 FSC-klagomål.docx", "A 16721-2020")</f>
        <v/>
      </c>
      <c r="W724">
        <f>HYPERLINK("https://klasma.github.io/Logging_2580/klagomålsmail/A 16721-2020 FSC-klagomål mail.docx", "A 16721-2020")</f>
        <v/>
      </c>
      <c r="X724">
        <f>HYPERLINK("https://klasma.github.io/Logging_2580/tillsyn/A 16721-2020 tillsynsbegäran.docx", "A 16721-2020")</f>
        <v/>
      </c>
      <c r="Y724">
        <f>HYPERLINK("https://klasma.github.io/Logging_2580/tillsynsmail/A 16721-2020 tillsynsbegäran mail.docx", "A 16721-2020")</f>
        <v/>
      </c>
    </row>
    <row r="725" ht="15" customHeight="1">
      <c r="A725" t="inlineStr">
        <is>
          <t>A 15648-2020</t>
        </is>
      </c>
      <c r="B725" s="1" t="n">
        <v>43914</v>
      </c>
      <c r="C725" s="1" t="n">
        <v>45798</v>
      </c>
      <c r="D725" t="inlineStr">
        <is>
          <t>NORRBOTTENS LÄN</t>
        </is>
      </c>
      <c r="E725" t="inlineStr">
        <is>
          <t>GÄLLIVARE</t>
        </is>
      </c>
      <c r="F725" t="inlineStr">
        <is>
          <t>SCA</t>
        </is>
      </c>
      <c r="G725" t="n">
        <v>7</v>
      </c>
      <c r="H725" t="n">
        <v>1</v>
      </c>
      <c r="I725" t="n">
        <v>0</v>
      </c>
      <c r="J725" t="n">
        <v>1</v>
      </c>
      <c r="K725" t="n">
        <v>0</v>
      </c>
      <c r="L725" t="n">
        <v>0</v>
      </c>
      <c r="M725" t="n">
        <v>0</v>
      </c>
      <c r="N725" t="n">
        <v>0</v>
      </c>
      <c r="O725" t="n">
        <v>1</v>
      </c>
      <c r="P725" t="n">
        <v>0</v>
      </c>
      <c r="Q725" t="n">
        <v>1</v>
      </c>
      <c r="R725" s="2" t="inlineStr">
        <is>
          <t>Utter</t>
        </is>
      </c>
      <c r="S725">
        <f>HYPERLINK("https://klasma.github.io/Logging_2523/artfynd/A 15648-2020 artfynd.xlsx", "A 15648-2020")</f>
        <v/>
      </c>
      <c r="T725">
        <f>HYPERLINK("https://klasma.github.io/Logging_2523/kartor/A 15648-2020 karta.png", "A 15648-2020")</f>
        <v/>
      </c>
      <c r="V725">
        <f>HYPERLINK("https://klasma.github.io/Logging_2523/klagomål/A 15648-2020 FSC-klagomål.docx", "A 15648-2020")</f>
        <v/>
      </c>
      <c r="W725">
        <f>HYPERLINK("https://klasma.github.io/Logging_2523/klagomålsmail/A 15648-2020 FSC-klagomål mail.docx", "A 15648-2020")</f>
        <v/>
      </c>
      <c r="X725">
        <f>HYPERLINK("https://klasma.github.io/Logging_2523/tillsyn/A 15648-2020 tillsynsbegäran.docx", "A 15648-2020")</f>
        <v/>
      </c>
      <c r="Y725">
        <f>HYPERLINK("https://klasma.github.io/Logging_2523/tillsynsmail/A 15648-2020 tillsynsbegäran mail.docx", "A 15648-2020")</f>
        <v/>
      </c>
    </row>
    <row r="726" ht="15" customHeight="1">
      <c r="A726" t="inlineStr">
        <is>
          <t>A 23473-2020</t>
        </is>
      </c>
      <c r="B726" s="1" t="n">
        <v>43966</v>
      </c>
      <c r="C726" s="1" t="n">
        <v>45798</v>
      </c>
      <c r="D726" t="inlineStr">
        <is>
          <t>NORRBOTTENS LÄN</t>
        </is>
      </c>
      <c r="E726" t="inlineStr">
        <is>
          <t>BODEN</t>
        </is>
      </c>
      <c r="G726" t="n">
        <v>24.7</v>
      </c>
      <c r="H726" t="n">
        <v>0</v>
      </c>
      <c r="I726" t="n">
        <v>0</v>
      </c>
      <c r="J726" t="n">
        <v>1</v>
      </c>
      <c r="K726" t="n">
        <v>0</v>
      </c>
      <c r="L726" t="n">
        <v>0</v>
      </c>
      <c r="M726" t="n">
        <v>0</v>
      </c>
      <c r="N726" t="n">
        <v>0</v>
      </c>
      <c r="O726" t="n">
        <v>1</v>
      </c>
      <c r="P726" t="n">
        <v>0</v>
      </c>
      <c r="Q726" t="n">
        <v>1</v>
      </c>
      <c r="R726" s="2" t="inlineStr">
        <is>
          <t>Lunglav</t>
        </is>
      </c>
      <c r="S726">
        <f>HYPERLINK("https://klasma.github.io/Logging_2582/artfynd/A 23473-2020 artfynd.xlsx", "A 23473-2020")</f>
        <v/>
      </c>
      <c r="T726">
        <f>HYPERLINK("https://klasma.github.io/Logging_2582/kartor/A 23473-2020 karta.png", "A 23473-2020")</f>
        <v/>
      </c>
      <c r="V726">
        <f>HYPERLINK("https://klasma.github.io/Logging_2582/klagomål/A 23473-2020 FSC-klagomål.docx", "A 23473-2020")</f>
        <v/>
      </c>
      <c r="W726">
        <f>HYPERLINK("https://klasma.github.io/Logging_2582/klagomålsmail/A 23473-2020 FSC-klagomål mail.docx", "A 23473-2020")</f>
        <v/>
      </c>
      <c r="X726">
        <f>HYPERLINK("https://klasma.github.io/Logging_2582/tillsyn/A 23473-2020 tillsynsbegäran.docx", "A 23473-2020")</f>
        <v/>
      </c>
      <c r="Y726">
        <f>HYPERLINK("https://klasma.github.io/Logging_2582/tillsynsmail/A 23473-2020 tillsynsbegäran mail.docx", "A 23473-2020")</f>
        <v/>
      </c>
    </row>
    <row r="727" ht="15" customHeight="1">
      <c r="A727" t="inlineStr">
        <is>
          <t>A 31905-2020</t>
        </is>
      </c>
      <c r="B727" s="1" t="n">
        <v>44014</v>
      </c>
      <c r="C727" s="1" t="n">
        <v>45798</v>
      </c>
      <c r="D727" t="inlineStr">
        <is>
          <t>NORRBOTTENS LÄN</t>
        </is>
      </c>
      <c r="E727" t="inlineStr">
        <is>
          <t>PITEÅ</t>
        </is>
      </c>
      <c r="G727" t="n">
        <v>6.6</v>
      </c>
      <c r="H727" t="n">
        <v>1</v>
      </c>
      <c r="I727" t="n">
        <v>1</v>
      </c>
      <c r="J727" t="n">
        <v>0</v>
      </c>
      <c r="K727" t="n">
        <v>0</v>
      </c>
      <c r="L727" t="n">
        <v>0</v>
      </c>
      <c r="M727" t="n">
        <v>0</v>
      </c>
      <c r="N727" t="n">
        <v>0</v>
      </c>
      <c r="O727" t="n">
        <v>0</v>
      </c>
      <c r="P727" t="n">
        <v>0</v>
      </c>
      <c r="Q727" t="n">
        <v>1</v>
      </c>
      <c r="R727" s="2" t="inlineStr">
        <is>
          <t>Plattlummer</t>
        </is>
      </c>
      <c r="S727">
        <f>HYPERLINK("https://klasma.github.io/Logging_2581/artfynd/A 31905-2020 artfynd.xlsx", "A 31905-2020")</f>
        <v/>
      </c>
      <c r="T727">
        <f>HYPERLINK("https://klasma.github.io/Logging_2581/kartor/A 31905-2020 karta.png", "A 31905-2020")</f>
        <v/>
      </c>
      <c r="V727">
        <f>HYPERLINK("https://klasma.github.io/Logging_2581/klagomål/A 31905-2020 FSC-klagomål.docx", "A 31905-2020")</f>
        <v/>
      </c>
      <c r="W727">
        <f>HYPERLINK("https://klasma.github.io/Logging_2581/klagomålsmail/A 31905-2020 FSC-klagomål mail.docx", "A 31905-2020")</f>
        <v/>
      </c>
      <c r="X727">
        <f>HYPERLINK("https://klasma.github.io/Logging_2581/tillsyn/A 31905-2020 tillsynsbegäran.docx", "A 31905-2020")</f>
        <v/>
      </c>
      <c r="Y727">
        <f>HYPERLINK("https://klasma.github.io/Logging_2581/tillsynsmail/A 31905-2020 tillsynsbegäran mail.docx", "A 31905-2020")</f>
        <v/>
      </c>
    </row>
    <row r="728" ht="15" customHeight="1">
      <c r="A728" t="inlineStr">
        <is>
          <t>A 34646-2020</t>
        </is>
      </c>
      <c r="B728" s="1" t="n">
        <v>44034</v>
      </c>
      <c r="C728" s="1" t="n">
        <v>45798</v>
      </c>
      <c r="D728" t="inlineStr">
        <is>
          <t>NORRBOTTENS LÄN</t>
        </is>
      </c>
      <c r="E728" t="inlineStr">
        <is>
          <t>PAJALA</t>
        </is>
      </c>
      <c r="F728" t="inlineStr">
        <is>
          <t>Allmännings- och besparingsskogar</t>
        </is>
      </c>
      <c r="G728" t="n">
        <v>7.3</v>
      </c>
      <c r="H728" t="n">
        <v>1</v>
      </c>
      <c r="I728" t="n">
        <v>0</v>
      </c>
      <c r="J728" t="n">
        <v>0</v>
      </c>
      <c r="K728" t="n">
        <v>0</v>
      </c>
      <c r="L728" t="n">
        <v>0</v>
      </c>
      <c r="M728" t="n">
        <v>0</v>
      </c>
      <c r="N728" t="n">
        <v>0</v>
      </c>
      <c r="O728" t="n">
        <v>0</v>
      </c>
      <c r="P728" t="n">
        <v>0</v>
      </c>
      <c r="Q728" t="n">
        <v>1</v>
      </c>
      <c r="R728" s="2" t="inlineStr">
        <is>
          <t>Sångsvan</t>
        </is>
      </c>
      <c r="S728">
        <f>HYPERLINK("https://klasma.github.io/Logging_2521/artfynd/A 34646-2020 artfynd.xlsx", "A 34646-2020")</f>
        <v/>
      </c>
      <c r="T728">
        <f>HYPERLINK("https://klasma.github.io/Logging_2521/kartor/A 34646-2020 karta.png", "A 34646-2020")</f>
        <v/>
      </c>
      <c r="V728">
        <f>HYPERLINK("https://klasma.github.io/Logging_2521/klagomål/A 34646-2020 FSC-klagomål.docx", "A 34646-2020")</f>
        <v/>
      </c>
      <c r="W728">
        <f>HYPERLINK("https://klasma.github.io/Logging_2521/klagomålsmail/A 34646-2020 FSC-klagomål mail.docx", "A 34646-2020")</f>
        <v/>
      </c>
      <c r="X728">
        <f>HYPERLINK("https://klasma.github.io/Logging_2521/tillsyn/A 34646-2020 tillsynsbegäran.docx", "A 34646-2020")</f>
        <v/>
      </c>
      <c r="Y728">
        <f>HYPERLINK("https://klasma.github.io/Logging_2521/tillsynsmail/A 34646-2020 tillsynsbegäran mail.docx", "A 34646-2020")</f>
        <v/>
      </c>
      <c r="Z728">
        <f>HYPERLINK("https://klasma.github.io/Logging_2521/fåglar/A 34646-2020 prioriterade fågelarter.docx", "A 34646-2020")</f>
        <v/>
      </c>
    </row>
    <row r="729" ht="15" customHeight="1">
      <c r="A729" t="inlineStr">
        <is>
          <t>A 39034-2020</t>
        </is>
      </c>
      <c r="B729" s="1" t="n">
        <v>44062</v>
      </c>
      <c r="C729" s="1" t="n">
        <v>45798</v>
      </c>
      <c r="D729" t="inlineStr">
        <is>
          <t>NORRBOTTENS LÄN</t>
        </is>
      </c>
      <c r="E729" t="inlineStr">
        <is>
          <t>BODEN</t>
        </is>
      </c>
      <c r="F729" t="inlineStr">
        <is>
          <t>Sveaskog</t>
        </is>
      </c>
      <c r="G729" t="n">
        <v>17.7</v>
      </c>
      <c r="H729" t="n">
        <v>0</v>
      </c>
      <c r="I729" t="n">
        <v>0</v>
      </c>
      <c r="J729" t="n">
        <v>1</v>
      </c>
      <c r="K729" t="n">
        <v>0</v>
      </c>
      <c r="L729" t="n">
        <v>0</v>
      </c>
      <c r="M729" t="n">
        <v>0</v>
      </c>
      <c r="N729" t="n">
        <v>0</v>
      </c>
      <c r="O729" t="n">
        <v>1</v>
      </c>
      <c r="P729" t="n">
        <v>0</v>
      </c>
      <c r="Q729" t="n">
        <v>1</v>
      </c>
      <c r="R729" s="2" t="inlineStr">
        <is>
          <t>Kolflarnlav</t>
        </is>
      </c>
      <c r="S729">
        <f>HYPERLINK("https://klasma.github.io/Logging_2582/artfynd/A 39034-2020 artfynd.xlsx", "A 39034-2020")</f>
        <v/>
      </c>
      <c r="T729">
        <f>HYPERLINK("https://klasma.github.io/Logging_2582/kartor/A 39034-2020 karta.png", "A 39034-2020")</f>
        <v/>
      </c>
      <c r="V729">
        <f>HYPERLINK("https://klasma.github.io/Logging_2582/klagomål/A 39034-2020 FSC-klagomål.docx", "A 39034-2020")</f>
        <v/>
      </c>
      <c r="W729">
        <f>HYPERLINK("https://klasma.github.io/Logging_2582/klagomålsmail/A 39034-2020 FSC-klagomål mail.docx", "A 39034-2020")</f>
        <v/>
      </c>
      <c r="X729">
        <f>HYPERLINK("https://klasma.github.io/Logging_2582/tillsyn/A 39034-2020 tillsynsbegäran.docx", "A 39034-2020")</f>
        <v/>
      </c>
      <c r="Y729">
        <f>HYPERLINK("https://klasma.github.io/Logging_2582/tillsynsmail/A 39034-2020 tillsynsbegäran mail.docx", "A 39034-2020")</f>
        <v/>
      </c>
    </row>
    <row r="730" ht="15" customHeight="1">
      <c r="A730" t="inlineStr">
        <is>
          <t>A 39599-2020</t>
        </is>
      </c>
      <c r="B730" s="1" t="n">
        <v>44064</v>
      </c>
      <c r="C730" s="1" t="n">
        <v>45798</v>
      </c>
      <c r="D730" t="inlineStr">
        <is>
          <t>NORRBOTTENS LÄN</t>
        </is>
      </c>
      <c r="E730" t="inlineStr">
        <is>
          <t>BODEN</t>
        </is>
      </c>
      <c r="F730" t="inlineStr">
        <is>
          <t>Sveaskog</t>
        </is>
      </c>
      <c r="G730" t="n">
        <v>12.6</v>
      </c>
      <c r="H730" t="n">
        <v>1</v>
      </c>
      <c r="I730" t="n">
        <v>0</v>
      </c>
      <c r="J730" t="n">
        <v>0</v>
      </c>
      <c r="K730" t="n">
        <v>1</v>
      </c>
      <c r="L730" t="n">
        <v>0</v>
      </c>
      <c r="M730" t="n">
        <v>0</v>
      </c>
      <c r="N730" t="n">
        <v>0</v>
      </c>
      <c r="O730" t="n">
        <v>1</v>
      </c>
      <c r="P730" t="n">
        <v>1</v>
      </c>
      <c r="Q730" t="n">
        <v>1</v>
      </c>
      <c r="R730" s="2" t="inlineStr">
        <is>
          <t>Knärot</t>
        </is>
      </c>
      <c r="S730">
        <f>HYPERLINK("https://klasma.github.io/Logging_2582/artfynd/A 39599-2020 artfynd.xlsx", "A 39599-2020")</f>
        <v/>
      </c>
      <c r="T730">
        <f>HYPERLINK("https://klasma.github.io/Logging_2582/kartor/A 39599-2020 karta.png", "A 39599-2020")</f>
        <v/>
      </c>
      <c r="U730">
        <f>HYPERLINK("https://klasma.github.io/Logging_2582/knärot/A 39599-2020 karta knärot.png", "A 39599-2020")</f>
        <v/>
      </c>
      <c r="V730">
        <f>HYPERLINK("https://klasma.github.io/Logging_2582/klagomål/A 39599-2020 FSC-klagomål.docx", "A 39599-2020")</f>
        <v/>
      </c>
      <c r="W730">
        <f>HYPERLINK("https://klasma.github.io/Logging_2582/klagomålsmail/A 39599-2020 FSC-klagomål mail.docx", "A 39599-2020")</f>
        <v/>
      </c>
      <c r="X730">
        <f>HYPERLINK("https://klasma.github.io/Logging_2582/tillsyn/A 39599-2020 tillsynsbegäran.docx", "A 39599-2020")</f>
        <v/>
      </c>
      <c r="Y730">
        <f>HYPERLINK("https://klasma.github.io/Logging_2582/tillsynsmail/A 39599-2020 tillsynsbegäran mail.docx", "A 39599-2020")</f>
        <v/>
      </c>
    </row>
    <row r="731" ht="15" customHeight="1">
      <c r="A731" t="inlineStr">
        <is>
          <t>A 42854-2020</t>
        </is>
      </c>
      <c r="B731" s="1" t="n">
        <v>44078</v>
      </c>
      <c r="C731" s="1" t="n">
        <v>45798</v>
      </c>
      <c r="D731" t="inlineStr">
        <is>
          <t>NORRBOTTENS LÄN</t>
        </is>
      </c>
      <c r="E731" t="inlineStr">
        <is>
          <t>PAJALA</t>
        </is>
      </c>
      <c r="F731" t="inlineStr">
        <is>
          <t>Sveaskog</t>
        </is>
      </c>
      <c r="G731" t="n">
        <v>5.4</v>
      </c>
      <c r="H731" t="n">
        <v>1</v>
      </c>
      <c r="I731" t="n">
        <v>0</v>
      </c>
      <c r="J731" t="n">
        <v>1</v>
      </c>
      <c r="K731" t="n">
        <v>0</v>
      </c>
      <c r="L731" t="n">
        <v>0</v>
      </c>
      <c r="M731" t="n">
        <v>0</v>
      </c>
      <c r="N731" t="n">
        <v>0</v>
      </c>
      <c r="O731" t="n">
        <v>1</v>
      </c>
      <c r="P731" t="n">
        <v>0</v>
      </c>
      <c r="Q731" t="n">
        <v>1</v>
      </c>
      <c r="R731" s="2" t="inlineStr">
        <is>
          <t>Duvhök</t>
        </is>
      </c>
      <c r="S731">
        <f>HYPERLINK("https://klasma.github.io/Logging_2521/artfynd/A 42854-2020 artfynd.xlsx", "A 42854-2020")</f>
        <v/>
      </c>
      <c r="T731">
        <f>HYPERLINK("https://klasma.github.io/Logging_2521/kartor/A 42854-2020 karta.png", "A 42854-2020")</f>
        <v/>
      </c>
      <c r="V731">
        <f>HYPERLINK("https://klasma.github.io/Logging_2521/klagomål/A 42854-2020 FSC-klagomål.docx", "A 42854-2020")</f>
        <v/>
      </c>
      <c r="W731">
        <f>HYPERLINK("https://klasma.github.io/Logging_2521/klagomålsmail/A 42854-2020 FSC-klagomål mail.docx", "A 42854-2020")</f>
        <v/>
      </c>
      <c r="X731">
        <f>HYPERLINK("https://klasma.github.io/Logging_2521/tillsyn/A 42854-2020 tillsynsbegäran.docx", "A 42854-2020")</f>
        <v/>
      </c>
      <c r="Y731">
        <f>HYPERLINK("https://klasma.github.io/Logging_2521/tillsynsmail/A 42854-2020 tillsynsbegäran mail.docx", "A 42854-2020")</f>
        <v/>
      </c>
      <c r="Z731">
        <f>HYPERLINK("https://klasma.github.io/Logging_2521/fåglar/A 42854-2020 prioriterade fågelarter.docx", "A 42854-2020")</f>
        <v/>
      </c>
    </row>
    <row r="732" ht="15" customHeight="1">
      <c r="A732" t="inlineStr">
        <is>
          <t>A 43663-2020</t>
        </is>
      </c>
      <c r="B732" s="1" t="n">
        <v>44082</v>
      </c>
      <c r="C732" s="1" t="n">
        <v>45798</v>
      </c>
      <c r="D732" t="inlineStr">
        <is>
          <t>NORRBOTTENS LÄN</t>
        </is>
      </c>
      <c r="E732" t="inlineStr">
        <is>
          <t>LULEÅ</t>
        </is>
      </c>
      <c r="F732" t="inlineStr">
        <is>
          <t>Sveaskog</t>
        </is>
      </c>
      <c r="G732" t="n">
        <v>2.3</v>
      </c>
      <c r="H732" t="n">
        <v>0</v>
      </c>
      <c r="I732" t="n">
        <v>0</v>
      </c>
      <c r="J732" t="n">
        <v>1</v>
      </c>
      <c r="K732" t="n">
        <v>0</v>
      </c>
      <c r="L732" t="n">
        <v>0</v>
      </c>
      <c r="M732" t="n">
        <v>0</v>
      </c>
      <c r="N732" t="n">
        <v>0</v>
      </c>
      <c r="O732" t="n">
        <v>1</v>
      </c>
      <c r="P732" t="n">
        <v>0</v>
      </c>
      <c r="Q732" t="n">
        <v>1</v>
      </c>
      <c r="R732" s="2" t="inlineStr">
        <is>
          <t>Garnlav</t>
        </is>
      </c>
      <c r="S732">
        <f>HYPERLINK("https://klasma.github.io/Logging_2580/artfynd/A 43663-2020 artfynd.xlsx", "A 43663-2020")</f>
        <v/>
      </c>
      <c r="T732">
        <f>HYPERLINK("https://klasma.github.io/Logging_2580/kartor/A 43663-2020 karta.png", "A 43663-2020")</f>
        <v/>
      </c>
      <c r="V732">
        <f>HYPERLINK("https://klasma.github.io/Logging_2580/klagomål/A 43663-2020 FSC-klagomål.docx", "A 43663-2020")</f>
        <v/>
      </c>
      <c r="W732">
        <f>HYPERLINK("https://klasma.github.io/Logging_2580/klagomålsmail/A 43663-2020 FSC-klagomål mail.docx", "A 43663-2020")</f>
        <v/>
      </c>
      <c r="X732">
        <f>HYPERLINK("https://klasma.github.io/Logging_2580/tillsyn/A 43663-2020 tillsynsbegäran.docx", "A 43663-2020")</f>
        <v/>
      </c>
      <c r="Y732">
        <f>HYPERLINK("https://klasma.github.io/Logging_2580/tillsynsmail/A 43663-2020 tillsynsbegäran mail.docx", "A 43663-2020")</f>
        <v/>
      </c>
    </row>
    <row r="733" ht="15" customHeight="1">
      <c r="A733" t="inlineStr">
        <is>
          <t>A 43643-2020</t>
        </is>
      </c>
      <c r="B733" s="1" t="n">
        <v>44082</v>
      </c>
      <c r="C733" s="1" t="n">
        <v>45798</v>
      </c>
      <c r="D733" t="inlineStr">
        <is>
          <t>NORRBOTTENS LÄN</t>
        </is>
      </c>
      <c r="E733" t="inlineStr">
        <is>
          <t>BODEN</t>
        </is>
      </c>
      <c r="F733" t="inlineStr">
        <is>
          <t>Sveaskog</t>
        </is>
      </c>
      <c r="G733" t="n">
        <v>3.2</v>
      </c>
      <c r="H733" t="n">
        <v>0</v>
      </c>
      <c r="I733" t="n">
        <v>0</v>
      </c>
      <c r="J733" t="n">
        <v>1</v>
      </c>
      <c r="K733" t="n">
        <v>0</v>
      </c>
      <c r="L733" t="n">
        <v>0</v>
      </c>
      <c r="M733" t="n">
        <v>0</v>
      </c>
      <c r="N733" t="n">
        <v>0</v>
      </c>
      <c r="O733" t="n">
        <v>1</v>
      </c>
      <c r="P733" t="n">
        <v>0</v>
      </c>
      <c r="Q733" t="n">
        <v>1</v>
      </c>
      <c r="R733" s="2" t="inlineStr">
        <is>
          <t>Blå taggsvamp</t>
        </is>
      </c>
      <c r="S733">
        <f>HYPERLINK("https://klasma.github.io/Logging_2582/artfynd/A 43643-2020 artfynd.xlsx", "A 43643-2020")</f>
        <v/>
      </c>
      <c r="T733">
        <f>HYPERLINK("https://klasma.github.io/Logging_2582/kartor/A 43643-2020 karta.png", "A 43643-2020")</f>
        <v/>
      </c>
      <c r="V733">
        <f>HYPERLINK("https://klasma.github.io/Logging_2582/klagomål/A 43643-2020 FSC-klagomål.docx", "A 43643-2020")</f>
        <v/>
      </c>
      <c r="W733">
        <f>HYPERLINK("https://klasma.github.io/Logging_2582/klagomålsmail/A 43643-2020 FSC-klagomål mail.docx", "A 43643-2020")</f>
        <v/>
      </c>
      <c r="X733">
        <f>HYPERLINK("https://klasma.github.io/Logging_2582/tillsyn/A 43643-2020 tillsynsbegäran.docx", "A 43643-2020")</f>
        <v/>
      </c>
      <c r="Y733">
        <f>HYPERLINK("https://klasma.github.io/Logging_2582/tillsynsmail/A 43643-2020 tillsynsbegäran mail.docx", "A 43643-2020")</f>
        <v/>
      </c>
    </row>
    <row r="734" ht="15" customHeight="1">
      <c r="A734" t="inlineStr">
        <is>
          <t>A 45184-2020</t>
        </is>
      </c>
      <c r="B734" s="1" t="n">
        <v>44088</v>
      </c>
      <c r="C734" s="1" t="n">
        <v>45798</v>
      </c>
      <c r="D734" t="inlineStr">
        <is>
          <t>NORRBOTTENS LÄN</t>
        </is>
      </c>
      <c r="E734" t="inlineStr">
        <is>
          <t>BODEN</t>
        </is>
      </c>
      <c r="F734" t="inlineStr">
        <is>
          <t>Sveaskog</t>
        </is>
      </c>
      <c r="G734" t="n">
        <v>4.6</v>
      </c>
      <c r="H734" t="n">
        <v>0</v>
      </c>
      <c r="I734" t="n">
        <v>0</v>
      </c>
      <c r="J734" t="n">
        <v>1</v>
      </c>
      <c r="K734" t="n">
        <v>0</v>
      </c>
      <c r="L734" t="n">
        <v>0</v>
      </c>
      <c r="M734" t="n">
        <v>0</v>
      </c>
      <c r="N734" t="n">
        <v>0</v>
      </c>
      <c r="O734" t="n">
        <v>1</v>
      </c>
      <c r="P734" t="n">
        <v>0</v>
      </c>
      <c r="Q734" t="n">
        <v>1</v>
      </c>
      <c r="R734" s="2" t="inlineStr">
        <is>
          <t>Gammelgransskål</t>
        </is>
      </c>
      <c r="S734">
        <f>HYPERLINK("https://klasma.github.io/Logging_2582/artfynd/A 45184-2020 artfynd.xlsx", "A 45184-2020")</f>
        <v/>
      </c>
      <c r="T734">
        <f>HYPERLINK("https://klasma.github.io/Logging_2582/kartor/A 45184-2020 karta.png", "A 45184-2020")</f>
        <v/>
      </c>
      <c r="V734">
        <f>HYPERLINK("https://klasma.github.io/Logging_2582/klagomål/A 45184-2020 FSC-klagomål.docx", "A 45184-2020")</f>
        <v/>
      </c>
      <c r="W734">
        <f>HYPERLINK("https://klasma.github.io/Logging_2582/klagomålsmail/A 45184-2020 FSC-klagomål mail.docx", "A 45184-2020")</f>
        <v/>
      </c>
      <c r="X734">
        <f>HYPERLINK("https://klasma.github.io/Logging_2582/tillsyn/A 45184-2020 tillsynsbegäran.docx", "A 45184-2020")</f>
        <v/>
      </c>
      <c r="Y734">
        <f>HYPERLINK("https://klasma.github.io/Logging_2582/tillsynsmail/A 45184-2020 tillsynsbegäran mail.docx", "A 45184-2020")</f>
        <v/>
      </c>
    </row>
    <row r="735" ht="15" customHeight="1">
      <c r="A735" t="inlineStr">
        <is>
          <t>A 51168-2020</t>
        </is>
      </c>
      <c r="B735" s="1" t="n">
        <v>44106</v>
      </c>
      <c r="C735" s="1" t="n">
        <v>45798</v>
      </c>
      <c r="D735" t="inlineStr">
        <is>
          <t>NORRBOTTENS LÄN</t>
        </is>
      </c>
      <c r="E735" t="inlineStr">
        <is>
          <t>PITEÅ</t>
        </is>
      </c>
      <c r="G735" t="n">
        <v>1.1</v>
      </c>
      <c r="H735" t="n">
        <v>0</v>
      </c>
      <c r="I735" t="n">
        <v>0</v>
      </c>
      <c r="J735" t="n">
        <v>1</v>
      </c>
      <c r="K735" t="n">
        <v>0</v>
      </c>
      <c r="L735" t="n">
        <v>0</v>
      </c>
      <c r="M735" t="n">
        <v>0</v>
      </c>
      <c r="N735" t="n">
        <v>0</v>
      </c>
      <c r="O735" t="n">
        <v>1</v>
      </c>
      <c r="P735" t="n">
        <v>0</v>
      </c>
      <c r="Q735" t="n">
        <v>1</v>
      </c>
      <c r="R735" s="2" t="inlineStr">
        <is>
          <t>Tallticka</t>
        </is>
      </c>
      <c r="S735">
        <f>HYPERLINK("https://klasma.github.io/Logging_2581/artfynd/A 51168-2020 artfynd.xlsx", "A 51168-2020")</f>
        <v/>
      </c>
      <c r="T735">
        <f>HYPERLINK("https://klasma.github.io/Logging_2581/kartor/A 51168-2020 karta.png", "A 51168-2020")</f>
        <v/>
      </c>
      <c r="V735">
        <f>HYPERLINK("https://klasma.github.io/Logging_2581/klagomål/A 51168-2020 FSC-klagomål.docx", "A 51168-2020")</f>
        <v/>
      </c>
      <c r="W735">
        <f>HYPERLINK("https://klasma.github.io/Logging_2581/klagomålsmail/A 51168-2020 FSC-klagomål mail.docx", "A 51168-2020")</f>
        <v/>
      </c>
      <c r="X735">
        <f>HYPERLINK("https://klasma.github.io/Logging_2581/tillsyn/A 51168-2020 tillsynsbegäran.docx", "A 51168-2020")</f>
        <v/>
      </c>
      <c r="Y735">
        <f>HYPERLINK("https://klasma.github.io/Logging_2581/tillsynsmail/A 51168-2020 tillsynsbegäran mail.docx", "A 51168-2020")</f>
        <v/>
      </c>
    </row>
    <row r="736" ht="15" customHeight="1">
      <c r="A736" t="inlineStr">
        <is>
          <t>A 51875-2020</t>
        </is>
      </c>
      <c r="B736" s="1" t="n">
        <v>44109</v>
      </c>
      <c r="C736" s="1" t="n">
        <v>45798</v>
      </c>
      <c r="D736" t="inlineStr">
        <is>
          <t>NORRBOTTENS LÄN</t>
        </is>
      </c>
      <c r="E736" t="inlineStr">
        <is>
          <t>JOKKMOKK</t>
        </is>
      </c>
      <c r="F736" t="inlineStr">
        <is>
          <t>Allmännings- och besparingsskogar</t>
        </is>
      </c>
      <c r="G736" t="n">
        <v>28</v>
      </c>
      <c r="H736" t="n">
        <v>0</v>
      </c>
      <c r="I736" t="n">
        <v>0</v>
      </c>
      <c r="J736" t="n">
        <v>1</v>
      </c>
      <c r="K736" t="n">
        <v>0</v>
      </c>
      <c r="L736" t="n">
        <v>0</v>
      </c>
      <c r="M736" t="n">
        <v>0</v>
      </c>
      <c r="N736" t="n">
        <v>0</v>
      </c>
      <c r="O736" t="n">
        <v>1</v>
      </c>
      <c r="P736" t="n">
        <v>0</v>
      </c>
      <c r="Q736" t="n">
        <v>1</v>
      </c>
      <c r="R736" s="2" t="inlineStr">
        <is>
          <t>Vitplätt</t>
        </is>
      </c>
      <c r="S736">
        <f>HYPERLINK("https://klasma.github.io/Logging_2510/artfynd/A 51875-2020 artfynd.xlsx", "A 51875-2020")</f>
        <v/>
      </c>
      <c r="T736">
        <f>HYPERLINK("https://klasma.github.io/Logging_2510/kartor/A 51875-2020 karta.png", "A 51875-2020")</f>
        <v/>
      </c>
      <c r="V736">
        <f>HYPERLINK("https://klasma.github.io/Logging_2510/klagomål/A 51875-2020 FSC-klagomål.docx", "A 51875-2020")</f>
        <v/>
      </c>
      <c r="W736">
        <f>HYPERLINK("https://klasma.github.io/Logging_2510/klagomålsmail/A 51875-2020 FSC-klagomål mail.docx", "A 51875-2020")</f>
        <v/>
      </c>
      <c r="X736">
        <f>HYPERLINK("https://klasma.github.io/Logging_2510/tillsyn/A 51875-2020 tillsynsbegäran.docx", "A 51875-2020")</f>
        <v/>
      </c>
      <c r="Y736">
        <f>HYPERLINK("https://klasma.github.io/Logging_2510/tillsynsmail/A 51875-2020 tillsynsbegäran mail.docx", "A 51875-2020")</f>
        <v/>
      </c>
    </row>
    <row r="737" ht="15" customHeight="1">
      <c r="A737" t="inlineStr">
        <is>
          <t>A 52060-2020</t>
        </is>
      </c>
      <c r="B737" s="1" t="n">
        <v>44116</v>
      </c>
      <c r="C737" s="1" t="n">
        <v>45798</v>
      </c>
      <c r="D737" t="inlineStr">
        <is>
          <t>NORRBOTTENS LÄN</t>
        </is>
      </c>
      <c r="E737" t="inlineStr">
        <is>
          <t>GÄLLIVARE</t>
        </is>
      </c>
      <c r="F737" t="inlineStr">
        <is>
          <t>SCA</t>
        </is>
      </c>
      <c r="G737" t="n">
        <v>8.5</v>
      </c>
      <c r="H737" t="n">
        <v>0</v>
      </c>
      <c r="I737" t="n">
        <v>0</v>
      </c>
      <c r="J737" t="n">
        <v>0</v>
      </c>
      <c r="K737" t="n">
        <v>1</v>
      </c>
      <c r="L737" t="n">
        <v>0</v>
      </c>
      <c r="M737" t="n">
        <v>0</v>
      </c>
      <c r="N737" t="n">
        <v>0</v>
      </c>
      <c r="O737" t="n">
        <v>1</v>
      </c>
      <c r="P737" t="n">
        <v>1</v>
      </c>
      <c r="Q737" t="n">
        <v>1</v>
      </c>
      <c r="R737" s="2" t="inlineStr">
        <is>
          <t>Gräddporing</t>
        </is>
      </c>
      <c r="S737">
        <f>HYPERLINK("https://klasma.github.io/Logging_2523/artfynd/A 52060-2020 artfynd.xlsx", "A 52060-2020")</f>
        <v/>
      </c>
      <c r="T737">
        <f>HYPERLINK("https://klasma.github.io/Logging_2523/kartor/A 52060-2020 karta.png", "A 52060-2020")</f>
        <v/>
      </c>
      <c r="V737">
        <f>HYPERLINK("https://klasma.github.io/Logging_2523/klagomål/A 52060-2020 FSC-klagomål.docx", "A 52060-2020")</f>
        <v/>
      </c>
      <c r="W737">
        <f>HYPERLINK("https://klasma.github.io/Logging_2523/klagomålsmail/A 52060-2020 FSC-klagomål mail.docx", "A 52060-2020")</f>
        <v/>
      </c>
      <c r="X737">
        <f>HYPERLINK("https://klasma.github.io/Logging_2523/tillsyn/A 52060-2020 tillsynsbegäran.docx", "A 52060-2020")</f>
        <v/>
      </c>
      <c r="Y737">
        <f>HYPERLINK("https://klasma.github.io/Logging_2523/tillsynsmail/A 52060-2020 tillsynsbegäran mail.docx", "A 52060-2020")</f>
        <v/>
      </c>
    </row>
    <row r="738" ht="15" customHeight="1">
      <c r="A738" t="inlineStr">
        <is>
          <t>A 67324-2020</t>
        </is>
      </c>
      <c r="B738" s="1" t="n">
        <v>44181</v>
      </c>
      <c r="C738" s="1" t="n">
        <v>45798</v>
      </c>
      <c r="D738" t="inlineStr">
        <is>
          <t>NORRBOTTENS LÄN</t>
        </is>
      </c>
      <c r="E738" t="inlineStr">
        <is>
          <t>KALIX</t>
        </is>
      </c>
      <c r="F738" t="inlineStr">
        <is>
          <t>Sveaskog</t>
        </is>
      </c>
      <c r="G738" t="n">
        <v>3.4</v>
      </c>
      <c r="H738" t="n">
        <v>0</v>
      </c>
      <c r="I738" t="n">
        <v>0</v>
      </c>
      <c r="J738" t="n">
        <v>1</v>
      </c>
      <c r="K738" t="n">
        <v>0</v>
      </c>
      <c r="L738" t="n">
        <v>0</v>
      </c>
      <c r="M738" t="n">
        <v>0</v>
      </c>
      <c r="N738" t="n">
        <v>0</v>
      </c>
      <c r="O738" t="n">
        <v>1</v>
      </c>
      <c r="P738" t="n">
        <v>0</v>
      </c>
      <c r="Q738" t="n">
        <v>1</v>
      </c>
      <c r="R738" s="2" t="inlineStr">
        <is>
          <t>Gammelgransskål</t>
        </is>
      </c>
      <c r="S738">
        <f>HYPERLINK("https://klasma.github.io/Logging_2514/artfynd/A 67324-2020 artfynd.xlsx", "A 67324-2020")</f>
        <v/>
      </c>
      <c r="T738">
        <f>HYPERLINK("https://klasma.github.io/Logging_2514/kartor/A 67324-2020 karta.png", "A 67324-2020")</f>
        <v/>
      </c>
      <c r="V738">
        <f>HYPERLINK("https://klasma.github.io/Logging_2514/klagomål/A 67324-2020 FSC-klagomål.docx", "A 67324-2020")</f>
        <v/>
      </c>
      <c r="W738">
        <f>HYPERLINK("https://klasma.github.io/Logging_2514/klagomålsmail/A 67324-2020 FSC-klagomål mail.docx", "A 67324-2020")</f>
        <v/>
      </c>
      <c r="X738">
        <f>HYPERLINK("https://klasma.github.io/Logging_2514/tillsyn/A 67324-2020 tillsynsbegäran.docx", "A 67324-2020")</f>
        <v/>
      </c>
      <c r="Y738">
        <f>HYPERLINK("https://klasma.github.io/Logging_2514/tillsynsmail/A 67324-2020 tillsynsbegäran mail.docx", "A 67324-2020")</f>
        <v/>
      </c>
    </row>
    <row r="739" ht="15" customHeight="1">
      <c r="A739" t="inlineStr">
        <is>
          <t>A 69535-2020</t>
        </is>
      </c>
      <c r="B739" s="1" t="n">
        <v>44194</v>
      </c>
      <c r="C739" s="1" t="n">
        <v>45798</v>
      </c>
      <c r="D739" t="inlineStr">
        <is>
          <t>NORRBOTTENS LÄN</t>
        </is>
      </c>
      <c r="E739" t="inlineStr">
        <is>
          <t>ÖVERTORNEÅ</t>
        </is>
      </c>
      <c r="F739" t="inlineStr">
        <is>
          <t>Sveaskog</t>
        </is>
      </c>
      <c r="G739" t="n">
        <v>1.2</v>
      </c>
      <c r="H739" t="n">
        <v>0</v>
      </c>
      <c r="I739" t="n">
        <v>1</v>
      </c>
      <c r="J739" t="n">
        <v>0</v>
      </c>
      <c r="K739" t="n">
        <v>0</v>
      </c>
      <c r="L739" t="n">
        <v>0</v>
      </c>
      <c r="M739" t="n">
        <v>0</v>
      </c>
      <c r="N739" t="n">
        <v>0</v>
      </c>
      <c r="O739" t="n">
        <v>0</v>
      </c>
      <c r="P739" t="n">
        <v>0</v>
      </c>
      <c r="Q739" t="n">
        <v>1</v>
      </c>
      <c r="R739" s="2" t="inlineStr">
        <is>
          <t>Stuplav</t>
        </is>
      </c>
      <c r="S739">
        <f>HYPERLINK("https://klasma.github.io/Logging_2518/artfynd/A 69535-2020 artfynd.xlsx", "A 69535-2020")</f>
        <v/>
      </c>
      <c r="T739">
        <f>HYPERLINK("https://klasma.github.io/Logging_2518/kartor/A 69535-2020 karta.png", "A 69535-2020")</f>
        <v/>
      </c>
      <c r="V739">
        <f>HYPERLINK("https://klasma.github.io/Logging_2518/klagomål/A 69535-2020 FSC-klagomål.docx", "A 69535-2020")</f>
        <v/>
      </c>
      <c r="W739">
        <f>HYPERLINK("https://klasma.github.io/Logging_2518/klagomålsmail/A 69535-2020 FSC-klagomål mail.docx", "A 69535-2020")</f>
        <v/>
      </c>
      <c r="X739">
        <f>HYPERLINK("https://klasma.github.io/Logging_2518/tillsyn/A 69535-2020 tillsynsbegäran.docx", "A 69535-2020")</f>
        <v/>
      </c>
      <c r="Y739">
        <f>HYPERLINK("https://klasma.github.io/Logging_2518/tillsynsmail/A 69535-2020 tillsynsbegäran mail.docx", "A 69535-2020")</f>
        <v/>
      </c>
    </row>
    <row r="740" ht="15" customHeight="1">
      <c r="A740" t="inlineStr">
        <is>
          <t>A 6527-2021</t>
        </is>
      </c>
      <c r="B740" s="1" t="n">
        <v>44236</v>
      </c>
      <c r="C740" s="1" t="n">
        <v>45798</v>
      </c>
      <c r="D740" t="inlineStr">
        <is>
          <t>NORRBOTTENS LÄN</t>
        </is>
      </c>
      <c r="E740" t="inlineStr">
        <is>
          <t>LULEÅ</t>
        </is>
      </c>
      <c r="G740" t="n">
        <v>19.7</v>
      </c>
      <c r="H740" t="n">
        <v>1</v>
      </c>
      <c r="I740" t="n">
        <v>0</v>
      </c>
      <c r="J740" t="n">
        <v>1</v>
      </c>
      <c r="K740" t="n">
        <v>0</v>
      </c>
      <c r="L740" t="n">
        <v>0</v>
      </c>
      <c r="M740" t="n">
        <v>0</v>
      </c>
      <c r="N740" t="n">
        <v>0</v>
      </c>
      <c r="O740" t="n">
        <v>1</v>
      </c>
      <c r="P740" t="n">
        <v>0</v>
      </c>
      <c r="Q740" t="n">
        <v>1</v>
      </c>
      <c r="R740" s="2" t="inlineStr">
        <is>
          <t>Videsparv</t>
        </is>
      </c>
      <c r="S740">
        <f>HYPERLINK("https://klasma.github.io/Logging_2580/artfynd/A 6527-2021 artfynd.xlsx", "A 6527-2021")</f>
        <v/>
      </c>
      <c r="T740">
        <f>HYPERLINK("https://klasma.github.io/Logging_2580/kartor/A 6527-2021 karta.png", "A 6527-2021")</f>
        <v/>
      </c>
      <c r="V740">
        <f>HYPERLINK("https://klasma.github.io/Logging_2580/klagomål/A 6527-2021 FSC-klagomål.docx", "A 6527-2021")</f>
        <v/>
      </c>
      <c r="W740">
        <f>HYPERLINK("https://klasma.github.io/Logging_2580/klagomålsmail/A 6527-2021 FSC-klagomål mail.docx", "A 6527-2021")</f>
        <v/>
      </c>
      <c r="X740">
        <f>HYPERLINK("https://klasma.github.io/Logging_2580/tillsyn/A 6527-2021 tillsynsbegäran.docx", "A 6527-2021")</f>
        <v/>
      </c>
      <c r="Y740">
        <f>HYPERLINK("https://klasma.github.io/Logging_2580/tillsynsmail/A 6527-2021 tillsynsbegäran mail.docx", "A 6527-2021")</f>
        <v/>
      </c>
      <c r="Z740">
        <f>HYPERLINK("https://klasma.github.io/Logging_2580/fåglar/A 6527-2021 prioriterade fågelarter.docx", "A 6527-2021")</f>
        <v/>
      </c>
    </row>
    <row r="741" ht="15" customHeight="1">
      <c r="A741" t="inlineStr">
        <is>
          <t>A 6657-2021</t>
        </is>
      </c>
      <c r="B741" s="1" t="n">
        <v>44236</v>
      </c>
      <c r="C741" s="1" t="n">
        <v>45798</v>
      </c>
      <c r="D741" t="inlineStr">
        <is>
          <t>NORRBOTTENS LÄN</t>
        </is>
      </c>
      <c r="E741" t="inlineStr">
        <is>
          <t>PAJALA</t>
        </is>
      </c>
      <c r="F741" t="inlineStr">
        <is>
          <t>Allmännings- och besparingsskogar</t>
        </is>
      </c>
      <c r="G741" t="n">
        <v>70.59999999999999</v>
      </c>
      <c r="H741" t="n">
        <v>1</v>
      </c>
      <c r="I741" t="n">
        <v>0</v>
      </c>
      <c r="J741" t="n">
        <v>0</v>
      </c>
      <c r="K741" t="n">
        <v>0</v>
      </c>
      <c r="L741" t="n">
        <v>0</v>
      </c>
      <c r="M741" t="n">
        <v>0</v>
      </c>
      <c r="N741" t="n">
        <v>0</v>
      </c>
      <c r="O741" t="n">
        <v>0</v>
      </c>
      <c r="P741" t="n">
        <v>0</v>
      </c>
      <c r="Q741" t="n">
        <v>1</v>
      </c>
      <c r="R741" s="2" t="inlineStr">
        <is>
          <t>Tjäder</t>
        </is>
      </c>
      <c r="S741">
        <f>HYPERLINK("https://klasma.github.io/Logging_2521/artfynd/A 6657-2021 artfynd.xlsx", "A 6657-2021")</f>
        <v/>
      </c>
      <c r="T741">
        <f>HYPERLINK("https://klasma.github.io/Logging_2521/kartor/A 6657-2021 karta.png", "A 6657-2021")</f>
        <v/>
      </c>
      <c r="V741">
        <f>HYPERLINK("https://klasma.github.io/Logging_2521/klagomål/A 6657-2021 FSC-klagomål.docx", "A 6657-2021")</f>
        <v/>
      </c>
      <c r="W741">
        <f>HYPERLINK("https://klasma.github.io/Logging_2521/klagomålsmail/A 6657-2021 FSC-klagomål mail.docx", "A 6657-2021")</f>
        <v/>
      </c>
      <c r="X741">
        <f>HYPERLINK("https://klasma.github.io/Logging_2521/tillsyn/A 6657-2021 tillsynsbegäran.docx", "A 6657-2021")</f>
        <v/>
      </c>
      <c r="Y741">
        <f>HYPERLINK("https://klasma.github.io/Logging_2521/tillsynsmail/A 6657-2021 tillsynsbegäran mail.docx", "A 6657-2021")</f>
        <v/>
      </c>
      <c r="Z741">
        <f>HYPERLINK("https://klasma.github.io/Logging_2521/fåglar/A 6657-2021 prioriterade fågelarter.docx", "A 6657-2021")</f>
        <v/>
      </c>
    </row>
    <row r="742" ht="15" customHeight="1">
      <c r="A742" t="inlineStr">
        <is>
          <t>A 6878-2021</t>
        </is>
      </c>
      <c r="B742" s="1" t="n">
        <v>44237</v>
      </c>
      <c r="C742" s="1" t="n">
        <v>45798</v>
      </c>
      <c r="D742" t="inlineStr">
        <is>
          <t>NORRBOTTENS LÄN</t>
        </is>
      </c>
      <c r="E742" t="inlineStr">
        <is>
          <t>KIRUNA</t>
        </is>
      </c>
      <c r="G742" t="n">
        <v>8.199999999999999</v>
      </c>
      <c r="H742" t="n">
        <v>0</v>
      </c>
      <c r="I742" t="n">
        <v>0</v>
      </c>
      <c r="J742" t="n">
        <v>0</v>
      </c>
      <c r="K742" t="n">
        <v>1</v>
      </c>
      <c r="L742" t="n">
        <v>0</v>
      </c>
      <c r="M742" t="n">
        <v>0</v>
      </c>
      <c r="N742" t="n">
        <v>0</v>
      </c>
      <c r="O742" t="n">
        <v>1</v>
      </c>
      <c r="P742" t="n">
        <v>1</v>
      </c>
      <c r="Q742" t="n">
        <v>1</v>
      </c>
      <c r="R742" s="2" t="inlineStr">
        <is>
          <t>Gräddporing</t>
        </is>
      </c>
      <c r="S742">
        <f>HYPERLINK("https://klasma.github.io/Logging_2584/artfynd/A 6878-2021 artfynd.xlsx", "A 6878-2021")</f>
        <v/>
      </c>
      <c r="T742">
        <f>HYPERLINK("https://klasma.github.io/Logging_2584/kartor/A 6878-2021 karta.png", "A 6878-2021")</f>
        <v/>
      </c>
      <c r="V742">
        <f>HYPERLINK("https://klasma.github.io/Logging_2584/klagomål/A 6878-2021 FSC-klagomål.docx", "A 6878-2021")</f>
        <v/>
      </c>
      <c r="W742">
        <f>HYPERLINK("https://klasma.github.io/Logging_2584/klagomålsmail/A 6878-2021 FSC-klagomål mail.docx", "A 6878-2021")</f>
        <v/>
      </c>
      <c r="X742">
        <f>HYPERLINK("https://klasma.github.io/Logging_2584/tillsyn/A 6878-2021 tillsynsbegäran.docx", "A 6878-2021")</f>
        <v/>
      </c>
      <c r="Y742">
        <f>HYPERLINK("https://klasma.github.io/Logging_2584/tillsynsmail/A 6878-2021 tillsynsbegäran mail.docx", "A 6878-2021")</f>
        <v/>
      </c>
    </row>
    <row r="743" ht="15" customHeight="1">
      <c r="A743" t="inlineStr">
        <is>
          <t>A 13716-2021</t>
        </is>
      </c>
      <c r="B743" s="1" t="n">
        <v>44274</v>
      </c>
      <c r="C743" s="1" t="n">
        <v>45798</v>
      </c>
      <c r="D743" t="inlineStr">
        <is>
          <t>NORRBOTTENS LÄN</t>
        </is>
      </c>
      <c r="E743" t="inlineStr">
        <is>
          <t>KALIX</t>
        </is>
      </c>
      <c r="G743" t="n">
        <v>5</v>
      </c>
      <c r="H743" t="n">
        <v>0</v>
      </c>
      <c r="I743" t="n">
        <v>0</v>
      </c>
      <c r="J743" t="n">
        <v>1</v>
      </c>
      <c r="K743" t="n">
        <v>0</v>
      </c>
      <c r="L743" t="n">
        <v>0</v>
      </c>
      <c r="M743" t="n">
        <v>0</v>
      </c>
      <c r="N743" t="n">
        <v>0</v>
      </c>
      <c r="O743" t="n">
        <v>1</v>
      </c>
      <c r="P743" t="n">
        <v>0</v>
      </c>
      <c r="Q743" t="n">
        <v>1</v>
      </c>
      <c r="R743" s="2" t="inlineStr">
        <is>
          <t>Lunglav</t>
        </is>
      </c>
      <c r="S743">
        <f>HYPERLINK("https://klasma.github.io/Logging_2514/artfynd/A 13716-2021 artfynd.xlsx", "A 13716-2021")</f>
        <v/>
      </c>
      <c r="T743">
        <f>HYPERLINK("https://klasma.github.io/Logging_2514/kartor/A 13716-2021 karta.png", "A 13716-2021")</f>
        <v/>
      </c>
      <c r="V743">
        <f>HYPERLINK("https://klasma.github.io/Logging_2514/klagomål/A 13716-2021 FSC-klagomål.docx", "A 13716-2021")</f>
        <v/>
      </c>
      <c r="W743">
        <f>HYPERLINK("https://klasma.github.io/Logging_2514/klagomålsmail/A 13716-2021 FSC-klagomål mail.docx", "A 13716-2021")</f>
        <v/>
      </c>
      <c r="X743">
        <f>HYPERLINK("https://klasma.github.io/Logging_2514/tillsyn/A 13716-2021 tillsynsbegäran.docx", "A 13716-2021")</f>
        <v/>
      </c>
      <c r="Y743">
        <f>HYPERLINK("https://klasma.github.io/Logging_2514/tillsynsmail/A 13716-2021 tillsynsbegäran mail.docx", "A 13716-2021")</f>
        <v/>
      </c>
    </row>
    <row r="744" ht="15" customHeight="1">
      <c r="A744" t="inlineStr">
        <is>
          <t>A 15687-2021</t>
        </is>
      </c>
      <c r="B744" s="1" t="n">
        <v>44286</v>
      </c>
      <c r="C744" s="1" t="n">
        <v>45798</v>
      </c>
      <c r="D744" t="inlineStr">
        <is>
          <t>NORRBOTTENS LÄN</t>
        </is>
      </c>
      <c r="E744" t="inlineStr">
        <is>
          <t>KALIX</t>
        </is>
      </c>
      <c r="G744" t="n">
        <v>3.1</v>
      </c>
      <c r="H744" t="n">
        <v>1</v>
      </c>
      <c r="I744" t="n">
        <v>0</v>
      </c>
      <c r="J744" t="n">
        <v>1</v>
      </c>
      <c r="K744" t="n">
        <v>0</v>
      </c>
      <c r="L744" t="n">
        <v>0</v>
      </c>
      <c r="M744" t="n">
        <v>0</v>
      </c>
      <c r="N744" t="n">
        <v>0</v>
      </c>
      <c r="O744" t="n">
        <v>1</v>
      </c>
      <c r="P744" t="n">
        <v>0</v>
      </c>
      <c r="Q744" t="n">
        <v>1</v>
      </c>
      <c r="R744" s="2" t="inlineStr">
        <is>
          <t>Utter</t>
        </is>
      </c>
      <c r="S744">
        <f>HYPERLINK("https://klasma.github.io/Logging_2514/artfynd/A 15687-2021 artfynd.xlsx", "A 15687-2021")</f>
        <v/>
      </c>
      <c r="T744">
        <f>HYPERLINK("https://klasma.github.io/Logging_2514/kartor/A 15687-2021 karta.png", "A 15687-2021")</f>
        <v/>
      </c>
      <c r="V744">
        <f>HYPERLINK("https://klasma.github.io/Logging_2514/klagomål/A 15687-2021 FSC-klagomål.docx", "A 15687-2021")</f>
        <v/>
      </c>
      <c r="W744">
        <f>HYPERLINK("https://klasma.github.io/Logging_2514/klagomålsmail/A 15687-2021 FSC-klagomål mail.docx", "A 15687-2021")</f>
        <v/>
      </c>
      <c r="X744">
        <f>HYPERLINK("https://klasma.github.io/Logging_2514/tillsyn/A 15687-2021 tillsynsbegäran.docx", "A 15687-2021")</f>
        <v/>
      </c>
      <c r="Y744">
        <f>HYPERLINK("https://klasma.github.io/Logging_2514/tillsynsmail/A 15687-2021 tillsynsbegäran mail.docx", "A 15687-2021")</f>
        <v/>
      </c>
    </row>
    <row r="745" ht="15" customHeight="1">
      <c r="A745" t="inlineStr">
        <is>
          <t>A 19368-2021</t>
        </is>
      </c>
      <c r="B745" s="1" t="n">
        <v>44309</v>
      </c>
      <c r="C745" s="1" t="n">
        <v>45798</v>
      </c>
      <c r="D745" t="inlineStr">
        <is>
          <t>NORRBOTTENS LÄN</t>
        </is>
      </c>
      <c r="E745" t="inlineStr">
        <is>
          <t>PITEÅ</t>
        </is>
      </c>
      <c r="G745" t="n">
        <v>5.8</v>
      </c>
      <c r="H745" t="n">
        <v>1</v>
      </c>
      <c r="I745" t="n">
        <v>0</v>
      </c>
      <c r="J745" t="n">
        <v>0</v>
      </c>
      <c r="K745" t="n">
        <v>0</v>
      </c>
      <c r="L745" t="n">
        <v>0</v>
      </c>
      <c r="M745" t="n">
        <v>0</v>
      </c>
      <c r="N745" t="n">
        <v>0</v>
      </c>
      <c r="O745" t="n">
        <v>0</v>
      </c>
      <c r="P745" t="n">
        <v>0</v>
      </c>
      <c r="Q745" t="n">
        <v>1</v>
      </c>
      <c r="R745" s="2" t="inlineStr">
        <is>
          <t>Citronfläckad kärrtrollslända</t>
        </is>
      </c>
      <c r="S745">
        <f>HYPERLINK("https://klasma.github.io/Logging_2581/artfynd/A 19368-2021 artfynd.xlsx", "A 19368-2021")</f>
        <v/>
      </c>
      <c r="T745">
        <f>HYPERLINK("https://klasma.github.io/Logging_2581/kartor/A 19368-2021 karta.png", "A 19368-2021")</f>
        <v/>
      </c>
      <c r="V745">
        <f>HYPERLINK("https://klasma.github.io/Logging_2581/klagomål/A 19368-2021 FSC-klagomål.docx", "A 19368-2021")</f>
        <v/>
      </c>
      <c r="W745">
        <f>HYPERLINK("https://klasma.github.io/Logging_2581/klagomålsmail/A 19368-2021 FSC-klagomål mail.docx", "A 19368-2021")</f>
        <v/>
      </c>
      <c r="X745">
        <f>HYPERLINK("https://klasma.github.io/Logging_2581/tillsyn/A 19368-2021 tillsynsbegäran.docx", "A 19368-2021")</f>
        <v/>
      </c>
      <c r="Y745">
        <f>HYPERLINK("https://klasma.github.io/Logging_2581/tillsynsmail/A 19368-2021 tillsynsbegäran mail.docx", "A 19368-2021")</f>
        <v/>
      </c>
    </row>
    <row r="746" ht="15" customHeight="1">
      <c r="A746" t="inlineStr">
        <is>
          <t>A 25517-2021</t>
        </is>
      </c>
      <c r="B746" s="1" t="n">
        <v>44342</v>
      </c>
      <c r="C746" s="1" t="n">
        <v>45798</v>
      </c>
      <c r="D746" t="inlineStr">
        <is>
          <t>NORRBOTTENS LÄN</t>
        </is>
      </c>
      <c r="E746" t="inlineStr">
        <is>
          <t>PITEÅ</t>
        </is>
      </c>
      <c r="F746" t="inlineStr">
        <is>
          <t>SCA</t>
        </is>
      </c>
      <c r="G746" t="n">
        <v>2.3</v>
      </c>
      <c r="H746" t="n">
        <v>0</v>
      </c>
      <c r="I746" t="n">
        <v>1</v>
      </c>
      <c r="J746" t="n">
        <v>0</v>
      </c>
      <c r="K746" t="n">
        <v>0</v>
      </c>
      <c r="L746" t="n">
        <v>0</v>
      </c>
      <c r="M746" t="n">
        <v>0</v>
      </c>
      <c r="N746" t="n">
        <v>0</v>
      </c>
      <c r="O746" t="n">
        <v>0</v>
      </c>
      <c r="P746" t="n">
        <v>0</v>
      </c>
      <c r="Q746" t="n">
        <v>1</v>
      </c>
      <c r="R746" s="2" t="inlineStr">
        <is>
          <t>Skinnlav</t>
        </is>
      </c>
      <c r="S746">
        <f>HYPERLINK("https://klasma.github.io/Logging_2581/artfynd/A 25517-2021 artfynd.xlsx", "A 25517-2021")</f>
        <v/>
      </c>
      <c r="T746">
        <f>HYPERLINK("https://klasma.github.io/Logging_2581/kartor/A 25517-2021 karta.png", "A 25517-2021")</f>
        <v/>
      </c>
      <c r="V746">
        <f>HYPERLINK("https://klasma.github.io/Logging_2581/klagomål/A 25517-2021 FSC-klagomål.docx", "A 25517-2021")</f>
        <v/>
      </c>
      <c r="W746">
        <f>HYPERLINK("https://klasma.github.io/Logging_2581/klagomålsmail/A 25517-2021 FSC-klagomål mail.docx", "A 25517-2021")</f>
        <v/>
      </c>
      <c r="X746">
        <f>HYPERLINK("https://klasma.github.io/Logging_2581/tillsyn/A 25517-2021 tillsynsbegäran.docx", "A 25517-2021")</f>
        <v/>
      </c>
      <c r="Y746">
        <f>HYPERLINK("https://klasma.github.io/Logging_2581/tillsynsmail/A 25517-2021 tillsynsbegäran mail.docx", "A 25517-2021")</f>
        <v/>
      </c>
    </row>
    <row r="747" ht="15" customHeight="1">
      <c r="A747" t="inlineStr">
        <is>
          <t>A 30239-2021</t>
        </is>
      </c>
      <c r="B747" s="1" t="n">
        <v>44363</v>
      </c>
      <c r="C747" s="1" t="n">
        <v>45798</v>
      </c>
      <c r="D747" t="inlineStr">
        <is>
          <t>NORRBOTTENS LÄN</t>
        </is>
      </c>
      <c r="E747" t="inlineStr">
        <is>
          <t>PAJALA</t>
        </is>
      </c>
      <c r="F747" t="inlineStr">
        <is>
          <t>Sveaskog</t>
        </is>
      </c>
      <c r="G747" t="n">
        <v>22.8</v>
      </c>
      <c r="H747" t="n">
        <v>0</v>
      </c>
      <c r="I747" t="n">
        <v>0</v>
      </c>
      <c r="J747" t="n">
        <v>0</v>
      </c>
      <c r="K747" t="n">
        <v>1</v>
      </c>
      <c r="L747" t="n">
        <v>0</v>
      </c>
      <c r="M747" t="n">
        <v>0</v>
      </c>
      <c r="N747" t="n">
        <v>0</v>
      </c>
      <c r="O747" t="n">
        <v>1</v>
      </c>
      <c r="P747" t="n">
        <v>1</v>
      </c>
      <c r="Q747" t="n">
        <v>1</v>
      </c>
      <c r="R747" s="2" t="inlineStr">
        <is>
          <t>Gräddporing</t>
        </is>
      </c>
      <c r="S747">
        <f>HYPERLINK("https://klasma.github.io/Logging_2521/artfynd/A 30239-2021 artfynd.xlsx", "A 30239-2021")</f>
        <v/>
      </c>
      <c r="T747">
        <f>HYPERLINK("https://klasma.github.io/Logging_2521/kartor/A 30239-2021 karta.png", "A 30239-2021")</f>
        <v/>
      </c>
      <c r="V747">
        <f>HYPERLINK("https://klasma.github.io/Logging_2521/klagomål/A 30239-2021 FSC-klagomål.docx", "A 30239-2021")</f>
        <v/>
      </c>
      <c r="W747">
        <f>HYPERLINK("https://klasma.github.io/Logging_2521/klagomålsmail/A 30239-2021 FSC-klagomål mail.docx", "A 30239-2021")</f>
        <v/>
      </c>
      <c r="X747">
        <f>HYPERLINK("https://klasma.github.io/Logging_2521/tillsyn/A 30239-2021 tillsynsbegäran.docx", "A 30239-2021")</f>
        <v/>
      </c>
      <c r="Y747">
        <f>HYPERLINK("https://klasma.github.io/Logging_2521/tillsynsmail/A 30239-2021 tillsynsbegäran mail.docx", "A 30239-2021")</f>
        <v/>
      </c>
    </row>
    <row r="748" ht="15" customHeight="1">
      <c r="A748" t="inlineStr">
        <is>
          <t>A 30881-2021</t>
        </is>
      </c>
      <c r="B748" s="1" t="n">
        <v>44365</v>
      </c>
      <c r="C748" s="1" t="n">
        <v>45798</v>
      </c>
      <c r="D748" t="inlineStr">
        <is>
          <t>NORRBOTTENS LÄN</t>
        </is>
      </c>
      <c r="E748" t="inlineStr">
        <is>
          <t>BODEN</t>
        </is>
      </c>
      <c r="F748" t="inlineStr">
        <is>
          <t>Sveaskog</t>
        </is>
      </c>
      <c r="G748" t="n">
        <v>1</v>
      </c>
      <c r="H748" t="n">
        <v>0</v>
      </c>
      <c r="I748" t="n">
        <v>0</v>
      </c>
      <c r="J748" t="n">
        <v>0</v>
      </c>
      <c r="K748" t="n">
        <v>1</v>
      </c>
      <c r="L748" t="n">
        <v>0</v>
      </c>
      <c r="M748" t="n">
        <v>0</v>
      </c>
      <c r="N748" t="n">
        <v>0</v>
      </c>
      <c r="O748" t="n">
        <v>1</v>
      </c>
      <c r="P748" t="n">
        <v>1</v>
      </c>
      <c r="Q748" t="n">
        <v>1</v>
      </c>
      <c r="R748" s="2" t="inlineStr">
        <is>
          <t>Tallgråticka</t>
        </is>
      </c>
      <c r="S748">
        <f>HYPERLINK("https://klasma.github.io/Logging_2582/artfynd/A 30881-2021 artfynd.xlsx", "A 30881-2021")</f>
        <v/>
      </c>
      <c r="T748">
        <f>HYPERLINK("https://klasma.github.io/Logging_2582/kartor/A 30881-2021 karta.png", "A 30881-2021")</f>
        <v/>
      </c>
      <c r="V748">
        <f>HYPERLINK("https://klasma.github.io/Logging_2582/klagomål/A 30881-2021 FSC-klagomål.docx", "A 30881-2021")</f>
        <v/>
      </c>
      <c r="W748">
        <f>HYPERLINK("https://klasma.github.io/Logging_2582/klagomålsmail/A 30881-2021 FSC-klagomål mail.docx", "A 30881-2021")</f>
        <v/>
      </c>
      <c r="X748">
        <f>HYPERLINK("https://klasma.github.io/Logging_2582/tillsyn/A 30881-2021 tillsynsbegäran.docx", "A 30881-2021")</f>
        <v/>
      </c>
      <c r="Y748">
        <f>HYPERLINK("https://klasma.github.io/Logging_2582/tillsynsmail/A 30881-2021 tillsynsbegäran mail.docx", "A 30881-2021")</f>
        <v/>
      </c>
    </row>
    <row r="749" ht="15" customHeight="1">
      <c r="A749" t="inlineStr">
        <is>
          <t>A 30850-2021</t>
        </is>
      </c>
      <c r="B749" s="1" t="n">
        <v>44365</v>
      </c>
      <c r="C749" s="1" t="n">
        <v>45798</v>
      </c>
      <c r="D749" t="inlineStr">
        <is>
          <t>NORRBOTTENS LÄN</t>
        </is>
      </c>
      <c r="E749" t="inlineStr">
        <is>
          <t>BODEN</t>
        </is>
      </c>
      <c r="F749" t="inlineStr">
        <is>
          <t>Sveaskog</t>
        </is>
      </c>
      <c r="G749" t="n">
        <v>6.6</v>
      </c>
      <c r="H749" t="n">
        <v>0</v>
      </c>
      <c r="I749" t="n">
        <v>0</v>
      </c>
      <c r="J749" t="n">
        <v>1</v>
      </c>
      <c r="K749" t="n">
        <v>0</v>
      </c>
      <c r="L749" t="n">
        <v>0</v>
      </c>
      <c r="M749" t="n">
        <v>0</v>
      </c>
      <c r="N749" t="n">
        <v>0</v>
      </c>
      <c r="O749" t="n">
        <v>1</v>
      </c>
      <c r="P749" t="n">
        <v>0</v>
      </c>
      <c r="Q749" t="n">
        <v>1</v>
      </c>
      <c r="R749" s="2" t="inlineStr">
        <is>
          <t>Tallticka</t>
        </is>
      </c>
      <c r="S749">
        <f>HYPERLINK("https://klasma.github.io/Logging_2582/artfynd/A 30850-2021 artfynd.xlsx", "A 30850-2021")</f>
        <v/>
      </c>
      <c r="T749">
        <f>HYPERLINK("https://klasma.github.io/Logging_2582/kartor/A 30850-2021 karta.png", "A 30850-2021")</f>
        <v/>
      </c>
      <c r="V749">
        <f>HYPERLINK("https://klasma.github.io/Logging_2582/klagomål/A 30850-2021 FSC-klagomål.docx", "A 30850-2021")</f>
        <v/>
      </c>
      <c r="W749">
        <f>HYPERLINK("https://klasma.github.io/Logging_2582/klagomålsmail/A 30850-2021 FSC-klagomål mail.docx", "A 30850-2021")</f>
        <v/>
      </c>
      <c r="X749">
        <f>HYPERLINK("https://klasma.github.io/Logging_2582/tillsyn/A 30850-2021 tillsynsbegäran.docx", "A 30850-2021")</f>
        <v/>
      </c>
      <c r="Y749">
        <f>HYPERLINK("https://klasma.github.io/Logging_2582/tillsynsmail/A 30850-2021 tillsynsbegäran mail.docx", "A 30850-2021")</f>
        <v/>
      </c>
    </row>
    <row r="750" ht="15" customHeight="1">
      <c r="A750" t="inlineStr">
        <is>
          <t>A 31232-2021</t>
        </is>
      </c>
      <c r="B750" s="1" t="n">
        <v>44368</v>
      </c>
      <c r="C750" s="1" t="n">
        <v>45798</v>
      </c>
      <c r="D750" t="inlineStr">
        <is>
          <t>NORRBOTTENS LÄN</t>
        </is>
      </c>
      <c r="E750" t="inlineStr">
        <is>
          <t>KALIX</t>
        </is>
      </c>
      <c r="G750" t="n">
        <v>7.6</v>
      </c>
      <c r="H750" t="n">
        <v>0</v>
      </c>
      <c r="I750" t="n">
        <v>0</v>
      </c>
      <c r="J750" t="n">
        <v>1</v>
      </c>
      <c r="K750" t="n">
        <v>0</v>
      </c>
      <c r="L750" t="n">
        <v>0</v>
      </c>
      <c r="M750" t="n">
        <v>0</v>
      </c>
      <c r="N750" t="n">
        <v>0</v>
      </c>
      <c r="O750" t="n">
        <v>1</v>
      </c>
      <c r="P750" t="n">
        <v>0</v>
      </c>
      <c r="Q750" t="n">
        <v>1</v>
      </c>
      <c r="R750" s="2" t="inlineStr">
        <is>
          <t>Skrovlig taggsvamp</t>
        </is>
      </c>
      <c r="S750">
        <f>HYPERLINK("https://klasma.github.io/Logging_2514/artfynd/A 31232-2021 artfynd.xlsx", "A 31232-2021")</f>
        <v/>
      </c>
      <c r="T750">
        <f>HYPERLINK("https://klasma.github.io/Logging_2514/kartor/A 31232-2021 karta.png", "A 31232-2021")</f>
        <v/>
      </c>
      <c r="V750">
        <f>HYPERLINK("https://klasma.github.io/Logging_2514/klagomål/A 31232-2021 FSC-klagomål.docx", "A 31232-2021")</f>
        <v/>
      </c>
      <c r="W750">
        <f>HYPERLINK("https://klasma.github.io/Logging_2514/klagomålsmail/A 31232-2021 FSC-klagomål mail.docx", "A 31232-2021")</f>
        <v/>
      </c>
      <c r="X750">
        <f>HYPERLINK("https://klasma.github.io/Logging_2514/tillsyn/A 31232-2021 tillsynsbegäran.docx", "A 31232-2021")</f>
        <v/>
      </c>
      <c r="Y750">
        <f>HYPERLINK("https://klasma.github.io/Logging_2514/tillsynsmail/A 31232-2021 tillsynsbegäran mail.docx", "A 31232-2021")</f>
        <v/>
      </c>
    </row>
    <row r="751" ht="15" customHeight="1">
      <c r="A751" t="inlineStr">
        <is>
          <t>A 36594-2021</t>
        </is>
      </c>
      <c r="B751" s="1" t="n">
        <v>44391</v>
      </c>
      <c r="C751" s="1" t="n">
        <v>45798</v>
      </c>
      <c r="D751" t="inlineStr">
        <is>
          <t>NORRBOTTENS LÄN</t>
        </is>
      </c>
      <c r="E751" t="inlineStr">
        <is>
          <t>JOKKMOKK</t>
        </is>
      </c>
      <c r="F751" t="inlineStr">
        <is>
          <t>Sveaskog</t>
        </is>
      </c>
      <c r="G751" t="n">
        <v>5.8</v>
      </c>
      <c r="H751" t="n">
        <v>1</v>
      </c>
      <c r="I751" t="n">
        <v>0</v>
      </c>
      <c r="J751" t="n">
        <v>0</v>
      </c>
      <c r="K751" t="n">
        <v>1</v>
      </c>
      <c r="L751" t="n">
        <v>0</v>
      </c>
      <c r="M751" t="n">
        <v>0</v>
      </c>
      <c r="N751" t="n">
        <v>0</v>
      </c>
      <c r="O751" t="n">
        <v>1</v>
      </c>
      <c r="P751" t="n">
        <v>1</v>
      </c>
      <c r="Q751" t="n">
        <v>1</v>
      </c>
      <c r="R751" s="2" t="inlineStr">
        <is>
          <t>Doftticka</t>
        </is>
      </c>
      <c r="S751">
        <f>HYPERLINK("https://klasma.github.io/Logging_2510/artfynd/A 36594-2021 artfynd.xlsx", "A 36594-2021")</f>
        <v/>
      </c>
      <c r="T751">
        <f>HYPERLINK("https://klasma.github.io/Logging_2510/kartor/A 36594-2021 karta.png", "A 36594-2021")</f>
        <v/>
      </c>
      <c r="V751">
        <f>HYPERLINK("https://klasma.github.io/Logging_2510/klagomål/A 36594-2021 FSC-klagomål.docx", "A 36594-2021")</f>
        <v/>
      </c>
      <c r="W751">
        <f>HYPERLINK("https://klasma.github.io/Logging_2510/klagomålsmail/A 36594-2021 FSC-klagomål mail.docx", "A 36594-2021")</f>
        <v/>
      </c>
      <c r="X751">
        <f>HYPERLINK("https://klasma.github.io/Logging_2510/tillsyn/A 36594-2021 tillsynsbegäran.docx", "A 36594-2021")</f>
        <v/>
      </c>
      <c r="Y751">
        <f>HYPERLINK("https://klasma.github.io/Logging_2510/tillsynsmail/A 36594-2021 tillsynsbegäran mail.docx", "A 36594-2021")</f>
        <v/>
      </c>
    </row>
    <row r="752" ht="15" customHeight="1">
      <c r="A752" t="inlineStr">
        <is>
          <t>A 39289-2021</t>
        </is>
      </c>
      <c r="B752" s="1" t="n">
        <v>44413</v>
      </c>
      <c r="C752" s="1" t="n">
        <v>45798</v>
      </c>
      <c r="D752" t="inlineStr">
        <is>
          <t>NORRBOTTENS LÄN</t>
        </is>
      </c>
      <c r="E752" t="inlineStr">
        <is>
          <t>PAJALA</t>
        </is>
      </c>
      <c r="F752" t="inlineStr">
        <is>
          <t>Sveaskog</t>
        </is>
      </c>
      <c r="G752" t="n">
        <v>10.7</v>
      </c>
      <c r="H752" t="n">
        <v>1</v>
      </c>
      <c r="I752" t="n">
        <v>0</v>
      </c>
      <c r="J752" t="n">
        <v>0</v>
      </c>
      <c r="K752" t="n">
        <v>0</v>
      </c>
      <c r="L752" t="n">
        <v>0</v>
      </c>
      <c r="M752" t="n">
        <v>0</v>
      </c>
      <c r="N752" t="n">
        <v>0</v>
      </c>
      <c r="O752" t="n">
        <v>0</v>
      </c>
      <c r="P752" t="n">
        <v>0</v>
      </c>
      <c r="Q752" t="n">
        <v>1</v>
      </c>
      <c r="R752" s="2" t="inlineStr">
        <is>
          <t>Revlummer</t>
        </is>
      </c>
      <c r="S752">
        <f>HYPERLINK("https://klasma.github.io/Logging_2521/artfynd/A 39289-2021 artfynd.xlsx", "A 39289-2021")</f>
        <v/>
      </c>
      <c r="T752">
        <f>HYPERLINK("https://klasma.github.io/Logging_2521/kartor/A 39289-2021 karta.png", "A 39289-2021")</f>
        <v/>
      </c>
      <c r="V752">
        <f>HYPERLINK("https://klasma.github.io/Logging_2521/klagomål/A 39289-2021 FSC-klagomål.docx", "A 39289-2021")</f>
        <v/>
      </c>
      <c r="W752">
        <f>HYPERLINK("https://klasma.github.io/Logging_2521/klagomålsmail/A 39289-2021 FSC-klagomål mail.docx", "A 39289-2021")</f>
        <v/>
      </c>
      <c r="X752">
        <f>HYPERLINK("https://klasma.github.io/Logging_2521/tillsyn/A 39289-2021 tillsynsbegäran.docx", "A 39289-2021")</f>
        <v/>
      </c>
      <c r="Y752">
        <f>HYPERLINK("https://klasma.github.io/Logging_2521/tillsynsmail/A 39289-2021 tillsynsbegäran mail.docx", "A 39289-2021")</f>
        <v/>
      </c>
    </row>
    <row r="753" ht="15" customHeight="1">
      <c r="A753" t="inlineStr">
        <is>
          <t>A 40208-2021</t>
        </is>
      </c>
      <c r="B753" s="1" t="n">
        <v>44418</v>
      </c>
      <c r="C753" s="1" t="n">
        <v>45798</v>
      </c>
      <c r="D753" t="inlineStr">
        <is>
          <t>NORRBOTTENS LÄN</t>
        </is>
      </c>
      <c r="E753" t="inlineStr">
        <is>
          <t>ÖVERTORNEÅ</t>
        </is>
      </c>
      <c r="G753" t="n">
        <v>5.7</v>
      </c>
      <c r="H753" t="n">
        <v>0</v>
      </c>
      <c r="I753" t="n">
        <v>0</v>
      </c>
      <c r="J753" t="n">
        <v>1</v>
      </c>
      <c r="K753" t="n">
        <v>0</v>
      </c>
      <c r="L753" t="n">
        <v>0</v>
      </c>
      <c r="M753" t="n">
        <v>0</v>
      </c>
      <c r="N753" t="n">
        <v>0</v>
      </c>
      <c r="O753" t="n">
        <v>1</v>
      </c>
      <c r="P753" t="n">
        <v>0</v>
      </c>
      <c r="Q753" t="n">
        <v>1</v>
      </c>
      <c r="R753" s="2" t="inlineStr">
        <is>
          <t>Älvstarr</t>
        </is>
      </c>
      <c r="S753">
        <f>HYPERLINK("https://klasma.github.io/Logging_2518/artfynd/A 40208-2021 artfynd.xlsx", "A 40208-2021")</f>
        <v/>
      </c>
      <c r="T753">
        <f>HYPERLINK("https://klasma.github.io/Logging_2518/kartor/A 40208-2021 karta.png", "A 40208-2021")</f>
        <v/>
      </c>
      <c r="V753">
        <f>HYPERLINK("https://klasma.github.io/Logging_2518/klagomål/A 40208-2021 FSC-klagomål.docx", "A 40208-2021")</f>
        <v/>
      </c>
      <c r="W753">
        <f>HYPERLINK("https://klasma.github.io/Logging_2518/klagomålsmail/A 40208-2021 FSC-klagomål mail.docx", "A 40208-2021")</f>
        <v/>
      </c>
      <c r="X753">
        <f>HYPERLINK("https://klasma.github.io/Logging_2518/tillsyn/A 40208-2021 tillsynsbegäran.docx", "A 40208-2021")</f>
        <v/>
      </c>
      <c r="Y753">
        <f>HYPERLINK("https://klasma.github.io/Logging_2518/tillsynsmail/A 40208-2021 tillsynsbegäran mail.docx", "A 40208-2021")</f>
        <v/>
      </c>
    </row>
    <row r="754" ht="15" customHeight="1">
      <c r="A754" t="inlineStr">
        <is>
          <t>A 40779-2021</t>
        </is>
      </c>
      <c r="B754" s="1" t="n">
        <v>44421</v>
      </c>
      <c r="C754" s="1" t="n">
        <v>45798</v>
      </c>
      <c r="D754" t="inlineStr">
        <is>
          <t>NORRBOTTENS LÄN</t>
        </is>
      </c>
      <c r="E754" t="inlineStr">
        <is>
          <t>BODEN</t>
        </is>
      </c>
      <c r="F754" t="inlineStr">
        <is>
          <t>Sveaskog</t>
        </is>
      </c>
      <c r="G754" t="n">
        <v>4.8</v>
      </c>
      <c r="H754" t="n">
        <v>0</v>
      </c>
      <c r="I754" t="n">
        <v>0</v>
      </c>
      <c r="J754" t="n">
        <v>1</v>
      </c>
      <c r="K754" t="n">
        <v>0</v>
      </c>
      <c r="L754" t="n">
        <v>0</v>
      </c>
      <c r="M754" t="n">
        <v>0</v>
      </c>
      <c r="N754" t="n">
        <v>0</v>
      </c>
      <c r="O754" t="n">
        <v>1</v>
      </c>
      <c r="P754" t="n">
        <v>0</v>
      </c>
      <c r="Q754" t="n">
        <v>1</v>
      </c>
      <c r="R754" s="2" t="inlineStr">
        <is>
          <t>Garnlav</t>
        </is>
      </c>
      <c r="S754">
        <f>HYPERLINK("https://klasma.github.io/Logging_2582/artfynd/A 40779-2021 artfynd.xlsx", "A 40779-2021")</f>
        <v/>
      </c>
      <c r="T754">
        <f>HYPERLINK("https://klasma.github.io/Logging_2582/kartor/A 40779-2021 karta.png", "A 40779-2021")</f>
        <v/>
      </c>
      <c r="V754">
        <f>HYPERLINK("https://klasma.github.io/Logging_2582/klagomål/A 40779-2021 FSC-klagomål.docx", "A 40779-2021")</f>
        <v/>
      </c>
      <c r="W754">
        <f>HYPERLINK("https://klasma.github.io/Logging_2582/klagomålsmail/A 40779-2021 FSC-klagomål mail.docx", "A 40779-2021")</f>
        <v/>
      </c>
      <c r="X754">
        <f>HYPERLINK("https://klasma.github.io/Logging_2582/tillsyn/A 40779-2021 tillsynsbegäran.docx", "A 40779-2021")</f>
        <v/>
      </c>
      <c r="Y754">
        <f>HYPERLINK("https://klasma.github.io/Logging_2582/tillsynsmail/A 40779-2021 tillsynsbegäran mail.docx", "A 40779-2021")</f>
        <v/>
      </c>
    </row>
    <row r="755" ht="15" customHeight="1">
      <c r="A755" t="inlineStr">
        <is>
          <t>A 43092-2021</t>
        </is>
      </c>
      <c r="B755" s="1" t="n">
        <v>44431</v>
      </c>
      <c r="C755" s="1" t="n">
        <v>45798</v>
      </c>
      <c r="D755" t="inlineStr">
        <is>
          <t>NORRBOTTENS LÄN</t>
        </is>
      </c>
      <c r="E755" t="inlineStr">
        <is>
          <t>GÄLLIVARE</t>
        </is>
      </c>
      <c r="G755" t="n">
        <v>0.9</v>
      </c>
      <c r="H755" t="n">
        <v>1</v>
      </c>
      <c r="I755" t="n">
        <v>0</v>
      </c>
      <c r="J755" t="n">
        <v>1</v>
      </c>
      <c r="K755" t="n">
        <v>0</v>
      </c>
      <c r="L755" t="n">
        <v>0</v>
      </c>
      <c r="M755" t="n">
        <v>0</v>
      </c>
      <c r="N755" t="n">
        <v>0</v>
      </c>
      <c r="O755" t="n">
        <v>1</v>
      </c>
      <c r="P755" t="n">
        <v>0</v>
      </c>
      <c r="Q755" t="n">
        <v>1</v>
      </c>
      <c r="R755" s="2" t="inlineStr">
        <is>
          <t>Utter</t>
        </is>
      </c>
      <c r="S755">
        <f>HYPERLINK("https://klasma.github.io/Logging_2523/artfynd/A 43092-2021 artfynd.xlsx", "A 43092-2021")</f>
        <v/>
      </c>
      <c r="T755">
        <f>HYPERLINK("https://klasma.github.io/Logging_2523/kartor/A 43092-2021 karta.png", "A 43092-2021")</f>
        <v/>
      </c>
      <c r="V755">
        <f>HYPERLINK("https://klasma.github.io/Logging_2523/klagomål/A 43092-2021 FSC-klagomål.docx", "A 43092-2021")</f>
        <v/>
      </c>
      <c r="W755">
        <f>HYPERLINK("https://klasma.github.io/Logging_2523/klagomålsmail/A 43092-2021 FSC-klagomål mail.docx", "A 43092-2021")</f>
        <v/>
      </c>
      <c r="X755">
        <f>HYPERLINK("https://klasma.github.io/Logging_2523/tillsyn/A 43092-2021 tillsynsbegäran.docx", "A 43092-2021")</f>
        <v/>
      </c>
      <c r="Y755">
        <f>HYPERLINK("https://klasma.github.io/Logging_2523/tillsynsmail/A 43092-2021 tillsynsbegäran mail.docx", "A 43092-2021")</f>
        <v/>
      </c>
    </row>
    <row r="756" ht="15" customHeight="1">
      <c r="A756" t="inlineStr">
        <is>
          <t>A 43680-2021</t>
        </is>
      </c>
      <c r="B756" s="1" t="n">
        <v>44433</v>
      </c>
      <c r="C756" s="1" t="n">
        <v>45798</v>
      </c>
      <c r="D756" t="inlineStr">
        <is>
          <t>NORRBOTTENS LÄN</t>
        </is>
      </c>
      <c r="E756" t="inlineStr">
        <is>
          <t>ÖVERKALIX</t>
        </is>
      </c>
      <c r="F756" t="inlineStr">
        <is>
          <t>Sveaskog</t>
        </is>
      </c>
      <c r="G756" t="n">
        <v>5.4</v>
      </c>
      <c r="H756" t="n">
        <v>0</v>
      </c>
      <c r="I756" t="n">
        <v>0</v>
      </c>
      <c r="J756" t="n">
        <v>1</v>
      </c>
      <c r="K756" t="n">
        <v>0</v>
      </c>
      <c r="L756" t="n">
        <v>0</v>
      </c>
      <c r="M756" t="n">
        <v>0</v>
      </c>
      <c r="N756" t="n">
        <v>0</v>
      </c>
      <c r="O756" t="n">
        <v>1</v>
      </c>
      <c r="P756" t="n">
        <v>0</v>
      </c>
      <c r="Q756" t="n">
        <v>1</v>
      </c>
      <c r="R756" s="2" t="inlineStr">
        <is>
          <t>Gammelgransskål</t>
        </is>
      </c>
      <c r="S756">
        <f>HYPERLINK("https://klasma.github.io/Logging_2513/artfynd/A 43680-2021 artfynd.xlsx", "A 43680-2021")</f>
        <v/>
      </c>
      <c r="T756">
        <f>HYPERLINK("https://klasma.github.io/Logging_2513/kartor/A 43680-2021 karta.png", "A 43680-2021")</f>
        <v/>
      </c>
      <c r="V756">
        <f>HYPERLINK("https://klasma.github.io/Logging_2513/klagomål/A 43680-2021 FSC-klagomål.docx", "A 43680-2021")</f>
        <v/>
      </c>
      <c r="W756">
        <f>HYPERLINK("https://klasma.github.io/Logging_2513/klagomålsmail/A 43680-2021 FSC-klagomål mail.docx", "A 43680-2021")</f>
        <v/>
      </c>
      <c r="X756">
        <f>HYPERLINK("https://klasma.github.io/Logging_2513/tillsyn/A 43680-2021 tillsynsbegäran.docx", "A 43680-2021")</f>
        <v/>
      </c>
      <c r="Y756">
        <f>HYPERLINK("https://klasma.github.io/Logging_2513/tillsynsmail/A 43680-2021 tillsynsbegäran mail.docx", "A 43680-2021")</f>
        <v/>
      </c>
    </row>
    <row r="757" ht="15" customHeight="1">
      <c r="A757" t="inlineStr">
        <is>
          <t>A 45017-2021</t>
        </is>
      </c>
      <c r="B757" s="1" t="n">
        <v>44438</v>
      </c>
      <c r="C757" s="1" t="n">
        <v>45798</v>
      </c>
      <c r="D757" t="inlineStr">
        <is>
          <t>NORRBOTTENS LÄN</t>
        </is>
      </c>
      <c r="E757" t="inlineStr">
        <is>
          <t>GÄLLIVARE</t>
        </is>
      </c>
      <c r="F757" t="inlineStr">
        <is>
          <t>SCA</t>
        </is>
      </c>
      <c r="G757" t="n">
        <v>4.8</v>
      </c>
      <c r="H757" t="n">
        <v>0</v>
      </c>
      <c r="I757" t="n">
        <v>0</v>
      </c>
      <c r="J757" t="n">
        <v>1</v>
      </c>
      <c r="K757" t="n">
        <v>0</v>
      </c>
      <c r="L757" t="n">
        <v>0</v>
      </c>
      <c r="M757" t="n">
        <v>0</v>
      </c>
      <c r="N757" t="n">
        <v>0</v>
      </c>
      <c r="O757" t="n">
        <v>1</v>
      </c>
      <c r="P757" t="n">
        <v>0</v>
      </c>
      <c r="Q757" t="n">
        <v>1</v>
      </c>
      <c r="R757" s="2" t="inlineStr">
        <is>
          <t>Garnlav</t>
        </is>
      </c>
      <c r="S757">
        <f>HYPERLINK("https://klasma.github.io/Logging_2523/artfynd/A 45017-2021 artfynd.xlsx", "A 45017-2021")</f>
        <v/>
      </c>
      <c r="T757">
        <f>HYPERLINK("https://klasma.github.io/Logging_2523/kartor/A 45017-2021 karta.png", "A 45017-2021")</f>
        <v/>
      </c>
      <c r="V757">
        <f>HYPERLINK("https://klasma.github.io/Logging_2523/klagomål/A 45017-2021 FSC-klagomål.docx", "A 45017-2021")</f>
        <v/>
      </c>
      <c r="W757">
        <f>HYPERLINK("https://klasma.github.io/Logging_2523/klagomålsmail/A 45017-2021 FSC-klagomål mail.docx", "A 45017-2021")</f>
        <v/>
      </c>
      <c r="X757">
        <f>HYPERLINK("https://klasma.github.io/Logging_2523/tillsyn/A 45017-2021 tillsynsbegäran.docx", "A 45017-2021")</f>
        <v/>
      </c>
      <c r="Y757">
        <f>HYPERLINK("https://klasma.github.io/Logging_2523/tillsynsmail/A 45017-2021 tillsynsbegäran mail.docx", "A 45017-2021")</f>
        <v/>
      </c>
    </row>
    <row r="758" ht="15" customHeight="1">
      <c r="A758" t="inlineStr">
        <is>
          <t>A 46425-2021</t>
        </is>
      </c>
      <c r="B758" s="1" t="n">
        <v>44445</v>
      </c>
      <c r="C758" s="1" t="n">
        <v>45798</v>
      </c>
      <c r="D758" t="inlineStr">
        <is>
          <t>NORRBOTTENS LÄN</t>
        </is>
      </c>
      <c r="E758" t="inlineStr">
        <is>
          <t>BODEN</t>
        </is>
      </c>
      <c r="F758" t="inlineStr">
        <is>
          <t>Sveaskog</t>
        </is>
      </c>
      <c r="G758" t="n">
        <v>4.1</v>
      </c>
      <c r="H758" t="n">
        <v>1</v>
      </c>
      <c r="I758" t="n">
        <v>0</v>
      </c>
      <c r="J758" t="n">
        <v>1</v>
      </c>
      <c r="K758" t="n">
        <v>0</v>
      </c>
      <c r="L758" t="n">
        <v>0</v>
      </c>
      <c r="M758" t="n">
        <v>0</v>
      </c>
      <c r="N758" t="n">
        <v>0</v>
      </c>
      <c r="O758" t="n">
        <v>1</v>
      </c>
      <c r="P758" t="n">
        <v>0</v>
      </c>
      <c r="Q758" t="n">
        <v>1</v>
      </c>
      <c r="R758" s="2" t="inlineStr">
        <is>
          <t>Rödvingetrast</t>
        </is>
      </c>
      <c r="S758">
        <f>HYPERLINK("https://klasma.github.io/Logging_2582/artfynd/A 46425-2021 artfynd.xlsx", "A 46425-2021")</f>
        <v/>
      </c>
      <c r="T758">
        <f>HYPERLINK("https://klasma.github.io/Logging_2582/kartor/A 46425-2021 karta.png", "A 46425-2021")</f>
        <v/>
      </c>
      <c r="V758">
        <f>HYPERLINK("https://klasma.github.io/Logging_2582/klagomål/A 46425-2021 FSC-klagomål.docx", "A 46425-2021")</f>
        <v/>
      </c>
      <c r="W758">
        <f>HYPERLINK("https://klasma.github.io/Logging_2582/klagomålsmail/A 46425-2021 FSC-klagomål mail.docx", "A 46425-2021")</f>
        <v/>
      </c>
      <c r="X758">
        <f>HYPERLINK("https://klasma.github.io/Logging_2582/tillsyn/A 46425-2021 tillsynsbegäran.docx", "A 46425-2021")</f>
        <v/>
      </c>
      <c r="Y758">
        <f>HYPERLINK("https://klasma.github.io/Logging_2582/tillsynsmail/A 46425-2021 tillsynsbegäran mail.docx", "A 46425-2021")</f>
        <v/>
      </c>
      <c r="Z758">
        <f>HYPERLINK("https://klasma.github.io/Logging_2582/fåglar/A 46425-2021 prioriterade fågelarter.docx", "A 46425-2021")</f>
        <v/>
      </c>
    </row>
    <row r="759" ht="15" customHeight="1">
      <c r="A759" t="inlineStr">
        <is>
          <t>A 47030-2021</t>
        </is>
      </c>
      <c r="B759" s="1" t="n">
        <v>44446</v>
      </c>
      <c r="C759" s="1" t="n">
        <v>45798</v>
      </c>
      <c r="D759" t="inlineStr">
        <is>
          <t>NORRBOTTENS LÄN</t>
        </is>
      </c>
      <c r="E759" t="inlineStr">
        <is>
          <t>BODEN</t>
        </is>
      </c>
      <c r="G759" t="n">
        <v>3.3</v>
      </c>
      <c r="H759" t="n">
        <v>1</v>
      </c>
      <c r="I759" t="n">
        <v>0</v>
      </c>
      <c r="J759" t="n">
        <v>1</v>
      </c>
      <c r="K759" t="n">
        <v>0</v>
      </c>
      <c r="L759" t="n">
        <v>0</v>
      </c>
      <c r="M759" t="n">
        <v>0</v>
      </c>
      <c r="N759" t="n">
        <v>0</v>
      </c>
      <c r="O759" t="n">
        <v>1</v>
      </c>
      <c r="P759" t="n">
        <v>0</v>
      </c>
      <c r="Q759" t="n">
        <v>1</v>
      </c>
      <c r="R759" s="2" t="inlineStr">
        <is>
          <t>Svartvit flugsnappare</t>
        </is>
      </c>
      <c r="S759">
        <f>HYPERLINK("https://klasma.github.io/Logging_2582/artfynd/A 47030-2021 artfynd.xlsx", "A 47030-2021")</f>
        <v/>
      </c>
      <c r="T759">
        <f>HYPERLINK("https://klasma.github.io/Logging_2582/kartor/A 47030-2021 karta.png", "A 47030-2021")</f>
        <v/>
      </c>
      <c r="V759">
        <f>HYPERLINK("https://klasma.github.io/Logging_2582/klagomål/A 47030-2021 FSC-klagomål.docx", "A 47030-2021")</f>
        <v/>
      </c>
      <c r="W759">
        <f>HYPERLINK("https://klasma.github.io/Logging_2582/klagomålsmail/A 47030-2021 FSC-klagomål mail.docx", "A 47030-2021")</f>
        <v/>
      </c>
      <c r="X759">
        <f>HYPERLINK("https://klasma.github.io/Logging_2582/tillsyn/A 47030-2021 tillsynsbegäran.docx", "A 47030-2021")</f>
        <v/>
      </c>
      <c r="Y759">
        <f>HYPERLINK("https://klasma.github.io/Logging_2582/tillsynsmail/A 47030-2021 tillsynsbegäran mail.docx", "A 47030-2021")</f>
        <v/>
      </c>
      <c r="Z759">
        <f>HYPERLINK("https://klasma.github.io/Logging_2582/fåglar/A 47030-2021 prioriterade fågelarter.docx", "A 47030-2021")</f>
        <v/>
      </c>
    </row>
    <row r="760" ht="15" customHeight="1">
      <c r="A760" t="inlineStr">
        <is>
          <t>A 50085-2021</t>
        </is>
      </c>
      <c r="B760" s="1" t="n">
        <v>44456</v>
      </c>
      <c r="C760" s="1" t="n">
        <v>45798</v>
      </c>
      <c r="D760" t="inlineStr">
        <is>
          <t>NORRBOTTENS LÄN</t>
        </is>
      </c>
      <c r="E760" t="inlineStr">
        <is>
          <t>LULEÅ</t>
        </is>
      </c>
      <c r="F760" t="inlineStr">
        <is>
          <t>Sveaskog</t>
        </is>
      </c>
      <c r="G760" t="n">
        <v>5.1</v>
      </c>
      <c r="H760" t="n">
        <v>0</v>
      </c>
      <c r="I760" t="n">
        <v>0</v>
      </c>
      <c r="J760" t="n">
        <v>1</v>
      </c>
      <c r="K760" t="n">
        <v>0</v>
      </c>
      <c r="L760" t="n">
        <v>0</v>
      </c>
      <c r="M760" t="n">
        <v>0</v>
      </c>
      <c r="N760" t="n">
        <v>0</v>
      </c>
      <c r="O760" t="n">
        <v>1</v>
      </c>
      <c r="P760" t="n">
        <v>0</v>
      </c>
      <c r="Q760" t="n">
        <v>1</v>
      </c>
      <c r="R760" s="2" t="inlineStr">
        <is>
          <t>Granticka</t>
        </is>
      </c>
      <c r="S760">
        <f>HYPERLINK("https://klasma.github.io/Logging_2580/artfynd/A 50085-2021 artfynd.xlsx", "A 50085-2021")</f>
        <v/>
      </c>
      <c r="T760">
        <f>HYPERLINK("https://klasma.github.io/Logging_2580/kartor/A 50085-2021 karta.png", "A 50085-2021")</f>
        <v/>
      </c>
      <c r="V760">
        <f>HYPERLINK("https://klasma.github.io/Logging_2580/klagomål/A 50085-2021 FSC-klagomål.docx", "A 50085-2021")</f>
        <v/>
      </c>
      <c r="W760">
        <f>HYPERLINK("https://klasma.github.io/Logging_2580/klagomålsmail/A 50085-2021 FSC-klagomål mail.docx", "A 50085-2021")</f>
        <v/>
      </c>
      <c r="X760">
        <f>HYPERLINK("https://klasma.github.io/Logging_2580/tillsyn/A 50085-2021 tillsynsbegäran.docx", "A 50085-2021")</f>
        <v/>
      </c>
      <c r="Y760">
        <f>HYPERLINK("https://klasma.github.io/Logging_2580/tillsynsmail/A 50085-2021 tillsynsbegäran mail.docx", "A 50085-2021")</f>
        <v/>
      </c>
    </row>
    <row r="761" ht="15" customHeight="1">
      <c r="A761" t="inlineStr">
        <is>
          <t>A 56067-2021</t>
        </is>
      </c>
      <c r="B761" s="1" t="n">
        <v>44477</v>
      </c>
      <c r="C761" s="1" t="n">
        <v>45798</v>
      </c>
      <c r="D761" t="inlineStr">
        <is>
          <t>NORRBOTTENS LÄN</t>
        </is>
      </c>
      <c r="E761" t="inlineStr">
        <is>
          <t>LULEÅ</t>
        </is>
      </c>
      <c r="F761" t="inlineStr">
        <is>
          <t>Sveaskog</t>
        </is>
      </c>
      <c r="G761" t="n">
        <v>1.3</v>
      </c>
      <c r="H761" t="n">
        <v>0</v>
      </c>
      <c r="I761" t="n">
        <v>1</v>
      </c>
      <c r="J761" t="n">
        <v>0</v>
      </c>
      <c r="K761" t="n">
        <v>0</v>
      </c>
      <c r="L761" t="n">
        <v>0</v>
      </c>
      <c r="M761" t="n">
        <v>0</v>
      </c>
      <c r="N761" t="n">
        <v>0</v>
      </c>
      <c r="O761" t="n">
        <v>0</v>
      </c>
      <c r="P761" t="n">
        <v>0</v>
      </c>
      <c r="Q761" t="n">
        <v>1</v>
      </c>
      <c r="R761" s="2" t="inlineStr">
        <is>
          <t>Zontaggsvamp</t>
        </is>
      </c>
      <c r="S761">
        <f>HYPERLINK("https://klasma.github.io/Logging_2580/artfynd/A 56067-2021 artfynd.xlsx", "A 56067-2021")</f>
        <v/>
      </c>
      <c r="T761">
        <f>HYPERLINK("https://klasma.github.io/Logging_2580/kartor/A 56067-2021 karta.png", "A 56067-2021")</f>
        <v/>
      </c>
      <c r="V761">
        <f>HYPERLINK("https://klasma.github.io/Logging_2580/klagomål/A 56067-2021 FSC-klagomål.docx", "A 56067-2021")</f>
        <v/>
      </c>
      <c r="W761">
        <f>HYPERLINK("https://klasma.github.io/Logging_2580/klagomålsmail/A 56067-2021 FSC-klagomål mail.docx", "A 56067-2021")</f>
        <v/>
      </c>
      <c r="X761">
        <f>HYPERLINK("https://klasma.github.io/Logging_2580/tillsyn/A 56067-2021 tillsynsbegäran.docx", "A 56067-2021")</f>
        <v/>
      </c>
      <c r="Y761">
        <f>HYPERLINK("https://klasma.github.io/Logging_2580/tillsynsmail/A 56067-2021 tillsynsbegäran mail.docx", "A 56067-2021")</f>
        <v/>
      </c>
    </row>
    <row r="762" ht="15" customHeight="1">
      <c r="A762" t="inlineStr">
        <is>
          <t>A 57535-2021</t>
        </is>
      </c>
      <c r="B762" s="1" t="n">
        <v>44483</v>
      </c>
      <c r="C762" s="1" t="n">
        <v>45798</v>
      </c>
      <c r="D762" t="inlineStr">
        <is>
          <t>NORRBOTTENS LÄN</t>
        </is>
      </c>
      <c r="E762" t="inlineStr">
        <is>
          <t>GÄLLIVARE</t>
        </is>
      </c>
      <c r="G762" t="n">
        <v>20.6</v>
      </c>
      <c r="H762" t="n">
        <v>1</v>
      </c>
      <c r="I762" t="n">
        <v>0</v>
      </c>
      <c r="J762" t="n">
        <v>0</v>
      </c>
      <c r="K762" t="n">
        <v>0</v>
      </c>
      <c r="L762" t="n">
        <v>0</v>
      </c>
      <c r="M762" t="n">
        <v>0</v>
      </c>
      <c r="N762" t="n">
        <v>0</v>
      </c>
      <c r="O762" t="n">
        <v>0</v>
      </c>
      <c r="P762" t="n">
        <v>0</v>
      </c>
      <c r="Q762" t="n">
        <v>1</v>
      </c>
      <c r="R762" s="2" t="inlineStr">
        <is>
          <t>Revlummer</t>
        </is>
      </c>
      <c r="S762">
        <f>HYPERLINK("https://klasma.github.io/Logging_2523/artfynd/A 57535-2021 artfynd.xlsx", "A 57535-2021")</f>
        <v/>
      </c>
      <c r="T762">
        <f>HYPERLINK("https://klasma.github.io/Logging_2523/kartor/A 57535-2021 karta.png", "A 57535-2021")</f>
        <v/>
      </c>
      <c r="V762">
        <f>HYPERLINK("https://klasma.github.io/Logging_2523/klagomål/A 57535-2021 FSC-klagomål.docx", "A 57535-2021")</f>
        <v/>
      </c>
      <c r="W762">
        <f>HYPERLINK("https://klasma.github.io/Logging_2523/klagomålsmail/A 57535-2021 FSC-klagomål mail.docx", "A 57535-2021")</f>
        <v/>
      </c>
      <c r="X762">
        <f>HYPERLINK("https://klasma.github.io/Logging_2523/tillsyn/A 57535-2021 tillsynsbegäran.docx", "A 57535-2021")</f>
        <v/>
      </c>
      <c r="Y762">
        <f>HYPERLINK("https://klasma.github.io/Logging_2523/tillsynsmail/A 57535-2021 tillsynsbegäran mail.docx", "A 57535-2021")</f>
        <v/>
      </c>
    </row>
    <row r="763" ht="15" customHeight="1">
      <c r="A763" t="inlineStr">
        <is>
          <t>A 57926-2021</t>
        </is>
      </c>
      <c r="B763" s="1" t="n">
        <v>44487</v>
      </c>
      <c r="C763" s="1" t="n">
        <v>45798</v>
      </c>
      <c r="D763" t="inlineStr">
        <is>
          <t>NORRBOTTENS LÄN</t>
        </is>
      </c>
      <c r="E763" t="inlineStr">
        <is>
          <t>ARVIDSJAUR</t>
        </is>
      </c>
      <c r="F763" t="inlineStr">
        <is>
          <t>Sveaskog</t>
        </is>
      </c>
      <c r="G763" t="n">
        <v>28.6</v>
      </c>
      <c r="H763" t="n">
        <v>0</v>
      </c>
      <c r="I763" t="n">
        <v>0</v>
      </c>
      <c r="J763" t="n">
        <v>1</v>
      </c>
      <c r="K763" t="n">
        <v>0</v>
      </c>
      <c r="L763" t="n">
        <v>0</v>
      </c>
      <c r="M763" t="n">
        <v>0</v>
      </c>
      <c r="N763" t="n">
        <v>0</v>
      </c>
      <c r="O763" t="n">
        <v>1</v>
      </c>
      <c r="P763" t="n">
        <v>0</v>
      </c>
      <c r="Q763" t="n">
        <v>1</v>
      </c>
      <c r="R763" s="2" t="inlineStr">
        <is>
          <t>Tallticka</t>
        </is>
      </c>
      <c r="S763">
        <f>HYPERLINK("https://klasma.github.io/Logging_2505/artfynd/A 57926-2021 artfynd.xlsx", "A 57926-2021")</f>
        <v/>
      </c>
      <c r="T763">
        <f>HYPERLINK("https://klasma.github.io/Logging_2505/kartor/A 57926-2021 karta.png", "A 57926-2021")</f>
        <v/>
      </c>
      <c r="V763">
        <f>HYPERLINK("https://klasma.github.io/Logging_2505/klagomål/A 57926-2021 FSC-klagomål.docx", "A 57926-2021")</f>
        <v/>
      </c>
      <c r="W763">
        <f>HYPERLINK("https://klasma.github.io/Logging_2505/klagomålsmail/A 57926-2021 FSC-klagomål mail.docx", "A 57926-2021")</f>
        <v/>
      </c>
      <c r="X763">
        <f>HYPERLINK("https://klasma.github.io/Logging_2505/tillsyn/A 57926-2021 tillsynsbegäran.docx", "A 57926-2021")</f>
        <v/>
      </c>
      <c r="Y763">
        <f>HYPERLINK("https://klasma.github.io/Logging_2505/tillsynsmail/A 57926-2021 tillsynsbegäran mail.docx", "A 57926-2021")</f>
        <v/>
      </c>
    </row>
    <row r="764" ht="15" customHeight="1">
      <c r="A764" t="inlineStr">
        <is>
          <t>A 58201-2021</t>
        </is>
      </c>
      <c r="B764" s="1" t="n">
        <v>44487</v>
      </c>
      <c r="C764" s="1" t="n">
        <v>45798</v>
      </c>
      <c r="D764" t="inlineStr">
        <is>
          <t>NORRBOTTENS LÄN</t>
        </is>
      </c>
      <c r="E764" t="inlineStr">
        <is>
          <t>ÄLVSBYN</t>
        </is>
      </c>
      <c r="F764" t="inlineStr">
        <is>
          <t>Sveaskog</t>
        </is>
      </c>
      <c r="G764" t="n">
        <v>13.4</v>
      </c>
      <c r="H764" t="n">
        <v>1</v>
      </c>
      <c r="I764" t="n">
        <v>0</v>
      </c>
      <c r="J764" t="n">
        <v>0</v>
      </c>
      <c r="K764" t="n">
        <v>1</v>
      </c>
      <c r="L764" t="n">
        <v>0</v>
      </c>
      <c r="M764" t="n">
        <v>0</v>
      </c>
      <c r="N764" t="n">
        <v>0</v>
      </c>
      <c r="O764" t="n">
        <v>1</v>
      </c>
      <c r="P764" t="n">
        <v>1</v>
      </c>
      <c r="Q764" t="n">
        <v>1</v>
      </c>
      <c r="R764" s="2" t="inlineStr">
        <is>
          <t>Lappuggla</t>
        </is>
      </c>
      <c r="S764">
        <f>HYPERLINK("https://klasma.github.io/Logging_2560/artfynd/A 58201-2021 artfynd.xlsx", "A 58201-2021")</f>
        <v/>
      </c>
      <c r="T764">
        <f>HYPERLINK("https://klasma.github.io/Logging_2560/kartor/A 58201-2021 karta.png", "A 58201-2021")</f>
        <v/>
      </c>
      <c r="V764">
        <f>HYPERLINK("https://klasma.github.io/Logging_2560/klagomål/A 58201-2021 FSC-klagomål.docx", "A 58201-2021")</f>
        <v/>
      </c>
      <c r="W764">
        <f>HYPERLINK("https://klasma.github.io/Logging_2560/klagomålsmail/A 58201-2021 FSC-klagomål mail.docx", "A 58201-2021")</f>
        <v/>
      </c>
      <c r="X764">
        <f>HYPERLINK("https://klasma.github.io/Logging_2560/tillsyn/A 58201-2021 tillsynsbegäran.docx", "A 58201-2021")</f>
        <v/>
      </c>
      <c r="Y764">
        <f>HYPERLINK("https://klasma.github.io/Logging_2560/tillsynsmail/A 58201-2021 tillsynsbegäran mail.docx", "A 58201-2021")</f>
        <v/>
      </c>
      <c r="Z764">
        <f>HYPERLINK("https://klasma.github.io/Logging_2560/fåglar/A 58201-2021 prioriterade fågelarter.docx", "A 58201-2021")</f>
        <v/>
      </c>
    </row>
    <row r="765" ht="15" customHeight="1">
      <c r="A765" t="inlineStr">
        <is>
          <t>A 57994-2021</t>
        </is>
      </c>
      <c r="B765" s="1" t="n">
        <v>44487</v>
      </c>
      <c r="C765" s="1" t="n">
        <v>45798</v>
      </c>
      <c r="D765" t="inlineStr">
        <is>
          <t>NORRBOTTENS LÄN</t>
        </is>
      </c>
      <c r="E765" t="inlineStr">
        <is>
          <t>ARVIDSJAUR</t>
        </is>
      </c>
      <c r="F765" t="inlineStr">
        <is>
          <t>Sveaskog</t>
        </is>
      </c>
      <c r="G765" t="n">
        <v>12.9</v>
      </c>
      <c r="H765" t="n">
        <v>1</v>
      </c>
      <c r="I765" t="n">
        <v>0</v>
      </c>
      <c r="J765" t="n">
        <v>1</v>
      </c>
      <c r="K765" t="n">
        <v>0</v>
      </c>
      <c r="L765" t="n">
        <v>0</v>
      </c>
      <c r="M765" t="n">
        <v>0</v>
      </c>
      <c r="N765" t="n">
        <v>0</v>
      </c>
      <c r="O765" t="n">
        <v>1</v>
      </c>
      <c r="P765" t="n">
        <v>0</v>
      </c>
      <c r="Q765" t="n">
        <v>1</v>
      </c>
      <c r="R765" s="2" t="inlineStr">
        <is>
          <t>Kungsörn</t>
        </is>
      </c>
      <c r="S765">
        <f>HYPERLINK("https://klasma.github.io/Logging_2505/artfynd/A 57994-2021 artfynd.xlsx", "A 57994-2021")</f>
        <v/>
      </c>
      <c r="T765">
        <f>HYPERLINK("https://klasma.github.io/Logging_2505/kartor/A 57994-2021 karta.png", "A 57994-2021")</f>
        <v/>
      </c>
      <c r="V765">
        <f>HYPERLINK("https://klasma.github.io/Logging_2505/klagomål/A 57994-2021 FSC-klagomål.docx", "A 57994-2021")</f>
        <v/>
      </c>
      <c r="W765">
        <f>HYPERLINK("https://klasma.github.io/Logging_2505/klagomålsmail/A 57994-2021 FSC-klagomål mail.docx", "A 57994-2021")</f>
        <v/>
      </c>
      <c r="X765">
        <f>HYPERLINK("https://klasma.github.io/Logging_2505/tillsyn/A 57994-2021 tillsynsbegäran.docx", "A 57994-2021")</f>
        <v/>
      </c>
      <c r="Y765">
        <f>HYPERLINK("https://klasma.github.io/Logging_2505/tillsynsmail/A 57994-2021 tillsynsbegäran mail.docx", "A 57994-2021")</f>
        <v/>
      </c>
      <c r="Z765">
        <f>HYPERLINK("https://klasma.github.io/Logging_2505/fåglar/A 57994-2021 prioriterade fågelarter.docx", "A 57994-2021")</f>
        <v/>
      </c>
    </row>
    <row r="766" ht="15" customHeight="1">
      <c r="A766" t="inlineStr">
        <is>
          <t>A 60797-2021</t>
        </is>
      </c>
      <c r="B766" s="1" t="n">
        <v>44495</v>
      </c>
      <c r="C766" s="1" t="n">
        <v>45798</v>
      </c>
      <c r="D766" t="inlineStr">
        <is>
          <t>NORRBOTTENS LÄN</t>
        </is>
      </c>
      <c r="E766" t="inlineStr">
        <is>
          <t>PITEÅ</t>
        </is>
      </c>
      <c r="F766" t="inlineStr">
        <is>
          <t>Sveaskog</t>
        </is>
      </c>
      <c r="G766" t="n">
        <v>4.9</v>
      </c>
      <c r="H766" t="n">
        <v>0</v>
      </c>
      <c r="I766" t="n">
        <v>0</v>
      </c>
      <c r="J766" t="n">
        <v>1</v>
      </c>
      <c r="K766" t="n">
        <v>0</v>
      </c>
      <c r="L766" t="n">
        <v>0</v>
      </c>
      <c r="M766" t="n">
        <v>0</v>
      </c>
      <c r="N766" t="n">
        <v>0</v>
      </c>
      <c r="O766" t="n">
        <v>1</v>
      </c>
      <c r="P766" t="n">
        <v>0</v>
      </c>
      <c r="Q766" t="n">
        <v>1</v>
      </c>
      <c r="R766" s="2" t="inlineStr">
        <is>
          <t>Granticka</t>
        </is>
      </c>
      <c r="S766">
        <f>HYPERLINK("https://klasma.github.io/Logging_2581/artfynd/A 60797-2021 artfynd.xlsx", "A 60797-2021")</f>
        <v/>
      </c>
      <c r="T766">
        <f>HYPERLINK("https://klasma.github.io/Logging_2581/kartor/A 60797-2021 karta.png", "A 60797-2021")</f>
        <v/>
      </c>
      <c r="V766">
        <f>HYPERLINK("https://klasma.github.io/Logging_2581/klagomål/A 60797-2021 FSC-klagomål.docx", "A 60797-2021")</f>
        <v/>
      </c>
      <c r="W766">
        <f>HYPERLINK("https://klasma.github.io/Logging_2581/klagomålsmail/A 60797-2021 FSC-klagomål mail.docx", "A 60797-2021")</f>
        <v/>
      </c>
      <c r="X766">
        <f>HYPERLINK("https://klasma.github.io/Logging_2581/tillsyn/A 60797-2021 tillsynsbegäran.docx", "A 60797-2021")</f>
        <v/>
      </c>
      <c r="Y766">
        <f>HYPERLINK("https://klasma.github.io/Logging_2581/tillsynsmail/A 60797-2021 tillsynsbegäran mail.docx", "A 60797-2021")</f>
        <v/>
      </c>
    </row>
    <row r="767" ht="15" customHeight="1">
      <c r="A767" t="inlineStr">
        <is>
          <t>A 60546-2021</t>
        </is>
      </c>
      <c r="B767" s="1" t="n">
        <v>44496</v>
      </c>
      <c r="C767" s="1" t="n">
        <v>45798</v>
      </c>
      <c r="D767" t="inlineStr">
        <is>
          <t>NORRBOTTENS LÄN</t>
        </is>
      </c>
      <c r="E767" t="inlineStr">
        <is>
          <t>ÖVERKALIX</t>
        </is>
      </c>
      <c r="F767" t="inlineStr">
        <is>
          <t>Sveaskog</t>
        </is>
      </c>
      <c r="G767" t="n">
        <v>3</v>
      </c>
      <c r="H767" t="n">
        <v>0</v>
      </c>
      <c r="I767" t="n">
        <v>0</v>
      </c>
      <c r="J767" t="n">
        <v>1</v>
      </c>
      <c r="K767" t="n">
        <v>0</v>
      </c>
      <c r="L767" t="n">
        <v>0</v>
      </c>
      <c r="M767" t="n">
        <v>0</v>
      </c>
      <c r="N767" t="n">
        <v>0</v>
      </c>
      <c r="O767" t="n">
        <v>1</v>
      </c>
      <c r="P767" t="n">
        <v>0</v>
      </c>
      <c r="Q767" t="n">
        <v>1</v>
      </c>
      <c r="R767" s="2" t="inlineStr">
        <is>
          <t>Koralltaggsvamp</t>
        </is>
      </c>
      <c r="S767">
        <f>HYPERLINK("https://klasma.github.io/Logging_2513/artfynd/A 60546-2021 artfynd.xlsx", "A 60546-2021")</f>
        <v/>
      </c>
      <c r="T767">
        <f>HYPERLINK("https://klasma.github.io/Logging_2513/kartor/A 60546-2021 karta.png", "A 60546-2021")</f>
        <v/>
      </c>
      <c r="V767">
        <f>HYPERLINK("https://klasma.github.io/Logging_2513/klagomål/A 60546-2021 FSC-klagomål.docx", "A 60546-2021")</f>
        <v/>
      </c>
      <c r="W767">
        <f>HYPERLINK("https://klasma.github.io/Logging_2513/klagomålsmail/A 60546-2021 FSC-klagomål mail.docx", "A 60546-2021")</f>
        <v/>
      </c>
      <c r="X767">
        <f>HYPERLINK("https://klasma.github.io/Logging_2513/tillsyn/A 60546-2021 tillsynsbegäran.docx", "A 60546-2021")</f>
        <v/>
      </c>
      <c r="Y767">
        <f>HYPERLINK("https://klasma.github.io/Logging_2513/tillsynsmail/A 60546-2021 tillsynsbegäran mail.docx", "A 60546-2021")</f>
        <v/>
      </c>
    </row>
    <row r="768" ht="15" customHeight="1">
      <c r="A768" t="inlineStr">
        <is>
          <t>A 60509-2021</t>
        </is>
      </c>
      <c r="B768" s="1" t="n">
        <v>44496</v>
      </c>
      <c r="C768" s="1" t="n">
        <v>45798</v>
      </c>
      <c r="D768" t="inlineStr">
        <is>
          <t>NORRBOTTENS LÄN</t>
        </is>
      </c>
      <c r="E768" t="inlineStr">
        <is>
          <t>ÖVERKALIX</t>
        </is>
      </c>
      <c r="F768" t="inlineStr">
        <is>
          <t>Sveaskog</t>
        </is>
      </c>
      <c r="G768" t="n">
        <v>13.5</v>
      </c>
      <c r="H768" t="n">
        <v>0</v>
      </c>
      <c r="I768" t="n">
        <v>1</v>
      </c>
      <c r="J768" t="n">
        <v>0</v>
      </c>
      <c r="K768" t="n">
        <v>0</v>
      </c>
      <c r="L768" t="n">
        <v>0</v>
      </c>
      <c r="M768" t="n">
        <v>0</v>
      </c>
      <c r="N768" t="n">
        <v>0</v>
      </c>
      <c r="O768" t="n">
        <v>0</v>
      </c>
      <c r="P768" t="n">
        <v>0</v>
      </c>
      <c r="Q768" t="n">
        <v>1</v>
      </c>
      <c r="R768" s="2" t="inlineStr">
        <is>
          <t>Stor aspticka</t>
        </is>
      </c>
      <c r="S768">
        <f>HYPERLINK("https://klasma.github.io/Logging_2513/artfynd/A 60509-2021 artfynd.xlsx", "A 60509-2021")</f>
        <v/>
      </c>
      <c r="T768">
        <f>HYPERLINK("https://klasma.github.io/Logging_2513/kartor/A 60509-2021 karta.png", "A 60509-2021")</f>
        <v/>
      </c>
      <c r="V768">
        <f>HYPERLINK("https://klasma.github.io/Logging_2513/klagomål/A 60509-2021 FSC-klagomål.docx", "A 60509-2021")</f>
        <v/>
      </c>
      <c r="W768">
        <f>HYPERLINK("https://klasma.github.io/Logging_2513/klagomålsmail/A 60509-2021 FSC-klagomål mail.docx", "A 60509-2021")</f>
        <v/>
      </c>
      <c r="X768">
        <f>HYPERLINK("https://klasma.github.io/Logging_2513/tillsyn/A 60509-2021 tillsynsbegäran.docx", "A 60509-2021")</f>
        <v/>
      </c>
      <c r="Y768">
        <f>HYPERLINK("https://klasma.github.io/Logging_2513/tillsynsmail/A 60509-2021 tillsynsbegäran mail.docx", "A 60509-2021")</f>
        <v/>
      </c>
    </row>
    <row r="769" ht="15" customHeight="1">
      <c r="A769" t="inlineStr">
        <is>
          <t>A 60597-2021</t>
        </is>
      </c>
      <c r="B769" s="1" t="n">
        <v>44496</v>
      </c>
      <c r="C769" s="1" t="n">
        <v>45798</v>
      </c>
      <c r="D769" t="inlineStr">
        <is>
          <t>NORRBOTTENS LÄN</t>
        </is>
      </c>
      <c r="E769" t="inlineStr">
        <is>
          <t>PAJALA</t>
        </is>
      </c>
      <c r="F769" t="inlineStr">
        <is>
          <t>Sveaskog</t>
        </is>
      </c>
      <c r="G769" t="n">
        <v>1.4</v>
      </c>
      <c r="H769" t="n">
        <v>0</v>
      </c>
      <c r="I769" t="n">
        <v>0</v>
      </c>
      <c r="J769" t="n">
        <v>1</v>
      </c>
      <c r="K769" t="n">
        <v>0</v>
      </c>
      <c r="L769" t="n">
        <v>0</v>
      </c>
      <c r="M769" t="n">
        <v>0</v>
      </c>
      <c r="N769" t="n">
        <v>0</v>
      </c>
      <c r="O769" t="n">
        <v>1</v>
      </c>
      <c r="P769" t="n">
        <v>0</v>
      </c>
      <c r="Q769" t="n">
        <v>1</v>
      </c>
      <c r="R769" s="2" t="inlineStr">
        <is>
          <t>Garnlav</t>
        </is>
      </c>
      <c r="S769">
        <f>HYPERLINK("https://klasma.github.io/Logging_2521/artfynd/A 60597-2021 artfynd.xlsx", "A 60597-2021")</f>
        <v/>
      </c>
      <c r="T769">
        <f>HYPERLINK("https://klasma.github.io/Logging_2521/kartor/A 60597-2021 karta.png", "A 60597-2021")</f>
        <v/>
      </c>
      <c r="V769">
        <f>HYPERLINK("https://klasma.github.io/Logging_2521/klagomål/A 60597-2021 FSC-klagomål.docx", "A 60597-2021")</f>
        <v/>
      </c>
      <c r="W769">
        <f>HYPERLINK("https://klasma.github.io/Logging_2521/klagomålsmail/A 60597-2021 FSC-klagomål mail.docx", "A 60597-2021")</f>
        <v/>
      </c>
      <c r="X769">
        <f>HYPERLINK("https://klasma.github.io/Logging_2521/tillsyn/A 60597-2021 tillsynsbegäran.docx", "A 60597-2021")</f>
        <v/>
      </c>
      <c r="Y769">
        <f>HYPERLINK("https://klasma.github.io/Logging_2521/tillsynsmail/A 60597-2021 tillsynsbegäran mail.docx", "A 60597-2021")</f>
        <v/>
      </c>
    </row>
    <row r="770" ht="15" customHeight="1">
      <c r="A770" t="inlineStr">
        <is>
          <t>A 65518-2021</t>
        </is>
      </c>
      <c r="B770" s="1" t="n">
        <v>44516</v>
      </c>
      <c r="C770" s="1" t="n">
        <v>45798</v>
      </c>
      <c r="D770" t="inlineStr">
        <is>
          <t>NORRBOTTENS LÄN</t>
        </is>
      </c>
      <c r="E770" t="inlineStr">
        <is>
          <t>PAJALA</t>
        </is>
      </c>
      <c r="F770" t="inlineStr">
        <is>
          <t>Sveaskog</t>
        </is>
      </c>
      <c r="G770" t="n">
        <v>1.5</v>
      </c>
      <c r="H770" t="n">
        <v>0</v>
      </c>
      <c r="I770" t="n">
        <v>1</v>
      </c>
      <c r="J770" t="n">
        <v>0</v>
      </c>
      <c r="K770" t="n">
        <v>0</v>
      </c>
      <c r="L770" t="n">
        <v>0</v>
      </c>
      <c r="M770" t="n">
        <v>0</v>
      </c>
      <c r="N770" t="n">
        <v>0</v>
      </c>
      <c r="O770" t="n">
        <v>0</v>
      </c>
      <c r="P770" t="n">
        <v>0</v>
      </c>
      <c r="Q770" t="n">
        <v>1</v>
      </c>
      <c r="R770" s="2" t="inlineStr">
        <is>
          <t>Stuplav</t>
        </is>
      </c>
      <c r="S770">
        <f>HYPERLINK("https://klasma.github.io/Logging_2521/artfynd/A 65518-2021 artfynd.xlsx", "A 65518-2021")</f>
        <v/>
      </c>
      <c r="T770">
        <f>HYPERLINK("https://klasma.github.io/Logging_2521/kartor/A 65518-2021 karta.png", "A 65518-2021")</f>
        <v/>
      </c>
      <c r="V770">
        <f>HYPERLINK("https://klasma.github.io/Logging_2521/klagomål/A 65518-2021 FSC-klagomål.docx", "A 65518-2021")</f>
        <v/>
      </c>
      <c r="W770">
        <f>HYPERLINK("https://klasma.github.io/Logging_2521/klagomålsmail/A 65518-2021 FSC-klagomål mail.docx", "A 65518-2021")</f>
        <v/>
      </c>
      <c r="X770">
        <f>HYPERLINK("https://klasma.github.io/Logging_2521/tillsyn/A 65518-2021 tillsynsbegäran.docx", "A 65518-2021")</f>
        <v/>
      </c>
      <c r="Y770">
        <f>HYPERLINK("https://klasma.github.io/Logging_2521/tillsynsmail/A 65518-2021 tillsynsbegäran mail.docx", "A 65518-2021")</f>
        <v/>
      </c>
    </row>
    <row r="771" ht="15" customHeight="1">
      <c r="A771" t="inlineStr">
        <is>
          <t>A 71289-2021</t>
        </is>
      </c>
      <c r="B771" s="1" t="n">
        <v>44538</v>
      </c>
      <c r="C771" s="1" t="n">
        <v>45798</v>
      </c>
      <c r="D771" t="inlineStr">
        <is>
          <t>NORRBOTTENS LÄN</t>
        </is>
      </c>
      <c r="E771" t="inlineStr">
        <is>
          <t>PITEÅ</t>
        </is>
      </c>
      <c r="G771" t="n">
        <v>3.8</v>
      </c>
      <c r="H771" t="n">
        <v>0</v>
      </c>
      <c r="I771" t="n">
        <v>0</v>
      </c>
      <c r="J771" t="n">
        <v>1</v>
      </c>
      <c r="K771" t="n">
        <v>0</v>
      </c>
      <c r="L771" t="n">
        <v>0</v>
      </c>
      <c r="M771" t="n">
        <v>0</v>
      </c>
      <c r="N771" t="n">
        <v>0</v>
      </c>
      <c r="O771" t="n">
        <v>1</v>
      </c>
      <c r="P771" t="n">
        <v>0</v>
      </c>
      <c r="Q771" t="n">
        <v>1</v>
      </c>
      <c r="R771" s="2" t="inlineStr">
        <is>
          <t>Tallticka</t>
        </is>
      </c>
      <c r="S771">
        <f>HYPERLINK("https://klasma.github.io/Logging_2581/artfynd/A 71289-2021 artfynd.xlsx", "A 71289-2021")</f>
        <v/>
      </c>
      <c r="T771">
        <f>HYPERLINK("https://klasma.github.io/Logging_2581/kartor/A 71289-2021 karta.png", "A 71289-2021")</f>
        <v/>
      </c>
      <c r="V771">
        <f>HYPERLINK("https://klasma.github.io/Logging_2581/klagomål/A 71289-2021 FSC-klagomål.docx", "A 71289-2021")</f>
        <v/>
      </c>
      <c r="W771">
        <f>HYPERLINK("https://klasma.github.io/Logging_2581/klagomålsmail/A 71289-2021 FSC-klagomål mail.docx", "A 71289-2021")</f>
        <v/>
      </c>
      <c r="X771">
        <f>HYPERLINK("https://klasma.github.io/Logging_2581/tillsyn/A 71289-2021 tillsynsbegäran.docx", "A 71289-2021")</f>
        <v/>
      </c>
      <c r="Y771">
        <f>HYPERLINK("https://klasma.github.io/Logging_2581/tillsynsmail/A 71289-2021 tillsynsbegäran mail.docx", "A 71289-2021")</f>
        <v/>
      </c>
    </row>
    <row r="772" ht="15" customHeight="1">
      <c r="A772" t="inlineStr">
        <is>
          <t>A 72480-2021</t>
        </is>
      </c>
      <c r="B772" s="1" t="n">
        <v>44545</v>
      </c>
      <c r="C772" s="1" t="n">
        <v>45798</v>
      </c>
      <c r="D772" t="inlineStr">
        <is>
          <t>NORRBOTTENS LÄN</t>
        </is>
      </c>
      <c r="E772" t="inlineStr">
        <is>
          <t>JOKKMOKK</t>
        </is>
      </c>
      <c r="G772" t="n">
        <v>8.800000000000001</v>
      </c>
      <c r="H772" t="n">
        <v>0</v>
      </c>
      <c r="I772" t="n">
        <v>0</v>
      </c>
      <c r="J772" t="n">
        <v>1</v>
      </c>
      <c r="K772" t="n">
        <v>0</v>
      </c>
      <c r="L772" t="n">
        <v>0</v>
      </c>
      <c r="M772" t="n">
        <v>0</v>
      </c>
      <c r="N772" t="n">
        <v>0</v>
      </c>
      <c r="O772" t="n">
        <v>1</v>
      </c>
      <c r="P772" t="n">
        <v>0</v>
      </c>
      <c r="Q772" t="n">
        <v>1</v>
      </c>
      <c r="R772" s="2" t="inlineStr">
        <is>
          <t>Dvärgbägarlav</t>
        </is>
      </c>
      <c r="S772">
        <f>HYPERLINK("https://klasma.github.io/Logging_2510/artfynd/A 72480-2021 artfynd.xlsx", "A 72480-2021")</f>
        <v/>
      </c>
      <c r="T772">
        <f>HYPERLINK("https://klasma.github.io/Logging_2510/kartor/A 72480-2021 karta.png", "A 72480-2021")</f>
        <v/>
      </c>
      <c r="V772">
        <f>HYPERLINK("https://klasma.github.io/Logging_2510/klagomål/A 72480-2021 FSC-klagomål.docx", "A 72480-2021")</f>
        <v/>
      </c>
      <c r="W772">
        <f>HYPERLINK("https://klasma.github.io/Logging_2510/klagomålsmail/A 72480-2021 FSC-klagomål mail.docx", "A 72480-2021")</f>
        <v/>
      </c>
      <c r="X772">
        <f>HYPERLINK("https://klasma.github.io/Logging_2510/tillsyn/A 72480-2021 tillsynsbegäran.docx", "A 72480-2021")</f>
        <v/>
      </c>
      <c r="Y772">
        <f>HYPERLINK("https://klasma.github.io/Logging_2510/tillsynsmail/A 72480-2021 tillsynsbegäran mail.docx", "A 72480-2021")</f>
        <v/>
      </c>
    </row>
    <row r="773" ht="15" customHeight="1">
      <c r="A773" t="inlineStr">
        <is>
          <t>A 1090-2022</t>
        </is>
      </c>
      <c r="B773" s="1" t="n">
        <v>44571</v>
      </c>
      <c r="C773" s="1" t="n">
        <v>45798</v>
      </c>
      <c r="D773" t="inlineStr">
        <is>
          <t>NORRBOTTENS LÄN</t>
        </is>
      </c>
      <c r="E773" t="inlineStr">
        <is>
          <t>ÖVERTORNEÅ</t>
        </is>
      </c>
      <c r="G773" t="n">
        <v>23.1</v>
      </c>
      <c r="H773" t="n">
        <v>0</v>
      </c>
      <c r="I773" t="n">
        <v>1</v>
      </c>
      <c r="J773" t="n">
        <v>0</v>
      </c>
      <c r="K773" t="n">
        <v>0</v>
      </c>
      <c r="L773" t="n">
        <v>0</v>
      </c>
      <c r="M773" t="n">
        <v>0</v>
      </c>
      <c r="N773" t="n">
        <v>0</v>
      </c>
      <c r="O773" t="n">
        <v>0</v>
      </c>
      <c r="P773" t="n">
        <v>0</v>
      </c>
      <c r="Q773" t="n">
        <v>1</v>
      </c>
      <c r="R773" s="2" t="inlineStr">
        <is>
          <t>Grönpyrola</t>
        </is>
      </c>
      <c r="S773">
        <f>HYPERLINK("https://klasma.github.io/Logging_2518/artfynd/A 1090-2022 artfynd.xlsx", "A 1090-2022")</f>
        <v/>
      </c>
      <c r="T773">
        <f>HYPERLINK("https://klasma.github.io/Logging_2518/kartor/A 1090-2022 karta.png", "A 1090-2022")</f>
        <v/>
      </c>
      <c r="V773">
        <f>HYPERLINK("https://klasma.github.io/Logging_2518/klagomål/A 1090-2022 FSC-klagomål.docx", "A 1090-2022")</f>
        <v/>
      </c>
      <c r="W773">
        <f>HYPERLINK("https://klasma.github.io/Logging_2518/klagomålsmail/A 1090-2022 FSC-klagomål mail.docx", "A 1090-2022")</f>
        <v/>
      </c>
      <c r="X773">
        <f>HYPERLINK("https://klasma.github.io/Logging_2518/tillsyn/A 1090-2022 tillsynsbegäran.docx", "A 1090-2022")</f>
        <v/>
      </c>
      <c r="Y773">
        <f>HYPERLINK("https://klasma.github.io/Logging_2518/tillsynsmail/A 1090-2022 tillsynsbegäran mail.docx", "A 1090-2022")</f>
        <v/>
      </c>
    </row>
    <row r="774" ht="15" customHeight="1">
      <c r="A774" t="inlineStr">
        <is>
          <t>A 7960-2022</t>
        </is>
      </c>
      <c r="B774" s="1" t="n">
        <v>44608</v>
      </c>
      <c r="C774" s="1" t="n">
        <v>45798</v>
      </c>
      <c r="D774" t="inlineStr">
        <is>
          <t>NORRBOTTENS LÄN</t>
        </is>
      </c>
      <c r="E774" t="inlineStr">
        <is>
          <t>PAJALA</t>
        </is>
      </c>
      <c r="F774" t="inlineStr">
        <is>
          <t>SCA</t>
        </is>
      </c>
      <c r="G774" t="n">
        <v>4.9</v>
      </c>
      <c r="H774" t="n">
        <v>0</v>
      </c>
      <c r="I774" t="n">
        <v>0</v>
      </c>
      <c r="J774" t="n">
        <v>1</v>
      </c>
      <c r="K774" t="n">
        <v>0</v>
      </c>
      <c r="L774" t="n">
        <v>0</v>
      </c>
      <c r="M774" t="n">
        <v>0</v>
      </c>
      <c r="N774" t="n">
        <v>0</v>
      </c>
      <c r="O774" t="n">
        <v>1</v>
      </c>
      <c r="P774" t="n">
        <v>0</v>
      </c>
      <c r="Q774" t="n">
        <v>1</v>
      </c>
      <c r="R774" s="2" t="inlineStr">
        <is>
          <t>Gammelgransskål</t>
        </is>
      </c>
      <c r="S774">
        <f>HYPERLINK("https://klasma.github.io/Logging_2521/artfynd/A 7960-2022 artfynd.xlsx", "A 7960-2022")</f>
        <v/>
      </c>
      <c r="T774">
        <f>HYPERLINK("https://klasma.github.io/Logging_2521/kartor/A 7960-2022 karta.png", "A 7960-2022")</f>
        <v/>
      </c>
      <c r="V774">
        <f>HYPERLINK("https://klasma.github.io/Logging_2521/klagomål/A 7960-2022 FSC-klagomål.docx", "A 7960-2022")</f>
        <v/>
      </c>
      <c r="W774">
        <f>HYPERLINK("https://klasma.github.io/Logging_2521/klagomålsmail/A 7960-2022 FSC-klagomål mail.docx", "A 7960-2022")</f>
        <v/>
      </c>
      <c r="X774">
        <f>HYPERLINK("https://klasma.github.io/Logging_2521/tillsyn/A 7960-2022 tillsynsbegäran.docx", "A 7960-2022")</f>
        <v/>
      </c>
      <c r="Y774">
        <f>HYPERLINK("https://klasma.github.io/Logging_2521/tillsynsmail/A 7960-2022 tillsynsbegäran mail.docx", "A 7960-2022")</f>
        <v/>
      </c>
    </row>
    <row r="775" ht="15" customHeight="1">
      <c r="A775" t="inlineStr">
        <is>
          <t>A 12061-2022</t>
        </is>
      </c>
      <c r="B775" s="1" t="n">
        <v>44636</v>
      </c>
      <c r="C775" s="1" t="n">
        <v>45798</v>
      </c>
      <c r="D775" t="inlineStr">
        <is>
          <t>NORRBOTTENS LÄN</t>
        </is>
      </c>
      <c r="E775" t="inlineStr">
        <is>
          <t>PAJALA</t>
        </is>
      </c>
      <c r="G775" t="n">
        <v>36</v>
      </c>
      <c r="H775" t="n">
        <v>0</v>
      </c>
      <c r="I775" t="n">
        <v>1</v>
      </c>
      <c r="J775" t="n">
        <v>0</v>
      </c>
      <c r="K775" t="n">
        <v>0</v>
      </c>
      <c r="L775" t="n">
        <v>0</v>
      </c>
      <c r="M775" t="n">
        <v>0</v>
      </c>
      <c r="N775" t="n">
        <v>0</v>
      </c>
      <c r="O775" t="n">
        <v>0</v>
      </c>
      <c r="P775" t="n">
        <v>0</v>
      </c>
      <c r="Q775" t="n">
        <v>1</v>
      </c>
      <c r="R775" s="2" t="inlineStr">
        <is>
          <t>Grönpyrola</t>
        </is>
      </c>
      <c r="S775">
        <f>HYPERLINK("https://klasma.github.io/Logging_2521/artfynd/A 12061-2022 artfynd.xlsx", "A 12061-2022")</f>
        <v/>
      </c>
      <c r="T775">
        <f>HYPERLINK("https://klasma.github.io/Logging_2521/kartor/A 12061-2022 karta.png", "A 12061-2022")</f>
        <v/>
      </c>
      <c r="V775">
        <f>HYPERLINK("https://klasma.github.io/Logging_2521/klagomål/A 12061-2022 FSC-klagomål.docx", "A 12061-2022")</f>
        <v/>
      </c>
      <c r="W775">
        <f>HYPERLINK("https://klasma.github.io/Logging_2521/klagomålsmail/A 12061-2022 FSC-klagomål mail.docx", "A 12061-2022")</f>
        <v/>
      </c>
      <c r="X775">
        <f>HYPERLINK("https://klasma.github.io/Logging_2521/tillsyn/A 12061-2022 tillsynsbegäran.docx", "A 12061-2022")</f>
        <v/>
      </c>
      <c r="Y775">
        <f>HYPERLINK("https://klasma.github.io/Logging_2521/tillsynsmail/A 12061-2022 tillsynsbegäran mail.docx", "A 12061-2022")</f>
        <v/>
      </c>
    </row>
    <row r="776" ht="15" customHeight="1">
      <c r="A776" t="inlineStr">
        <is>
          <t>A 13467-2022</t>
        </is>
      </c>
      <c r="B776" s="1" t="n">
        <v>44645</v>
      </c>
      <c r="C776" s="1" t="n">
        <v>45798</v>
      </c>
      <c r="D776" t="inlineStr">
        <is>
          <t>NORRBOTTENS LÄN</t>
        </is>
      </c>
      <c r="E776" t="inlineStr">
        <is>
          <t>ÖVERKALIX</t>
        </is>
      </c>
      <c r="G776" t="n">
        <v>6.8</v>
      </c>
      <c r="H776" t="n">
        <v>1</v>
      </c>
      <c r="I776" t="n">
        <v>0</v>
      </c>
      <c r="J776" t="n">
        <v>1</v>
      </c>
      <c r="K776" t="n">
        <v>0</v>
      </c>
      <c r="L776" t="n">
        <v>0</v>
      </c>
      <c r="M776" t="n">
        <v>0</v>
      </c>
      <c r="N776" t="n">
        <v>0</v>
      </c>
      <c r="O776" t="n">
        <v>1</v>
      </c>
      <c r="P776" t="n">
        <v>0</v>
      </c>
      <c r="Q776" t="n">
        <v>1</v>
      </c>
      <c r="R776" s="2" t="inlineStr">
        <is>
          <t>Järpe</t>
        </is>
      </c>
      <c r="S776">
        <f>HYPERLINK("https://klasma.github.io/Logging_2513/artfynd/A 13467-2022 artfynd.xlsx", "A 13467-2022")</f>
        <v/>
      </c>
      <c r="T776">
        <f>HYPERLINK("https://klasma.github.io/Logging_2513/kartor/A 13467-2022 karta.png", "A 13467-2022")</f>
        <v/>
      </c>
      <c r="V776">
        <f>HYPERLINK("https://klasma.github.io/Logging_2513/klagomål/A 13467-2022 FSC-klagomål.docx", "A 13467-2022")</f>
        <v/>
      </c>
      <c r="W776">
        <f>HYPERLINK("https://klasma.github.io/Logging_2513/klagomålsmail/A 13467-2022 FSC-klagomål mail.docx", "A 13467-2022")</f>
        <v/>
      </c>
      <c r="X776">
        <f>HYPERLINK("https://klasma.github.io/Logging_2513/tillsyn/A 13467-2022 tillsynsbegäran.docx", "A 13467-2022")</f>
        <v/>
      </c>
      <c r="Y776">
        <f>HYPERLINK("https://klasma.github.io/Logging_2513/tillsynsmail/A 13467-2022 tillsynsbegäran mail.docx", "A 13467-2022")</f>
        <v/>
      </c>
      <c r="Z776">
        <f>HYPERLINK("https://klasma.github.io/Logging_2513/fåglar/A 13467-2022 prioriterade fågelarter.docx", "A 13467-2022")</f>
        <v/>
      </c>
    </row>
    <row r="777" ht="15" customHeight="1">
      <c r="A777" t="inlineStr">
        <is>
          <t>A 13647-2022</t>
        </is>
      </c>
      <c r="B777" s="1" t="n">
        <v>44648</v>
      </c>
      <c r="C777" s="1" t="n">
        <v>45798</v>
      </c>
      <c r="D777" t="inlineStr">
        <is>
          <t>NORRBOTTENS LÄN</t>
        </is>
      </c>
      <c r="E777" t="inlineStr">
        <is>
          <t>BODEN</t>
        </is>
      </c>
      <c r="F777" t="inlineStr">
        <is>
          <t>Sveaskog</t>
        </is>
      </c>
      <c r="G777" t="n">
        <v>3.8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13647-2022 artfynd.xlsx", "A 13647-2022")</f>
        <v/>
      </c>
      <c r="T777">
        <f>HYPERLINK("https://klasma.github.io/Logging_2582/kartor/A 13647-2022 karta.png", "A 13647-2022")</f>
        <v/>
      </c>
      <c r="V777">
        <f>HYPERLINK("https://klasma.github.io/Logging_2582/klagomål/A 13647-2022 FSC-klagomål.docx", "A 13647-2022")</f>
        <v/>
      </c>
      <c r="W777">
        <f>HYPERLINK("https://klasma.github.io/Logging_2582/klagomålsmail/A 13647-2022 FSC-klagomål mail.docx", "A 13647-2022")</f>
        <v/>
      </c>
      <c r="X777">
        <f>HYPERLINK("https://klasma.github.io/Logging_2582/tillsyn/A 13647-2022 tillsynsbegäran.docx", "A 13647-2022")</f>
        <v/>
      </c>
      <c r="Y777">
        <f>HYPERLINK("https://klasma.github.io/Logging_2582/tillsynsmail/A 13647-2022 tillsynsbegäran mail.docx", "A 13647-2022")</f>
        <v/>
      </c>
    </row>
    <row r="778" ht="15" customHeight="1">
      <c r="A778" t="inlineStr">
        <is>
          <t>A 14904-2022</t>
        </is>
      </c>
      <c r="B778" s="1" t="n">
        <v>44656</v>
      </c>
      <c r="C778" s="1" t="n">
        <v>45798</v>
      </c>
      <c r="D778" t="inlineStr">
        <is>
          <t>NORRBOTTENS LÄN</t>
        </is>
      </c>
      <c r="E778" t="inlineStr">
        <is>
          <t>ÖVERKALIX</t>
        </is>
      </c>
      <c r="F778" t="inlineStr">
        <is>
          <t>SCA</t>
        </is>
      </c>
      <c r="G778" t="n">
        <v>72.2</v>
      </c>
      <c r="H778" t="n">
        <v>1</v>
      </c>
      <c r="I778" t="n">
        <v>0</v>
      </c>
      <c r="J778" t="n">
        <v>0</v>
      </c>
      <c r="K778" t="n">
        <v>0</v>
      </c>
      <c r="L778" t="n">
        <v>0</v>
      </c>
      <c r="M778" t="n">
        <v>0</v>
      </c>
      <c r="N778" t="n">
        <v>0</v>
      </c>
      <c r="O778" t="n">
        <v>0</v>
      </c>
      <c r="P778" t="n">
        <v>0</v>
      </c>
      <c r="Q778" t="n">
        <v>1</v>
      </c>
      <c r="R778" s="2" t="inlineStr">
        <is>
          <t>Fläcknycklar</t>
        </is>
      </c>
      <c r="S778">
        <f>HYPERLINK("https://klasma.github.io/Logging_2513/artfynd/A 14904-2022 artfynd.xlsx", "A 14904-2022")</f>
        <v/>
      </c>
      <c r="T778">
        <f>HYPERLINK("https://klasma.github.io/Logging_2513/kartor/A 14904-2022 karta.png", "A 14904-2022")</f>
        <v/>
      </c>
      <c r="V778">
        <f>HYPERLINK("https://klasma.github.io/Logging_2513/klagomål/A 14904-2022 FSC-klagomål.docx", "A 14904-2022")</f>
        <v/>
      </c>
      <c r="W778">
        <f>HYPERLINK("https://klasma.github.io/Logging_2513/klagomålsmail/A 14904-2022 FSC-klagomål mail.docx", "A 14904-2022")</f>
        <v/>
      </c>
      <c r="X778">
        <f>HYPERLINK("https://klasma.github.io/Logging_2513/tillsyn/A 14904-2022 tillsynsbegäran.docx", "A 14904-2022")</f>
        <v/>
      </c>
      <c r="Y778">
        <f>HYPERLINK("https://klasma.github.io/Logging_2513/tillsynsmail/A 14904-2022 tillsynsbegäran mail.docx", "A 14904-2022")</f>
        <v/>
      </c>
    </row>
    <row r="779" ht="15" customHeight="1">
      <c r="A779" t="inlineStr">
        <is>
          <t>A 15137-2022</t>
        </is>
      </c>
      <c r="B779" s="1" t="n">
        <v>44658</v>
      </c>
      <c r="C779" s="1" t="n">
        <v>45798</v>
      </c>
      <c r="D779" t="inlineStr">
        <is>
          <t>NORRBOTTENS LÄN</t>
        </is>
      </c>
      <c r="E779" t="inlineStr">
        <is>
          <t>ÖVERKALIX</t>
        </is>
      </c>
      <c r="G779" t="n">
        <v>5.7</v>
      </c>
      <c r="H779" t="n">
        <v>0</v>
      </c>
      <c r="I779" t="n">
        <v>0</v>
      </c>
      <c r="J779" t="n">
        <v>1</v>
      </c>
      <c r="K779" t="n">
        <v>0</v>
      </c>
      <c r="L779" t="n">
        <v>0</v>
      </c>
      <c r="M779" t="n">
        <v>0</v>
      </c>
      <c r="N779" t="n">
        <v>0</v>
      </c>
      <c r="O779" t="n">
        <v>1</v>
      </c>
      <c r="P779" t="n">
        <v>0</v>
      </c>
      <c r="Q779" t="n">
        <v>1</v>
      </c>
      <c r="R779" s="2" t="inlineStr">
        <is>
          <t>Kortskaftad ärgspik</t>
        </is>
      </c>
      <c r="S779">
        <f>HYPERLINK("https://klasma.github.io/Logging_2513/artfynd/A 15137-2022 artfynd.xlsx", "A 15137-2022")</f>
        <v/>
      </c>
      <c r="T779">
        <f>HYPERLINK("https://klasma.github.io/Logging_2513/kartor/A 15137-2022 karta.png", "A 15137-2022")</f>
        <v/>
      </c>
      <c r="V779">
        <f>HYPERLINK("https://klasma.github.io/Logging_2513/klagomål/A 15137-2022 FSC-klagomål.docx", "A 15137-2022")</f>
        <v/>
      </c>
      <c r="W779">
        <f>HYPERLINK("https://klasma.github.io/Logging_2513/klagomålsmail/A 15137-2022 FSC-klagomål mail.docx", "A 15137-2022")</f>
        <v/>
      </c>
      <c r="X779">
        <f>HYPERLINK("https://klasma.github.io/Logging_2513/tillsyn/A 15137-2022 tillsynsbegäran.docx", "A 15137-2022")</f>
        <v/>
      </c>
      <c r="Y779">
        <f>HYPERLINK("https://klasma.github.io/Logging_2513/tillsynsmail/A 15137-2022 tillsynsbegäran mail.docx", "A 15137-2022")</f>
        <v/>
      </c>
    </row>
    <row r="780" ht="15" customHeight="1">
      <c r="A780" t="inlineStr">
        <is>
          <t>A 16470-2022</t>
        </is>
      </c>
      <c r="B780" s="1" t="n">
        <v>44671</v>
      </c>
      <c r="C780" s="1" t="n">
        <v>45798</v>
      </c>
      <c r="D780" t="inlineStr">
        <is>
          <t>NORRBOTTENS LÄN</t>
        </is>
      </c>
      <c r="E780" t="inlineStr">
        <is>
          <t>ÄLVSBYN</t>
        </is>
      </c>
      <c r="F780" t="inlineStr">
        <is>
          <t>Sveaskog</t>
        </is>
      </c>
      <c r="G780" t="n">
        <v>6.6</v>
      </c>
      <c r="H780" t="n">
        <v>0</v>
      </c>
      <c r="I780" t="n">
        <v>0</v>
      </c>
      <c r="J780" t="n">
        <v>1</v>
      </c>
      <c r="K780" t="n">
        <v>0</v>
      </c>
      <c r="L780" t="n">
        <v>0</v>
      </c>
      <c r="M780" t="n">
        <v>0</v>
      </c>
      <c r="N780" t="n">
        <v>0</v>
      </c>
      <c r="O780" t="n">
        <v>1</v>
      </c>
      <c r="P780" t="n">
        <v>0</v>
      </c>
      <c r="Q780" t="n">
        <v>1</v>
      </c>
      <c r="R780" s="2" t="inlineStr">
        <is>
          <t>Tallticka</t>
        </is>
      </c>
      <c r="S780">
        <f>HYPERLINK("https://klasma.github.io/Logging_2560/artfynd/A 16470-2022 artfynd.xlsx", "A 16470-2022")</f>
        <v/>
      </c>
      <c r="T780">
        <f>HYPERLINK("https://klasma.github.io/Logging_2560/kartor/A 16470-2022 karta.png", "A 16470-2022")</f>
        <v/>
      </c>
      <c r="V780">
        <f>HYPERLINK("https://klasma.github.io/Logging_2560/klagomål/A 16470-2022 FSC-klagomål.docx", "A 16470-2022")</f>
        <v/>
      </c>
      <c r="W780">
        <f>HYPERLINK("https://klasma.github.io/Logging_2560/klagomålsmail/A 16470-2022 FSC-klagomål mail.docx", "A 16470-2022")</f>
        <v/>
      </c>
      <c r="X780">
        <f>HYPERLINK("https://klasma.github.io/Logging_2560/tillsyn/A 16470-2022 tillsynsbegäran.docx", "A 16470-2022")</f>
        <v/>
      </c>
      <c r="Y780">
        <f>HYPERLINK("https://klasma.github.io/Logging_2560/tillsynsmail/A 16470-2022 tillsynsbegäran mail.docx", "A 16470-2022")</f>
        <v/>
      </c>
    </row>
    <row r="781" ht="15" customHeight="1">
      <c r="A781" t="inlineStr">
        <is>
          <t>A 19396-2022</t>
        </is>
      </c>
      <c r="B781" s="1" t="n">
        <v>44692</v>
      </c>
      <c r="C781" s="1" t="n">
        <v>45798</v>
      </c>
      <c r="D781" t="inlineStr">
        <is>
          <t>NORRBOTTENS LÄN</t>
        </is>
      </c>
      <c r="E781" t="inlineStr">
        <is>
          <t>BODEN</t>
        </is>
      </c>
      <c r="F781" t="inlineStr">
        <is>
          <t>SCA</t>
        </is>
      </c>
      <c r="G781" t="n">
        <v>13.1</v>
      </c>
      <c r="H781" t="n">
        <v>0</v>
      </c>
      <c r="I781" t="n">
        <v>0</v>
      </c>
      <c r="J781" t="n">
        <v>1</v>
      </c>
      <c r="K781" t="n">
        <v>0</v>
      </c>
      <c r="L781" t="n">
        <v>0</v>
      </c>
      <c r="M781" t="n">
        <v>0</v>
      </c>
      <c r="N781" t="n">
        <v>0</v>
      </c>
      <c r="O781" t="n">
        <v>1</v>
      </c>
      <c r="P781" t="n">
        <v>0</v>
      </c>
      <c r="Q781" t="n">
        <v>1</v>
      </c>
      <c r="R781" s="2" t="inlineStr">
        <is>
          <t>Tallticka</t>
        </is>
      </c>
      <c r="S781">
        <f>HYPERLINK("https://klasma.github.io/Logging_2582/artfynd/A 19396-2022 artfynd.xlsx", "A 19396-2022")</f>
        <v/>
      </c>
      <c r="T781">
        <f>HYPERLINK("https://klasma.github.io/Logging_2582/kartor/A 19396-2022 karta.png", "A 19396-2022")</f>
        <v/>
      </c>
      <c r="V781">
        <f>HYPERLINK("https://klasma.github.io/Logging_2582/klagomål/A 19396-2022 FSC-klagomål.docx", "A 19396-2022")</f>
        <v/>
      </c>
      <c r="W781">
        <f>HYPERLINK("https://klasma.github.io/Logging_2582/klagomålsmail/A 19396-2022 FSC-klagomål mail.docx", "A 19396-2022")</f>
        <v/>
      </c>
      <c r="X781">
        <f>HYPERLINK("https://klasma.github.io/Logging_2582/tillsyn/A 19396-2022 tillsynsbegäran.docx", "A 19396-2022")</f>
        <v/>
      </c>
      <c r="Y781">
        <f>HYPERLINK("https://klasma.github.io/Logging_2582/tillsynsmail/A 19396-2022 tillsynsbegäran mail.docx", "A 19396-2022")</f>
        <v/>
      </c>
    </row>
    <row r="782" ht="15" customHeight="1">
      <c r="A782" t="inlineStr">
        <is>
          <t>A 24589-2022</t>
        </is>
      </c>
      <c r="B782" s="1" t="n">
        <v>44727</v>
      </c>
      <c r="C782" s="1" t="n">
        <v>45798</v>
      </c>
      <c r="D782" t="inlineStr">
        <is>
          <t>NORRBOTTENS LÄN</t>
        </is>
      </c>
      <c r="E782" t="inlineStr">
        <is>
          <t>PITEÅ</t>
        </is>
      </c>
      <c r="G782" t="n">
        <v>1.7</v>
      </c>
      <c r="H782" t="n">
        <v>1</v>
      </c>
      <c r="I782" t="n">
        <v>0</v>
      </c>
      <c r="J782" t="n">
        <v>1</v>
      </c>
      <c r="K782" t="n">
        <v>0</v>
      </c>
      <c r="L782" t="n">
        <v>0</v>
      </c>
      <c r="M782" t="n">
        <v>0</v>
      </c>
      <c r="N782" t="n">
        <v>0</v>
      </c>
      <c r="O782" t="n">
        <v>1</v>
      </c>
      <c r="P782" t="n">
        <v>0</v>
      </c>
      <c r="Q782" t="n">
        <v>1</v>
      </c>
      <c r="R782" s="2" t="inlineStr">
        <is>
          <t>Rosenfink</t>
        </is>
      </c>
      <c r="S782">
        <f>HYPERLINK("https://klasma.github.io/Logging_2581/artfynd/A 24589-2022 artfynd.xlsx", "A 24589-2022")</f>
        <v/>
      </c>
      <c r="T782">
        <f>HYPERLINK("https://klasma.github.io/Logging_2581/kartor/A 24589-2022 karta.png", "A 24589-2022")</f>
        <v/>
      </c>
      <c r="V782">
        <f>HYPERLINK("https://klasma.github.io/Logging_2581/klagomål/A 24589-2022 FSC-klagomål.docx", "A 24589-2022")</f>
        <v/>
      </c>
      <c r="W782">
        <f>HYPERLINK("https://klasma.github.io/Logging_2581/klagomålsmail/A 24589-2022 FSC-klagomål mail.docx", "A 24589-2022")</f>
        <v/>
      </c>
      <c r="X782">
        <f>HYPERLINK("https://klasma.github.io/Logging_2581/tillsyn/A 24589-2022 tillsynsbegäran.docx", "A 24589-2022")</f>
        <v/>
      </c>
      <c r="Y782">
        <f>HYPERLINK("https://klasma.github.io/Logging_2581/tillsynsmail/A 24589-2022 tillsynsbegäran mail.docx", "A 24589-2022")</f>
        <v/>
      </c>
      <c r="Z782">
        <f>HYPERLINK("https://klasma.github.io/Logging_2581/fåglar/A 24589-2022 prioriterade fågelarter.docx", "A 24589-2022")</f>
        <v/>
      </c>
    </row>
    <row r="783" ht="15" customHeight="1">
      <c r="A783" t="inlineStr">
        <is>
          <t>A 25651-2022</t>
        </is>
      </c>
      <c r="B783" s="1" t="n">
        <v>44732</v>
      </c>
      <c r="C783" s="1" t="n">
        <v>45798</v>
      </c>
      <c r="D783" t="inlineStr">
        <is>
          <t>NORRBOTTENS LÄN</t>
        </is>
      </c>
      <c r="E783" t="inlineStr">
        <is>
          <t>ÖVERKALIX</t>
        </is>
      </c>
      <c r="F783" t="inlineStr">
        <is>
          <t>SCA</t>
        </is>
      </c>
      <c r="G783" t="n">
        <v>1.6</v>
      </c>
      <c r="H783" t="n">
        <v>0</v>
      </c>
      <c r="I783" t="n">
        <v>0</v>
      </c>
      <c r="J783" t="n">
        <v>1</v>
      </c>
      <c r="K783" t="n">
        <v>0</v>
      </c>
      <c r="L783" t="n">
        <v>0</v>
      </c>
      <c r="M783" t="n">
        <v>0</v>
      </c>
      <c r="N783" t="n">
        <v>0</v>
      </c>
      <c r="O783" t="n">
        <v>1</v>
      </c>
      <c r="P783" t="n">
        <v>0</v>
      </c>
      <c r="Q783" t="n">
        <v>1</v>
      </c>
      <c r="R783" s="2" t="inlineStr">
        <is>
          <t>Ullticka</t>
        </is>
      </c>
      <c r="S783">
        <f>HYPERLINK("https://klasma.github.io/Logging_2513/artfynd/A 25651-2022 artfynd.xlsx", "A 25651-2022")</f>
        <v/>
      </c>
      <c r="T783">
        <f>HYPERLINK("https://klasma.github.io/Logging_2513/kartor/A 25651-2022 karta.png", "A 25651-2022")</f>
        <v/>
      </c>
      <c r="V783">
        <f>HYPERLINK("https://klasma.github.io/Logging_2513/klagomål/A 25651-2022 FSC-klagomål.docx", "A 25651-2022")</f>
        <v/>
      </c>
      <c r="W783">
        <f>HYPERLINK("https://klasma.github.io/Logging_2513/klagomålsmail/A 25651-2022 FSC-klagomål mail.docx", "A 25651-2022")</f>
        <v/>
      </c>
      <c r="X783">
        <f>HYPERLINK("https://klasma.github.io/Logging_2513/tillsyn/A 25651-2022 tillsynsbegäran.docx", "A 25651-2022")</f>
        <v/>
      </c>
      <c r="Y783">
        <f>HYPERLINK("https://klasma.github.io/Logging_2513/tillsynsmail/A 25651-2022 tillsynsbegäran mail.docx", "A 25651-2022")</f>
        <v/>
      </c>
    </row>
    <row r="784" ht="15" customHeight="1">
      <c r="A784" t="inlineStr">
        <is>
          <t>A 25729-2022</t>
        </is>
      </c>
      <c r="B784" s="1" t="n">
        <v>44733</v>
      </c>
      <c r="C784" s="1" t="n">
        <v>45798</v>
      </c>
      <c r="D784" t="inlineStr">
        <is>
          <t>NORRBOTTENS LÄN</t>
        </is>
      </c>
      <c r="E784" t="inlineStr">
        <is>
          <t>LULEÅ</t>
        </is>
      </c>
      <c r="G784" t="n">
        <v>3.5</v>
      </c>
      <c r="H784" t="n">
        <v>0</v>
      </c>
      <c r="I784" t="n">
        <v>0</v>
      </c>
      <c r="J784" t="n">
        <v>0</v>
      </c>
      <c r="K784" t="n">
        <v>1</v>
      </c>
      <c r="L784" t="n">
        <v>0</v>
      </c>
      <c r="M784" t="n">
        <v>0</v>
      </c>
      <c r="N784" t="n">
        <v>0</v>
      </c>
      <c r="O784" t="n">
        <v>1</v>
      </c>
      <c r="P784" t="n">
        <v>1</v>
      </c>
      <c r="Q784" t="n">
        <v>1</v>
      </c>
      <c r="R784" s="2" t="inlineStr">
        <is>
          <t>Ostticka</t>
        </is>
      </c>
      <c r="S784">
        <f>HYPERLINK("https://klasma.github.io/Logging_2580/artfynd/A 25729-2022 artfynd.xlsx", "A 25729-2022")</f>
        <v/>
      </c>
      <c r="T784">
        <f>HYPERLINK("https://klasma.github.io/Logging_2580/kartor/A 25729-2022 karta.png", "A 25729-2022")</f>
        <v/>
      </c>
      <c r="V784">
        <f>HYPERLINK("https://klasma.github.io/Logging_2580/klagomål/A 25729-2022 FSC-klagomål.docx", "A 25729-2022")</f>
        <v/>
      </c>
      <c r="W784">
        <f>HYPERLINK("https://klasma.github.io/Logging_2580/klagomålsmail/A 25729-2022 FSC-klagomål mail.docx", "A 25729-2022")</f>
        <v/>
      </c>
      <c r="X784">
        <f>HYPERLINK("https://klasma.github.io/Logging_2580/tillsyn/A 25729-2022 tillsynsbegäran.docx", "A 25729-2022")</f>
        <v/>
      </c>
      <c r="Y784">
        <f>HYPERLINK("https://klasma.github.io/Logging_2580/tillsynsmail/A 25729-2022 tillsynsbegäran mail.docx", "A 25729-2022")</f>
        <v/>
      </c>
    </row>
    <row r="785" ht="15" customHeight="1">
      <c r="A785" t="inlineStr">
        <is>
          <t>A 30095-2022</t>
        </is>
      </c>
      <c r="B785" s="1" t="n">
        <v>44757</v>
      </c>
      <c r="C785" s="1" t="n">
        <v>45798</v>
      </c>
      <c r="D785" t="inlineStr">
        <is>
          <t>NORRBOTTENS LÄN</t>
        </is>
      </c>
      <c r="E785" t="inlineStr">
        <is>
          <t>LULEÅ</t>
        </is>
      </c>
      <c r="G785" t="n">
        <v>27.7</v>
      </c>
      <c r="H785" t="n">
        <v>1</v>
      </c>
      <c r="I785" t="n">
        <v>0</v>
      </c>
      <c r="J785" t="n">
        <v>0</v>
      </c>
      <c r="K785" t="n">
        <v>1</v>
      </c>
      <c r="L785" t="n">
        <v>0</v>
      </c>
      <c r="M785" t="n">
        <v>0</v>
      </c>
      <c r="N785" t="n">
        <v>0</v>
      </c>
      <c r="O785" t="n">
        <v>1</v>
      </c>
      <c r="P785" t="n">
        <v>1</v>
      </c>
      <c r="Q785" t="n">
        <v>1</v>
      </c>
      <c r="R785" s="2" t="inlineStr">
        <is>
          <t>Knärot</t>
        </is>
      </c>
      <c r="S785">
        <f>HYPERLINK("https://klasma.github.io/Logging_2580/artfynd/A 30095-2022 artfynd.xlsx", "A 30095-2022")</f>
        <v/>
      </c>
      <c r="T785">
        <f>HYPERLINK("https://klasma.github.io/Logging_2580/kartor/A 30095-2022 karta.png", "A 30095-2022")</f>
        <v/>
      </c>
      <c r="U785">
        <f>HYPERLINK("https://klasma.github.io/Logging_2580/knärot/A 30095-2022 karta knärot.png", "A 30095-2022")</f>
        <v/>
      </c>
      <c r="V785">
        <f>HYPERLINK("https://klasma.github.io/Logging_2580/klagomål/A 30095-2022 FSC-klagomål.docx", "A 30095-2022")</f>
        <v/>
      </c>
      <c r="W785">
        <f>HYPERLINK("https://klasma.github.io/Logging_2580/klagomålsmail/A 30095-2022 FSC-klagomål mail.docx", "A 30095-2022")</f>
        <v/>
      </c>
      <c r="X785">
        <f>HYPERLINK("https://klasma.github.io/Logging_2580/tillsyn/A 30095-2022 tillsynsbegäran.docx", "A 30095-2022")</f>
        <v/>
      </c>
      <c r="Y785">
        <f>HYPERLINK("https://klasma.github.io/Logging_2580/tillsynsmail/A 30095-2022 tillsynsbegäran mail.docx", "A 30095-2022")</f>
        <v/>
      </c>
    </row>
    <row r="786" ht="15" customHeight="1">
      <c r="A786" t="inlineStr">
        <is>
          <t>A 33029-2022</t>
        </is>
      </c>
      <c r="B786" s="1" t="n">
        <v>44785</v>
      </c>
      <c r="C786" s="1" t="n">
        <v>45798</v>
      </c>
      <c r="D786" t="inlineStr">
        <is>
          <t>NORRBOTTENS LÄN</t>
        </is>
      </c>
      <c r="E786" t="inlineStr">
        <is>
          <t>ÖVERTORNEÅ</t>
        </is>
      </c>
      <c r="G786" t="n">
        <v>10.3</v>
      </c>
      <c r="H786" t="n">
        <v>1</v>
      </c>
      <c r="I786" t="n">
        <v>0</v>
      </c>
      <c r="J786" t="n">
        <v>0</v>
      </c>
      <c r="K786" t="n">
        <v>0</v>
      </c>
      <c r="L786" t="n">
        <v>0</v>
      </c>
      <c r="M786" t="n">
        <v>0</v>
      </c>
      <c r="N786" t="n">
        <v>0</v>
      </c>
      <c r="O786" t="n">
        <v>0</v>
      </c>
      <c r="P786" t="n">
        <v>0</v>
      </c>
      <c r="Q786" t="n">
        <v>1</v>
      </c>
      <c r="R786" s="2" t="inlineStr">
        <is>
          <t>Fläcknycklar</t>
        </is>
      </c>
      <c r="S786">
        <f>HYPERLINK("https://klasma.github.io/Logging_2518/artfynd/A 33029-2022 artfynd.xlsx", "A 33029-2022")</f>
        <v/>
      </c>
      <c r="T786">
        <f>HYPERLINK("https://klasma.github.io/Logging_2518/kartor/A 33029-2022 karta.png", "A 33029-2022")</f>
        <v/>
      </c>
      <c r="V786">
        <f>HYPERLINK("https://klasma.github.io/Logging_2518/klagomål/A 33029-2022 FSC-klagomål.docx", "A 33029-2022")</f>
        <v/>
      </c>
      <c r="W786">
        <f>HYPERLINK("https://klasma.github.io/Logging_2518/klagomålsmail/A 33029-2022 FSC-klagomål mail.docx", "A 33029-2022")</f>
        <v/>
      </c>
      <c r="X786">
        <f>HYPERLINK("https://klasma.github.io/Logging_2518/tillsyn/A 33029-2022 tillsynsbegäran.docx", "A 33029-2022")</f>
        <v/>
      </c>
      <c r="Y786">
        <f>HYPERLINK("https://klasma.github.io/Logging_2518/tillsynsmail/A 33029-2022 tillsynsbegäran mail.docx", "A 33029-2022")</f>
        <v/>
      </c>
    </row>
    <row r="787" ht="15" customHeight="1">
      <c r="A787" t="inlineStr">
        <is>
          <t>A 33740-2022</t>
        </is>
      </c>
      <c r="B787" s="1" t="n">
        <v>44790</v>
      </c>
      <c r="C787" s="1" t="n">
        <v>45798</v>
      </c>
      <c r="D787" t="inlineStr">
        <is>
          <t>NORRBOTTENS LÄN</t>
        </is>
      </c>
      <c r="E787" t="inlineStr">
        <is>
          <t>BODEN</t>
        </is>
      </c>
      <c r="F787" t="inlineStr">
        <is>
          <t>SCA</t>
        </is>
      </c>
      <c r="G787" t="n">
        <v>4.9</v>
      </c>
      <c r="H787" t="n">
        <v>1</v>
      </c>
      <c r="I787" t="n">
        <v>0</v>
      </c>
      <c r="J787" t="n">
        <v>0</v>
      </c>
      <c r="K787" t="n">
        <v>0</v>
      </c>
      <c r="L787" t="n">
        <v>0</v>
      </c>
      <c r="M787" t="n">
        <v>0</v>
      </c>
      <c r="N787" t="n">
        <v>0</v>
      </c>
      <c r="O787" t="n">
        <v>0</v>
      </c>
      <c r="P787" t="n">
        <v>0</v>
      </c>
      <c r="Q787" t="n">
        <v>1</v>
      </c>
      <c r="R787" s="2" t="inlineStr">
        <is>
          <t>Revlummer</t>
        </is>
      </c>
      <c r="S787">
        <f>HYPERLINK("https://klasma.github.io/Logging_2582/artfynd/A 33740-2022 artfynd.xlsx", "A 33740-2022")</f>
        <v/>
      </c>
      <c r="T787">
        <f>HYPERLINK("https://klasma.github.io/Logging_2582/kartor/A 33740-2022 karta.png", "A 33740-2022")</f>
        <v/>
      </c>
      <c r="V787">
        <f>HYPERLINK("https://klasma.github.io/Logging_2582/klagomål/A 33740-2022 FSC-klagomål.docx", "A 33740-2022")</f>
        <v/>
      </c>
      <c r="W787">
        <f>HYPERLINK("https://klasma.github.io/Logging_2582/klagomålsmail/A 33740-2022 FSC-klagomål mail.docx", "A 33740-2022")</f>
        <v/>
      </c>
      <c r="X787">
        <f>HYPERLINK("https://klasma.github.io/Logging_2582/tillsyn/A 33740-2022 tillsynsbegäran.docx", "A 33740-2022")</f>
        <v/>
      </c>
      <c r="Y787">
        <f>HYPERLINK("https://klasma.github.io/Logging_2582/tillsynsmail/A 33740-2022 tillsynsbegäran mail.docx", "A 33740-2022")</f>
        <v/>
      </c>
    </row>
    <row r="788" ht="15" customHeight="1">
      <c r="A788" t="inlineStr">
        <is>
          <t>A 34186-2022</t>
        </is>
      </c>
      <c r="B788" s="1" t="n">
        <v>44791</v>
      </c>
      <c r="C788" s="1" t="n">
        <v>45798</v>
      </c>
      <c r="D788" t="inlineStr">
        <is>
          <t>NORRBOTTENS LÄN</t>
        </is>
      </c>
      <c r="E788" t="inlineStr">
        <is>
          <t>ÖVERTORNEÅ</t>
        </is>
      </c>
      <c r="F788" t="inlineStr">
        <is>
          <t>Sveaskog</t>
        </is>
      </c>
      <c r="G788" t="n">
        <v>33</v>
      </c>
      <c r="H788" t="n">
        <v>0</v>
      </c>
      <c r="I788" t="n">
        <v>1</v>
      </c>
      <c r="J788" t="n">
        <v>0</v>
      </c>
      <c r="K788" t="n">
        <v>0</v>
      </c>
      <c r="L788" t="n">
        <v>0</v>
      </c>
      <c r="M788" t="n">
        <v>0</v>
      </c>
      <c r="N788" t="n">
        <v>0</v>
      </c>
      <c r="O788" t="n">
        <v>0</v>
      </c>
      <c r="P788" t="n">
        <v>0</v>
      </c>
      <c r="Q788" t="n">
        <v>1</v>
      </c>
      <c r="R788" s="2" t="inlineStr">
        <is>
          <t>Stor aspticka</t>
        </is>
      </c>
      <c r="S788">
        <f>HYPERLINK("https://klasma.github.io/Logging_2518/artfynd/A 34186-2022 artfynd.xlsx", "A 34186-2022")</f>
        <v/>
      </c>
      <c r="T788">
        <f>HYPERLINK("https://klasma.github.io/Logging_2518/kartor/A 34186-2022 karta.png", "A 34186-2022")</f>
        <v/>
      </c>
      <c r="V788">
        <f>HYPERLINK("https://klasma.github.io/Logging_2518/klagomål/A 34186-2022 FSC-klagomål.docx", "A 34186-2022")</f>
        <v/>
      </c>
      <c r="W788">
        <f>HYPERLINK("https://klasma.github.io/Logging_2518/klagomålsmail/A 34186-2022 FSC-klagomål mail.docx", "A 34186-2022")</f>
        <v/>
      </c>
      <c r="X788">
        <f>HYPERLINK("https://klasma.github.io/Logging_2518/tillsyn/A 34186-2022 tillsynsbegäran.docx", "A 34186-2022")</f>
        <v/>
      </c>
      <c r="Y788">
        <f>HYPERLINK("https://klasma.github.io/Logging_2518/tillsynsmail/A 34186-2022 tillsynsbegäran mail.docx", "A 34186-2022")</f>
        <v/>
      </c>
    </row>
    <row r="789" ht="15" customHeight="1">
      <c r="A789" t="inlineStr">
        <is>
          <t>A 34022-2022</t>
        </is>
      </c>
      <c r="B789" s="1" t="n">
        <v>44791</v>
      </c>
      <c r="C789" s="1" t="n">
        <v>45798</v>
      </c>
      <c r="D789" t="inlineStr">
        <is>
          <t>NORRBOTTENS LÄN</t>
        </is>
      </c>
      <c r="E789" t="inlineStr">
        <is>
          <t>ÄLVSBYN</t>
        </is>
      </c>
      <c r="F789" t="inlineStr">
        <is>
          <t>Sveaskog</t>
        </is>
      </c>
      <c r="G789" t="n">
        <v>1.6</v>
      </c>
      <c r="H789" t="n">
        <v>0</v>
      </c>
      <c r="I789" t="n">
        <v>0</v>
      </c>
      <c r="J789" t="n">
        <v>1</v>
      </c>
      <c r="K789" t="n">
        <v>0</v>
      </c>
      <c r="L789" t="n">
        <v>0</v>
      </c>
      <c r="M789" t="n">
        <v>0</v>
      </c>
      <c r="N789" t="n">
        <v>0</v>
      </c>
      <c r="O789" t="n">
        <v>1</v>
      </c>
      <c r="P789" t="n">
        <v>0</v>
      </c>
      <c r="Q789" t="n">
        <v>1</v>
      </c>
      <c r="R789" s="2" t="inlineStr">
        <is>
          <t>Lunglav</t>
        </is>
      </c>
      <c r="S789">
        <f>HYPERLINK("https://klasma.github.io/Logging_2560/artfynd/A 34022-2022 artfynd.xlsx", "A 34022-2022")</f>
        <v/>
      </c>
      <c r="T789">
        <f>HYPERLINK("https://klasma.github.io/Logging_2560/kartor/A 34022-2022 karta.png", "A 34022-2022")</f>
        <v/>
      </c>
      <c r="V789">
        <f>HYPERLINK("https://klasma.github.io/Logging_2560/klagomål/A 34022-2022 FSC-klagomål.docx", "A 34022-2022")</f>
        <v/>
      </c>
      <c r="W789">
        <f>HYPERLINK("https://klasma.github.io/Logging_2560/klagomålsmail/A 34022-2022 FSC-klagomål mail.docx", "A 34022-2022")</f>
        <v/>
      </c>
      <c r="X789">
        <f>HYPERLINK("https://klasma.github.io/Logging_2560/tillsyn/A 34022-2022 tillsynsbegäran.docx", "A 34022-2022")</f>
        <v/>
      </c>
      <c r="Y789">
        <f>HYPERLINK("https://klasma.github.io/Logging_2560/tillsynsmail/A 34022-2022 tillsynsbegäran mail.docx", "A 34022-2022")</f>
        <v/>
      </c>
    </row>
    <row r="790" ht="15" customHeight="1">
      <c r="A790" t="inlineStr">
        <is>
          <t>A 34184-2022</t>
        </is>
      </c>
      <c r="B790" s="1" t="n">
        <v>44791</v>
      </c>
      <c r="C790" s="1" t="n">
        <v>45798</v>
      </c>
      <c r="D790" t="inlineStr">
        <is>
          <t>NORRBOTTENS LÄN</t>
        </is>
      </c>
      <c r="E790" t="inlineStr">
        <is>
          <t>KALIX</t>
        </is>
      </c>
      <c r="F790" t="inlineStr">
        <is>
          <t>Sveaskog</t>
        </is>
      </c>
      <c r="G790" t="n">
        <v>15.2</v>
      </c>
      <c r="H790" t="n">
        <v>0</v>
      </c>
      <c r="I790" t="n">
        <v>0</v>
      </c>
      <c r="J790" t="n">
        <v>1</v>
      </c>
      <c r="K790" t="n">
        <v>0</v>
      </c>
      <c r="L790" t="n">
        <v>0</v>
      </c>
      <c r="M790" t="n">
        <v>0</v>
      </c>
      <c r="N790" t="n">
        <v>0</v>
      </c>
      <c r="O790" t="n">
        <v>1</v>
      </c>
      <c r="P790" t="n">
        <v>0</v>
      </c>
      <c r="Q790" t="n">
        <v>1</v>
      </c>
      <c r="R790" s="2" t="inlineStr">
        <is>
          <t>Garnlav</t>
        </is>
      </c>
      <c r="S790">
        <f>HYPERLINK("https://klasma.github.io/Logging_2514/artfynd/A 34184-2022 artfynd.xlsx", "A 34184-2022")</f>
        <v/>
      </c>
      <c r="T790">
        <f>HYPERLINK("https://klasma.github.io/Logging_2514/kartor/A 34184-2022 karta.png", "A 34184-2022")</f>
        <v/>
      </c>
      <c r="V790">
        <f>HYPERLINK("https://klasma.github.io/Logging_2514/klagomål/A 34184-2022 FSC-klagomål.docx", "A 34184-2022")</f>
        <v/>
      </c>
      <c r="W790">
        <f>HYPERLINK("https://klasma.github.io/Logging_2514/klagomålsmail/A 34184-2022 FSC-klagomål mail.docx", "A 34184-2022")</f>
        <v/>
      </c>
      <c r="X790">
        <f>HYPERLINK("https://klasma.github.io/Logging_2514/tillsyn/A 34184-2022 tillsynsbegäran.docx", "A 34184-2022")</f>
        <v/>
      </c>
      <c r="Y790">
        <f>HYPERLINK("https://klasma.github.io/Logging_2514/tillsynsmail/A 34184-2022 tillsynsbegäran mail.docx", "A 34184-2022")</f>
        <v/>
      </c>
    </row>
    <row r="791" ht="15" customHeight="1">
      <c r="A791" t="inlineStr">
        <is>
          <t>A 35037-2022</t>
        </is>
      </c>
      <c r="B791" s="1" t="n">
        <v>44796</v>
      </c>
      <c r="C791" s="1" t="n">
        <v>45798</v>
      </c>
      <c r="D791" t="inlineStr">
        <is>
          <t>NORRBOTTENS LÄN</t>
        </is>
      </c>
      <c r="E791" t="inlineStr">
        <is>
          <t>BODEN</t>
        </is>
      </c>
      <c r="G791" t="n">
        <v>0.6</v>
      </c>
      <c r="H791" t="n">
        <v>1</v>
      </c>
      <c r="I791" t="n">
        <v>0</v>
      </c>
      <c r="J791" t="n">
        <v>1</v>
      </c>
      <c r="K791" t="n">
        <v>0</v>
      </c>
      <c r="L791" t="n">
        <v>0</v>
      </c>
      <c r="M791" t="n">
        <v>0</v>
      </c>
      <c r="N791" t="n">
        <v>0</v>
      </c>
      <c r="O791" t="n">
        <v>1</v>
      </c>
      <c r="P791" t="n">
        <v>0</v>
      </c>
      <c r="Q791" t="n">
        <v>1</v>
      </c>
      <c r="R791" s="2" t="inlineStr">
        <is>
          <t>Rödvingetrast</t>
        </is>
      </c>
      <c r="S791">
        <f>HYPERLINK("https://klasma.github.io/Logging_2582/artfynd/A 35037-2022 artfynd.xlsx", "A 35037-2022")</f>
        <v/>
      </c>
      <c r="T791">
        <f>HYPERLINK("https://klasma.github.io/Logging_2582/kartor/A 35037-2022 karta.png", "A 35037-2022")</f>
        <v/>
      </c>
      <c r="V791">
        <f>HYPERLINK("https://klasma.github.io/Logging_2582/klagomål/A 35037-2022 FSC-klagomål.docx", "A 35037-2022")</f>
        <v/>
      </c>
      <c r="W791">
        <f>HYPERLINK("https://klasma.github.io/Logging_2582/klagomålsmail/A 35037-2022 FSC-klagomål mail.docx", "A 35037-2022")</f>
        <v/>
      </c>
      <c r="X791">
        <f>HYPERLINK("https://klasma.github.io/Logging_2582/tillsyn/A 35037-2022 tillsynsbegäran.docx", "A 35037-2022")</f>
        <v/>
      </c>
      <c r="Y791">
        <f>HYPERLINK("https://klasma.github.io/Logging_2582/tillsynsmail/A 35037-2022 tillsynsbegäran mail.docx", "A 35037-2022")</f>
        <v/>
      </c>
      <c r="Z791">
        <f>HYPERLINK("https://klasma.github.io/Logging_2582/fåglar/A 35037-2022 prioriterade fågelarter.docx", "A 35037-2022")</f>
        <v/>
      </c>
    </row>
    <row r="792" ht="15" customHeight="1">
      <c r="A792" t="inlineStr">
        <is>
          <t>A 35547-2022</t>
        </is>
      </c>
      <c r="B792" s="1" t="n">
        <v>44799</v>
      </c>
      <c r="C792" s="1" t="n">
        <v>45798</v>
      </c>
      <c r="D792" t="inlineStr">
        <is>
          <t>NORRBOTTENS LÄN</t>
        </is>
      </c>
      <c r="E792" t="inlineStr">
        <is>
          <t>KALIX</t>
        </is>
      </c>
      <c r="F792" t="inlineStr">
        <is>
          <t>Sveaskog</t>
        </is>
      </c>
      <c r="G792" t="n">
        <v>1.7</v>
      </c>
      <c r="H792" t="n">
        <v>0</v>
      </c>
      <c r="I792" t="n">
        <v>0</v>
      </c>
      <c r="J792" t="n">
        <v>1</v>
      </c>
      <c r="K792" t="n">
        <v>0</v>
      </c>
      <c r="L792" t="n">
        <v>0</v>
      </c>
      <c r="M792" t="n">
        <v>0</v>
      </c>
      <c r="N792" t="n">
        <v>0</v>
      </c>
      <c r="O792" t="n">
        <v>1</v>
      </c>
      <c r="P792" t="n">
        <v>0</v>
      </c>
      <c r="Q792" t="n">
        <v>1</v>
      </c>
      <c r="R792" s="2" t="inlineStr">
        <is>
          <t>Tallticka</t>
        </is>
      </c>
      <c r="S792">
        <f>HYPERLINK("https://klasma.github.io/Logging_2514/artfynd/A 35547-2022 artfynd.xlsx", "A 35547-2022")</f>
        <v/>
      </c>
      <c r="T792">
        <f>HYPERLINK("https://klasma.github.io/Logging_2514/kartor/A 35547-2022 karta.png", "A 35547-2022")</f>
        <v/>
      </c>
      <c r="V792">
        <f>HYPERLINK("https://klasma.github.io/Logging_2514/klagomål/A 35547-2022 FSC-klagomål.docx", "A 35547-2022")</f>
        <v/>
      </c>
      <c r="W792">
        <f>HYPERLINK("https://klasma.github.io/Logging_2514/klagomålsmail/A 35547-2022 FSC-klagomål mail.docx", "A 35547-2022")</f>
        <v/>
      </c>
      <c r="X792">
        <f>HYPERLINK("https://klasma.github.io/Logging_2514/tillsyn/A 35547-2022 tillsynsbegäran.docx", "A 35547-2022")</f>
        <v/>
      </c>
      <c r="Y792">
        <f>HYPERLINK("https://klasma.github.io/Logging_2514/tillsynsmail/A 35547-2022 tillsynsbegäran mail.docx", "A 35547-2022")</f>
        <v/>
      </c>
    </row>
    <row r="793" ht="15" customHeight="1">
      <c r="A793" t="inlineStr">
        <is>
          <t>A 36560-2022</t>
        </is>
      </c>
      <c r="B793" s="1" t="n">
        <v>44804</v>
      </c>
      <c r="C793" s="1" t="n">
        <v>45798</v>
      </c>
      <c r="D793" t="inlineStr">
        <is>
          <t>NORRBOTTENS LÄN</t>
        </is>
      </c>
      <c r="E793" t="inlineStr">
        <is>
          <t>PITEÅ</t>
        </is>
      </c>
      <c r="G793" t="n">
        <v>13.4</v>
      </c>
      <c r="H793" t="n">
        <v>0</v>
      </c>
      <c r="I793" t="n">
        <v>0</v>
      </c>
      <c r="J793" t="n">
        <v>1</v>
      </c>
      <c r="K793" t="n">
        <v>0</v>
      </c>
      <c r="L793" t="n">
        <v>0</v>
      </c>
      <c r="M793" t="n">
        <v>0</v>
      </c>
      <c r="N793" t="n">
        <v>0</v>
      </c>
      <c r="O793" t="n">
        <v>1</v>
      </c>
      <c r="P793" t="n">
        <v>0</v>
      </c>
      <c r="Q793" t="n">
        <v>1</v>
      </c>
      <c r="R793" s="2" t="inlineStr">
        <is>
          <t>Tallticka</t>
        </is>
      </c>
      <c r="S793">
        <f>HYPERLINK("https://klasma.github.io/Logging_2581/artfynd/A 36560-2022 artfynd.xlsx", "A 36560-2022")</f>
        <v/>
      </c>
      <c r="T793">
        <f>HYPERLINK("https://klasma.github.io/Logging_2581/kartor/A 36560-2022 karta.png", "A 36560-2022")</f>
        <v/>
      </c>
      <c r="V793">
        <f>HYPERLINK("https://klasma.github.io/Logging_2581/klagomål/A 36560-2022 FSC-klagomål.docx", "A 36560-2022")</f>
        <v/>
      </c>
      <c r="W793">
        <f>HYPERLINK("https://klasma.github.io/Logging_2581/klagomålsmail/A 36560-2022 FSC-klagomål mail.docx", "A 36560-2022")</f>
        <v/>
      </c>
      <c r="X793">
        <f>HYPERLINK("https://klasma.github.io/Logging_2581/tillsyn/A 36560-2022 tillsynsbegäran.docx", "A 36560-2022")</f>
        <v/>
      </c>
      <c r="Y793">
        <f>HYPERLINK("https://klasma.github.io/Logging_2581/tillsynsmail/A 36560-2022 tillsynsbegäran mail.docx", "A 36560-2022")</f>
        <v/>
      </c>
    </row>
    <row r="794" ht="15" customHeight="1">
      <c r="A794" t="inlineStr">
        <is>
          <t>A 37532-2022</t>
        </is>
      </c>
      <c r="B794" s="1" t="n">
        <v>44809</v>
      </c>
      <c r="C794" s="1" t="n">
        <v>45798</v>
      </c>
      <c r="D794" t="inlineStr">
        <is>
          <t>NORRBOTTENS LÄN</t>
        </is>
      </c>
      <c r="E794" t="inlineStr">
        <is>
          <t>ÖVERKALIX</t>
        </is>
      </c>
      <c r="F794" t="inlineStr">
        <is>
          <t>Sveaskog</t>
        </is>
      </c>
      <c r="G794" t="n">
        <v>2</v>
      </c>
      <c r="H794" t="n">
        <v>0</v>
      </c>
      <c r="I794" t="n">
        <v>0</v>
      </c>
      <c r="J794" t="n">
        <v>1</v>
      </c>
      <c r="K794" t="n">
        <v>0</v>
      </c>
      <c r="L794" t="n">
        <v>0</v>
      </c>
      <c r="M794" t="n">
        <v>0</v>
      </c>
      <c r="N794" t="n">
        <v>0</v>
      </c>
      <c r="O794" t="n">
        <v>1</v>
      </c>
      <c r="P794" t="n">
        <v>0</v>
      </c>
      <c r="Q794" t="n">
        <v>1</v>
      </c>
      <c r="R794" s="2" t="inlineStr">
        <is>
          <t>Blå taggsvamp</t>
        </is>
      </c>
      <c r="S794">
        <f>HYPERLINK("https://klasma.github.io/Logging_2513/artfynd/A 37532-2022 artfynd.xlsx", "A 37532-2022")</f>
        <v/>
      </c>
      <c r="T794">
        <f>HYPERLINK("https://klasma.github.io/Logging_2513/kartor/A 37532-2022 karta.png", "A 37532-2022")</f>
        <v/>
      </c>
      <c r="V794">
        <f>HYPERLINK("https://klasma.github.io/Logging_2513/klagomål/A 37532-2022 FSC-klagomål.docx", "A 37532-2022")</f>
        <v/>
      </c>
      <c r="W794">
        <f>HYPERLINK("https://klasma.github.io/Logging_2513/klagomålsmail/A 37532-2022 FSC-klagomål mail.docx", "A 37532-2022")</f>
        <v/>
      </c>
      <c r="X794">
        <f>HYPERLINK("https://klasma.github.io/Logging_2513/tillsyn/A 37532-2022 tillsynsbegäran.docx", "A 37532-2022")</f>
        <v/>
      </c>
      <c r="Y794">
        <f>HYPERLINK("https://klasma.github.io/Logging_2513/tillsynsmail/A 37532-2022 tillsynsbegäran mail.docx", "A 37532-2022")</f>
        <v/>
      </c>
    </row>
    <row r="795" ht="15" customHeight="1">
      <c r="A795" t="inlineStr">
        <is>
          <t>A 38620-2022</t>
        </is>
      </c>
      <c r="B795" s="1" t="n">
        <v>44813</v>
      </c>
      <c r="C795" s="1" t="n">
        <v>45798</v>
      </c>
      <c r="D795" t="inlineStr">
        <is>
          <t>NORRBOTTENS LÄN</t>
        </is>
      </c>
      <c r="E795" t="inlineStr">
        <is>
          <t>ÄLVSBYN</t>
        </is>
      </c>
      <c r="F795" t="inlineStr">
        <is>
          <t>Sveaskog</t>
        </is>
      </c>
      <c r="G795" t="n">
        <v>3.4</v>
      </c>
      <c r="H795" t="n">
        <v>0</v>
      </c>
      <c r="I795" t="n">
        <v>0</v>
      </c>
      <c r="J795" t="n">
        <v>1</v>
      </c>
      <c r="K795" t="n">
        <v>0</v>
      </c>
      <c r="L795" t="n">
        <v>0</v>
      </c>
      <c r="M795" t="n">
        <v>0</v>
      </c>
      <c r="N795" t="n">
        <v>0</v>
      </c>
      <c r="O795" t="n">
        <v>1</v>
      </c>
      <c r="P795" t="n">
        <v>0</v>
      </c>
      <c r="Q795" t="n">
        <v>1</v>
      </c>
      <c r="R795" s="2" t="inlineStr">
        <is>
          <t>Blå taggsvamp</t>
        </is>
      </c>
      <c r="S795">
        <f>HYPERLINK("https://klasma.github.io/Logging_2560/artfynd/A 38620-2022 artfynd.xlsx", "A 38620-2022")</f>
        <v/>
      </c>
      <c r="T795">
        <f>HYPERLINK("https://klasma.github.io/Logging_2560/kartor/A 38620-2022 karta.png", "A 38620-2022")</f>
        <v/>
      </c>
      <c r="V795">
        <f>HYPERLINK("https://klasma.github.io/Logging_2560/klagomål/A 38620-2022 FSC-klagomål.docx", "A 38620-2022")</f>
        <v/>
      </c>
      <c r="W795">
        <f>HYPERLINK("https://klasma.github.io/Logging_2560/klagomålsmail/A 38620-2022 FSC-klagomål mail.docx", "A 38620-2022")</f>
        <v/>
      </c>
      <c r="X795">
        <f>HYPERLINK("https://klasma.github.io/Logging_2560/tillsyn/A 38620-2022 tillsynsbegäran.docx", "A 38620-2022")</f>
        <v/>
      </c>
      <c r="Y795">
        <f>HYPERLINK("https://klasma.github.io/Logging_2560/tillsynsmail/A 38620-2022 tillsynsbegäran mail.docx", "A 38620-2022")</f>
        <v/>
      </c>
    </row>
    <row r="796" ht="15" customHeight="1">
      <c r="A796" t="inlineStr">
        <is>
          <t>A 42556-2022</t>
        </is>
      </c>
      <c r="B796" s="1" t="n">
        <v>44831</v>
      </c>
      <c r="C796" s="1" t="n">
        <v>45798</v>
      </c>
      <c r="D796" t="inlineStr">
        <is>
          <t>NORRBOTTENS LÄN</t>
        </is>
      </c>
      <c r="E796" t="inlineStr">
        <is>
          <t>ARVIDSJAUR</t>
        </is>
      </c>
      <c r="F796" t="inlineStr">
        <is>
          <t>Sveaskog</t>
        </is>
      </c>
      <c r="G796" t="n">
        <v>14.6</v>
      </c>
      <c r="H796" t="n">
        <v>0</v>
      </c>
      <c r="I796" t="n">
        <v>0</v>
      </c>
      <c r="J796" t="n">
        <v>1</v>
      </c>
      <c r="K796" t="n">
        <v>0</v>
      </c>
      <c r="L796" t="n">
        <v>0</v>
      </c>
      <c r="M796" t="n">
        <v>0</v>
      </c>
      <c r="N796" t="n">
        <v>0</v>
      </c>
      <c r="O796" t="n">
        <v>1</v>
      </c>
      <c r="P796" t="n">
        <v>0</v>
      </c>
      <c r="Q796" t="n">
        <v>1</v>
      </c>
      <c r="R796" s="2" t="inlineStr">
        <is>
          <t>Motaggsvamp</t>
        </is>
      </c>
      <c r="S796">
        <f>HYPERLINK("https://klasma.github.io/Logging_2505/artfynd/A 42556-2022 artfynd.xlsx", "A 42556-2022")</f>
        <v/>
      </c>
      <c r="T796">
        <f>HYPERLINK("https://klasma.github.io/Logging_2505/kartor/A 42556-2022 karta.png", "A 42556-2022")</f>
        <v/>
      </c>
      <c r="V796">
        <f>HYPERLINK("https://klasma.github.io/Logging_2505/klagomål/A 42556-2022 FSC-klagomål.docx", "A 42556-2022")</f>
        <v/>
      </c>
      <c r="W796">
        <f>HYPERLINK("https://klasma.github.io/Logging_2505/klagomålsmail/A 42556-2022 FSC-klagomål mail.docx", "A 42556-2022")</f>
        <v/>
      </c>
      <c r="X796">
        <f>HYPERLINK("https://klasma.github.io/Logging_2505/tillsyn/A 42556-2022 tillsynsbegäran.docx", "A 42556-2022")</f>
        <v/>
      </c>
      <c r="Y796">
        <f>HYPERLINK("https://klasma.github.io/Logging_2505/tillsynsmail/A 42556-2022 tillsynsbegäran mail.docx", "A 42556-2022")</f>
        <v/>
      </c>
    </row>
    <row r="797" ht="15" customHeight="1">
      <c r="A797" t="inlineStr">
        <is>
          <t>A 42680-2022</t>
        </is>
      </c>
      <c r="B797" s="1" t="n">
        <v>44832</v>
      </c>
      <c r="C797" s="1" t="n">
        <v>45798</v>
      </c>
      <c r="D797" t="inlineStr">
        <is>
          <t>NORRBOTTENS LÄN</t>
        </is>
      </c>
      <c r="E797" t="inlineStr">
        <is>
          <t>ÄLVSBYN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HYPERLINK("https://klasma.github.io/Logging_2560/artfynd/A 42680-2022 artfynd.xlsx", "A 42680-2022")</f>
        <v/>
      </c>
      <c r="T797">
        <f>HYPERLINK("https://klasma.github.io/Logging_2560/kartor/A 42680-2022 karta.png", "A 42680-2022")</f>
        <v/>
      </c>
      <c r="V797">
        <f>HYPERLINK("https://klasma.github.io/Logging_2560/klagomål/A 42680-2022 FSC-klagomål.docx", "A 42680-2022")</f>
        <v/>
      </c>
      <c r="W797">
        <f>HYPERLINK("https://klasma.github.io/Logging_2560/klagomålsmail/A 42680-2022 FSC-klagomål mail.docx", "A 42680-2022")</f>
        <v/>
      </c>
      <c r="X797">
        <f>HYPERLINK("https://klasma.github.io/Logging_2560/tillsyn/A 42680-2022 tillsynsbegäran.docx", "A 42680-2022")</f>
        <v/>
      </c>
      <c r="Y797">
        <f>HYPERLINK("https://klasma.github.io/Logging_2560/tillsynsmail/A 42680-2022 tillsynsbegäran mail.docx", "A 42680-2022")</f>
        <v/>
      </c>
    </row>
    <row r="798" ht="15" customHeight="1">
      <c r="A798" t="inlineStr">
        <is>
          <t>A 44253-2022</t>
        </is>
      </c>
      <c r="B798" s="1" t="n">
        <v>44839</v>
      </c>
      <c r="C798" s="1" t="n">
        <v>45798</v>
      </c>
      <c r="D798" t="inlineStr">
        <is>
          <t>NORRBOTTENS LÄN</t>
        </is>
      </c>
      <c r="E798" t="inlineStr">
        <is>
          <t>LULEÅ</t>
        </is>
      </c>
      <c r="G798" t="n">
        <v>4.4</v>
      </c>
      <c r="H798" t="n">
        <v>1</v>
      </c>
      <c r="I798" t="n">
        <v>0</v>
      </c>
      <c r="J798" t="n">
        <v>1</v>
      </c>
      <c r="K798" t="n">
        <v>0</v>
      </c>
      <c r="L798" t="n">
        <v>0</v>
      </c>
      <c r="M798" t="n">
        <v>0</v>
      </c>
      <c r="N798" t="n">
        <v>0</v>
      </c>
      <c r="O798" t="n">
        <v>1</v>
      </c>
      <c r="P798" t="n">
        <v>0</v>
      </c>
      <c r="Q798" t="n">
        <v>1</v>
      </c>
      <c r="R798" s="2" t="inlineStr">
        <is>
          <t>Spillkråka</t>
        </is>
      </c>
      <c r="S798">
        <f>HYPERLINK("https://klasma.github.io/Logging_2580/artfynd/A 44253-2022 artfynd.xlsx", "A 44253-2022")</f>
        <v/>
      </c>
      <c r="T798">
        <f>HYPERLINK("https://klasma.github.io/Logging_2580/kartor/A 44253-2022 karta.png", "A 44253-2022")</f>
        <v/>
      </c>
      <c r="V798">
        <f>HYPERLINK("https://klasma.github.io/Logging_2580/klagomål/A 44253-2022 FSC-klagomål.docx", "A 44253-2022")</f>
        <v/>
      </c>
      <c r="W798">
        <f>HYPERLINK("https://klasma.github.io/Logging_2580/klagomålsmail/A 44253-2022 FSC-klagomål mail.docx", "A 44253-2022")</f>
        <v/>
      </c>
      <c r="X798">
        <f>HYPERLINK("https://klasma.github.io/Logging_2580/tillsyn/A 44253-2022 tillsynsbegäran.docx", "A 44253-2022")</f>
        <v/>
      </c>
      <c r="Y798">
        <f>HYPERLINK("https://klasma.github.io/Logging_2580/tillsynsmail/A 44253-2022 tillsynsbegäran mail.docx", "A 44253-2022")</f>
        <v/>
      </c>
      <c r="Z798">
        <f>HYPERLINK("https://klasma.github.io/Logging_2580/fåglar/A 44253-2022 prioriterade fågelarter.docx", "A 44253-2022")</f>
        <v/>
      </c>
    </row>
    <row r="799" ht="15" customHeight="1">
      <c r="A799" t="inlineStr">
        <is>
          <t>A 44283-2022</t>
        </is>
      </c>
      <c r="B799" s="1" t="n">
        <v>44839</v>
      </c>
      <c r="C799" s="1" t="n">
        <v>45798</v>
      </c>
      <c r="D799" t="inlineStr">
        <is>
          <t>NORRBOTTENS LÄN</t>
        </is>
      </c>
      <c r="E799" t="inlineStr">
        <is>
          <t>ÄLVSBYN</t>
        </is>
      </c>
      <c r="F799" t="inlineStr">
        <is>
          <t>Sveaskog</t>
        </is>
      </c>
      <c r="G799" t="n">
        <v>4.1</v>
      </c>
      <c r="H799" t="n">
        <v>0</v>
      </c>
      <c r="I799" t="n">
        <v>0</v>
      </c>
      <c r="J799" t="n">
        <v>1</v>
      </c>
      <c r="K799" t="n">
        <v>0</v>
      </c>
      <c r="L799" t="n">
        <v>0</v>
      </c>
      <c r="M799" t="n">
        <v>0</v>
      </c>
      <c r="N799" t="n">
        <v>0</v>
      </c>
      <c r="O799" t="n">
        <v>1</v>
      </c>
      <c r="P799" t="n">
        <v>0</v>
      </c>
      <c r="Q799" t="n">
        <v>1</v>
      </c>
      <c r="R799" s="2" t="inlineStr">
        <is>
          <t>Lunglav</t>
        </is>
      </c>
      <c r="S799">
        <f>HYPERLINK("https://klasma.github.io/Logging_2560/artfynd/A 44283-2022 artfynd.xlsx", "A 44283-2022")</f>
        <v/>
      </c>
      <c r="T799">
        <f>HYPERLINK("https://klasma.github.io/Logging_2560/kartor/A 44283-2022 karta.png", "A 44283-2022")</f>
        <v/>
      </c>
      <c r="V799">
        <f>HYPERLINK("https://klasma.github.io/Logging_2560/klagomål/A 44283-2022 FSC-klagomål.docx", "A 44283-2022")</f>
        <v/>
      </c>
      <c r="W799">
        <f>HYPERLINK("https://klasma.github.io/Logging_2560/klagomålsmail/A 44283-2022 FSC-klagomål mail.docx", "A 44283-2022")</f>
        <v/>
      </c>
      <c r="X799">
        <f>HYPERLINK("https://klasma.github.io/Logging_2560/tillsyn/A 44283-2022 tillsynsbegäran.docx", "A 44283-2022")</f>
        <v/>
      </c>
      <c r="Y799">
        <f>HYPERLINK("https://klasma.github.io/Logging_2560/tillsynsmail/A 44283-2022 tillsynsbegäran mail.docx", "A 44283-2022")</f>
        <v/>
      </c>
    </row>
    <row r="800" ht="15" customHeight="1">
      <c r="A800" t="inlineStr">
        <is>
          <t>A 44255-2022</t>
        </is>
      </c>
      <c r="B800" s="1" t="n">
        <v>44839</v>
      </c>
      <c r="C800" s="1" t="n">
        <v>45798</v>
      </c>
      <c r="D800" t="inlineStr">
        <is>
          <t>NORRBOTTENS LÄN</t>
        </is>
      </c>
      <c r="E800" t="inlineStr">
        <is>
          <t>BODEN</t>
        </is>
      </c>
      <c r="F800" t="inlineStr">
        <is>
          <t>Sveaskog</t>
        </is>
      </c>
      <c r="G800" t="n">
        <v>4.2</v>
      </c>
      <c r="H800" t="n">
        <v>1</v>
      </c>
      <c r="I800" t="n">
        <v>0</v>
      </c>
      <c r="J800" t="n">
        <v>0</v>
      </c>
      <c r="K800" t="n">
        <v>0</v>
      </c>
      <c r="L800" t="n">
        <v>0</v>
      </c>
      <c r="M800" t="n">
        <v>0</v>
      </c>
      <c r="N800" t="n">
        <v>0</v>
      </c>
      <c r="O800" t="n">
        <v>0</v>
      </c>
      <c r="P800" t="n">
        <v>0</v>
      </c>
      <c r="Q800" t="n">
        <v>1</v>
      </c>
      <c r="R800" s="2" t="inlineStr">
        <is>
          <t>Revlummer</t>
        </is>
      </c>
      <c r="S800">
        <f>HYPERLINK("https://klasma.github.io/Logging_2582/artfynd/A 44255-2022 artfynd.xlsx", "A 44255-2022")</f>
        <v/>
      </c>
      <c r="T800">
        <f>HYPERLINK("https://klasma.github.io/Logging_2582/kartor/A 44255-2022 karta.png", "A 44255-2022")</f>
        <v/>
      </c>
      <c r="V800">
        <f>HYPERLINK("https://klasma.github.io/Logging_2582/klagomål/A 44255-2022 FSC-klagomål.docx", "A 44255-2022")</f>
        <v/>
      </c>
      <c r="W800">
        <f>HYPERLINK("https://klasma.github.io/Logging_2582/klagomålsmail/A 44255-2022 FSC-klagomål mail.docx", "A 44255-2022")</f>
        <v/>
      </c>
      <c r="X800">
        <f>HYPERLINK("https://klasma.github.io/Logging_2582/tillsyn/A 44255-2022 tillsynsbegäran.docx", "A 44255-2022")</f>
        <v/>
      </c>
      <c r="Y800">
        <f>HYPERLINK("https://klasma.github.io/Logging_2582/tillsynsmail/A 44255-2022 tillsynsbegäran mail.docx", "A 44255-2022")</f>
        <v/>
      </c>
    </row>
    <row r="801" ht="15" customHeight="1">
      <c r="A801" t="inlineStr">
        <is>
          <t>A 44768-2022</t>
        </is>
      </c>
      <c r="B801" s="1" t="n">
        <v>44840</v>
      </c>
      <c r="C801" s="1" t="n">
        <v>45798</v>
      </c>
      <c r="D801" t="inlineStr">
        <is>
          <t>NORRBOTTENS LÄN</t>
        </is>
      </c>
      <c r="E801" t="inlineStr">
        <is>
          <t>BODEN</t>
        </is>
      </c>
      <c r="F801" t="inlineStr">
        <is>
          <t>SCA</t>
        </is>
      </c>
      <c r="G801" t="n">
        <v>6.1</v>
      </c>
      <c r="H801" t="n">
        <v>0</v>
      </c>
      <c r="I801" t="n">
        <v>0</v>
      </c>
      <c r="J801" t="n">
        <v>1</v>
      </c>
      <c r="K801" t="n">
        <v>0</v>
      </c>
      <c r="L801" t="n">
        <v>0</v>
      </c>
      <c r="M801" t="n">
        <v>0</v>
      </c>
      <c r="N801" t="n">
        <v>0</v>
      </c>
      <c r="O801" t="n">
        <v>1</v>
      </c>
      <c r="P801" t="n">
        <v>0</v>
      </c>
      <c r="Q801" t="n">
        <v>1</v>
      </c>
      <c r="R801" s="2" t="inlineStr">
        <is>
          <t>Motaggsvamp</t>
        </is>
      </c>
      <c r="S801">
        <f>HYPERLINK("https://klasma.github.io/Logging_2582/artfynd/A 44768-2022 artfynd.xlsx", "A 44768-2022")</f>
        <v/>
      </c>
      <c r="T801">
        <f>HYPERLINK("https://klasma.github.io/Logging_2582/kartor/A 44768-2022 karta.png", "A 44768-2022")</f>
        <v/>
      </c>
      <c r="V801">
        <f>HYPERLINK("https://klasma.github.io/Logging_2582/klagomål/A 44768-2022 FSC-klagomål.docx", "A 44768-2022")</f>
        <v/>
      </c>
      <c r="W801">
        <f>HYPERLINK("https://klasma.github.io/Logging_2582/klagomålsmail/A 44768-2022 FSC-klagomål mail.docx", "A 44768-2022")</f>
        <v/>
      </c>
      <c r="X801">
        <f>HYPERLINK("https://klasma.github.io/Logging_2582/tillsyn/A 44768-2022 tillsynsbegäran.docx", "A 44768-2022")</f>
        <v/>
      </c>
      <c r="Y801">
        <f>HYPERLINK("https://klasma.github.io/Logging_2582/tillsynsmail/A 44768-2022 tillsynsbegäran mail.docx", "A 44768-2022")</f>
        <v/>
      </c>
    </row>
    <row r="802" ht="15" customHeight="1">
      <c r="A802" t="inlineStr">
        <is>
          <t>A 45324-2022</t>
        </is>
      </c>
      <c r="B802" s="1" t="n">
        <v>44841</v>
      </c>
      <c r="C802" s="1" t="n">
        <v>45798</v>
      </c>
      <c r="D802" t="inlineStr">
        <is>
          <t>NORRBOTTENS LÄN</t>
        </is>
      </c>
      <c r="E802" t="inlineStr">
        <is>
          <t>ARJEPLOG</t>
        </is>
      </c>
      <c r="G802" t="n">
        <v>23.2</v>
      </c>
      <c r="H802" t="n">
        <v>1</v>
      </c>
      <c r="I802" t="n">
        <v>0</v>
      </c>
      <c r="J802" t="n">
        <v>0</v>
      </c>
      <c r="K802" t="n">
        <v>0</v>
      </c>
      <c r="L802" t="n">
        <v>1</v>
      </c>
      <c r="M802" t="n">
        <v>0</v>
      </c>
      <c r="N802" t="n">
        <v>0</v>
      </c>
      <c r="O802" t="n">
        <v>1</v>
      </c>
      <c r="P802" t="n">
        <v>1</v>
      </c>
      <c r="Q802" t="n">
        <v>1</v>
      </c>
      <c r="R802" s="2" t="inlineStr">
        <is>
          <t>Bergand</t>
        </is>
      </c>
      <c r="S802">
        <f>HYPERLINK("https://klasma.github.io/Logging_2506/artfynd/A 45324-2022 artfynd.xlsx", "A 45324-2022")</f>
        <v/>
      </c>
      <c r="T802">
        <f>HYPERLINK("https://klasma.github.io/Logging_2506/kartor/A 45324-2022 karta.png", "A 45324-2022")</f>
        <v/>
      </c>
      <c r="V802">
        <f>HYPERLINK("https://klasma.github.io/Logging_2506/klagomål/A 45324-2022 FSC-klagomål.docx", "A 45324-2022")</f>
        <v/>
      </c>
      <c r="W802">
        <f>HYPERLINK("https://klasma.github.io/Logging_2506/klagomålsmail/A 45324-2022 FSC-klagomål mail.docx", "A 45324-2022")</f>
        <v/>
      </c>
      <c r="X802">
        <f>HYPERLINK("https://klasma.github.io/Logging_2506/tillsyn/A 45324-2022 tillsynsbegäran.docx", "A 45324-2022")</f>
        <v/>
      </c>
      <c r="Y802">
        <f>HYPERLINK("https://klasma.github.io/Logging_2506/tillsynsmail/A 45324-2022 tillsynsbegäran mail.docx", "A 45324-2022")</f>
        <v/>
      </c>
    </row>
    <row r="803" ht="15" customHeight="1">
      <c r="A803" t="inlineStr">
        <is>
          <t>A 45810-2022</t>
        </is>
      </c>
      <c r="B803" s="1" t="n">
        <v>44844</v>
      </c>
      <c r="C803" s="1" t="n">
        <v>45798</v>
      </c>
      <c r="D803" t="inlineStr">
        <is>
          <t>NORRBOTTENS LÄN</t>
        </is>
      </c>
      <c r="E803" t="inlineStr">
        <is>
          <t>KIRUNA</t>
        </is>
      </c>
      <c r="F803" t="inlineStr">
        <is>
          <t>Övriga statliga verk och myndigheter</t>
        </is>
      </c>
      <c r="G803" t="n">
        <v>6.8</v>
      </c>
      <c r="H803" t="n">
        <v>1</v>
      </c>
      <c r="I803" t="n">
        <v>0</v>
      </c>
      <c r="J803" t="n">
        <v>0</v>
      </c>
      <c r="K803" t="n">
        <v>0</v>
      </c>
      <c r="L803" t="n">
        <v>0</v>
      </c>
      <c r="M803" t="n">
        <v>0</v>
      </c>
      <c r="N803" t="n">
        <v>0</v>
      </c>
      <c r="O803" t="n">
        <v>0</v>
      </c>
      <c r="P803" t="n">
        <v>0</v>
      </c>
      <c r="Q803" t="n">
        <v>1</v>
      </c>
      <c r="R803" s="2" t="inlineStr">
        <is>
          <t>Revlummer</t>
        </is>
      </c>
      <c r="S803">
        <f>HYPERLINK("https://klasma.github.io/Logging_2584/artfynd/A 45810-2022 artfynd.xlsx", "A 45810-2022")</f>
        <v/>
      </c>
      <c r="T803">
        <f>HYPERLINK("https://klasma.github.io/Logging_2584/kartor/A 45810-2022 karta.png", "A 45810-2022")</f>
        <v/>
      </c>
      <c r="V803">
        <f>HYPERLINK("https://klasma.github.io/Logging_2584/klagomål/A 45810-2022 FSC-klagomål.docx", "A 45810-2022")</f>
        <v/>
      </c>
      <c r="W803">
        <f>HYPERLINK("https://klasma.github.io/Logging_2584/klagomålsmail/A 45810-2022 FSC-klagomål mail.docx", "A 45810-2022")</f>
        <v/>
      </c>
      <c r="X803">
        <f>HYPERLINK("https://klasma.github.io/Logging_2584/tillsyn/A 45810-2022 tillsynsbegäran.docx", "A 45810-2022")</f>
        <v/>
      </c>
      <c r="Y803">
        <f>HYPERLINK("https://klasma.github.io/Logging_2584/tillsynsmail/A 45810-2022 tillsynsbegäran mail.docx", "A 45810-2022")</f>
        <v/>
      </c>
    </row>
    <row r="804" ht="15" customHeight="1">
      <c r="A804" t="inlineStr">
        <is>
          <t>A 45665-2022</t>
        </is>
      </c>
      <c r="B804" s="1" t="n">
        <v>44845</v>
      </c>
      <c r="C804" s="1" t="n">
        <v>45798</v>
      </c>
      <c r="D804" t="inlineStr">
        <is>
          <t>NORRBOTTENS LÄN</t>
        </is>
      </c>
      <c r="E804" t="inlineStr">
        <is>
          <t>ÖVERTORNEÅ</t>
        </is>
      </c>
      <c r="F804" t="inlineStr">
        <is>
          <t>Sveaskog</t>
        </is>
      </c>
      <c r="G804" t="n">
        <v>4.6</v>
      </c>
      <c r="H804" t="n">
        <v>0</v>
      </c>
      <c r="I804" t="n">
        <v>0</v>
      </c>
      <c r="J804" t="n">
        <v>1</v>
      </c>
      <c r="K804" t="n">
        <v>0</v>
      </c>
      <c r="L804" t="n">
        <v>0</v>
      </c>
      <c r="M804" t="n">
        <v>0</v>
      </c>
      <c r="N804" t="n">
        <v>0</v>
      </c>
      <c r="O804" t="n">
        <v>1</v>
      </c>
      <c r="P804" t="n">
        <v>0</v>
      </c>
      <c r="Q804" t="n">
        <v>1</v>
      </c>
      <c r="R804" s="2" t="inlineStr">
        <is>
          <t>Garnlav</t>
        </is>
      </c>
      <c r="S804">
        <f>HYPERLINK("https://klasma.github.io/Logging_2518/artfynd/A 45665-2022 artfynd.xlsx", "A 45665-2022")</f>
        <v/>
      </c>
      <c r="T804">
        <f>HYPERLINK("https://klasma.github.io/Logging_2518/kartor/A 45665-2022 karta.png", "A 45665-2022")</f>
        <v/>
      </c>
      <c r="V804">
        <f>HYPERLINK("https://klasma.github.io/Logging_2518/klagomål/A 45665-2022 FSC-klagomål.docx", "A 45665-2022")</f>
        <v/>
      </c>
      <c r="W804">
        <f>HYPERLINK("https://klasma.github.io/Logging_2518/klagomålsmail/A 45665-2022 FSC-klagomål mail.docx", "A 45665-2022")</f>
        <v/>
      </c>
      <c r="X804">
        <f>HYPERLINK("https://klasma.github.io/Logging_2518/tillsyn/A 45665-2022 tillsynsbegäran.docx", "A 45665-2022")</f>
        <v/>
      </c>
      <c r="Y804">
        <f>HYPERLINK("https://klasma.github.io/Logging_2518/tillsynsmail/A 45665-2022 tillsynsbegäran mail.docx", "A 45665-2022")</f>
        <v/>
      </c>
    </row>
    <row r="805" ht="15" customHeight="1">
      <c r="A805" t="inlineStr">
        <is>
          <t>A 45941-2022</t>
        </is>
      </c>
      <c r="B805" s="1" t="n">
        <v>44846</v>
      </c>
      <c r="C805" s="1" t="n">
        <v>45798</v>
      </c>
      <c r="D805" t="inlineStr">
        <is>
          <t>NORRBOTTENS LÄN</t>
        </is>
      </c>
      <c r="E805" t="inlineStr">
        <is>
          <t>BODEN</t>
        </is>
      </c>
      <c r="F805" t="inlineStr">
        <is>
          <t>Sveaskog</t>
        </is>
      </c>
      <c r="G805" t="n">
        <v>3.4</v>
      </c>
      <c r="H805" t="n">
        <v>0</v>
      </c>
      <c r="I805" t="n">
        <v>0</v>
      </c>
      <c r="J805" t="n">
        <v>1</v>
      </c>
      <c r="K805" t="n">
        <v>0</v>
      </c>
      <c r="L805" t="n">
        <v>0</v>
      </c>
      <c r="M805" t="n">
        <v>0</v>
      </c>
      <c r="N805" t="n">
        <v>0</v>
      </c>
      <c r="O805" t="n">
        <v>1</v>
      </c>
      <c r="P805" t="n">
        <v>0</v>
      </c>
      <c r="Q805" t="n">
        <v>1</v>
      </c>
      <c r="R805" s="2" t="inlineStr">
        <is>
          <t>Lunglav</t>
        </is>
      </c>
      <c r="S805">
        <f>HYPERLINK("https://klasma.github.io/Logging_2582/artfynd/A 45941-2022 artfynd.xlsx", "A 45941-2022")</f>
        <v/>
      </c>
      <c r="T805">
        <f>HYPERLINK("https://klasma.github.io/Logging_2582/kartor/A 45941-2022 karta.png", "A 45941-2022")</f>
        <v/>
      </c>
      <c r="V805">
        <f>HYPERLINK("https://klasma.github.io/Logging_2582/klagomål/A 45941-2022 FSC-klagomål.docx", "A 45941-2022")</f>
        <v/>
      </c>
      <c r="W805">
        <f>HYPERLINK("https://klasma.github.io/Logging_2582/klagomålsmail/A 45941-2022 FSC-klagomål mail.docx", "A 45941-2022")</f>
        <v/>
      </c>
      <c r="X805">
        <f>HYPERLINK("https://klasma.github.io/Logging_2582/tillsyn/A 45941-2022 tillsynsbegäran.docx", "A 45941-2022")</f>
        <v/>
      </c>
      <c r="Y805">
        <f>HYPERLINK("https://klasma.github.io/Logging_2582/tillsynsmail/A 45941-2022 tillsynsbegäran mail.docx", "A 45941-2022")</f>
        <v/>
      </c>
    </row>
    <row r="806" ht="15" customHeight="1">
      <c r="A806" t="inlineStr">
        <is>
          <t>A 47498-2022</t>
        </is>
      </c>
      <c r="B806" s="1" t="n">
        <v>44853</v>
      </c>
      <c r="C806" s="1" t="n">
        <v>45798</v>
      </c>
      <c r="D806" t="inlineStr">
        <is>
          <t>NORRBOTTENS LÄN</t>
        </is>
      </c>
      <c r="E806" t="inlineStr">
        <is>
          <t>BODEN</t>
        </is>
      </c>
      <c r="F806" t="inlineStr">
        <is>
          <t>Kommuner</t>
        </is>
      </c>
      <c r="G806" t="n">
        <v>2.6</v>
      </c>
      <c r="H806" t="n">
        <v>1</v>
      </c>
      <c r="I806" t="n">
        <v>0</v>
      </c>
      <c r="J806" t="n">
        <v>1</v>
      </c>
      <c r="K806" t="n">
        <v>0</v>
      </c>
      <c r="L806" t="n">
        <v>0</v>
      </c>
      <c r="M806" t="n">
        <v>0</v>
      </c>
      <c r="N806" t="n">
        <v>0</v>
      </c>
      <c r="O806" t="n">
        <v>1</v>
      </c>
      <c r="P806" t="n">
        <v>0</v>
      </c>
      <c r="Q806" t="n">
        <v>1</v>
      </c>
      <c r="R806" s="2" t="inlineStr">
        <is>
          <t>Spillkråka</t>
        </is>
      </c>
      <c r="S806">
        <f>HYPERLINK("https://klasma.github.io/Logging_2582/artfynd/A 47498-2022 artfynd.xlsx", "A 47498-2022")</f>
        <v/>
      </c>
      <c r="T806">
        <f>HYPERLINK("https://klasma.github.io/Logging_2582/kartor/A 47498-2022 karta.png", "A 47498-2022")</f>
        <v/>
      </c>
      <c r="V806">
        <f>HYPERLINK("https://klasma.github.io/Logging_2582/klagomål/A 47498-2022 FSC-klagomål.docx", "A 47498-2022")</f>
        <v/>
      </c>
      <c r="W806">
        <f>HYPERLINK("https://klasma.github.io/Logging_2582/klagomålsmail/A 47498-2022 FSC-klagomål mail.docx", "A 47498-2022")</f>
        <v/>
      </c>
      <c r="X806">
        <f>HYPERLINK("https://klasma.github.io/Logging_2582/tillsyn/A 47498-2022 tillsynsbegäran.docx", "A 47498-2022")</f>
        <v/>
      </c>
      <c r="Y806">
        <f>HYPERLINK("https://klasma.github.io/Logging_2582/tillsynsmail/A 47498-2022 tillsynsbegäran mail.docx", "A 47498-2022")</f>
        <v/>
      </c>
      <c r="Z806">
        <f>HYPERLINK("https://klasma.github.io/Logging_2582/fåglar/A 47498-2022 prioriterade fågelarter.docx", "A 47498-2022")</f>
        <v/>
      </c>
    </row>
    <row r="807" ht="15" customHeight="1">
      <c r="A807" t="inlineStr">
        <is>
          <t>A 47505-2022</t>
        </is>
      </c>
      <c r="B807" s="1" t="n">
        <v>44853</v>
      </c>
      <c r="C807" s="1" t="n">
        <v>45798</v>
      </c>
      <c r="D807" t="inlineStr">
        <is>
          <t>NORRBOTTENS LÄN</t>
        </is>
      </c>
      <c r="E807" t="inlineStr">
        <is>
          <t>JOKKMOKK</t>
        </is>
      </c>
      <c r="F807" t="inlineStr">
        <is>
          <t>Sveaskog</t>
        </is>
      </c>
      <c r="G807" t="n">
        <v>2.7</v>
      </c>
      <c r="H807" t="n">
        <v>1</v>
      </c>
      <c r="I807" t="n">
        <v>0</v>
      </c>
      <c r="J807" t="n">
        <v>0</v>
      </c>
      <c r="K807" t="n">
        <v>0</v>
      </c>
      <c r="L807" t="n">
        <v>0</v>
      </c>
      <c r="M807" t="n">
        <v>0</v>
      </c>
      <c r="N807" t="n">
        <v>0</v>
      </c>
      <c r="O807" t="n">
        <v>0</v>
      </c>
      <c r="P807" t="n">
        <v>0</v>
      </c>
      <c r="Q807" t="n">
        <v>1</v>
      </c>
      <c r="R807" s="2" t="inlineStr">
        <is>
          <t>Lavskrika</t>
        </is>
      </c>
      <c r="S807">
        <f>HYPERLINK("https://klasma.github.io/Logging_2510/artfynd/A 47505-2022 artfynd.xlsx", "A 47505-2022")</f>
        <v/>
      </c>
      <c r="T807">
        <f>HYPERLINK("https://klasma.github.io/Logging_2510/kartor/A 47505-2022 karta.png", "A 47505-2022")</f>
        <v/>
      </c>
      <c r="V807">
        <f>HYPERLINK("https://klasma.github.io/Logging_2510/klagomål/A 47505-2022 FSC-klagomål.docx", "A 47505-2022")</f>
        <v/>
      </c>
      <c r="W807">
        <f>HYPERLINK("https://klasma.github.io/Logging_2510/klagomålsmail/A 47505-2022 FSC-klagomål mail.docx", "A 47505-2022")</f>
        <v/>
      </c>
      <c r="X807">
        <f>HYPERLINK("https://klasma.github.io/Logging_2510/tillsyn/A 47505-2022 tillsynsbegäran.docx", "A 47505-2022")</f>
        <v/>
      </c>
      <c r="Y807">
        <f>HYPERLINK("https://klasma.github.io/Logging_2510/tillsynsmail/A 47505-2022 tillsynsbegäran mail.docx", "A 47505-2022")</f>
        <v/>
      </c>
      <c r="Z807">
        <f>HYPERLINK("https://klasma.github.io/Logging_2510/fåglar/A 47505-2022 prioriterade fågelarter.docx", "A 47505-2022")</f>
        <v/>
      </c>
    </row>
    <row r="808" ht="15" customHeight="1">
      <c r="A808" t="inlineStr">
        <is>
          <t>A 47700-2022</t>
        </is>
      </c>
      <c r="B808" s="1" t="n">
        <v>44854</v>
      </c>
      <c r="C808" s="1" t="n">
        <v>45798</v>
      </c>
      <c r="D808" t="inlineStr">
        <is>
          <t>NORRBOTTENS LÄN</t>
        </is>
      </c>
      <c r="E808" t="inlineStr">
        <is>
          <t>PAJALA</t>
        </is>
      </c>
      <c r="F808" t="inlineStr">
        <is>
          <t>Sveaskog</t>
        </is>
      </c>
      <c r="G808" t="n">
        <v>2.9</v>
      </c>
      <c r="H808" t="n">
        <v>0</v>
      </c>
      <c r="I808" t="n">
        <v>0</v>
      </c>
      <c r="J808" t="n">
        <v>1</v>
      </c>
      <c r="K808" t="n">
        <v>0</v>
      </c>
      <c r="L808" t="n">
        <v>0</v>
      </c>
      <c r="M808" t="n">
        <v>0</v>
      </c>
      <c r="N808" t="n">
        <v>0</v>
      </c>
      <c r="O808" t="n">
        <v>1</v>
      </c>
      <c r="P808" t="n">
        <v>0</v>
      </c>
      <c r="Q808" t="n">
        <v>1</v>
      </c>
      <c r="R808" s="2" t="inlineStr">
        <is>
          <t>Garnlav</t>
        </is>
      </c>
      <c r="S808">
        <f>HYPERLINK("https://klasma.github.io/Logging_2521/artfynd/A 47700-2022 artfynd.xlsx", "A 47700-2022")</f>
        <v/>
      </c>
      <c r="T808">
        <f>HYPERLINK("https://klasma.github.io/Logging_2521/kartor/A 47700-2022 karta.png", "A 47700-2022")</f>
        <v/>
      </c>
      <c r="V808">
        <f>HYPERLINK("https://klasma.github.io/Logging_2521/klagomål/A 47700-2022 FSC-klagomål.docx", "A 47700-2022")</f>
        <v/>
      </c>
      <c r="W808">
        <f>HYPERLINK("https://klasma.github.io/Logging_2521/klagomålsmail/A 47700-2022 FSC-klagomål mail.docx", "A 47700-2022")</f>
        <v/>
      </c>
      <c r="X808">
        <f>HYPERLINK("https://klasma.github.io/Logging_2521/tillsyn/A 47700-2022 tillsynsbegäran.docx", "A 47700-2022")</f>
        <v/>
      </c>
      <c r="Y808">
        <f>HYPERLINK("https://klasma.github.io/Logging_2521/tillsynsmail/A 47700-2022 tillsynsbegäran mail.docx", "A 47700-2022")</f>
        <v/>
      </c>
    </row>
    <row r="809" ht="15" customHeight="1">
      <c r="A809" t="inlineStr">
        <is>
          <t>A 47954-2022</t>
        </is>
      </c>
      <c r="B809" s="1" t="n">
        <v>44855</v>
      </c>
      <c r="C809" s="1" t="n">
        <v>45798</v>
      </c>
      <c r="D809" t="inlineStr">
        <is>
          <t>NORRBOTTENS LÄN</t>
        </is>
      </c>
      <c r="E809" t="inlineStr">
        <is>
          <t>ARVIDSJAUR</t>
        </is>
      </c>
      <c r="F809" t="inlineStr">
        <is>
          <t>Sveaskog</t>
        </is>
      </c>
      <c r="G809" t="n">
        <v>3.3</v>
      </c>
      <c r="H809" t="n">
        <v>1</v>
      </c>
      <c r="I809" t="n">
        <v>0</v>
      </c>
      <c r="J809" t="n">
        <v>1</v>
      </c>
      <c r="K809" t="n">
        <v>0</v>
      </c>
      <c r="L809" t="n">
        <v>0</v>
      </c>
      <c r="M809" t="n">
        <v>0</v>
      </c>
      <c r="N809" t="n">
        <v>0</v>
      </c>
      <c r="O809" t="n">
        <v>1</v>
      </c>
      <c r="P809" t="n">
        <v>0</v>
      </c>
      <c r="Q809" t="n">
        <v>1</v>
      </c>
      <c r="R809" s="2" t="inlineStr">
        <is>
          <t>Spillkråka</t>
        </is>
      </c>
      <c r="S809">
        <f>HYPERLINK("https://klasma.github.io/Logging_2505/artfynd/A 47954-2022 artfynd.xlsx", "A 47954-2022")</f>
        <v/>
      </c>
      <c r="T809">
        <f>HYPERLINK("https://klasma.github.io/Logging_2505/kartor/A 47954-2022 karta.png", "A 47954-2022")</f>
        <v/>
      </c>
      <c r="V809">
        <f>HYPERLINK("https://klasma.github.io/Logging_2505/klagomål/A 47954-2022 FSC-klagomål.docx", "A 47954-2022")</f>
        <v/>
      </c>
      <c r="W809">
        <f>HYPERLINK("https://klasma.github.io/Logging_2505/klagomålsmail/A 47954-2022 FSC-klagomål mail.docx", "A 47954-2022")</f>
        <v/>
      </c>
      <c r="X809">
        <f>HYPERLINK("https://klasma.github.io/Logging_2505/tillsyn/A 47954-2022 tillsynsbegäran.docx", "A 47954-2022")</f>
        <v/>
      </c>
      <c r="Y809">
        <f>HYPERLINK("https://klasma.github.io/Logging_2505/tillsynsmail/A 47954-2022 tillsynsbegäran mail.docx", "A 47954-2022")</f>
        <v/>
      </c>
      <c r="Z809">
        <f>HYPERLINK("https://klasma.github.io/Logging_2505/fåglar/A 47954-2022 prioriterade fågelarter.docx", "A 47954-2022")</f>
        <v/>
      </c>
    </row>
    <row r="810" ht="15" customHeight="1">
      <c r="A810" t="inlineStr">
        <is>
          <t>A 49188-2022</t>
        </is>
      </c>
      <c r="B810" s="1" t="n">
        <v>44860</v>
      </c>
      <c r="C810" s="1" t="n">
        <v>45798</v>
      </c>
      <c r="D810" t="inlineStr">
        <is>
          <t>NORRBOTTENS LÄN</t>
        </is>
      </c>
      <c r="E810" t="inlineStr">
        <is>
          <t>GÄLLIVARE</t>
        </is>
      </c>
      <c r="F810" t="inlineStr">
        <is>
          <t>SCA</t>
        </is>
      </c>
      <c r="G810" t="n">
        <v>5.4</v>
      </c>
      <c r="H810" t="n">
        <v>0</v>
      </c>
      <c r="I810" t="n">
        <v>1</v>
      </c>
      <c r="J810" t="n">
        <v>0</v>
      </c>
      <c r="K810" t="n">
        <v>0</v>
      </c>
      <c r="L810" t="n">
        <v>0</v>
      </c>
      <c r="M810" t="n">
        <v>0</v>
      </c>
      <c r="N810" t="n">
        <v>0</v>
      </c>
      <c r="O810" t="n">
        <v>0</v>
      </c>
      <c r="P810" t="n">
        <v>0</v>
      </c>
      <c r="Q810" t="n">
        <v>1</v>
      </c>
      <c r="R810" s="2" t="inlineStr">
        <is>
          <t>Dropptaggsvamp</t>
        </is>
      </c>
      <c r="S810">
        <f>HYPERLINK("https://klasma.github.io/Logging_2523/artfynd/A 49188-2022 artfynd.xlsx", "A 49188-2022")</f>
        <v/>
      </c>
      <c r="T810">
        <f>HYPERLINK("https://klasma.github.io/Logging_2523/kartor/A 49188-2022 karta.png", "A 49188-2022")</f>
        <v/>
      </c>
      <c r="V810">
        <f>HYPERLINK("https://klasma.github.io/Logging_2523/klagomål/A 49188-2022 FSC-klagomål.docx", "A 49188-2022")</f>
        <v/>
      </c>
      <c r="W810">
        <f>HYPERLINK("https://klasma.github.io/Logging_2523/klagomålsmail/A 49188-2022 FSC-klagomål mail.docx", "A 49188-2022")</f>
        <v/>
      </c>
      <c r="X810">
        <f>HYPERLINK("https://klasma.github.io/Logging_2523/tillsyn/A 49188-2022 tillsynsbegäran.docx", "A 49188-2022")</f>
        <v/>
      </c>
      <c r="Y810">
        <f>HYPERLINK("https://klasma.github.io/Logging_2523/tillsynsmail/A 49188-2022 tillsynsbegäran mail.docx", "A 49188-2022")</f>
        <v/>
      </c>
    </row>
    <row r="811" ht="15" customHeight="1">
      <c r="A811" t="inlineStr">
        <is>
          <t>A 49756-2022</t>
        </is>
      </c>
      <c r="B811" s="1" t="n">
        <v>44862</v>
      </c>
      <c r="C811" s="1" t="n">
        <v>45798</v>
      </c>
      <c r="D811" t="inlineStr">
        <is>
          <t>NORRBOTTENS LÄN</t>
        </is>
      </c>
      <c r="E811" t="inlineStr">
        <is>
          <t>PAJALA</t>
        </is>
      </c>
      <c r="F811" t="inlineStr">
        <is>
          <t>Sveaskog</t>
        </is>
      </c>
      <c r="G811" t="n">
        <v>2.9</v>
      </c>
      <c r="H811" t="n">
        <v>0</v>
      </c>
      <c r="I811" t="n">
        <v>0</v>
      </c>
      <c r="J811" t="n">
        <v>1</v>
      </c>
      <c r="K811" t="n">
        <v>0</v>
      </c>
      <c r="L811" t="n">
        <v>0</v>
      </c>
      <c r="M811" t="n">
        <v>0</v>
      </c>
      <c r="N811" t="n">
        <v>0</v>
      </c>
      <c r="O811" t="n">
        <v>1</v>
      </c>
      <c r="P811" t="n">
        <v>0</v>
      </c>
      <c r="Q811" t="n">
        <v>1</v>
      </c>
      <c r="R811" s="2" t="inlineStr">
        <is>
          <t>Lunglav</t>
        </is>
      </c>
      <c r="S811">
        <f>HYPERLINK("https://klasma.github.io/Logging_2521/artfynd/A 49756-2022 artfynd.xlsx", "A 49756-2022")</f>
        <v/>
      </c>
      <c r="T811">
        <f>HYPERLINK("https://klasma.github.io/Logging_2521/kartor/A 49756-2022 karta.png", "A 49756-2022")</f>
        <v/>
      </c>
      <c r="V811">
        <f>HYPERLINK("https://klasma.github.io/Logging_2521/klagomål/A 49756-2022 FSC-klagomål.docx", "A 49756-2022")</f>
        <v/>
      </c>
      <c r="W811">
        <f>HYPERLINK("https://klasma.github.io/Logging_2521/klagomålsmail/A 49756-2022 FSC-klagomål mail.docx", "A 49756-2022")</f>
        <v/>
      </c>
      <c r="X811">
        <f>HYPERLINK("https://klasma.github.io/Logging_2521/tillsyn/A 49756-2022 tillsynsbegäran.docx", "A 49756-2022")</f>
        <v/>
      </c>
      <c r="Y811">
        <f>HYPERLINK("https://klasma.github.io/Logging_2521/tillsynsmail/A 49756-2022 tillsynsbegäran mail.docx", "A 49756-2022")</f>
        <v/>
      </c>
    </row>
    <row r="812" ht="15" customHeight="1">
      <c r="A812" t="inlineStr">
        <is>
          <t>A 51641-2022</t>
        </is>
      </c>
      <c r="B812" s="1" t="n">
        <v>44867</v>
      </c>
      <c r="C812" s="1" t="n">
        <v>45798</v>
      </c>
      <c r="D812" t="inlineStr">
        <is>
          <t>NORRBOTTENS LÄN</t>
        </is>
      </c>
      <c r="E812" t="inlineStr">
        <is>
          <t>LULEÅ</t>
        </is>
      </c>
      <c r="G812" t="n">
        <v>5.7</v>
      </c>
      <c r="H812" t="n">
        <v>0</v>
      </c>
      <c r="I812" t="n">
        <v>0</v>
      </c>
      <c r="J812" t="n">
        <v>1</v>
      </c>
      <c r="K812" t="n">
        <v>0</v>
      </c>
      <c r="L812" t="n">
        <v>0</v>
      </c>
      <c r="M812" t="n">
        <v>0</v>
      </c>
      <c r="N812" t="n">
        <v>0</v>
      </c>
      <c r="O812" t="n">
        <v>1</v>
      </c>
      <c r="P812" t="n">
        <v>0</v>
      </c>
      <c r="Q812" t="n">
        <v>1</v>
      </c>
      <c r="R812" s="2" t="inlineStr">
        <is>
          <t>Granticka</t>
        </is>
      </c>
      <c r="S812">
        <f>HYPERLINK("https://klasma.github.io/Logging_2580/artfynd/A 51641-2022 artfynd.xlsx", "A 51641-2022")</f>
        <v/>
      </c>
      <c r="T812">
        <f>HYPERLINK("https://klasma.github.io/Logging_2580/kartor/A 51641-2022 karta.png", "A 51641-2022")</f>
        <v/>
      </c>
      <c r="V812">
        <f>HYPERLINK("https://klasma.github.io/Logging_2580/klagomål/A 51641-2022 FSC-klagomål.docx", "A 51641-2022")</f>
        <v/>
      </c>
      <c r="W812">
        <f>HYPERLINK("https://klasma.github.io/Logging_2580/klagomålsmail/A 51641-2022 FSC-klagomål mail.docx", "A 51641-2022")</f>
        <v/>
      </c>
      <c r="X812">
        <f>HYPERLINK("https://klasma.github.io/Logging_2580/tillsyn/A 51641-2022 tillsynsbegäran.docx", "A 51641-2022")</f>
        <v/>
      </c>
      <c r="Y812">
        <f>HYPERLINK("https://klasma.github.io/Logging_2580/tillsynsmail/A 51641-2022 tillsynsbegäran mail.docx", "A 51641-2022")</f>
        <v/>
      </c>
    </row>
    <row r="813" ht="15" customHeight="1">
      <c r="A813" t="inlineStr">
        <is>
          <t>A 54181-2022</t>
        </is>
      </c>
      <c r="B813" s="1" t="n">
        <v>44881</v>
      </c>
      <c r="C813" s="1" t="n">
        <v>45798</v>
      </c>
      <c r="D813" t="inlineStr">
        <is>
          <t>NORRBOTTENS LÄN</t>
        </is>
      </c>
      <c r="E813" t="inlineStr">
        <is>
          <t>BODEN</t>
        </is>
      </c>
      <c r="F813" t="inlineStr">
        <is>
          <t>Sveaskog</t>
        </is>
      </c>
      <c r="G813" t="n">
        <v>3.3</v>
      </c>
      <c r="H813" t="n">
        <v>0</v>
      </c>
      <c r="I813" t="n">
        <v>0</v>
      </c>
      <c r="J813" t="n">
        <v>1</v>
      </c>
      <c r="K813" t="n">
        <v>0</v>
      </c>
      <c r="L813" t="n">
        <v>0</v>
      </c>
      <c r="M813" t="n">
        <v>0</v>
      </c>
      <c r="N813" t="n">
        <v>0</v>
      </c>
      <c r="O813" t="n">
        <v>1</v>
      </c>
      <c r="P813" t="n">
        <v>0</v>
      </c>
      <c r="Q813" t="n">
        <v>1</v>
      </c>
      <c r="R813" s="2" t="inlineStr">
        <is>
          <t>Lunglav</t>
        </is>
      </c>
      <c r="S813">
        <f>HYPERLINK("https://klasma.github.io/Logging_2582/artfynd/A 54181-2022 artfynd.xlsx", "A 54181-2022")</f>
        <v/>
      </c>
      <c r="T813">
        <f>HYPERLINK("https://klasma.github.io/Logging_2582/kartor/A 54181-2022 karta.png", "A 54181-2022")</f>
        <v/>
      </c>
      <c r="V813">
        <f>HYPERLINK("https://klasma.github.io/Logging_2582/klagomål/A 54181-2022 FSC-klagomål.docx", "A 54181-2022")</f>
        <v/>
      </c>
      <c r="W813">
        <f>HYPERLINK("https://klasma.github.io/Logging_2582/klagomålsmail/A 54181-2022 FSC-klagomål mail.docx", "A 54181-2022")</f>
        <v/>
      </c>
      <c r="X813">
        <f>HYPERLINK("https://klasma.github.io/Logging_2582/tillsyn/A 54181-2022 tillsynsbegäran.docx", "A 54181-2022")</f>
        <v/>
      </c>
      <c r="Y813">
        <f>HYPERLINK("https://klasma.github.io/Logging_2582/tillsynsmail/A 54181-2022 tillsynsbegäran mail.docx", "A 54181-2022")</f>
        <v/>
      </c>
    </row>
    <row r="814" ht="15" customHeight="1">
      <c r="A814" t="inlineStr">
        <is>
          <t>A 58717-2022</t>
        </is>
      </c>
      <c r="B814" s="1" t="n">
        <v>44902</v>
      </c>
      <c r="C814" s="1" t="n">
        <v>45798</v>
      </c>
      <c r="D814" t="inlineStr">
        <is>
          <t>NORRBOTTENS LÄN</t>
        </is>
      </c>
      <c r="E814" t="inlineStr">
        <is>
          <t>LULEÅ</t>
        </is>
      </c>
      <c r="G814" t="n">
        <v>5.9</v>
      </c>
      <c r="H814" t="n">
        <v>0</v>
      </c>
      <c r="I814" t="n">
        <v>1</v>
      </c>
      <c r="J814" t="n">
        <v>0</v>
      </c>
      <c r="K814" t="n">
        <v>0</v>
      </c>
      <c r="L814" t="n">
        <v>0</v>
      </c>
      <c r="M814" t="n">
        <v>0</v>
      </c>
      <c r="N814" t="n">
        <v>0</v>
      </c>
      <c r="O814" t="n">
        <v>0</v>
      </c>
      <c r="P814" t="n">
        <v>0</v>
      </c>
      <c r="Q814" t="n">
        <v>1</v>
      </c>
      <c r="R814" s="2" t="inlineStr">
        <is>
          <t>Dropptaggsvamp</t>
        </is>
      </c>
      <c r="S814">
        <f>HYPERLINK("https://klasma.github.io/Logging_2580/artfynd/A 58717-2022 artfynd.xlsx", "A 58717-2022")</f>
        <v/>
      </c>
      <c r="T814">
        <f>HYPERLINK("https://klasma.github.io/Logging_2580/kartor/A 58717-2022 karta.png", "A 58717-2022")</f>
        <v/>
      </c>
      <c r="V814">
        <f>HYPERLINK("https://klasma.github.io/Logging_2580/klagomål/A 58717-2022 FSC-klagomål.docx", "A 58717-2022")</f>
        <v/>
      </c>
      <c r="W814">
        <f>HYPERLINK("https://klasma.github.io/Logging_2580/klagomålsmail/A 58717-2022 FSC-klagomål mail.docx", "A 58717-2022")</f>
        <v/>
      </c>
      <c r="X814">
        <f>HYPERLINK("https://klasma.github.io/Logging_2580/tillsyn/A 58717-2022 tillsynsbegäran.docx", "A 58717-2022")</f>
        <v/>
      </c>
      <c r="Y814">
        <f>HYPERLINK("https://klasma.github.io/Logging_2580/tillsynsmail/A 58717-2022 tillsynsbegäran mail.docx", "A 58717-2022")</f>
        <v/>
      </c>
    </row>
    <row r="815" ht="15" customHeight="1">
      <c r="A815" t="inlineStr">
        <is>
          <t>A 59071-2022</t>
        </is>
      </c>
      <c r="B815" s="1" t="n">
        <v>44904</v>
      </c>
      <c r="C815" s="1" t="n">
        <v>45798</v>
      </c>
      <c r="D815" t="inlineStr">
        <is>
          <t>NORRBOTTENS LÄN</t>
        </is>
      </c>
      <c r="E815" t="inlineStr">
        <is>
          <t>PAJALA</t>
        </is>
      </c>
      <c r="F815" t="inlineStr">
        <is>
          <t>Sveaskog</t>
        </is>
      </c>
      <c r="G815" t="n">
        <v>9</v>
      </c>
      <c r="H815" t="n">
        <v>0</v>
      </c>
      <c r="I815" t="n">
        <v>0</v>
      </c>
      <c r="J815" t="n">
        <v>1</v>
      </c>
      <c r="K815" t="n">
        <v>0</v>
      </c>
      <c r="L815" t="n">
        <v>0</v>
      </c>
      <c r="M815" t="n">
        <v>0</v>
      </c>
      <c r="N815" t="n">
        <v>0</v>
      </c>
      <c r="O815" t="n">
        <v>1</v>
      </c>
      <c r="P815" t="n">
        <v>0</v>
      </c>
      <c r="Q815" t="n">
        <v>1</v>
      </c>
      <c r="R815" s="2" t="inlineStr">
        <is>
          <t>Garnlav</t>
        </is>
      </c>
      <c r="S815">
        <f>HYPERLINK("https://klasma.github.io/Logging_2521/artfynd/A 59071-2022 artfynd.xlsx", "A 59071-2022")</f>
        <v/>
      </c>
      <c r="T815">
        <f>HYPERLINK("https://klasma.github.io/Logging_2521/kartor/A 59071-2022 karta.png", "A 59071-2022")</f>
        <v/>
      </c>
      <c r="V815">
        <f>HYPERLINK("https://klasma.github.io/Logging_2521/klagomål/A 59071-2022 FSC-klagomål.docx", "A 59071-2022")</f>
        <v/>
      </c>
      <c r="W815">
        <f>HYPERLINK("https://klasma.github.io/Logging_2521/klagomålsmail/A 59071-2022 FSC-klagomål mail.docx", "A 59071-2022")</f>
        <v/>
      </c>
      <c r="X815">
        <f>HYPERLINK("https://klasma.github.io/Logging_2521/tillsyn/A 59071-2022 tillsynsbegäran.docx", "A 59071-2022")</f>
        <v/>
      </c>
      <c r="Y815">
        <f>HYPERLINK("https://klasma.github.io/Logging_2521/tillsynsmail/A 59071-2022 tillsynsbegäran mail.docx", "A 59071-2022")</f>
        <v/>
      </c>
    </row>
    <row r="816" ht="15" customHeight="1">
      <c r="A816" t="inlineStr">
        <is>
          <t>A 59362-2022</t>
        </is>
      </c>
      <c r="B816" s="1" t="n">
        <v>44904</v>
      </c>
      <c r="C816" s="1" t="n">
        <v>45798</v>
      </c>
      <c r="D816" t="inlineStr">
        <is>
          <t>NORRBOTTENS LÄN</t>
        </is>
      </c>
      <c r="E816" t="inlineStr">
        <is>
          <t>LULEÅ</t>
        </is>
      </c>
      <c r="G816" t="n">
        <v>5.1</v>
      </c>
      <c r="H816" t="n">
        <v>1</v>
      </c>
      <c r="I816" t="n">
        <v>0</v>
      </c>
      <c r="J816" t="n">
        <v>1</v>
      </c>
      <c r="K816" t="n">
        <v>0</v>
      </c>
      <c r="L816" t="n">
        <v>0</v>
      </c>
      <c r="M816" t="n">
        <v>0</v>
      </c>
      <c r="N816" t="n">
        <v>0</v>
      </c>
      <c r="O816" t="n">
        <v>1</v>
      </c>
      <c r="P816" t="n">
        <v>0</v>
      </c>
      <c r="Q816" t="n">
        <v>1</v>
      </c>
      <c r="R816" s="2" t="inlineStr">
        <is>
          <t>Tretåig hackspett</t>
        </is>
      </c>
      <c r="S816">
        <f>HYPERLINK("https://klasma.github.io/Logging_2580/artfynd/A 59362-2022 artfynd.xlsx", "A 59362-2022")</f>
        <v/>
      </c>
      <c r="T816">
        <f>HYPERLINK("https://klasma.github.io/Logging_2580/kartor/A 59362-2022 karta.png", "A 59362-2022")</f>
        <v/>
      </c>
      <c r="V816">
        <f>HYPERLINK("https://klasma.github.io/Logging_2580/klagomål/A 59362-2022 FSC-klagomål.docx", "A 59362-2022")</f>
        <v/>
      </c>
      <c r="W816">
        <f>HYPERLINK("https://klasma.github.io/Logging_2580/klagomålsmail/A 59362-2022 FSC-klagomål mail.docx", "A 59362-2022")</f>
        <v/>
      </c>
      <c r="X816">
        <f>HYPERLINK("https://klasma.github.io/Logging_2580/tillsyn/A 59362-2022 tillsynsbegäran.docx", "A 59362-2022")</f>
        <v/>
      </c>
      <c r="Y816">
        <f>HYPERLINK("https://klasma.github.io/Logging_2580/tillsynsmail/A 59362-2022 tillsynsbegäran mail.docx", "A 59362-2022")</f>
        <v/>
      </c>
      <c r="Z816">
        <f>HYPERLINK("https://klasma.github.io/Logging_2580/fåglar/A 59362-2022 prioriterade fågelarter.docx", "A 59362-2022")</f>
        <v/>
      </c>
    </row>
    <row r="817" ht="15" customHeight="1">
      <c r="A817" t="inlineStr">
        <is>
          <t>A 61496-2022</t>
        </is>
      </c>
      <c r="B817" s="1" t="n">
        <v>44910</v>
      </c>
      <c r="C817" s="1" t="n">
        <v>45798</v>
      </c>
      <c r="D817" t="inlineStr">
        <is>
          <t>NORRBOTTENS LÄN</t>
        </is>
      </c>
      <c r="E817" t="inlineStr">
        <is>
          <t>BODEN</t>
        </is>
      </c>
      <c r="F817" t="inlineStr">
        <is>
          <t>Sveaskog</t>
        </is>
      </c>
      <c r="G817" t="n">
        <v>2.8</v>
      </c>
      <c r="H817" t="n">
        <v>0</v>
      </c>
      <c r="I817" t="n">
        <v>0</v>
      </c>
      <c r="J817" t="n">
        <v>1</v>
      </c>
      <c r="K817" t="n">
        <v>0</v>
      </c>
      <c r="L817" t="n">
        <v>0</v>
      </c>
      <c r="M817" t="n">
        <v>0</v>
      </c>
      <c r="N817" t="n">
        <v>0</v>
      </c>
      <c r="O817" t="n">
        <v>1</v>
      </c>
      <c r="P817" t="n">
        <v>0</v>
      </c>
      <c r="Q817" t="n">
        <v>1</v>
      </c>
      <c r="R817" s="2" t="inlineStr">
        <is>
          <t>Gammelgransskål</t>
        </is>
      </c>
      <c r="S817">
        <f>HYPERLINK("https://klasma.github.io/Logging_2582/artfynd/A 61496-2022 artfynd.xlsx", "A 61496-2022")</f>
        <v/>
      </c>
      <c r="T817">
        <f>HYPERLINK("https://klasma.github.io/Logging_2582/kartor/A 61496-2022 karta.png", "A 61496-2022")</f>
        <v/>
      </c>
      <c r="V817">
        <f>HYPERLINK("https://klasma.github.io/Logging_2582/klagomål/A 61496-2022 FSC-klagomål.docx", "A 61496-2022")</f>
        <v/>
      </c>
      <c r="W817">
        <f>HYPERLINK("https://klasma.github.io/Logging_2582/klagomålsmail/A 61496-2022 FSC-klagomål mail.docx", "A 61496-2022")</f>
        <v/>
      </c>
      <c r="X817">
        <f>HYPERLINK("https://klasma.github.io/Logging_2582/tillsyn/A 61496-2022 tillsynsbegäran.docx", "A 61496-2022")</f>
        <v/>
      </c>
      <c r="Y817">
        <f>HYPERLINK("https://klasma.github.io/Logging_2582/tillsynsmail/A 61496-2022 tillsynsbegäran mail.docx", "A 61496-2022")</f>
        <v/>
      </c>
    </row>
    <row r="818" ht="15" customHeight="1">
      <c r="A818" t="inlineStr">
        <is>
          <t>A 61713-2022</t>
        </is>
      </c>
      <c r="B818" s="1" t="n">
        <v>44917</v>
      </c>
      <c r="C818" s="1" t="n">
        <v>45798</v>
      </c>
      <c r="D818" t="inlineStr">
        <is>
          <t>NORRBOTTENS LÄN</t>
        </is>
      </c>
      <c r="E818" t="inlineStr">
        <is>
          <t>PITEÅ</t>
        </is>
      </c>
      <c r="F818" t="inlineStr">
        <is>
          <t>Sveaskog</t>
        </is>
      </c>
      <c r="G818" t="n">
        <v>8.4</v>
      </c>
      <c r="H818" t="n">
        <v>1</v>
      </c>
      <c r="I818" t="n">
        <v>0</v>
      </c>
      <c r="J818" t="n">
        <v>0</v>
      </c>
      <c r="K818" t="n">
        <v>0</v>
      </c>
      <c r="L818" t="n">
        <v>0</v>
      </c>
      <c r="M818" t="n">
        <v>0</v>
      </c>
      <c r="N818" t="n">
        <v>0</v>
      </c>
      <c r="O818" t="n">
        <v>0</v>
      </c>
      <c r="P818" t="n">
        <v>0</v>
      </c>
      <c r="Q818" t="n">
        <v>1</v>
      </c>
      <c r="R818" s="2" t="inlineStr">
        <is>
          <t>Revlummer</t>
        </is>
      </c>
      <c r="S818">
        <f>HYPERLINK("https://klasma.github.io/Logging_2581/artfynd/A 61713-2022 artfynd.xlsx", "A 61713-2022")</f>
        <v/>
      </c>
      <c r="T818">
        <f>HYPERLINK("https://klasma.github.io/Logging_2581/kartor/A 61713-2022 karta.png", "A 61713-2022")</f>
        <v/>
      </c>
      <c r="V818">
        <f>HYPERLINK("https://klasma.github.io/Logging_2581/klagomål/A 61713-2022 FSC-klagomål.docx", "A 61713-2022")</f>
        <v/>
      </c>
      <c r="W818">
        <f>HYPERLINK("https://klasma.github.io/Logging_2581/klagomålsmail/A 61713-2022 FSC-klagomål mail.docx", "A 61713-2022")</f>
        <v/>
      </c>
      <c r="X818">
        <f>HYPERLINK("https://klasma.github.io/Logging_2581/tillsyn/A 61713-2022 tillsynsbegäran.docx", "A 61713-2022")</f>
        <v/>
      </c>
      <c r="Y818">
        <f>HYPERLINK("https://klasma.github.io/Logging_2581/tillsynsmail/A 61713-2022 tillsynsbegäran mail.docx", "A 61713-2022")</f>
        <v/>
      </c>
    </row>
    <row r="819" ht="15" customHeight="1">
      <c r="A819" t="inlineStr">
        <is>
          <t>A 2397-2023</t>
        </is>
      </c>
      <c r="B819" s="1" t="n">
        <v>44942</v>
      </c>
      <c r="C819" s="1" t="n">
        <v>45798</v>
      </c>
      <c r="D819" t="inlineStr">
        <is>
          <t>NORRBOTTENS LÄN</t>
        </is>
      </c>
      <c r="E819" t="inlineStr">
        <is>
          <t>ARVIDSJAUR</t>
        </is>
      </c>
      <c r="G819" t="n">
        <v>9.5</v>
      </c>
      <c r="H819" t="n">
        <v>0</v>
      </c>
      <c r="I819" t="n">
        <v>1</v>
      </c>
      <c r="J819" t="n">
        <v>0</v>
      </c>
      <c r="K819" t="n">
        <v>0</v>
      </c>
      <c r="L819" t="n">
        <v>0</v>
      </c>
      <c r="M819" t="n">
        <v>0</v>
      </c>
      <c r="N819" t="n">
        <v>0</v>
      </c>
      <c r="O819" t="n">
        <v>0</v>
      </c>
      <c r="P819" t="n">
        <v>0</v>
      </c>
      <c r="Q819" t="n">
        <v>1</v>
      </c>
      <c r="R819" s="2" t="inlineStr">
        <is>
          <t>Stuplav</t>
        </is>
      </c>
      <c r="S819">
        <f>HYPERLINK("https://klasma.github.io/Logging_2505/artfynd/A 2397-2023 artfynd.xlsx", "A 2397-2023")</f>
        <v/>
      </c>
      <c r="T819">
        <f>HYPERLINK("https://klasma.github.io/Logging_2505/kartor/A 2397-2023 karta.png", "A 2397-2023")</f>
        <v/>
      </c>
      <c r="V819">
        <f>HYPERLINK("https://klasma.github.io/Logging_2505/klagomål/A 2397-2023 FSC-klagomål.docx", "A 2397-2023")</f>
        <v/>
      </c>
      <c r="W819">
        <f>HYPERLINK("https://klasma.github.io/Logging_2505/klagomålsmail/A 2397-2023 FSC-klagomål mail.docx", "A 2397-2023")</f>
        <v/>
      </c>
      <c r="X819">
        <f>HYPERLINK("https://klasma.github.io/Logging_2505/tillsyn/A 2397-2023 tillsynsbegäran.docx", "A 2397-2023")</f>
        <v/>
      </c>
      <c r="Y819">
        <f>HYPERLINK("https://klasma.github.io/Logging_2505/tillsynsmail/A 2397-2023 tillsynsbegäran mail.docx", "A 2397-2023")</f>
        <v/>
      </c>
    </row>
    <row r="820" ht="15" customHeight="1">
      <c r="A820" t="inlineStr">
        <is>
          <t>A 4561-2023</t>
        </is>
      </c>
      <c r="B820" s="1" t="n">
        <v>44951</v>
      </c>
      <c r="C820" s="1" t="n">
        <v>45798</v>
      </c>
      <c r="D820" t="inlineStr">
        <is>
          <t>NORRBOTTENS LÄN</t>
        </is>
      </c>
      <c r="E820" t="inlineStr">
        <is>
          <t>LULEÅ</t>
        </is>
      </c>
      <c r="G820" t="n">
        <v>4.1</v>
      </c>
      <c r="H820" t="n">
        <v>1</v>
      </c>
      <c r="I820" t="n">
        <v>0</v>
      </c>
      <c r="J820" t="n">
        <v>0</v>
      </c>
      <c r="K820" t="n">
        <v>1</v>
      </c>
      <c r="L820" t="n">
        <v>0</v>
      </c>
      <c r="M820" t="n">
        <v>0</v>
      </c>
      <c r="N820" t="n">
        <v>0</v>
      </c>
      <c r="O820" t="n">
        <v>1</v>
      </c>
      <c r="P820" t="n">
        <v>1</v>
      </c>
      <c r="Q820" t="n">
        <v>1</v>
      </c>
      <c r="R820" s="2" t="inlineStr">
        <is>
          <t>Topplåsbräken</t>
        </is>
      </c>
      <c r="S820">
        <f>HYPERLINK("https://klasma.github.io/Logging_2580/artfynd/A 4561-2023 artfynd.xlsx", "A 4561-2023")</f>
        <v/>
      </c>
      <c r="T820">
        <f>HYPERLINK("https://klasma.github.io/Logging_2580/kartor/A 4561-2023 karta.png", "A 4561-2023")</f>
        <v/>
      </c>
      <c r="V820">
        <f>HYPERLINK("https://klasma.github.io/Logging_2580/klagomål/A 4561-2023 FSC-klagomål.docx", "A 4561-2023")</f>
        <v/>
      </c>
      <c r="W820">
        <f>HYPERLINK("https://klasma.github.io/Logging_2580/klagomålsmail/A 4561-2023 FSC-klagomål mail.docx", "A 4561-2023")</f>
        <v/>
      </c>
      <c r="X820">
        <f>HYPERLINK("https://klasma.github.io/Logging_2580/tillsyn/A 4561-2023 tillsynsbegäran.docx", "A 4561-2023")</f>
        <v/>
      </c>
      <c r="Y820">
        <f>HYPERLINK("https://klasma.github.io/Logging_2580/tillsynsmail/A 4561-2023 tillsynsbegäran mail.docx", "A 4561-2023")</f>
        <v/>
      </c>
    </row>
    <row r="821" ht="15" customHeight="1">
      <c r="A821" t="inlineStr">
        <is>
          <t>A 5824-2023</t>
        </is>
      </c>
      <c r="B821" s="1" t="n">
        <v>44958</v>
      </c>
      <c r="C821" s="1" t="n">
        <v>45798</v>
      </c>
      <c r="D821" t="inlineStr">
        <is>
          <t>NORRBOTTENS LÄN</t>
        </is>
      </c>
      <c r="E821" t="inlineStr">
        <is>
          <t>JOKKMOKK</t>
        </is>
      </c>
      <c r="G821" t="n">
        <v>6.7</v>
      </c>
      <c r="H821" t="n">
        <v>0</v>
      </c>
      <c r="I821" t="n">
        <v>0</v>
      </c>
      <c r="J821" t="n">
        <v>1</v>
      </c>
      <c r="K821" t="n">
        <v>0</v>
      </c>
      <c r="L821" t="n">
        <v>0</v>
      </c>
      <c r="M821" t="n">
        <v>0</v>
      </c>
      <c r="N821" t="n">
        <v>0</v>
      </c>
      <c r="O821" t="n">
        <v>1</v>
      </c>
      <c r="P821" t="n">
        <v>0</v>
      </c>
      <c r="Q821" t="n">
        <v>1</v>
      </c>
      <c r="R821" s="2" t="inlineStr">
        <is>
          <t>Granticka</t>
        </is>
      </c>
      <c r="S821">
        <f>HYPERLINK("https://klasma.github.io/Logging_2510/artfynd/A 5824-2023 artfynd.xlsx", "A 5824-2023")</f>
        <v/>
      </c>
      <c r="T821">
        <f>HYPERLINK("https://klasma.github.io/Logging_2510/kartor/A 5824-2023 karta.png", "A 5824-2023")</f>
        <v/>
      </c>
      <c r="V821">
        <f>HYPERLINK("https://klasma.github.io/Logging_2510/klagomål/A 5824-2023 FSC-klagomål.docx", "A 5824-2023")</f>
        <v/>
      </c>
      <c r="W821">
        <f>HYPERLINK("https://klasma.github.io/Logging_2510/klagomålsmail/A 5824-2023 FSC-klagomål mail.docx", "A 5824-2023")</f>
        <v/>
      </c>
      <c r="X821">
        <f>HYPERLINK("https://klasma.github.io/Logging_2510/tillsyn/A 5824-2023 tillsynsbegäran.docx", "A 5824-2023")</f>
        <v/>
      </c>
      <c r="Y821">
        <f>HYPERLINK("https://klasma.github.io/Logging_2510/tillsynsmail/A 5824-2023 tillsynsbegäran mail.docx", "A 5824-2023")</f>
        <v/>
      </c>
    </row>
    <row r="822" ht="15" customHeight="1">
      <c r="A822" t="inlineStr">
        <is>
          <t>A 6239-2023</t>
        </is>
      </c>
      <c r="B822" s="1" t="n">
        <v>44964</v>
      </c>
      <c r="C822" s="1" t="n">
        <v>45798</v>
      </c>
      <c r="D822" t="inlineStr">
        <is>
          <t>NORRBOTTENS LÄN</t>
        </is>
      </c>
      <c r="E822" t="inlineStr">
        <is>
          <t>BODEN</t>
        </is>
      </c>
      <c r="F822" t="inlineStr">
        <is>
          <t>SCA</t>
        </is>
      </c>
      <c r="G822" t="n">
        <v>7.3</v>
      </c>
      <c r="H822" t="n">
        <v>0</v>
      </c>
      <c r="I822" t="n">
        <v>0</v>
      </c>
      <c r="J822" t="n">
        <v>0</v>
      </c>
      <c r="K822" t="n">
        <v>1</v>
      </c>
      <c r="L822" t="n">
        <v>0</v>
      </c>
      <c r="M822" t="n">
        <v>0</v>
      </c>
      <c r="N822" t="n">
        <v>0</v>
      </c>
      <c r="O822" t="n">
        <v>1</v>
      </c>
      <c r="P822" t="n">
        <v>1</v>
      </c>
      <c r="Q822" t="n">
        <v>1</v>
      </c>
      <c r="R822" s="2" t="inlineStr">
        <is>
          <t>Liten aspgelélav</t>
        </is>
      </c>
      <c r="S822">
        <f>HYPERLINK("https://klasma.github.io/Logging_2582/artfynd/A 6239-2023 artfynd.xlsx", "A 6239-2023")</f>
        <v/>
      </c>
      <c r="T822">
        <f>HYPERLINK("https://klasma.github.io/Logging_2582/kartor/A 6239-2023 karta.png", "A 6239-2023")</f>
        <v/>
      </c>
      <c r="V822">
        <f>HYPERLINK("https://klasma.github.io/Logging_2582/klagomål/A 6239-2023 FSC-klagomål.docx", "A 6239-2023")</f>
        <v/>
      </c>
      <c r="W822">
        <f>HYPERLINK("https://klasma.github.io/Logging_2582/klagomålsmail/A 6239-2023 FSC-klagomål mail.docx", "A 6239-2023")</f>
        <v/>
      </c>
      <c r="X822">
        <f>HYPERLINK("https://klasma.github.io/Logging_2582/tillsyn/A 6239-2023 tillsynsbegäran.docx", "A 6239-2023")</f>
        <v/>
      </c>
      <c r="Y822">
        <f>HYPERLINK("https://klasma.github.io/Logging_2582/tillsynsmail/A 6239-2023 tillsynsbegäran mail.docx", "A 6239-2023")</f>
        <v/>
      </c>
    </row>
    <row r="823" ht="15" customHeight="1">
      <c r="A823" t="inlineStr">
        <is>
          <t>A 7477-2023</t>
        </is>
      </c>
      <c r="B823" s="1" t="n">
        <v>44966</v>
      </c>
      <c r="C823" s="1" t="n">
        <v>45798</v>
      </c>
      <c r="D823" t="inlineStr">
        <is>
          <t>NORRBOTTENS LÄN</t>
        </is>
      </c>
      <c r="E823" t="inlineStr">
        <is>
          <t>ÖVERKALIX</t>
        </is>
      </c>
      <c r="G823" t="n">
        <v>2.6</v>
      </c>
      <c r="H823" t="n">
        <v>0</v>
      </c>
      <c r="I823" t="n">
        <v>1</v>
      </c>
      <c r="J823" t="n">
        <v>0</v>
      </c>
      <c r="K823" t="n">
        <v>0</v>
      </c>
      <c r="L823" t="n">
        <v>0</v>
      </c>
      <c r="M823" t="n">
        <v>0</v>
      </c>
      <c r="N823" t="n">
        <v>0</v>
      </c>
      <c r="O823" t="n">
        <v>0</v>
      </c>
      <c r="P823" t="n">
        <v>0</v>
      </c>
      <c r="Q823" t="n">
        <v>1</v>
      </c>
      <c r="R823" s="2" t="inlineStr">
        <is>
          <t>Skarp dropptaggsvamp</t>
        </is>
      </c>
      <c r="S823">
        <f>HYPERLINK("https://klasma.github.io/Logging_2513/artfynd/A 7477-2023 artfynd.xlsx", "A 7477-2023")</f>
        <v/>
      </c>
      <c r="T823">
        <f>HYPERLINK("https://klasma.github.io/Logging_2513/kartor/A 7477-2023 karta.png", "A 7477-2023")</f>
        <v/>
      </c>
      <c r="V823">
        <f>HYPERLINK("https://klasma.github.io/Logging_2513/klagomål/A 7477-2023 FSC-klagomål.docx", "A 7477-2023")</f>
        <v/>
      </c>
      <c r="W823">
        <f>HYPERLINK("https://klasma.github.io/Logging_2513/klagomålsmail/A 7477-2023 FSC-klagomål mail.docx", "A 7477-2023")</f>
        <v/>
      </c>
      <c r="X823">
        <f>HYPERLINK("https://klasma.github.io/Logging_2513/tillsyn/A 7477-2023 tillsynsbegäran.docx", "A 7477-2023")</f>
        <v/>
      </c>
      <c r="Y823">
        <f>HYPERLINK("https://klasma.github.io/Logging_2513/tillsynsmail/A 7477-2023 tillsynsbegäran mail.docx", "A 7477-2023")</f>
        <v/>
      </c>
    </row>
    <row r="824" ht="15" customHeight="1">
      <c r="A824" t="inlineStr">
        <is>
          <t>A 11208-2023</t>
        </is>
      </c>
      <c r="B824" s="1" t="n">
        <v>44992</v>
      </c>
      <c r="C824" s="1" t="n">
        <v>45798</v>
      </c>
      <c r="D824" t="inlineStr">
        <is>
          <t>NORRBOTTENS LÄN</t>
        </is>
      </c>
      <c r="E824" t="inlineStr">
        <is>
          <t>BODEN</t>
        </is>
      </c>
      <c r="G824" t="n">
        <v>14.9</v>
      </c>
      <c r="H824" t="n">
        <v>0</v>
      </c>
      <c r="I824" t="n">
        <v>1</v>
      </c>
      <c r="J824" t="n">
        <v>0</v>
      </c>
      <c r="K824" t="n">
        <v>0</v>
      </c>
      <c r="L824" t="n">
        <v>0</v>
      </c>
      <c r="M824" t="n">
        <v>0</v>
      </c>
      <c r="N824" t="n">
        <v>0</v>
      </c>
      <c r="O824" t="n">
        <v>0</v>
      </c>
      <c r="P824" t="n">
        <v>0</v>
      </c>
      <c r="Q824" t="n">
        <v>1</v>
      </c>
      <c r="R824" s="2" t="inlineStr">
        <is>
          <t>Ögonpyrola</t>
        </is>
      </c>
      <c r="S824">
        <f>HYPERLINK("https://klasma.github.io/Logging_2582/artfynd/A 11208-2023 artfynd.xlsx", "A 11208-2023")</f>
        <v/>
      </c>
      <c r="T824">
        <f>HYPERLINK("https://klasma.github.io/Logging_2582/kartor/A 11208-2023 karta.png", "A 11208-2023")</f>
        <v/>
      </c>
      <c r="V824">
        <f>HYPERLINK("https://klasma.github.io/Logging_2582/klagomål/A 11208-2023 FSC-klagomål.docx", "A 11208-2023")</f>
        <v/>
      </c>
      <c r="W824">
        <f>HYPERLINK("https://klasma.github.io/Logging_2582/klagomålsmail/A 11208-2023 FSC-klagomål mail.docx", "A 11208-2023")</f>
        <v/>
      </c>
      <c r="X824">
        <f>HYPERLINK("https://klasma.github.io/Logging_2582/tillsyn/A 11208-2023 tillsynsbegäran.docx", "A 11208-2023")</f>
        <v/>
      </c>
      <c r="Y824">
        <f>HYPERLINK("https://klasma.github.io/Logging_2582/tillsynsmail/A 11208-2023 tillsynsbegäran mail.docx", "A 11208-2023")</f>
        <v/>
      </c>
    </row>
    <row r="825" ht="15" customHeight="1">
      <c r="A825" t="inlineStr">
        <is>
          <t>A 14979-2023</t>
        </is>
      </c>
      <c r="B825" s="1" t="n">
        <v>45014</v>
      </c>
      <c r="C825" s="1" t="n">
        <v>45798</v>
      </c>
      <c r="D825" t="inlineStr">
        <is>
          <t>NORRBOTTENS LÄN</t>
        </is>
      </c>
      <c r="E825" t="inlineStr">
        <is>
          <t>PAJALA</t>
        </is>
      </c>
      <c r="F825" t="inlineStr">
        <is>
          <t>Allmännings- och besparingsskogar</t>
        </is>
      </c>
      <c r="G825" t="n">
        <v>26.1</v>
      </c>
      <c r="H825" t="n">
        <v>0</v>
      </c>
      <c r="I825" t="n">
        <v>0</v>
      </c>
      <c r="J825" t="n">
        <v>1</v>
      </c>
      <c r="K825" t="n">
        <v>0</v>
      </c>
      <c r="L825" t="n">
        <v>0</v>
      </c>
      <c r="M825" t="n">
        <v>0</v>
      </c>
      <c r="N825" t="n">
        <v>0</v>
      </c>
      <c r="O825" t="n">
        <v>1</v>
      </c>
      <c r="P825" t="n">
        <v>0</v>
      </c>
      <c r="Q825" t="n">
        <v>1</v>
      </c>
      <c r="R825" s="2" t="inlineStr">
        <is>
          <t>Garnlav</t>
        </is>
      </c>
      <c r="S825">
        <f>HYPERLINK("https://klasma.github.io/Logging_2521/artfynd/A 14979-2023 artfynd.xlsx", "A 14979-2023")</f>
        <v/>
      </c>
      <c r="T825">
        <f>HYPERLINK("https://klasma.github.io/Logging_2521/kartor/A 14979-2023 karta.png", "A 14979-2023")</f>
        <v/>
      </c>
      <c r="V825">
        <f>HYPERLINK("https://klasma.github.io/Logging_2521/klagomål/A 14979-2023 FSC-klagomål.docx", "A 14979-2023")</f>
        <v/>
      </c>
      <c r="W825">
        <f>HYPERLINK("https://klasma.github.io/Logging_2521/klagomålsmail/A 14979-2023 FSC-klagomål mail.docx", "A 14979-2023")</f>
        <v/>
      </c>
      <c r="X825">
        <f>HYPERLINK("https://klasma.github.io/Logging_2521/tillsyn/A 14979-2023 tillsynsbegäran.docx", "A 14979-2023")</f>
        <v/>
      </c>
      <c r="Y825">
        <f>HYPERLINK("https://klasma.github.io/Logging_2521/tillsynsmail/A 14979-2023 tillsynsbegäran mail.docx", "A 14979-2023")</f>
        <v/>
      </c>
    </row>
    <row r="826" ht="15" customHeight="1">
      <c r="A826" t="inlineStr">
        <is>
          <t>A 17740-2023</t>
        </is>
      </c>
      <c r="B826" s="1" t="n">
        <v>45035</v>
      </c>
      <c r="C826" s="1" t="n">
        <v>45798</v>
      </c>
      <c r="D826" t="inlineStr">
        <is>
          <t>NORRBOTTENS LÄN</t>
        </is>
      </c>
      <c r="E826" t="inlineStr">
        <is>
          <t>KIRUNA</t>
        </is>
      </c>
      <c r="F826" t="inlineStr">
        <is>
          <t>Allmännings- och besparingsskogar</t>
        </is>
      </c>
      <c r="G826" t="n">
        <v>20.1</v>
      </c>
      <c r="H826" t="n">
        <v>0</v>
      </c>
      <c r="I826" t="n">
        <v>0</v>
      </c>
      <c r="J826" t="n">
        <v>1</v>
      </c>
      <c r="K826" t="n">
        <v>0</v>
      </c>
      <c r="L826" t="n">
        <v>0</v>
      </c>
      <c r="M826" t="n">
        <v>0</v>
      </c>
      <c r="N826" t="n">
        <v>0</v>
      </c>
      <c r="O826" t="n">
        <v>1</v>
      </c>
      <c r="P826" t="n">
        <v>0</v>
      </c>
      <c r="Q826" t="n">
        <v>1</v>
      </c>
      <c r="R826" s="2" t="inlineStr">
        <is>
          <t>Knottrig blåslav</t>
        </is>
      </c>
      <c r="S826">
        <f>HYPERLINK("https://klasma.github.io/Logging_2584/artfynd/A 17740-2023 artfynd.xlsx", "A 17740-2023")</f>
        <v/>
      </c>
      <c r="T826">
        <f>HYPERLINK("https://klasma.github.io/Logging_2584/kartor/A 17740-2023 karta.png", "A 17740-2023")</f>
        <v/>
      </c>
      <c r="V826">
        <f>HYPERLINK("https://klasma.github.io/Logging_2584/klagomål/A 17740-2023 FSC-klagomål.docx", "A 17740-2023")</f>
        <v/>
      </c>
      <c r="W826">
        <f>HYPERLINK("https://klasma.github.io/Logging_2584/klagomålsmail/A 17740-2023 FSC-klagomål mail.docx", "A 17740-2023")</f>
        <v/>
      </c>
      <c r="X826">
        <f>HYPERLINK("https://klasma.github.io/Logging_2584/tillsyn/A 17740-2023 tillsynsbegäran.docx", "A 17740-2023")</f>
        <v/>
      </c>
      <c r="Y826">
        <f>HYPERLINK("https://klasma.github.io/Logging_2584/tillsynsmail/A 17740-2023 tillsynsbegäran mail.docx", "A 17740-2023")</f>
        <v/>
      </c>
    </row>
    <row r="827" ht="15" customHeight="1">
      <c r="A827" t="inlineStr">
        <is>
          <t>A 17428-2023</t>
        </is>
      </c>
      <c r="B827" s="1" t="n">
        <v>45036</v>
      </c>
      <c r="C827" s="1" t="n">
        <v>45798</v>
      </c>
      <c r="D827" t="inlineStr">
        <is>
          <t>NORRBOTTENS LÄN</t>
        </is>
      </c>
      <c r="E827" t="inlineStr">
        <is>
          <t>LULEÅ</t>
        </is>
      </c>
      <c r="G827" t="n">
        <v>2</v>
      </c>
      <c r="H827" t="n">
        <v>0</v>
      </c>
      <c r="I827" t="n">
        <v>1</v>
      </c>
      <c r="J827" t="n">
        <v>0</v>
      </c>
      <c r="K827" t="n">
        <v>0</v>
      </c>
      <c r="L827" t="n">
        <v>0</v>
      </c>
      <c r="M827" t="n">
        <v>0</v>
      </c>
      <c r="N827" t="n">
        <v>0</v>
      </c>
      <c r="O827" t="n">
        <v>0</v>
      </c>
      <c r="P827" t="n">
        <v>0</v>
      </c>
      <c r="Q827" t="n">
        <v>1</v>
      </c>
      <c r="R827" s="2" t="inlineStr">
        <is>
          <t>Mindre märgborre</t>
        </is>
      </c>
      <c r="S827">
        <f>HYPERLINK("https://klasma.github.io/Logging_2580/artfynd/A 17428-2023 artfynd.xlsx", "A 17428-2023")</f>
        <v/>
      </c>
      <c r="T827">
        <f>HYPERLINK("https://klasma.github.io/Logging_2580/kartor/A 17428-2023 karta.png", "A 17428-2023")</f>
        <v/>
      </c>
      <c r="V827">
        <f>HYPERLINK("https://klasma.github.io/Logging_2580/klagomål/A 17428-2023 FSC-klagomål.docx", "A 17428-2023")</f>
        <v/>
      </c>
      <c r="W827">
        <f>HYPERLINK("https://klasma.github.io/Logging_2580/klagomålsmail/A 17428-2023 FSC-klagomål mail.docx", "A 17428-2023")</f>
        <v/>
      </c>
      <c r="X827">
        <f>HYPERLINK("https://klasma.github.io/Logging_2580/tillsyn/A 17428-2023 tillsynsbegäran.docx", "A 17428-2023")</f>
        <v/>
      </c>
      <c r="Y827">
        <f>HYPERLINK("https://klasma.github.io/Logging_2580/tillsynsmail/A 17428-2023 tillsynsbegäran mail.docx", "A 17428-2023")</f>
        <v/>
      </c>
    </row>
    <row r="828" ht="15" customHeight="1">
      <c r="A828" t="inlineStr">
        <is>
          <t>A 19375-2023</t>
        </is>
      </c>
      <c r="B828" s="1" t="n">
        <v>45049</v>
      </c>
      <c r="C828" s="1" t="n">
        <v>45798</v>
      </c>
      <c r="D828" t="inlineStr">
        <is>
          <t>NORRBOTTENS LÄN</t>
        </is>
      </c>
      <c r="E828" t="inlineStr">
        <is>
          <t>PITEÅ</t>
        </is>
      </c>
      <c r="G828" t="n">
        <v>1.1</v>
      </c>
      <c r="H828" t="n">
        <v>1</v>
      </c>
      <c r="I828" t="n">
        <v>0</v>
      </c>
      <c r="J828" t="n">
        <v>0</v>
      </c>
      <c r="K828" t="n">
        <v>1</v>
      </c>
      <c r="L828" t="n">
        <v>0</v>
      </c>
      <c r="M828" t="n">
        <v>0</v>
      </c>
      <c r="N828" t="n">
        <v>0</v>
      </c>
      <c r="O828" t="n">
        <v>1</v>
      </c>
      <c r="P828" t="n">
        <v>1</v>
      </c>
      <c r="Q828" t="n">
        <v>1</v>
      </c>
      <c r="R828" s="2" t="inlineStr">
        <is>
          <t>Lappuggla</t>
        </is>
      </c>
      <c r="S828">
        <f>HYPERLINK("https://klasma.github.io/Logging_2581/artfynd/A 19375-2023 artfynd.xlsx", "A 19375-2023")</f>
        <v/>
      </c>
      <c r="T828">
        <f>HYPERLINK("https://klasma.github.io/Logging_2581/kartor/A 19375-2023 karta.png", "A 19375-2023")</f>
        <v/>
      </c>
      <c r="V828">
        <f>HYPERLINK("https://klasma.github.io/Logging_2581/klagomål/A 19375-2023 FSC-klagomål.docx", "A 19375-2023")</f>
        <v/>
      </c>
      <c r="W828">
        <f>HYPERLINK("https://klasma.github.io/Logging_2581/klagomålsmail/A 19375-2023 FSC-klagomål mail.docx", "A 19375-2023")</f>
        <v/>
      </c>
      <c r="X828">
        <f>HYPERLINK("https://klasma.github.io/Logging_2581/tillsyn/A 19375-2023 tillsynsbegäran.docx", "A 19375-2023")</f>
        <v/>
      </c>
      <c r="Y828">
        <f>HYPERLINK("https://klasma.github.io/Logging_2581/tillsynsmail/A 19375-2023 tillsynsbegäran mail.docx", "A 19375-2023")</f>
        <v/>
      </c>
      <c r="Z828">
        <f>HYPERLINK("https://klasma.github.io/Logging_2581/fåglar/A 19375-2023 prioriterade fågelarter.docx", "A 19375-2023")</f>
        <v/>
      </c>
    </row>
    <row r="829" ht="15" customHeight="1">
      <c r="A829" t="inlineStr">
        <is>
          <t>A 21019-2023</t>
        </is>
      </c>
      <c r="B829" s="1" t="n">
        <v>45056</v>
      </c>
      <c r="C829" s="1" t="n">
        <v>45798</v>
      </c>
      <c r="D829" t="inlineStr">
        <is>
          <t>NORRBOTTENS LÄN</t>
        </is>
      </c>
      <c r="E829" t="inlineStr">
        <is>
          <t>BODEN</t>
        </is>
      </c>
      <c r="G829" t="n">
        <v>7.5</v>
      </c>
      <c r="H829" t="n">
        <v>1</v>
      </c>
      <c r="I829" t="n">
        <v>0</v>
      </c>
      <c r="J829" t="n">
        <v>0</v>
      </c>
      <c r="K829" t="n">
        <v>0</v>
      </c>
      <c r="L829" t="n">
        <v>0</v>
      </c>
      <c r="M829" t="n">
        <v>0</v>
      </c>
      <c r="N829" t="n">
        <v>0</v>
      </c>
      <c r="O829" t="n">
        <v>0</v>
      </c>
      <c r="P829" t="n">
        <v>0</v>
      </c>
      <c r="Q829" t="n">
        <v>1</v>
      </c>
      <c r="R829" s="2" t="inlineStr">
        <is>
          <t>Sångsvan</t>
        </is>
      </c>
      <c r="S829">
        <f>HYPERLINK("https://klasma.github.io/Logging_2582/artfynd/A 21019-2023 artfynd.xlsx", "A 21019-2023")</f>
        <v/>
      </c>
      <c r="T829">
        <f>HYPERLINK("https://klasma.github.io/Logging_2582/kartor/A 21019-2023 karta.png", "A 21019-2023")</f>
        <v/>
      </c>
      <c r="V829">
        <f>HYPERLINK("https://klasma.github.io/Logging_2582/klagomål/A 21019-2023 FSC-klagomål.docx", "A 21019-2023")</f>
        <v/>
      </c>
      <c r="W829">
        <f>HYPERLINK("https://klasma.github.io/Logging_2582/klagomålsmail/A 21019-2023 FSC-klagomål mail.docx", "A 21019-2023")</f>
        <v/>
      </c>
      <c r="X829">
        <f>HYPERLINK("https://klasma.github.io/Logging_2582/tillsyn/A 21019-2023 tillsynsbegäran.docx", "A 21019-2023")</f>
        <v/>
      </c>
      <c r="Y829">
        <f>HYPERLINK("https://klasma.github.io/Logging_2582/tillsynsmail/A 21019-2023 tillsynsbegäran mail.docx", "A 21019-2023")</f>
        <v/>
      </c>
      <c r="Z829">
        <f>HYPERLINK("https://klasma.github.io/Logging_2582/fåglar/A 21019-2023 prioriterade fågelarter.docx", "A 21019-2023")</f>
        <v/>
      </c>
    </row>
    <row r="830" ht="15" customHeight="1">
      <c r="A830" t="inlineStr">
        <is>
          <t>A 21552-2023</t>
        </is>
      </c>
      <c r="B830" s="1" t="n">
        <v>45063</v>
      </c>
      <c r="C830" s="1" t="n">
        <v>45798</v>
      </c>
      <c r="D830" t="inlineStr">
        <is>
          <t>NORRBOTTENS LÄN</t>
        </is>
      </c>
      <c r="E830" t="inlineStr">
        <is>
          <t>KALIX</t>
        </is>
      </c>
      <c r="G830" t="n">
        <v>3.7</v>
      </c>
      <c r="H830" t="n">
        <v>1</v>
      </c>
      <c r="I830" t="n">
        <v>0</v>
      </c>
      <c r="J830" t="n">
        <v>0</v>
      </c>
      <c r="K830" t="n">
        <v>0</v>
      </c>
      <c r="L830" t="n">
        <v>0</v>
      </c>
      <c r="M830" t="n">
        <v>0</v>
      </c>
      <c r="N830" t="n">
        <v>0</v>
      </c>
      <c r="O830" t="n">
        <v>0</v>
      </c>
      <c r="P830" t="n">
        <v>0</v>
      </c>
      <c r="Q830" t="n">
        <v>1</v>
      </c>
      <c r="R830" s="2" t="inlineStr">
        <is>
          <t>Mattlummer</t>
        </is>
      </c>
      <c r="S830">
        <f>HYPERLINK("https://klasma.github.io/Logging_2514/artfynd/A 21552-2023 artfynd.xlsx", "A 21552-2023")</f>
        <v/>
      </c>
      <c r="T830">
        <f>HYPERLINK("https://klasma.github.io/Logging_2514/kartor/A 21552-2023 karta.png", "A 21552-2023")</f>
        <v/>
      </c>
      <c r="V830">
        <f>HYPERLINK("https://klasma.github.io/Logging_2514/klagomål/A 21552-2023 FSC-klagomål.docx", "A 21552-2023")</f>
        <v/>
      </c>
      <c r="W830">
        <f>HYPERLINK("https://klasma.github.io/Logging_2514/klagomålsmail/A 21552-2023 FSC-klagomål mail.docx", "A 21552-2023")</f>
        <v/>
      </c>
      <c r="X830">
        <f>HYPERLINK("https://klasma.github.io/Logging_2514/tillsyn/A 21552-2023 tillsynsbegäran.docx", "A 21552-2023")</f>
        <v/>
      </c>
      <c r="Y830">
        <f>HYPERLINK("https://klasma.github.io/Logging_2514/tillsynsmail/A 21552-2023 tillsynsbegäran mail.docx", "A 21552-2023")</f>
        <v/>
      </c>
    </row>
    <row r="831" ht="15" customHeight="1">
      <c r="A831" t="inlineStr">
        <is>
          <t>A 23026-2023</t>
        </is>
      </c>
      <c r="B831" s="1" t="n">
        <v>45073</v>
      </c>
      <c r="C831" s="1" t="n">
        <v>45798</v>
      </c>
      <c r="D831" t="inlineStr">
        <is>
          <t>NORRBOTTENS LÄN</t>
        </is>
      </c>
      <c r="E831" t="inlineStr">
        <is>
          <t>JOKKMOKK</t>
        </is>
      </c>
      <c r="F831" t="inlineStr">
        <is>
          <t>SCA</t>
        </is>
      </c>
      <c r="G831" t="n">
        <v>3.1</v>
      </c>
      <c r="H831" t="n">
        <v>0</v>
      </c>
      <c r="I831" t="n">
        <v>1</v>
      </c>
      <c r="J831" t="n">
        <v>0</v>
      </c>
      <c r="K831" t="n">
        <v>0</v>
      </c>
      <c r="L831" t="n">
        <v>0</v>
      </c>
      <c r="M831" t="n">
        <v>0</v>
      </c>
      <c r="N831" t="n">
        <v>0</v>
      </c>
      <c r="O831" t="n">
        <v>0</v>
      </c>
      <c r="P831" t="n">
        <v>0</v>
      </c>
      <c r="Q831" t="n">
        <v>1</v>
      </c>
      <c r="R831" s="2" t="inlineStr">
        <is>
          <t>Bollvitmossa</t>
        </is>
      </c>
      <c r="S831">
        <f>HYPERLINK("https://klasma.github.io/Logging_2510/artfynd/A 23026-2023 artfynd.xlsx", "A 23026-2023")</f>
        <v/>
      </c>
      <c r="T831">
        <f>HYPERLINK("https://klasma.github.io/Logging_2510/kartor/A 23026-2023 karta.png", "A 23026-2023")</f>
        <v/>
      </c>
      <c r="V831">
        <f>HYPERLINK("https://klasma.github.io/Logging_2510/klagomål/A 23026-2023 FSC-klagomål.docx", "A 23026-2023")</f>
        <v/>
      </c>
      <c r="W831">
        <f>HYPERLINK("https://klasma.github.io/Logging_2510/klagomålsmail/A 23026-2023 FSC-klagomål mail.docx", "A 23026-2023")</f>
        <v/>
      </c>
      <c r="X831">
        <f>HYPERLINK("https://klasma.github.io/Logging_2510/tillsyn/A 23026-2023 tillsynsbegäran.docx", "A 23026-2023")</f>
        <v/>
      </c>
      <c r="Y831">
        <f>HYPERLINK("https://klasma.github.io/Logging_2510/tillsynsmail/A 23026-2023 tillsynsbegäran mail.docx", "A 23026-2023")</f>
        <v/>
      </c>
    </row>
    <row r="832" ht="15" customHeight="1">
      <c r="A832" t="inlineStr">
        <is>
          <t>A 25279-2023</t>
        </is>
      </c>
      <c r="B832" s="1" t="n">
        <v>45079</v>
      </c>
      <c r="C832" s="1" t="n">
        <v>45798</v>
      </c>
      <c r="D832" t="inlineStr">
        <is>
          <t>NORRBOTTENS LÄN</t>
        </is>
      </c>
      <c r="E832" t="inlineStr">
        <is>
          <t>ARJEPLOG</t>
        </is>
      </c>
      <c r="F832" t="inlineStr">
        <is>
          <t>Övriga statliga verk och myndigheter</t>
        </is>
      </c>
      <c r="G832" t="n">
        <v>6.9</v>
      </c>
      <c r="H832" t="n">
        <v>1</v>
      </c>
      <c r="I832" t="n">
        <v>1</v>
      </c>
      <c r="J832" t="n">
        <v>0</v>
      </c>
      <c r="K832" t="n">
        <v>0</v>
      </c>
      <c r="L832" t="n">
        <v>0</v>
      </c>
      <c r="M832" t="n">
        <v>0</v>
      </c>
      <c r="N832" t="n">
        <v>0</v>
      </c>
      <c r="O832" t="n">
        <v>0</v>
      </c>
      <c r="P832" t="n">
        <v>0</v>
      </c>
      <c r="Q832" t="n">
        <v>1</v>
      </c>
      <c r="R832" s="2" t="inlineStr">
        <is>
          <t>Plattlummer</t>
        </is>
      </c>
      <c r="S832">
        <f>HYPERLINK("https://klasma.github.io/Logging_2506/artfynd/A 25279-2023 artfynd.xlsx", "A 25279-2023")</f>
        <v/>
      </c>
      <c r="T832">
        <f>HYPERLINK("https://klasma.github.io/Logging_2506/kartor/A 25279-2023 karta.png", "A 25279-2023")</f>
        <v/>
      </c>
      <c r="V832">
        <f>HYPERLINK("https://klasma.github.io/Logging_2506/klagomål/A 25279-2023 FSC-klagomål.docx", "A 25279-2023")</f>
        <v/>
      </c>
      <c r="W832">
        <f>HYPERLINK("https://klasma.github.io/Logging_2506/klagomålsmail/A 25279-2023 FSC-klagomål mail.docx", "A 25279-2023")</f>
        <v/>
      </c>
      <c r="X832">
        <f>HYPERLINK("https://klasma.github.io/Logging_2506/tillsyn/A 25279-2023 tillsynsbegäran.docx", "A 25279-2023")</f>
        <v/>
      </c>
      <c r="Y832">
        <f>HYPERLINK("https://klasma.github.io/Logging_2506/tillsynsmail/A 25279-2023 tillsynsbegäran mail.docx", "A 25279-2023")</f>
        <v/>
      </c>
    </row>
    <row r="833" ht="15" customHeight="1">
      <c r="A833" t="inlineStr">
        <is>
          <t>A 26966-2023</t>
        </is>
      </c>
      <c r="B833" s="1" t="n">
        <v>45093</v>
      </c>
      <c r="C833" s="1" t="n">
        <v>45798</v>
      </c>
      <c r="D833" t="inlineStr">
        <is>
          <t>NORRBOTTENS LÄN</t>
        </is>
      </c>
      <c r="E833" t="inlineStr">
        <is>
          <t>BODEN</t>
        </is>
      </c>
      <c r="F833" t="inlineStr">
        <is>
          <t>Sveaskog</t>
        </is>
      </c>
      <c r="G833" t="n">
        <v>19.1</v>
      </c>
      <c r="H833" t="n">
        <v>1</v>
      </c>
      <c r="I833" t="n">
        <v>0</v>
      </c>
      <c r="J833" t="n">
        <v>1</v>
      </c>
      <c r="K833" t="n">
        <v>0</v>
      </c>
      <c r="L833" t="n">
        <v>0</v>
      </c>
      <c r="M833" t="n">
        <v>0</v>
      </c>
      <c r="N833" t="n">
        <v>0</v>
      </c>
      <c r="O833" t="n">
        <v>1</v>
      </c>
      <c r="P833" t="n">
        <v>0</v>
      </c>
      <c r="Q833" t="n">
        <v>1</v>
      </c>
      <c r="R833" s="2" t="inlineStr">
        <is>
          <t>Talltita</t>
        </is>
      </c>
      <c r="S833">
        <f>HYPERLINK("https://klasma.github.io/Logging_2582/artfynd/A 26966-2023 artfynd.xlsx", "A 26966-2023")</f>
        <v/>
      </c>
      <c r="T833">
        <f>HYPERLINK("https://klasma.github.io/Logging_2582/kartor/A 26966-2023 karta.png", "A 26966-2023")</f>
        <v/>
      </c>
      <c r="V833">
        <f>HYPERLINK("https://klasma.github.io/Logging_2582/klagomål/A 26966-2023 FSC-klagomål.docx", "A 26966-2023")</f>
        <v/>
      </c>
      <c r="W833">
        <f>HYPERLINK("https://klasma.github.io/Logging_2582/klagomålsmail/A 26966-2023 FSC-klagomål mail.docx", "A 26966-2023")</f>
        <v/>
      </c>
      <c r="X833">
        <f>HYPERLINK("https://klasma.github.io/Logging_2582/tillsyn/A 26966-2023 tillsynsbegäran.docx", "A 26966-2023")</f>
        <v/>
      </c>
      <c r="Y833">
        <f>HYPERLINK("https://klasma.github.io/Logging_2582/tillsynsmail/A 26966-2023 tillsynsbegäran mail.docx", "A 26966-2023")</f>
        <v/>
      </c>
      <c r="Z833">
        <f>HYPERLINK("https://klasma.github.io/Logging_2582/fåglar/A 26966-2023 prioriterade fågelarter.docx", "A 26966-2023")</f>
        <v/>
      </c>
    </row>
    <row r="834" ht="15" customHeight="1">
      <c r="A834" t="inlineStr">
        <is>
          <t>A 27336-2023</t>
        </is>
      </c>
      <c r="B834" s="1" t="n">
        <v>45096</v>
      </c>
      <c r="C834" s="1" t="n">
        <v>45798</v>
      </c>
      <c r="D834" t="inlineStr">
        <is>
          <t>NORRBOTTENS LÄN</t>
        </is>
      </c>
      <c r="E834" t="inlineStr">
        <is>
          <t>GÄLLIVARE</t>
        </is>
      </c>
      <c r="G834" t="n">
        <v>1.8</v>
      </c>
      <c r="H834" t="n">
        <v>0</v>
      </c>
      <c r="I834" t="n">
        <v>1</v>
      </c>
      <c r="J834" t="n">
        <v>0</v>
      </c>
      <c r="K834" t="n">
        <v>0</v>
      </c>
      <c r="L834" t="n">
        <v>0</v>
      </c>
      <c r="M834" t="n">
        <v>0</v>
      </c>
      <c r="N834" t="n">
        <v>0</v>
      </c>
      <c r="O834" t="n">
        <v>0</v>
      </c>
      <c r="P834" t="n">
        <v>0</v>
      </c>
      <c r="Q834" t="n">
        <v>1</v>
      </c>
      <c r="R834" s="2" t="inlineStr">
        <is>
          <t>Dropptaggsvamp</t>
        </is>
      </c>
      <c r="S834">
        <f>HYPERLINK("https://klasma.github.io/Logging_2523/artfynd/A 27336-2023 artfynd.xlsx", "A 27336-2023")</f>
        <v/>
      </c>
      <c r="T834">
        <f>HYPERLINK("https://klasma.github.io/Logging_2523/kartor/A 27336-2023 karta.png", "A 27336-2023")</f>
        <v/>
      </c>
      <c r="V834">
        <f>HYPERLINK("https://klasma.github.io/Logging_2523/klagomål/A 27336-2023 FSC-klagomål.docx", "A 27336-2023")</f>
        <v/>
      </c>
      <c r="W834">
        <f>HYPERLINK("https://klasma.github.io/Logging_2523/klagomålsmail/A 27336-2023 FSC-klagomål mail.docx", "A 27336-2023")</f>
        <v/>
      </c>
      <c r="X834">
        <f>HYPERLINK("https://klasma.github.io/Logging_2523/tillsyn/A 27336-2023 tillsynsbegäran.docx", "A 27336-2023")</f>
        <v/>
      </c>
      <c r="Y834">
        <f>HYPERLINK("https://klasma.github.io/Logging_2523/tillsynsmail/A 27336-2023 tillsynsbegäran mail.docx", "A 27336-2023")</f>
        <v/>
      </c>
    </row>
    <row r="835" ht="15" customHeight="1">
      <c r="A835" t="inlineStr">
        <is>
          <t>A 27804-2023</t>
        </is>
      </c>
      <c r="B835" s="1" t="n">
        <v>45098</v>
      </c>
      <c r="C835" s="1" t="n">
        <v>45798</v>
      </c>
      <c r="D835" t="inlineStr">
        <is>
          <t>NORRBOTTENS LÄN</t>
        </is>
      </c>
      <c r="E835" t="inlineStr">
        <is>
          <t>BODEN</t>
        </is>
      </c>
      <c r="F835" t="inlineStr">
        <is>
          <t>Sveaskog</t>
        </is>
      </c>
      <c r="G835" t="n">
        <v>21</v>
      </c>
      <c r="H835" t="n">
        <v>1</v>
      </c>
      <c r="I835" t="n">
        <v>0</v>
      </c>
      <c r="J835" t="n">
        <v>0</v>
      </c>
      <c r="K835" t="n">
        <v>1</v>
      </c>
      <c r="L835" t="n">
        <v>0</v>
      </c>
      <c r="M835" t="n">
        <v>0</v>
      </c>
      <c r="N835" t="n">
        <v>0</v>
      </c>
      <c r="O835" t="n">
        <v>1</v>
      </c>
      <c r="P835" t="n">
        <v>1</v>
      </c>
      <c r="Q835" t="n">
        <v>1</v>
      </c>
      <c r="R835" s="2" t="inlineStr">
        <is>
          <t>Doftticka</t>
        </is>
      </c>
      <c r="S835">
        <f>HYPERLINK("https://klasma.github.io/Logging_2582/artfynd/A 27804-2023 artfynd.xlsx", "A 27804-2023")</f>
        <v/>
      </c>
      <c r="T835">
        <f>HYPERLINK("https://klasma.github.io/Logging_2582/kartor/A 27804-2023 karta.png", "A 27804-2023")</f>
        <v/>
      </c>
      <c r="V835">
        <f>HYPERLINK("https://klasma.github.io/Logging_2582/klagomål/A 27804-2023 FSC-klagomål.docx", "A 27804-2023")</f>
        <v/>
      </c>
      <c r="W835">
        <f>HYPERLINK("https://klasma.github.io/Logging_2582/klagomålsmail/A 27804-2023 FSC-klagomål mail.docx", "A 27804-2023")</f>
        <v/>
      </c>
      <c r="X835">
        <f>HYPERLINK("https://klasma.github.io/Logging_2582/tillsyn/A 27804-2023 tillsynsbegäran.docx", "A 27804-2023")</f>
        <v/>
      </c>
      <c r="Y835">
        <f>HYPERLINK("https://klasma.github.io/Logging_2582/tillsynsmail/A 27804-2023 tillsynsbegäran mail.docx", "A 27804-2023")</f>
        <v/>
      </c>
    </row>
    <row r="836" ht="15" customHeight="1">
      <c r="A836" t="inlineStr">
        <is>
          <t>A 27927-2023</t>
        </is>
      </c>
      <c r="B836" s="1" t="n">
        <v>45098</v>
      </c>
      <c r="C836" s="1" t="n">
        <v>45798</v>
      </c>
      <c r="D836" t="inlineStr">
        <is>
          <t>NORRBOTTENS LÄN</t>
        </is>
      </c>
      <c r="E836" t="inlineStr">
        <is>
          <t>PITEÅ</t>
        </is>
      </c>
      <c r="F836" t="inlineStr">
        <is>
          <t>Sveaskog</t>
        </is>
      </c>
      <c r="G836" t="n">
        <v>13.7</v>
      </c>
      <c r="H836" t="n">
        <v>0</v>
      </c>
      <c r="I836" t="n">
        <v>0</v>
      </c>
      <c r="J836" t="n">
        <v>1</v>
      </c>
      <c r="K836" t="n">
        <v>0</v>
      </c>
      <c r="L836" t="n">
        <v>0</v>
      </c>
      <c r="M836" t="n">
        <v>0</v>
      </c>
      <c r="N836" t="n">
        <v>0</v>
      </c>
      <c r="O836" t="n">
        <v>1</v>
      </c>
      <c r="P836" t="n">
        <v>0</v>
      </c>
      <c r="Q836" t="n">
        <v>1</v>
      </c>
      <c r="R836" s="2" t="inlineStr">
        <is>
          <t>Garnlav</t>
        </is>
      </c>
      <c r="S836">
        <f>HYPERLINK("https://klasma.github.io/Logging_2581/artfynd/A 27927-2023 artfynd.xlsx", "A 27927-2023")</f>
        <v/>
      </c>
      <c r="T836">
        <f>HYPERLINK("https://klasma.github.io/Logging_2581/kartor/A 27927-2023 karta.png", "A 27927-2023")</f>
        <v/>
      </c>
      <c r="V836">
        <f>HYPERLINK("https://klasma.github.io/Logging_2581/klagomål/A 27927-2023 FSC-klagomål.docx", "A 27927-2023")</f>
        <v/>
      </c>
      <c r="W836">
        <f>HYPERLINK("https://klasma.github.io/Logging_2581/klagomålsmail/A 27927-2023 FSC-klagomål mail.docx", "A 27927-2023")</f>
        <v/>
      </c>
      <c r="X836">
        <f>HYPERLINK("https://klasma.github.io/Logging_2581/tillsyn/A 27927-2023 tillsynsbegäran.docx", "A 27927-2023")</f>
        <v/>
      </c>
      <c r="Y836">
        <f>HYPERLINK("https://klasma.github.io/Logging_2581/tillsynsmail/A 27927-2023 tillsynsbegäran mail.docx", "A 27927-2023")</f>
        <v/>
      </c>
    </row>
    <row r="837" ht="15" customHeight="1">
      <c r="A837" t="inlineStr">
        <is>
          <t>A 28089-2023</t>
        </is>
      </c>
      <c r="B837" s="1" t="n">
        <v>45099</v>
      </c>
      <c r="C837" s="1" t="n">
        <v>45798</v>
      </c>
      <c r="D837" t="inlineStr">
        <is>
          <t>NORRBOTTENS LÄN</t>
        </is>
      </c>
      <c r="E837" t="inlineStr">
        <is>
          <t>JOKKMOKK</t>
        </is>
      </c>
      <c r="F837" t="inlineStr">
        <is>
          <t>Sveaskog</t>
        </is>
      </c>
      <c r="G837" t="n">
        <v>2.1</v>
      </c>
      <c r="H837" t="n">
        <v>0</v>
      </c>
      <c r="I837" t="n">
        <v>0</v>
      </c>
      <c r="J837" t="n">
        <v>1</v>
      </c>
      <c r="K837" t="n">
        <v>0</v>
      </c>
      <c r="L837" t="n">
        <v>0</v>
      </c>
      <c r="M837" t="n">
        <v>0</v>
      </c>
      <c r="N837" t="n">
        <v>0</v>
      </c>
      <c r="O837" t="n">
        <v>1</v>
      </c>
      <c r="P837" t="n">
        <v>0</v>
      </c>
      <c r="Q837" t="n">
        <v>1</v>
      </c>
      <c r="R837" s="2" t="inlineStr">
        <is>
          <t>Kolflarnlav</t>
        </is>
      </c>
      <c r="S837">
        <f>HYPERLINK("https://klasma.github.io/Logging_2510/artfynd/A 28089-2023 artfynd.xlsx", "A 28089-2023")</f>
        <v/>
      </c>
      <c r="T837">
        <f>HYPERLINK("https://klasma.github.io/Logging_2510/kartor/A 28089-2023 karta.png", "A 28089-2023")</f>
        <v/>
      </c>
      <c r="V837">
        <f>HYPERLINK("https://klasma.github.io/Logging_2510/klagomål/A 28089-2023 FSC-klagomål.docx", "A 28089-2023")</f>
        <v/>
      </c>
      <c r="W837">
        <f>HYPERLINK("https://klasma.github.io/Logging_2510/klagomålsmail/A 28089-2023 FSC-klagomål mail.docx", "A 28089-2023")</f>
        <v/>
      </c>
      <c r="X837">
        <f>HYPERLINK("https://klasma.github.io/Logging_2510/tillsyn/A 28089-2023 tillsynsbegäran.docx", "A 28089-2023")</f>
        <v/>
      </c>
      <c r="Y837">
        <f>HYPERLINK("https://klasma.github.io/Logging_2510/tillsynsmail/A 28089-2023 tillsynsbegäran mail.docx", "A 28089-2023")</f>
        <v/>
      </c>
    </row>
    <row r="838" ht="15" customHeight="1">
      <c r="A838" t="inlineStr">
        <is>
          <t>A 28614-2023</t>
        </is>
      </c>
      <c r="B838" s="1" t="n">
        <v>45103</v>
      </c>
      <c r="C838" s="1" t="n">
        <v>45798</v>
      </c>
      <c r="D838" t="inlineStr">
        <is>
          <t>NORRBOTTENS LÄN</t>
        </is>
      </c>
      <c r="E838" t="inlineStr">
        <is>
          <t>PITEÅ</t>
        </is>
      </c>
      <c r="F838" t="inlineStr">
        <is>
          <t>Sveaskog</t>
        </is>
      </c>
      <c r="G838" t="n">
        <v>4.1</v>
      </c>
      <c r="H838" t="n">
        <v>0</v>
      </c>
      <c r="I838" t="n">
        <v>0</v>
      </c>
      <c r="J838" t="n">
        <v>1</v>
      </c>
      <c r="K838" t="n">
        <v>0</v>
      </c>
      <c r="L838" t="n">
        <v>0</v>
      </c>
      <c r="M838" t="n">
        <v>0</v>
      </c>
      <c r="N838" t="n">
        <v>0</v>
      </c>
      <c r="O838" t="n">
        <v>1</v>
      </c>
      <c r="P838" t="n">
        <v>0</v>
      </c>
      <c r="Q838" t="n">
        <v>1</v>
      </c>
      <c r="R838" s="2" t="inlineStr">
        <is>
          <t>Kolflarnlav</t>
        </is>
      </c>
      <c r="S838">
        <f>HYPERLINK("https://klasma.github.io/Logging_2581/artfynd/A 28614-2023 artfynd.xlsx", "A 28614-2023")</f>
        <v/>
      </c>
      <c r="T838">
        <f>HYPERLINK("https://klasma.github.io/Logging_2581/kartor/A 28614-2023 karta.png", "A 28614-2023")</f>
        <v/>
      </c>
      <c r="V838">
        <f>HYPERLINK("https://klasma.github.io/Logging_2581/klagomål/A 28614-2023 FSC-klagomål.docx", "A 28614-2023")</f>
        <v/>
      </c>
      <c r="W838">
        <f>HYPERLINK("https://klasma.github.io/Logging_2581/klagomålsmail/A 28614-2023 FSC-klagomål mail.docx", "A 28614-2023")</f>
        <v/>
      </c>
      <c r="X838">
        <f>HYPERLINK("https://klasma.github.io/Logging_2581/tillsyn/A 28614-2023 tillsynsbegäran.docx", "A 28614-2023")</f>
        <v/>
      </c>
      <c r="Y838">
        <f>HYPERLINK("https://klasma.github.io/Logging_2581/tillsynsmail/A 28614-2023 tillsynsbegäran mail.docx", "A 28614-2023")</f>
        <v/>
      </c>
    </row>
    <row r="839" ht="15" customHeight="1">
      <c r="A839" t="inlineStr">
        <is>
          <t>A 30746-2023</t>
        </is>
      </c>
      <c r="B839" s="1" t="n">
        <v>45103</v>
      </c>
      <c r="C839" s="1" t="n">
        <v>45798</v>
      </c>
      <c r="D839" t="inlineStr">
        <is>
          <t>NORRBOTTENS LÄN</t>
        </is>
      </c>
      <c r="E839" t="inlineStr">
        <is>
          <t>GÄLLIVARE</t>
        </is>
      </c>
      <c r="F839" t="inlineStr">
        <is>
          <t>Allmännings- och besparingsskogar</t>
        </is>
      </c>
      <c r="G839" t="n">
        <v>13.9</v>
      </c>
      <c r="H839" t="n">
        <v>0</v>
      </c>
      <c r="I839" t="n">
        <v>0</v>
      </c>
      <c r="J839" t="n">
        <v>1</v>
      </c>
      <c r="K839" t="n">
        <v>0</v>
      </c>
      <c r="L839" t="n">
        <v>0</v>
      </c>
      <c r="M839" t="n">
        <v>0</v>
      </c>
      <c r="N839" t="n">
        <v>0</v>
      </c>
      <c r="O839" t="n">
        <v>1</v>
      </c>
      <c r="P839" t="n">
        <v>0</v>
      </c>
      <c r="Q839" t="n">
        <v>1</v>
      </c>
      <c r="R839" s="2" t="inlineStr">
        <is>
          <t>Mörk kolflarnlav</t>
        </is>
      </c>
      <c r="S839">
        <f>HYPERLINK("https://klasma.github.io/Logging_2523/artfynd/A 30746-2023 artfynd.xlsx", "A 30746-2023")</f>
        <v/>
      </c>
      <c r="T839">
        <f>HYPERLINK("https://klasma.github.io/Logging_2523/kartor/A 30746-2023 karta.png", "A 30746-2023")</f>
        <v/>
      </c>
      <c r="V839">
        <f>HYPERLINK("https://klasma.github.io/Logging_2523/klagomål/A 30746-2023 FSC-klagomål.docx", "A 30746-2023")</f>
        <v/>
      </c>
      <c r="W839">
        <f>HYPERLINK("https://klasma.github.io/Logging_2523/klagomålsmail/A 30746-2023 FSC-klagomål mail.docx", "A 30746-2023")</f>
        <v/>
      </c>
      <c r="X839">
        <f>HYPERLINK("https://klasma.github.io/Logging_2523/tillsyn/A 30746-2023 tillsynsbegäran.docx", "A 30746-2023")</f>
        <v/>
      </c>
      <c r="Y839">
        <f>HYPERLINK("https://klasma.github.io/Logging_2523/tillsynsmail/A 30746-2023 tillsynsbegäran mail.docx", "A 30746-2023")</f>
        <v/>
      </c>
    </row>
    <row r="840" ht="15" customHeight="1">
      <c r="A840" t="inlineStr">
        <is>
          <t>A 28772-2023</t>
        </is>
      </c>
      <c r="B840" s="1" t="n">
        <v>45104</v>
      </c>
      <c r="C840" s="1" t="n">
        <v>45798</v>
      </c>
      <c r="D840" t="inlineStr">
        <is>
          <t>NORRBOTTENS LÄN</t>
        </is>
      </c>
      <c r="E840" t="inlineStr">
        <is>
          <t>BODEN</t>
        </is>
      </c>
      <c r="F840" t="inlineStr">
        <is>
          <t>Sveaskog</t>
        </is>
      </c>
      <c r="G840" t="n">
        <v>9</v>
      </c>
      <c r="H840" t="n">
        <v>0</v>
      </c>
      <c r="I840" t="n">
        <v>1</v>
      </c>
      <c r="J840" t="n">
        <v>0</v>
      </c>
      <c r="K840" t="n">
        <v>0</v>
      </c>
      <c r="L840" t="n">
        <v>0</v>
      </c>
      <c r="M840" t="n">
        <v>0</v>
      </c>
      <c r="N840" t="n">
        <v>0</v>
      </c>
      <c r="O840" t="n">
        <v>0</v>
      </c>
      <c r="P840" t="n">
        <v>0</v>
      </c>
      <c r="Q840" t="n">
        <v>1</v>
      </c>
      <c r="R840" s="2" t="inlineStr">
        <is>
          <t>Bollvitmossa</t>
        </is>
      </c>
      <c r="S840">
        <f>HYPERLINK("https://klasma.github.io/Logging_2582/artfynd/A 28772-2023 artfynd.xlsx", "A 28772-2023")</f>
        <v/>
      </c>
      <c r="T840">
        <f>HYPERLINK("https://klasma.github.io/Logging_2582/kartor/A 28772-2023 karta.png", "A 28772-2023")</f>
        <v/>
      </c>
      <c r="V840">
        <f>HYPERLINK("https://klasma.github.io/Logging_2582/klagomål/A 28772-2023 FSC-klagomål.docx", "A 28772-2023")</f>
        <v/>
      </c>
      <c r="W840">
        <f>HYPERLINK("https://klasma.github.io/Logging_2582/klagomålsmail/A 28772-2023 FSC-klagomål mail.docx", "A 28772-2023")</f>
        <v/>
      </c>
      <c r="X840">
        <f>HYPERLINK("https://klasma.github.io/Logging_2582/tillsyn/A 28772-2023 tillsynsbegäran.docx", "A 28772-2023")</f>
        <v/>
      </c>
      <c r="Y840">
        <f>HYPERLINK("https://klasma.github.io/Logging_2582/tillsynsmail/A 28772-2023 tillsynsbegäran mail.docx", "A 28772-2023")</f>
        <v/>
      </c>
    </row>
    <row r="841" ht="15" customHeight="1">
      <c r="A841" t="inlineStr">
        <is>
          <t>A 29314-2023</t>
        </is>
      </c>
      <c r="B841" s="1" t="n">
        <v>45105</v>
      </c>
      <c r="C841" s="1" t="n">
        <v>45798</v>
      </c>
      <c r="D841" t="inlineStr">
        <is>
          <t>NORRBOTTENS LÄN</t>
        </is>
      </c>
      <c r="E841" t="inlineStr">
        <is>
          <t>ARVIDSJAUR</t>
        </is>
      </c>
      <c r="G841" t="n">
        <v>1.7</v>
      </c>
      <c r="H841" t="n">
        <v>1</v>
      </c>
      <c r="I841" t="n">
        <v>0</v>
      </c>
      <c r="J841" t="n">
        <v>0</v>
      </c>
      <c r="K841" t="n">
        <v>0</v>
      </c>
      <c r="L841" t="n">
        <v>0</v>
      </c>
      <c r="M841" t="n">
        <v>0</v>
      </c>
      <c r="N841" t="n">
        <v>0</v>
      </c>
      <c r="O841" t="n">
        <v>0</v>
      </c>
      <c r="P841" t="n">
        <v>0</v>
      </c>
      <c r="Q841" t="n">
        <v>1</v>
      </c>
      <c r="R841" s="2" t="inlineStr">
        <is>
          <t>Lavskrika</t>
        </is>
      </c>
      <c r="S841">
        <f>HYPERLINK("https://klasma.github.io/Logging_2505/artfynd/A 29314-2023 artfynd.xlsx", "A 29314-2023")</f>
        <v/>
      </c>
      <c r="T841">
        <f>HYPERLINK("https://klasma.github.io/Logging_2505/kartor/A 29314-2023 karta.png", "A 29314-2023")</f>
        <v/>
      </c>
      <c r="V841">
        <f>HYPERLINK("https://klasma.github.io/Logging_2505/klagomål/A 29314-2023 FSC-klagomål.docx", "A 29314-2023")</f>
        <v/>
      </c>
      <c r="W841">
        <f>HYPERLINK("https://klasma.github.io/Logging_2505/klagomålsmail/A 29314-2023 FSC-klagomål mail.docx", "A 29314-2023")</f>
        <v/>
      </c>
      <c r="X841">
        <f>HYPERLINK("https://klasma.github.io/Logging_2505/tillsyn/A 29314-2023 tillsynsbegäran.docx", "A 29314-2023")</f>
        <v/>
      </c>
      <c r="Y841">
        <f>HYPERLINK("https://klasma.github.io/Logging_2505/tillsynsmail/A 29314-2023 tillsynsbegäran mail.docx", "A 29314-2023")</f>
        <v/>
      </c>
      <c r="Z841">
        <f>HYPERLINK("https://klasma.github.io/Logging_2505/fåglar/A 29314-2023 prioriterade fågelarter.docx", "A 29314-2023")</f>
        <v/>
      </c>
    </row>
    <row r="842" ht="15" customHeight="1">
      <c r="A842" t="inlineStr">
        <is>
          <t>A 29626-2023</t>
        </is>
      </c>
      <c r="B842" s="1" t="n">
        <v>45107</v>
      </c>
      <c r="C842" s="1" t="n">
        <v>45798</v>
      </c>
      <c r="D842" t="inlineStr">
        <is>
          <t>NORRBOTTENS LÄN</t>
        </is>
      </c>
      <c r="E842" t="inlineStr">
        <is>
          <t>JOKKMOKK</t>
        </is>
      </c>
      <c r="F842" t="inlineStr">
        <is>
          <t>SCA</t>
        </is>
      </c>
      <c r="G842" t="n">
        <v>3.2</v>
      </c>
      <c r="H842" t="n">
        <v>0</v>
      </c>
      <c r="I842" t="n">
        <v>1</v>
      </c>
      <c r="J842" t="n">
        <v>0</v>
      </c>
      <c r="K842" t="n">
        <v>0</v>
      </c>
      <c r="L842" t="n">
        <v>0</v>
      </c>
      <c r="M842" t="n">
        <v>0</v>
      </c>
      <c r="N842" t="n">
        <v>0</v>
      </c>
      <c r="O842" t="n">
        <v>0</v>
      </c>
      <c r="P842" t="n">
        <v>0</v>
      </c>
      <c r="Q842" t="n">
        <v>1</v>
      </c>
      <c r="R842" s="2" t="inlineStr">
        <is>
          <t>Norrlandslav</t>
        </is>
      </c>
      <c r="S842">
        <f>HYPERLINK("https://klasma.github.io/Logging_2510/artfynd/A 29626-2023 artfynd.xlsx", "A 29626-2023")</f>
        <v/>
      </c>
      <c r="T842">
        <f>HYPERLINK("https://klasma.github.io/Logging_2510/kartor/A 29626-2023 karta.png", "A 29626-2023")</f>
        <v/>
      </c>
      <c r="V842">
        <f>HYPERLINK("https://klasma.github.io/Logging_2510/klagomål/A 29626-2023 FSC-klagomål.docx", "A 29626-2023")</f>
        <v/>
      </c>
      <c r="W842">
        <f>HYPERLINK("https://klasma.github.io/Logging_2510/klagomålsmail/A 29626-2023 FSC-klagomål mail.docx", "A 29626-2023")</f>
        <v/>
      </c>
      <c r="X842">
        <f>HYPERLINK("https://klasma.github.io/Logging_2510/tillsyn/A 29626-2023 tillsynsbegäran.docx", "A 29626-2023")</f>
        <v/>
      </c>
      <c r="Y842">
        <f>HYPERLINK("https://klasma.github.io/Logging_2510/tillsynsmail/A 29626-2023 tillsynsbegäran mail.docx", "A 29626-2023")</f>
        <v/>
      </c>
    </row>
    <row r="843" ht="15" customHeight="1">
      <c r="A843" t="inlineStr">
        <is>
          <t>A 31829-2023</t>
        </is>
      </c>
      <c r="B843" s="1" t="n">
        <v>45106</v>
      </c>
      <c r="C843" s="1" t="n">
        <v>45798</v>
      </c>
      <c r="D843" t="inlineStr">
        <is>
          <t>NORRBOTTENS LÄN</t>
        </is>
      </c>
      <c r="E843" t="inlineStr">
        <is>
          <t>ÄLVSBYN</t>
        </is>
      </c>
      <c r="F843" t="inlineStr">
        <is>
          <t>Sveaskog</t>
        </is>
      </c>
      <c r="G843" t="n">
        <v>1.9</v>
      </c>
      <c r="H843" t="n">
        <v>1</v>
      </c>
      <c r="I843" t="n">
        <v>0</v>
      </c>
      <c r="J843" t="n">
        <v>1</v>
      </c>
      <c r="K843" t="n">
        <v>0</v>
      </c>
      <c r="L843" t="n">
        <v>0</v>
      </c>
      <c r="M843" t="n">
        <v>0</v>
      </c>
      <c r="N843" t="n">
        <v>0</v>
      </c>
      <c r="O843" t="n">
        <v>1</v>
      </c>
      <c r="P843" t="n">
        <v>0</v>
      </c>
      <c r="Q843" t="n">
        <v>1</v>
      </c>
      <c r="R843" s="2" t="inlineStr">
        <is>
          <t>Järpe</t>
        </is>
      </c>
      <c r="S843">
        <f>HYPERLINK("https://klasma.github.io/Logging_2560/artfynd/A 31829-2023 artfynd.xlsx", "A 31829-2023")</f>
        <v/>
      </c>
      <c r="T843">
        <f>HYPERLINK("https://klasma.github.io/Logging_2560/kartor/A 31829-2023 karta.png", "A 31829-2023")</f>
        <v/>
      </c>
      <c r="V843">
        <f>HYPERLINK("https://klasma.github.io/Logging_2560/klagomål/A 31829-2023 FSC-klagomål.docx", "A 31829-2023")</f>
        <v/>
      </c>
      <c r="W843">
        <f>HYPERLINK("https://klasma.github.io/Logging_2560/klagomålsmail/A 31829-2023 FSC-klagomål mail.docx", "A 31829-2023")</f>
        <v/>
      </c>
      <c r="X843">
        <f>HYPERLINK("https://klasma.github.io/Logging_2560/tillsyn/A 31829-2023 tillsynsbegäran.docx", "A 31829-2023")</f>
        <v/>
      </c>
      <c r="Y843">
        <f>HYPERLINK("https://klasma.github.io/Logging_2560/tillsynsmail/A 31829-2023 tillsynsbegäran mail.docx", "A 31829-2023")</f>
        <v/>
      </c>
      <c r="Z843">
        <f>HYPERLINK("https://klasma.github.io/Logging_2560/fåglar/A 31829-2023 prioriterade fågelarter.docx", "A 31829-2023")</f>
        <v/>
      </c>
    </row>
    <row r="844" ht="15" customHeight="1">
      <c r="A844" t="inlineStr">
        <is>
          <t>A 29651-2023</t>
        </is>
      </c>
      <c r="B844" s="1" t="n">
        <v>45107</v>
      </c>
      <c r="C844" s="1" t="n">
        <v>45798</v>
      </c>
      <c r="D844" t="inlineStr">
        <is>
          <t>NORRBOTTENS LÄN</t>
        </is>
      </c>
      <c r="E844" t="inlineStr">
        <is>
          <t>ÄLVSBYN</t>
        </is>
      </c>
      <c r="F844" t="inlineStr">
        <is>
          <t>Sveaskog</t>
        </is>
      </c>
      <c r="G844" t="n">
        <v>3.4</v>
      </c>
      <c r="H844" t="n">
        <v>0</v>
      </c>
      <c r="I844" t="n">
        <v>0</v>
      </c>
      <c r="J844" t="n">
        <v>1</v>
      </c>
      <c r="K844" t="n">
        <v>0</v>
      </c>
      <c r="L844" t="n">
        <v>0</v>
      </c>
      <c r="M844" t="n">
        <v>0</v>
      </c>
      <c r="N844" t="n">
        <v>0</v>
      </c>
      <c r="O844" t="n">
        <v>1</v>
      </c>
      <c r="P844" t="n">
        <v>0</v>
      </c>
      <c r="Q844" t="n">
        <v>1</v>
      </c>
      <c r="R844" s="2" t="inlineStr">
        <is>
          <t>Kolflarnlav</t>
        </is>
      </c>
      <c r="S844">
        <f>HYPERLINK("https://klasma.github.io/Logging_2560/artfynd/A 29651-2023 artfynd.xlsx", "A 29651-2023")</f>
        <v/>
      </c>
      <c r="T844">
        <f>HYPERLINK("https://klasma.github.io/Logging_2560/kartor/A 29651-2023 karta.png", "A 29651-2023")</f>
        <v/>
      </c>
      <c r="V844">
        <f>HYPERLINK("https://klasma.github.io/Logging_2560/klagomål/A 29651-2023 FSC-klagomål.docx", "A 29651-2023")</f>
        <v/>
      </c>
      <c r="W844">
        <f>HYPERLINK("https://klasma.github.io/Logging_2560/klagomålsmail/A 29651-2023 FSC-klagomål mail.docx", "A 29651-2023")</f>
        <v/>
      </c>
      <c r="X844">
        <f>HYPERLINK("https://klasma.github.io/Logging_2560/tillsyn/A 29651-2023 tillsynsbegäran.docx", "A 29651-2023")</f>
        <v/>
      </c>
      <c r="Y844">
        <f>HYPERLINK("https://klasma.github.io/Logging_2560/tillsynsmail/A 29651-2023 tillsynsbegäran mail.docx", "A 29651-2023")</f>
        <v/>
      </c>
    </row>
    <row r="845" ht="15" customHeight="1">
      <c r="A845" t="inlineStr">
        <is>
          <t>A 29650-2023</t>
        </is>
      </c>
      <c r="B845" s="1" t="n">
        <v>45107</v>
      </c>
      <c r="C845" s="1" t="n">
        <v>45798</v>
      </c>
      <c r="D845" t="inlineStr">
        <is>
          <t>NORRBOTTENS LÄN</t>
        </is>
      </c>
      <c r="E845" t="inlineStr">
        <is>
          <t>ÄLVSBYN</t>
        </is>
      </c>
      <c r="F845" t="inlineStr">
        <is>
          <t>Sveaskog</t>
        </is>
      </c>
      <c r="G845" t="n">
        <v>5.9</v>
      </c>
      <c r="H845" t="n">
        <v>0</v>
      </c>
      <c r="I845" t="n">
        <v>0</v>
      </c>
      <c r="J845" t="n">
        <v>1</v>
      </c>
      <c r="K845" t="n">
        <v>0</v>
      </c>
      <c r="L845" t="n">
        <v>0</v>
      </c>
      <c r="M845" t="n">
        <v>0</v>
      </c>
      <c r="N845" t="n">
        <v>0</v>
      </c>
      <c r="O845" t="n">
        <v>1</v>
      </c>
      <c r="P845" t="n">
        <v>0</v>
      </c>
      <c r="Q845" t="n">
        <v>1</v>
      </c>
      <c r="R845" s="2" t="inlineStr">
        <is>
          <t>Kolflarnlav</t>
        </is>
      </c>
      <c r="S845">
        <f>HYPERLINK("https://klasma.github.io/Logging_2560/artfynd/A 29650-2023 artfynd.xlsx", "A 29650-2023")</f>
        <v/>
      </c>
      <c r="T845">
        <f>HYPERLINK("https://klasma.github.io/Logging_2560/kartor/A 29650-2023 karta.png", "A 29650-2023")</f>
        <v/>
      </c>
      <c r="V845">
        <f>HYPERLINK("https://klasma.github.io/Logging_2560/klagomål/A 29650-2023 FSC-klagomål.docx", "A 29650-2023")</f>
        <v/>
      </c>
      <c r="W845">
        <f>HYPERLINK("https://klasma.github.io/Logging_2560/klagomålsmail/A 29650-2023 FSC-klagomål mail.docx", "A 29650-2023")</f>
        <v/>
      </c>
      <c r="X845">
        <f>HYPERLINK("https://klasma.github.io/Logging_2560/tillsyn/A 29650-2023 tillsynsbegäran.docx", "A 29650-2023")</f>
        <v/>
      </c>
      <c r="Y845">
        <f>HYPERLINK("https://klasma.github.io/Logging_2560/tillsynsmail/A 29650-2023 tillsynsbegäran mail.docx", "A 29650-2023")</f>
        <v/>
      </c>
    </row>
    <row r="846" ht="15" customHeight="1">
      <c r="A846" t="inlineStr">
        <is>
          <t>A 30592-2023</t>
        </is>
      </c>
      <c r="B846" s="1" t="n">
        <v>45112</v>
      </c>
      <c r="C846" s="1" t="n">
        <v>45798</v>
      </c>
      <c r="D846" t="inlineStr">
        <is>
          <t>NORRBOTTENS LÄN</t>
        </is>
      </c>
      <c r="E846" t="inlineStr">
        <is>
          <t>ARJEPLOG</t>
        </is>
      </c>
      <c r="F846" t="inlineStr">
        <is>
          <t>Allmännings- och besparingsskogar</t>
        </is>
      </c>
      <c r="G846" t="n">
        <v>19</v>
      </c>
      <c r="H846" t="n">
        <v>1</v>
      </c>
      <c r="I846" t="n">
        <v>0</v>
      </c>
      <c r="J846" t="n">
        <v>1</v>
      </c>
      <c r="K846" t="n">
        <v>0</v>
      </c>
      <c r="L846" t="n">
        <v>0</v>
      </c>
      <c r="M846" t="n">
        <v>0</v>
      </c>
      <c r="N846" t="n">
        <v>0</v>
      </c>
      <c r="O846" t="n">
        <v>1</v>
      </c>
      <c r="P846" t="n">
        <v>0</v>
      </c>
      <c r="Q846" t="n">
        <v>1</v>
      </c>
      <c r="R846" s="2" t="inlineStr">
        <is>
          <t>Tretåig hackspett</t>
        </is>
      </c>
      <c r="S846">
        <f>HYPERLINK("https://klasma.github.io/Logging_2506/artfynd/A 30592-2023 artfynd.xlsx", "A 30592-2023")</f>
        <v/>
      </c>
      <c r="T846">
        <f>HYPERLINK("https://klasma.github.io/Logging_2506/kartor/A 30592-2023 karta.png", "A 30592-2023")</f>
        <v/>
      </c>
      <c r="V846">
        <f>HYPERLINK("https://klasma.github.io/Logging_2506/klagomål/A 30592-2023 FSC-klagomål.docx", "A 30592-2023")</f>
        <v/>
      </c>
      <c r="W846">
        <f>HYPERLINK("https://klasma.github.io/Logging_2506/klagomålsmail/A 30592-2023 FSC-klagomål mail.docx", "A 30592-2023")</f>
        <v/>
      </c>
      <c r="X846">
        <f>HYPERLINK("https://klasma.github.io/Logging_2506/tillsyn/A 30592-2023 tillsynsbegäran.docx", "A 30592-2023")</f>
        <v/>
      </c>
      <c r="Y846">
        <f>HYPERLINK("https://klasma.github.io/Logging_2506/tillsynsmail/A 30592-2023 tillsynsbegäran mail.docx", "A 30592-2023")</f>
        <v/>
      </c>
      <c r="Z846">
        <f>HYPERLINK("https://klasma.github.io/Logging_2506/fåglar/A 30592-2023 prioriterade fågelarter.docx", "A 30592-2023")</f>
        <v/>
      </c>
    </row>
    <row r="847" ht="15" customHeight="1">
      <c r="A847" t="inlineStr">
        <is>
          <t>A 31349-2023</t>
        </is>
      </c>
      <c r="B847" s="1" t="n">
        <v>45114</v>
      </c>
      <c r="C847" s="1" t="n">
        <v>45798</v>
      </c>
      <c r="D847" t="inlineStr">
        <is>
          <t>NORRBOTTENS LÄN</t>
        </is>
      </c>
      <c r="E847" t="inlineStr">
        <is>
          <t>PAJALA</t>
        </is>
      </c>
      <c r="G847" t="n">
        <v>8.300000000000001</v>
      </c>
      <c r="H847" t="n">
        <v>1</v>
      </c>
      <c r="I847" t="n">
        <v>0</v>
      </c>
      <c r="J847" t="n">
        <v>0</v>
      </c>
      <c r="K847" t="n">
        <v>0</v>
      </c>
      <c r="L847" t="n">
        <v>0</v>
      </c>
      <c r="M847" t="n">
        <v>0</v>
      </c>
      <c r="N847" t="n">
        <v>0</v>
      </c>
      <c r="O847" t="n">
        <v>0</v>
      </c>
      <c r="P847" t="n">
        <v>0</v>
      </c>
      <c r="Q847" t="n">
        <v>1</v>
      </c>
      <c r="R847" s="2" t="inlineStr">
        <is>
          <t>Revlummer</t>
        </is>
      </c>
      <c r="S847">
        <f>HYPERLINK("https://klasma.github.io/Logging_2521/artfynd/A 31349-2023 artfynd.xlsx", "A 31349-2023")</f>
        <v/>
      </c>
      <c r="T847">
        <f>HYPERLINK("https://klasma.github.io/Logging_2521/kartor/A 31349-2023 karta.png", "A 31349-2023")</f>
        <v/>
      </c>
      <c r="V847">
        <f>HYPERLINK("https://klasma.github.io/Logging_2521/klagomål/A 31349-2023 FSC-klagomål.docx", "A 31349-2023")</f>
        <v/>
      </c>
      <c r="W847">
        <f>HYPERLINK("https://klasma.github.io/Logging_2521/klagomålsmail/A 31349-2023 FSC-klagomål mail.docx", "A 31349-2023")</f>
        <v/>
      </c>
      <c r="X847">
        <f>HYPERLINK("https://klasma.github.io/Logging_2521/tillsyn/A 31349-2023 tillsynsbegäran.docx", "A 31349-2023")</f>
        <v/>
      </c>
      <c r="Y847">
        <f>HYPERLINK("https://klasma.github.io/Logging_2521/tillsynsmail/A 31349-2023 tillsynsbegäran mail.docx", "A 31349-2023")</f>
        <v/>
      </c>
    </row>
    <row r="848" ht="15" customHeight="1">
      <c r="A848" t="inlineStr">
        <is>
          <t>A 31490-2023</t>
        </is>
      </c>
      <c r="B848" s="1" t="n">
        <v>45114</v>
      </c>
      <c r="C848" s="1" t="n">
        <v>45798</v>
      </c>
      <c r="D848" t="inlineStr">
        <is>
          <t>NORRBOTTENS LÄN</t>
        </is>
      </c>
      <c r="E848" t="inlineStr">
        <is>
          <t>JOKKMOKK</t>
        </is>
      </c>
      <c r="F848" t="inlineStr">
        <is>
          <t>Allmännings- och besparingsskogar</t>
        </is>
      </c>
      <c r="G848" t="n">
        <v>7.7</v>
      </c>
      <c r="H848" t="n">
        <v>0</v>
      </c>
      <c r="I848" t="n">
        <v>1</v>
      </c>
      <c r="J848" t="n">
        <v>0</v>
      </c>
      <c r="K848" t="n">
        <v>0</v>
      </c>
      <c r="L848" t="n">
        <v>0</v>
      </c>
      <c r="M848" t="n">
        <v>0</v>
      </c>
      <c r="N848" t="n">
        <v>0</v>
      </c>
      <c r="O848" t="n">
        <v>0</v>
      </c>
      <c r="P848" t="n">
        <v>0</v>
      </c>
      <c r="Q848" t="n">
        <v>1</v>
      </c>
      <c r="R848" s="2" t="inlineStr">
        <is>
          <t>Norrlandslav</t>
        </is>
      </c>
      <c r="S848">
        <f>HYPERLINK("https://klasma.github.io/Logging_2510/artfynd/A 31490-2023 artfynd.xlsx", "A 31490-2023")</f>
        <v/>
      </c>
      <c r="T848">
        <f>HYPERLINK("https://klasma.github.io/Logging_2510/kartor/A 31490-2023 karta.png", "A 31490-2023")</f>
        <v/>
      </c>
      <c r="V848">
        <f>HYPERLINK("https://klasma.github.io/Logging_2510/klagomål/A 31490-2023 FSC-klagomål.docx", "A 31490-2023")</f>
        <v/>
      </c>
      <c r="W848">
        <f>HYPERLINK("https://klasma.github.io/Logging_2510/klagomålsmail/A 31490-2023 FSC-klagomål mail.docx", "A 31490-2023")</f>
        <v/>
      </c>
      <c r="X848">
        <f>HYPERLINK("https://klasma.github.io/Logging_2510/tillsyn/A 31490-2023 tillsynsbegäran.docx", "A 31490-2023")</f>
        <v/>
      </c>
      <c r="Y848">
        <f>HYPERLINK("https://klasma.github.io/Logging_2510/tillsynsmail/A 31490-2023 tillsynsbegäran mail.docx", "A 31490-2023")</f>
        <v/>
      </c>
    </row>
    <row r="849" ht="15" customHeight="1">
      <c r="A849" t="inlineStr">
        <is>
          <t>A 33388-2023</t>
        </is>
      </c>
      <c r="B849" s="1" t="n">
        <v>45117</v>
      </c>
      <c r="C849" s="1" t="n">
        <v>45798</v>
      </c>
      <c r="D849" t="inlineStr">
        <is>
          <t>NORRBOTTENS LÄN</t>
        </is>
      </c>
      <c r="E849" t="inlineStr">
        <is>
          <t>GÄLLIVARE</t>
        </is>
      </c>
      <c r="F849" t="inlineStr">
        <is>
          <t>Allmännings- och besparingsskogar</t>
        </is>
      </c>
      <c r="G849" t="n">
        <v>3.8</v>
      </c>
      <c r="H849" t="n">
        <v>0</v>
      </c>
      <c r="I849" t="n">
        <v>0</v>
      </c>
      <c r="J849" t="n">
        <v>1</v>
      </c>
      <c r="K849" t="n">
        <v>0</v>
      </c>
      <c r="L849" t="n">
        <v>0</v>
      </c>
      <c r="M849" t="n">
        <v>0</v>
      </c>
      <c r="N849" t="n">
        <v>0</v>
      </c>
      <c r="O849" t="n">
        <v>1</v>
      </c>
      <c r="P849" t="n">
        <v>0</v>
      </c>
      <c r="Q849" t="n">
        <v>1</v>
      </c>
      <c r="R849" s="2" t="inlineStr">
        <is>
          <t>Kolflarnlav</t>
        </is>
      </c>
      <c r="S849">
        <f>HYPERLINK("https://klasma.github.io/Logging_2523/artfynd/A 33388-2023 artfynd.xlsx", "A 33388-2023")</f>
        <v/>
      </c>
      <c r="T849">
        <f>HYPERLINK("https://klasma.github.io/Logging_2523/kartor/A 33388-2023 karta.png", "A 33388-2023")</f>
        <v/>
      </c>
      <c r="V849">
        <f>HYPERLINK("https://klasma.github.io/Logging_2523/klagomål/A 33388-2023 FSC-klagomål.docx", "A 33388-2023")</f>
        <v/>
      </c>
      <c r="W849">
        <f>HYPERLINK("https://klasma.github.io/Logging_2523/klagomålsmail/A 33388-2023 FSC-klagomål mail.docx", "A 33388-2023")</f>
        <v/>
      </c>
      <c r="X849">
        <f>HYPERLINK("https://klasma.github.io/Logging_2523/tillsyn/A 33388-2023 tillsynsbegäran.docx", "A 33388-2023")</f>
        <v/>
      </c>
      <c r="Y849">
        <f>HYPERLINK("https://klasma.github.io/Logging_2523/tillsynsmail/A 33388-2023 tillsynsbegäran mail.docx", "A 33388-2023")</f>
        <v/>
      </c>
    </row>
    <row r="850" ht="15" customHeight="1">
      <c r="A850" t="inlineStr">
        <is>
          <t>A 35898-2023</t>
        </is>
      </c>
      <c r="B850" s="1" t="n">
        <v>45148</v>
      </c>
      <c r="C850" s="1" t="n">
        <v>45798</v>
      </c>
      <c r="D850" t="inlineStr">
        <is>
          <t>NORRBOTTENS LÄN</t>
        </is>
      </c>
      <c r="E850" t="inlineStr">
        <is>
          <t>PITEÅ</t>
        </is>
      </c>
      <c r="G850" t="n">
        <v>12</v>
      </c>
      <c r="H850" t="n">
        <v>1</v>
      </c>
      <c r="I850" t="n">
        <v>0</v>
      </c>
      <c r="J850" t="n">
        <v>1</v>
      </c>
      <c r="K850" t="n">
        <v>0</v>
      </c>
      <c r="L850" t="n">
        <v>0</v>
      </c>
      <c r="M850" t="n">
        <v>0</v>
      </c>
      <c r="N850" t="n">
        <v>0</v>
      </c>
      <c r="O850" t="n">
        <v>1</v>
      </c>
      <c r="P850" t="n">
        <v>0</v>
      </c>
      <c r="Q850" t="n">
        <v>1</v>
      </c>
      <c r="R850" s="2" t="inlineStr">
        <is>
          <t>Spillkråka</t>
        </is>
      </c>
      <c r="S850">
        <f>HYPERLINK("https://klasma.github.io/Logging_2581/artfynd/A 35898-2023 artfynd.xlsx", "A 35898-2023")</f>
        <v/>
      </c>
      <c r="T850">
        <f>HYPERLINK("https://klasma.github.io/Logging_2581/kartor/A 35898-2023 karta.png", "A 35898-2023")</f>
        <v/>
      </c>
      <c r="V850">
        <f>HYPERLINK("https://klasma.github.io/Logging_2581/klagomål/A 35898-2023 FSC-klagomål.docx", "A 35898-2023")</f>
        <v/>
      </c>
      <c r="W850">
        <f>HYPERLINK("https://klasma.github.io/Logging_2581/klagomålsmail/A 35898-2023 FSC-klagomål mail.docx", "A 35898-2023")</f>
        <v/>
      </c>
      <c r="X850">
        <f>HYPERLINK("https://klasma.github.io/Logging_2581/tillsyn/A 35898-2023 tillsynsbegäran.docx", "A 35898-2023")</f>
        <v/>
      </c>
      <c r="Y850">
        <f>HYPERLINK("https://klasma.github.io/Logging_2581/tillsynsmail/A 35898-2023 tillsynsbegäran mail.docx", "A 35898-2023")</f>
        <v/>
      </c>
      <c r="Z850">
        <f>HYPERLINK("https://klasma.github.io/Logging_2581/fåglar/A 35898-2023 prioriterade fågelarter.docx", "A 35898-2023")</f>
        <v/>
      </c>
    </row>
    <row r="851" ht="15" customHeight="1">
      <c r="A851" t="inlineStr">
        <is>
          <t>A 37717-2023</t>
        </is>
      </c>
      <c r="B851" s="1" t="n">
        <v>45159</v>
      </c>
      <c r="C851" s="1" t="n">
        <v>45798</v>
      </c>
      <c r="D851" t="inlineStr">
        <is>
          <t>NORRBOTTENS LÄN</t>
        </is>
      </c>
      <c r="E851" t="inlineStr">
        <is>
          <t>ÄLVSBYN</t>
        </is>
      </c>
      <c r="F851" t="inlineStr">
        <is>
          <t>Sveaskog</t>
        </is>
      </c>
      <c r="G851" t="n">
        <v>1.2</v>
      </c>
      <c r="H851" t="n">
        <v>0</v>
      </c>
      <c r="I851" t="n">
        <v>0</v>
      </c>
      <c r="J851" t="n">
        <v>1</v>
      </c>
      <c r="K851" t="n">
        <v>0</v>
      </c>
      <c r="L851" t="n">
        <v>0</v>
      </c>
      <c r="M851" t="n">
        <v>0</v>
      </c>
      <c r="N851" t="n">
        <v>0</v>
      </c>
      <c r="O851" t="n">
        <v>1</v>
      </c>
      <c r="P851" t="n">
        <v>0</v>
      </c>
      <c r="Q851" t="n">
        <v>1</v>
      </c>
      <c r="R851" s="2" t="inlineStr">
        <is>
          <t>Kolflarnlav</t>
        </is>
      </c>
      <c r="S851">
        <f>HYPERLINK("https://klasma.github.io/Logging_2560/artfynd/A 37717-2023 artfynd.xlsx", "A 37717-2023")</f>
        <v/>
      </c>
      <c r="T851">
        <f>HYPERLINK("https://klasma.github.io/Logging_2560/kartor/A 37717-2023 karta.png", "A 37717-2023")</f>
        <v/>
      </c>
      <c r="V851">
        <f>HYPERLINK("https://klasma.github.io/Logging_2560/klagomål/A 37717-2023 FSC-klagomål.docx", "A 37717-2023")</f>
        <v/>
      </c>
      <c r="W851">
        <f>HYPERLINK("https://klasma.github.io/Logging_2560/klagomålsmail/A 37717-2023 FSC-klagomål mail.docx", "A 37717-2023")</f>
        <v/>
      </c>
      <c r="X851">
        <f>HYPERLINK("https://klasma.github.io/Logging_2560/tillsyn/A 37717-2023 tillsynsbegäran.docx", "A 37717-2023")</f>
        <v/>
      </c>
      <c r="Y851">
        <f>HYPERLINK("https://klasma.github.io/Logging_2560/tillsynsmail/A 37717-2023 tillsynsbegäran mail.docx", "A 37717-2023")</f>
        <v/>
      </c>
    </row>
    <row r="852" ht="15" customHeight="1">
      <c r="A852" t="inlineStr">
        <is>
          <t>A 38166-2023</t>
        </is>
      </c>
      <c r="B852" s="1" t="n">
        <v>45161</v>
      </c>
      <c r="C852" s="1" t="n">
        <v>45798</v>
      </c>
      <c r="D852" t="inlineStr">
        <is>
          <t>NORRBOTTENS LÄN</t>
        </is>
      </c>
      <c r="E852" t="inlineStr">
        <is>
          <t>ARVIDSJAUR</t>
        </is>
      </c>
      <c r="F852" t="inlineStr">
        <is>
          <t>Sveaskog</t>
        </is>
      </c>
      <c r="G852" t="n">
        <v>8.1</v>
      </c>
      <c r="H852" t="n">
        <v>0</v>
      </c>
      <c r="I852" t="n">
        <v>0</v>
      </c>
      <c r="J852" t="n">
        <v>1</v>
      </c>
      <c r="K852" t="n">
        <v>0</v>
      </c>
      <c r="L852" t="n">
        <v>0</v>
      </c>
      <c r="M852" t="n">
        <v>0</v>
      </c>
      <c r="N852" t="n">
        <v>0</v>
      </c>
      <c r="O852" t="n">
        <v>1</v>
      </c>
      <c r="P852" t="n">
        <v>0</v>
      </c>
      <c r="Q852" t="n">
        <v>1</v>
      </c>
      <c r="R852" s="2" t="inlineStr">
        <is>
          <t>Violmussling</t>
        </is>
      </c>
      <c r="S852">
        <f>HYPERLINK("https://klasma.github.io/Logging_2505/artfynd/A 38166-2023 artfynd.xlsx", "A 38166-2023")</f>
        <v/>
      </c>
      <c r="T852">
        <f>HYPERLINK("https://klasma.github.io/Logging_2505/kartor/A 38166-2023 karta.png", "A 38166-2023")</f>
        <v/>
      </c>
      <c r="V852">
        <f>HYPERLINK("https://klasma.github.io/Logging_2505/klagomål/A 38166-2023 FSC-klagomål.docx", "A 38166-2023")</f>
        <v/>
      </c>
      <c r="W852">
        <f>HYPERLINK("https://klasma.github.io/Logging_2505/klagomålsmail/A 38166-2023 FSC-klagomål mail.docx", "A 38166-2023")</f>
        <v/>
      </c>
      <c r="X852">
        <f>HYPERLINK("https://klasma.github.io/Logging_2505/tillsyn/A 38166-2023 tillsynsbegäran.docx", "A 38166-2023")</f>
        <v/>
      </c>
      <c r="Y852">
        <f>HYPERLINK("https://klasma.github.io/Logging_2505/tillsynsmail/A 38166-2023 tillsynsbegäran mail.docx", "A 38166-2023")</f>
        <v/>
      </c>
    </row>
    <row r="853" ht="15" customHeight="1">
      <c r="A853" t="inlineStr">
        <is>
          <t>A 38349-2023</t>
        </is>
      </c>
      <c r="B853" s="1" t="n">
        <v>45161</v>
      </c>
      <c r="C853" s="1" t="n">
        <v>45798</v>
      </c>
      <c r="D853" t="inlineStr">
        <is>
          <t>NORRBOTTENS LÄN</t>
        </is>
      </c>
      <c r="E853" t="inlineStr">
        <is>
          <t>ÖVERTORNEÅ</t>
        </is>
      </c>
      <c r="G853" t="n">
        <v>12.1</v>
      </c>
      <c r="H853" t="n">
        <v>0</v>
      </c>
      <c r="I853" t="n">
        <v>0</v>
      </c>
      <c r="J853" t="n">
        <v>1</v>
      </c>
      <c r="K853" t="n">
        <v>0</v>
      </c>
      <c r="L853" t="n">
        <v>0</v>
      </c>
      <c r="M853" t="n">
        <v>0</v>
      </c>
      <c r="N853" t="n">
        <v>0</v>
      </c>
      <c r="O853" t="n">
        <v>1</v>
      </c>
      <c r="P853" t="n">
        <v>0</v>
      </c>
      <c r="Q853" t="n">
        <v>1</v>
      </c>
      <c r="R853" s="2" t="inlineStr">
        <is>
          <t>Garnlav</t>
        </is>
      </c>
      <c r="S853">
        <f>HYPERLINK("https://klasma.github.io/Logging_2518/artfynd/A 38349-2023 artfynd.xlsx", "A 38349-2023")</f>
        <v/>
      </c>
      <c r="T853">
        <f>HYPERLINK("https://klasma.github.io/Logging_2518/kartor/A 38349-2023 karta.png", "A 38349-2023")</f>
        <v/>
      </c>
      <c r="V853">
        <f>HYPERLINK("https://klasma.github.io/Logging_2518/klagomål/A 38349-2023 FSC-klagomål.docx", "A 38349-2023")</f>
        <v/>
      </c>
      <c r="W853">
        <f>HYPERLINK("https://klasma.github.io/Logging_2518/klagomålsmail/A 38349-2023 FSC-klagomål mail.docx", "A 38349-2023")</f>
        <v/>
      </c>
      <c r="X853">
        <f>HYPERLINK("https://klasma.github.io/Logging_2518/tillsyn/A 38349-2023 tillsynsbegäran.docx", "A 38349-2023")</f>
        <v/>
      </c>
      <c r="Y853">
        <f>HYPERLINK("https://klasma.github.io/Logging_2518/tillsynsmail/A 38349-2023 tillsynsbegäran mail.docx", "A 38349-2023")</f>
        <v/>
      </c>
    </row>
    <row r="854" ht="15" customHeight="1">
      <c r="A854" t="inlineStr">
        <is>
          <t>A 38755-2023</t>
        </is>
      </c>
      <c r="B854" s="1" t="n">
        <v>45163</v>
      </c>
      <c r="C854" s="1" t="n">
        <v>45798</v>
      </c>
      <c r="D854" t="inlineStr">
        <is>
          <t>NORRBOTTENS LÄN</t>
        </is>
      </c>
      <c r="E854" t="inlineStr">
        <is>
          <t>ARVIDSJAUR</t>
        </is>
      </c>
      <c r="F854" t="inlineStr">
        <is>
          <t>Sveaskog</t>
        </is>
      </c>
      <c r="G854" t="n">
        <v>9.6</v>
      </c>
      <c r="H854" t="n">
        <v>1</v>
      </c>
      <c r="I854" t="n">
        <v>0</v>
      </c>
      <c r="J854" t="n">
        <v>1</v>
      </c>
      <c r="K854" t="n">
        <v>0</v>
      </c>
      <c r="L854" t="n">
        <v>0</v>
      </c>
      <c r="M854" t="n">
        <v>0</v>
      </c>
      <c r="N854" t="n">
        <v>0</v>
      </c>
      <c r="O854" t="n">
        <v>1</v>
      </c>
      <c r="P854" t="n">
        <v>0</v>
      </c>
      <c r="Q854" t="n">
        <v>1</v>
      </c>
      <c r="R854" s="2" t="inlineStr">
        <is>
          <t>Höstlåsbräken</t>
        </is>
      </c>
      <c r="S854">
        <f>HYPERLINK("https://klasma.github.io/Logging_2505/artfynd/A 38755-2023 artfynd.xlsx", "A 38755-2023")</f>
        <v/>
      </c>
      <c r="T854">
        <f>HYPERLINK("https://klasma.github.io/Logging_2505/kartor/A 38755-2023 karta.png", "A 38755-2023")</f>
        <v/>
      </c>
      <c r="V854">
        <f>HYPERLINK("https://klasma.github.io/Logging_2505/klagomål/A 38755-2023 FSC-klagomål.docx", "A 38755-2023")</f>
        <v/>
      </c>
      <c r="W854">
        <f>HYPERLINK("https://klasma.github.io/Logging_2505/klagomålsmail/A 38755-2023 FSC-klagomål mail.docx", "A 38755-2023")</f>
        <v/>
      </c>
      <c r="X854">
        <f>HYPERLINK("https://klasma.github.io/Logging_2505/tillsyn/A 38755-2023 tillsynsbegäran.docx", "A 38755-2023")</f>
        <v/>
      </c>
      <c r="Y854">
        <f>HYPERLINK("https://klasma.github.io/Logging_2505/tillsynsmail/A 38755-2023 tillsynsbegäran mail.docx", "A 38755-2023")</f>
        <v/>
      </c>
    </row>
    <row r="855" ht="15" customHeight="1">
      <c r="A855" t="inlineStr">
        <is>
          <t>A 39450-2023</t>
        </is>
      </c>
      <c r="B855" s="1" t="n">
        <v>45166</v>
      </c>
      <c r="C855" s="1" t="n">
        <v>45798</v>
      </c>
      <c r="D855" t="inlineStr">
        <is>
          <t>NORRBOTTENS LÄN</t>
        </is>
      </c>
      <c r="E855" t="inlineStr">
        <is>
          <t>BODEN</t>
        </is>
      </c>
      <c r="F855" t="inlineStr">
        <is>
          <t>Sveaskog</t>
        </is>
      </c>
      <c r="G855" t="n">
        <v>14.6</v>
      </c>
      <c r="H855" t="n">
        <v>0</v>
      </c>
      <c r="I855" t="n">
        <v>0</v>
      </c>
      <c r="J855" t="n">
        <v>1</v>
      </c>
      <c r="K855" t="n">
        <v>0</v>
      </c>
      <c r="L855" t="n">
        <v>0</v>
      </c>
      <c r="M855" t="n">
        <v>0</v>
      </c>
      <c r="N855" t="n">
        <v>0</v>
      </c>
      <c r="O855" t="n">
        <v>1</v>
      </c>
      <c r="P855" t="n">
        <v>0</v>
      </c>
      <c r="Q855" t="n">
        <v>1</v>
      </c>
      <c r="R855" s="2" t="inlineStr">
        <is>
          <t>Kolflarnlav</t>
        </is>
      </c>
      <c r="S855">
        <f>HYPERLINK("https://klasma.github.io/Logging_2582/artfynd/A 39450-2023 artfynd.xlsx", "A 39450-2023")</f>
        <v/>
      </c>
      <c r="T855">
        <f>HYPERLINK("https://klasma.github.io/Logging_2582/kartor/A 39450-2023 karta.png", "A 39450-2023")</f>
        <v/>
      </c>
      <c r="V855">
        <f>HYPERLINK("https://klasma.github.io/Logging_2582/klagomål/A 39450-2023 FSC-klagomål.docx", "A 39450-2023")</f>
        <v/>
      </c>
      <c r="W855">
        <f>HYPERLINK("https://klasma.github.io/Logging_2582/klagomålsmail/A 39450-2023 FSC-klagomål mail.docx", "A 39450-2023")</f>
        <v/>
      </c>
      <c r="X855">
        <f>HYPERLINK("https://klasma.github.io/Logging_2582/tillsyn/A 39450-2023 tillsynsbegäran.docx", "A 39450-2023")</f>
        <v/>
      </c>
      <c r="Y855">
        <f>HYPERLINK("https://klasma.github.io/Logging_2582/tillsynsmail/A 39450-2023 tillsynsbegäran mail.docx", "A 39450-2023")</f>
        <v/>
      </c>
    </row>
    <row r="856" ht="15" customHeight="1">
      <c r="A856" t="inlineStr">
        <is>
          <t>A 39583-2023</t>
        </is>
      </c>
      <c r="B856" s="1" t="n">
        <v>45167</v>
      </c>
      <c r="C856" s="1" t="n">
        <v>45798</v>
      </c>
      <c r="D856" t="inlineStr">
        <is>
          <t>NORRBOTTENS LÄN</t>
        </is>
      </c>
      <c r="E856" t="inlineStr">
        <is>
          <t>LULEÅ</t>
        </is>
      </c>
      <c r="G856" t="n">
        <v>20.5</v>
      </c>
      <c r="H856" t="n">
        <v>0</v>
      </c>
      <c r="I856" t="n">
        <v>1</v>
      </c>
      <c r="J856" t="n">
        <v>0</v>
      </c>
      <c r="K856" t="n">
        <v>0</v>
      </c>
      <c r="L856" t="n">
        <v>0</v>
      </c>
      <c r="M856" t="n">
        <v>0</v>
      </c>
      <c r="N856" t="n">
        <v>0</v>
      </c>
      <c r="O856" t="n">
        <v>0</v>
      </c>
      <c r="P856" t="n">
        <v>0</v>
      </c>
      <c r="Q856" t="n">
        <v>1</v>
      </c>
      <c r="R856" s="2" t="inlineStr">
        <is>
          <t>Dropptaggsvamp</t>
        </is>
      </c>
      <c r="S856">
        <f>HYPERLINK("https://klasma.github.io/Logging_2580/artfynd/A 39583-2023 artfynd.xlsx", "A 39583-2023")</f>
        <v/>
      </c>
      <c r="T856">
        <f>HYPERLINK("https://klasma.github.io/Logging_2580/kartor/A 39583-2023 karta.png", "A 39583-2023")</f>
        <v/>
      </c>
      <c r="V856">
        <f>HYPERLINK("https://klasma.github.io/Logging_2580/klagomål/A 39583-2023 FSC-klagomål.docx", "A 39583-2023")</f>
        <v/>
      </c>
      <c r="W856">
        <f>HYPERLINK("https://klasma.github.io/Logging_2580/klagomålsmail/A 39583-2023 FSC-klagomål mail.docx", "A 39583-2023")</f>
        <v/>
      </c>
      <c r="X856">
        <f>HYPERLINK("https://klasma.github.io/Logging_2580/tillsyn/A 39583-2023 tillsynsbegäran.docx", "A 39583-2023")</f>
        <v/>
      </c>
      <c r="Y856">
        <f>HYPERLINK("https://klasma.github.io/Logging_2580/tillsynsmail/A 39583-2023 tillsynsbegäran mail.docx", "A 39583-2023")</f>
        <v/>
      </c>
    </row>
    <row r="857" ht="15" customHeight="1">
      <c r="A857" t="inlineStr">
        <is>
          <t>A 39828-2023</t>
        </is>
      </c>
      <c r="B857" s="1" t="n">
        <v>45168</v>
      </c>
      <c r="C857" s="1" t="n">
        <v>45798</v>
      </c>
      <c r="D857" t="inlineStr">
        <is>
          <t>NORRBOTTENS LÄN</t>
        </is>
      </c>
      <c r="E857" t="inlineStr">
        <is>
          <t>ÄLVSBYN</t>
        </is>
      </c>
      <c r="G857" t="n">
        <v>14</v>
      </c>
      <c r="H857" t="n">
        <v>1</v>
      </c>
      <c r="I857" t="n">
        <v>1</v>
      </c>
      <c r="J857" t="n">
        <v>0</v>
      </c>
      <c r="K857" t="n">
        <v>0</v>
      </c>
      <c r="L857" t="n">
        <v>0</v>
      </c>
      <c r="M857" t="n">
        <v>0</v>
      </c>
      <c r="N857" t="n">
        <v>0</v>
      </c>
      <c r="O857" t="n">
        <v>0</v>
      </c>
      <c r="P857" t="n">
        <v>0</v>
      </c>
      <c r="Q857" t="n">
        <v>1</v>
      </c>
      <c r="R857" s="2" t="inlineStr">
        <is>
          <t>Korallrot</t>
        </is>
      </c>
      <c r="S857">
        <f>HYPERLINK("https://klasma.github.io/Logging_2560/artfynd/A 39828-2023 artfynd.xlsx", "A 39828-2023")</f>
        <v/>
      </c>
      <c r="T857">
        <f>HYPERLINK("https://klasma.github.io/Logging_2560/kartor/A 39828-2023 karta.png", "A 39828-2023")</f>
        <v/>
      </c>
      <c r="V857">
        <f>HYPERLINK("https://klasma.github.io/Logging_2560/klagomål/A 39828-2023 FSC-klagomål.docx", "A 39828-2023")</f>
        <v/>
      </c>
      <c r="W857">
        <f>HYPERLINK("https://klasma.github.io/Logging_2560/klagomålsmail/A 39828-2023 FSC-klagomål mail.docx", "A 39828-2023")</f>
        <v/>
      </c>
      <c r="X857">
        <f>HYPERLINK("https://klasma.github.io/Logging_2560/tillsyn/A 39828-2023 tillsynsbegäran.docx", "A 39828-2023")</f>
        <v/>
      </c>
      <c r="Y857">
        <f>HYPERLINK("https://klasma.github.io/Logging_2560/tillsynsmail/A 39828-2023 tillsynsbegäran mail.docx", "A 39828-2023")</f>
        <v/>
      </c>
    </row>
    <row r="858" ht="15" customHeight="1">
      <c r="A858" t="inlineStr">
        <is>
          <t>A 40265-2023</t>
        </is>
      </c>
      <c r="B858" s="1" t="n">
        <v>45169</v>
      </c>
      <c r="C858" s="1" t="n">
        <v>45798</v>
      </c>
      <c r="D858" t="inlineStr">
        <is>
          <t>NORRBOTTENS LÄN</t>
        </is>
      </c>
      <c r="E858" t="inlineStr">
        <is>
          <t>ÖVERKALIX</t>
        </is>
      </c>
      <c r="F858" t="inlineStr">
        <is>
          <t>Sveaskog</t>
        </is>
      </c>
      <c r="G858" t="n">
        <v>0.8</v>
      </c>
      <c r="H858" t="n">
        <v>0</v>
      </c>
      <c r="I858" t="n">
        <v>0</v>
      </c>
      <c r="J858" t="n">
        <v>1</v>
      </c>
      <c r="K858" t="n">
        <v>0</v>
      </c>
      <c r="L858" t="n">
        <v>0</v>
      </c>
      <c r="M858" t="n">
        <v>0</v>
      </c>
      <c r="N858" t="n">
        <v>0</v>
      </c>
      <c r="O858" t="n">
        <v>1</v>
      </c>
      <c r="P858" t="n">
        <v>0</v>
      </c>
      <c r="Q858" t="n">
        <v>1</v>
      </c>
      <c r="R858" s="2" t="inlineStr">
        <is>
          <t>Orange taggsvamp</t>
        </is>
      </c>
      <c r="S858">
        <f>HYPERLINK("https://klasma.github.io/Logging_2513/artfynd/A 40265-2023 artfynd.xlsx", "A 40265-2023")</f>
        <v/>
      </c>
      <c r="T858">
        <f>HYPERLINK("https://klasma.github.io/Logging_2513/kartor/A 40265-2023 karta.png", "A 40265-2023")</f>
        <v/>
      </c>
      <c r="V858">
        <f>HYPERLINK("https://klasma.github.io/Logging_2513/klagomål/A 40265-2023 FSC-klagomål.docx", "A 40265-2023")</f>
        <v/>
      </c>
      <c r="W858">
        <f>HYPERLINK("https://klasma.github.io/Logging_2513/klagomålsmail/A 40265-2023 FSC-klagomål mail.docx", "A 40265-2023")</f>
        <v/>
      </c>
      <c r="X858">
        <f>HYPERLINK("https://klasma.github.io/Logging_2513/tillsyn/A 40265-2023 tillsynsbegäran.docx", "A 40265-2023")</f>
        <v/>
      </c>
      <c r="Y858">
        <f>HYPERLINK("https://klasma.github.io/Logging_2513/tillsynsmail/A 40265-2023 tillsynsbegäran mail.docx", "A 40265-2023")</f>
        <v/>
      </c>
    </row>
    <row r="859" ht="15" customHeight="1">
      <c r="A859" t="inlineStr">
        <is>
          <t>A 40263-2023</t>
        </is>
      </c>
      <c r="B859" s="1" t="n">
        <v>45169</v>
      </c>
      <c r="C859" s="1" t="n">
        <v>45798</v>
      </c>
      <c r="D859" t="inlineStr">
        <is>
          <t>NORRBOTTENS LÄN</t>
        </is>
      </c>
      <c r="E859" t="inlineStr">
        <is>
          <t>ÖVERKALIX</t>
        </is>
      </c>
      <c r="F859" t="inlineStr">
        <is>
          <t>Sveaskog</t>
        </is>
      </c>
      <c r="G859" t="n">
        <v>1.5</v>
      </c>
      <c r="H859" t="n">
        <v>0</v>
      </c>
      <c r="I859" t="n">
        <v>0</v>
      </c>
      <c r="J859" t="n">
        <v>1</v>
      </c>
      <c r="K859" t="n">
        <v>0</v>
      </c>
      <c r="L859" t="n">
        <v>0</v>
      </c>
      <c r="M859" t="n">
        <v>0</v>
      </c>
      <c r="N859" t="n">
        <v>0</v>
      </c>
      <c r="O859" t="n">
        <v>1</v>
      </c>
      <c r="P859" t="n">
        <v>0</v>
      </c>
      <c r="Q859" t="n">
        <v>1</v>
      </c>
      <c r="R859" s="2" t="inlineStr">
        <is>
          <t>Blå taggsvamp</t>
        </is>
      </c>
      <c r="S859">
        <f>HYPERLINK("https://klasma.github.io/Logging_2513/artfynd/A 40263-2023 artfynd.xlsx", "A 40263-2023")</f>
        <v/>
      </c>
      <c r="T859">
        <f>HYPERLINK("https://klasma.github.io/Logging_2513/kartor/A 40263-2023 karta.png", "A 40263-2023")</f>
        <v/>
      </c>
      <c r="V859">
        <f>HYPERLINK("https://klasma.github.io/Logging_2513/klagomål/A 40263-2023 FSC-klagomål.docx", "A 40263-2023")</f>
        <v/>
      </c>
      <c r="W859">
        <f>HYPERLINK("https://klasma.github.io/Logging_2513/klagomålsmail/A 40263-2023 FSC-klagomål mail.docx", "A 40263-2023")</f>
        <v/>
      </c>
      <c r="X859">
        <f>HYPERLINK("https://klasma.github.io/Logging_2513/tillsyn/A 40263-2023 tillsynsbegäran.docx", "A 40263-2023")</f>
        <v/>
      </c>
      <c r="Y859">
        <f>HYPERLINK("https://klasma.github.io/Logging_2513/tillsynsmail/A 40263-2023 tillsynsbegäran mail.docx", "A 40263-2023")</f>
        <v/>
      </c>
    </row>
    <row r="860" ht="15" customHeight="1">
      <c r="A860" t="inlineStr">
        <is>
          <t>A 40463-2023</t>
        </is>
      </c>
      <c r="B860" s="1" t="n">
        <v>45170</v>
      </c>
      <c r="C860" s="1" t="n">
        <v>45798</v>
      </c>
      <c r="D860" t="inlineStr">
        <is>
          <t>NORRBOTTENS LÄN</t>
        </is>
      </c>
      <c r="E860" t="inlineStr">
        <is>
          <t>ÄLVSBYN</t>
        </is>
      </c>
      <c r="F860" t="inlineStr">
        <is>
          <t>Sveaskog</t>
        </is>
      </c>
      <c r="G860" t="n">
        <v>5.3</v>
      </c>
      <c r="H860" t="n">
        <v>0</v>
      </c>
      <c r="I860" t="n">
        <v>0</v>
      </c>
      <c r="J860" t="n">
        <v>1</v>
      </c>
      <c r="K860" t="n">
        <v>0</v>
      </c>
      <c r="L860" t="n">
        <v>0</v>
      </c>
      <c r="M860" t="n">
        <v>0</v>
      </c>
      <c r="N860" t="n">
        <v>0</v>
      </c>
      <c r="O860" t="n">
        <v>1</v>
      </c>
      <c r="P860" t="n">
        <v>0</v>
      </c>
      <c r="Q860" t="n">
        <v>1</v>
      </c>
      <c r="R860" s="2" t="inlineStr">
        <is>
          <t>Lunglav</t>
        </is>
      </c>
      <c r="S860">
        <f>HYPERLINK("https://klasma.github.io/Logging_2560/artfynd/A 40463-2023 artfynd.xlsx", "A 40463-2023")</f>
        <v/>
      </c>
      <c r="T860">
        <f>HYPERLINK("https://klasma.github.io/Logging_2560/kartor/A 40463-2023 karta.png", "A 40463-2023")</f>
        <v/>
      </c>
      <c r="V860">
        <f>HYPERLINK("https://klasma.github.io/Logging_2560/klagomål/A 40463-2023 FSC-klagomål.docx", "A 40463-2023")</f>
        <v/>
      </c>
      <c r="W860">
        <f>HYPERLINK("https://klasma.github.io/Logging_2560/klagomålsmail/A 40463-2023 FSC-klagomål mail.docx", "A 40463-2023")</f>
        <v/>
      </c>
      <c r="X860">
        <f>HYPERLINK("https://klasma.github.io/Logging_2560/tillsyn/A 40463-2023 tillsynsbegäran.docx", "A 40463-2023")</f>
        <v/>
      </c>
      <c r="Y860">
        <f>HYPERLINK("https://klasma.github.io/Logging_2560/tillsynsmail/A 40463-2023 tillsynsbegäran mail.docx", "A 40463-2023")</f>
        <v/>
      </c>
    </row>
    <row r="861" ht="15" customHeight="1">
      <c r="A861" t="inlineStr">
        <is>
          <t>A 40466-2023</t>
        </is>
      </c>
      <c r="B861" s="1" t="n">
        <v>45170</v>
      </c>
      <c r="C861" s="1" t="n">
        <v>45798</v>
      </c>
      <c r="D861" t="inlineStr">
        <is>
          <t>NORRBOTTENS LÄN</t>
        </is>
      </c>
      <c r="E861" t="inlineStr">
        <is>
          <t>JOKKMOKK</t>
        </is>
      </c>
      <c r="F861" t="inlineStr">
        <is>
          <t>Sveaskog</t>
        </is>
      </c>
      <c r="G861" t="n">
        <v>1.5</v>
      </c>
      <c r="H861" t="n">
        <v>0</v>
      </c>
      <c r="I861" t="n">
        <v>0</v>
      </c>
      <c r="J861" t="n">
        <v>1</v>
      </c>
      <c r="K861" t="n">
        <v>0</v>
      </c>
      <c r="L861" t="n">
        <v>0</v>
      </c>
      <c r="M861" t="n">
        <v>0</v>
      </c>
      <c r="N861" t="n">
        <v>0</v>
      </c>
      <c r="O861" t="n">
        <v>1</v>
      </c>
      <c r="P861" t="n">
        <v>0</v>
      </c>
      <c r="Q861" t="n">
        <v>1</v>
      </c>
      <c r="R861" s="2" t="inlineStr">
        <is>
          <t>Motaggsvamp</t>
        </is>
      </c>
      <c r="S861">
        <f>HYPERLINK("https://klasma.github.io/Logging_2510/artfynd/A 40466-2023 artfynd.xlsx", "A 40466-2023")</f>
        <v/>
      </c>
      <c r="T861">
        <f>HYPERLINK("https://klasma.github.io/Logging_2510/kartor/A 40466-2023 karta.png", "A 40466-2023")</f>
        <v/>
      </c>
      <c r="V861">
        <f>HYPERLINK("https://klasma.github.io/Logging_2510/klagomål/A 40466-2023 FSC-klagomål.docx", "A 40466-2023")</f>
        <v/>
      </c>
      <c r="W861">
        <f>HYPERLINK("https://klasma.github.io/Logging_2510/klagomålsmail/A 40466-2023 FSC-klagomål mail.docx", "A 40466-2023")</f>
        <v/>
      </c>
      <c r="X861">
        <f>HYPERLINK("https://klasma.github.io/Logging_2510/tillsyn/A 40466-2023 tillsynsbegäran.docx", "A 40466-2023")</f>
        <v/>
      </c>
      <c r="Y861">
        <f>HYPERLINK("https://klasma.github.io/Logging_2510/tillsynsmail/A 40466-2023 tillsynsbegäran mail.docx", "A 40466-2023")</f>
        <v/>
      </c>
    </row>
    <row r="862" ht="15" customHeight="1">
      <c r="A862" t="inlineStr">
        <is>
          <t>A 40815-2023</t>
        </is>
      </c>
      <c r="B862" s="1" t="n">
        <v>45171</v>
      </c>
      <c r="C862" s="1" t="n">
        <v>45798</v>
      </c>
      <c r="D862" t="inlineStr">
        <is>
          <t>NORRBOTTENS LÄN</t>
        </is>
      </c>
      <c r="E862" t="inlineStr">
        <is>
          <t>GÄLLIVARE</t>
        </is>
      </c>
      <c r="F862" t="inlineStr">
        <is>
          <t>Sveaskog</t>
        </is>
      </c>
      <c r="G862" t="n">
        <v>31.4</v>
      </c>
      <c r="H862" t="n">
        <v>0</v>
      </c>
      <c r="I862" t="n">
        <v>0</v>
      </c>
      <c r="J862" t="n">
        <v>1</v>
      </c>
      <c r="K862" t="n">
        <v>0</v>
      </c>
      <c r="L862" t="n">
        <v>0</v>
      </c>
      <c r="M862" t="n">
        <v>0</v>
      </c>
      <c r="N862" t="n">
        <v>0</v>
      </c>
      <c r="O862" t="n">
        <v>1</v>
      </c>
      <c r="P862" t="n">
        <v>0</v>
      </c>
      <c r="Q862" t="n">
        <v>1</v>
      </c>
      <c r="R862" s="2" t="inlineStr">
        <is>
          <t>Talltaggsvamp</t>
        </is>
      </c>
      <c r="S862">
        <f>HYPERLINK("https://klasma.github.io/Logging_2523/artfynd/A 40815-2023 artfynd.xlsx", "A 40815-2023")</f>
        <v/>
      </c>
      <c r="T862">
        <f>HYPERLINK("https://klasma.github.io/Logging_2523/kartor/A 40815-2023 karta.png", "A 40815-2023")</f>
        <v/>
      </c>
      <c r="V862">
        <f>HYPERLINK("https://klasma.github.io/Logging_2523/klagomål/A 40815-2023 FSC-klagomål.docx", "A 40815-2023")</f>
        <v/>
      </c>
      <c r="W862">
        <f>HYPERLINK("https://klasma.github.io/Logging_2523/klagomålsmail/A 40815-2023 FSC-klagomål mail.docx", "A 40815-2023")</f>
        <v/>
      </c>
      <c r="X862">
        <f>HYPERLINK("https://klasma.github.io/Logging_2523/tillsyn/A 40815-2023 tillsynsbegäran.docx", "A 40815-2023")</f>
        <v/>
      </c>
      <c r="Y862">
        <f>HYPERLINK("https://klasma.github.io/Logging_2523/tillsynsmail/A 40815-2023 tillsynsbegäran mail.docx", "A 40815-2023")</f>
        <v/>
      </c>
    </row>
    <row r="863" ht="15" customHeight="1">
      <c r="A863" t="inlineStr">
        <is>
          <t>A 41171-2023</t>
        </is>
      </c>
      <c r="B863" s="1" t="n">
        <v>45174</v>
      </c>
      <c r="C863" s="1" t="n">
        <v>45798</v>
      </c>
      <c r="D863" t="inlineStr">
        <is>
          <t>NORRBOTTENS LÄN</t>
        </is>
      </c>
      <c r="E863" t="inlineStr">
        <is>
          <t>ÖVERKALIX</t>
        </is>
      </c>
      <c r="F863" t="inlineStr">
        <is>
          <t>Sveaskog</t>
        </is>
      </c>
      <c r="G863" t="n">
        <v>17</v>
      </c>
      <c r="H863" t="n">
        <v>0</v>
      </c>
      <c r="I863" t="n">
        <v>0</v>
      </c>
      <c r="J863" t="n">
        <v>1</v>
      </c>
      <c r="K863" t="n">
        <v>0</v>
      </c>
      <c r="L863" t="n">
        <v>0</v>
      </c>
      <c r="M863" t="n">
        <v>0</v>
      </c>
      <c r="N863" t="n">
        <v>0</v>
      </c>
      <c r="O863" t="n">
        <v>1</v>
      </c>
      <c r="P863" t="n">
        <v>0</v>
      </c>
      <c r="Q863" t="n">
        <v>1</v>
      </c>
      <c r="R863" s="2" t="inlineStr">
        <is>
          <t>Lunglav</t>
        </is>
      </c>
      <c r="S863">
        <f>HYPERLINK("https://klasma.github.io/Logging_2513/artfynd/A 41171-2023 artfynd.xlsx", "A 41171-2023")</f>
        <v/>
      </c>
      <c r="T863">
        <f>HYPERLINK("https://klasma.github.io/Logging_2513/kartor/A 41171-2023 karta.png", "A 41171-2023")</f>
        <v/>
      </c>
      <c r="V863">
        <f>HYPERLINK("https://klasma.github.io/Logging_2513/klagomål/A 41171-2023 FSC-klagomål.docx", "A 41171-2023")</f>
        <v/>
      </c>
      <c r="W863">
        <f>HYPERLINK("https://klasma.github.io/Logging_2513/klagomålsmail/A 41171-2023 FSC-klagomål mail.docx", "A 41171-2023")</f>
        <v/>
      </c>
      <c r="X863">
        <f>HYPERLINK("https://klasma.github.io/Logging_2513/tillsyn/A 41171-2023 tillsynsbegäran.docx", "A 41171-2023")</f>
        <v/>
      </c>
      <c r="Y863">
        <f>HYPERLINK("https://klasma.github.io/Logging_2513/tillsynsmail/A 41171-2023 tillsynsbegäran mail.docx", "A 41171-2023")</f>
        <v/>
      </c>
    </row>
    <row r="864" ht="15" customHeight="1">
      <c r="A864" t="inlineStr">
        <is>
          <t>A 41664-2023</t>
        </is>
      </c>
      <c r="B864" s="1" t="n">
        <v>45175</v>
      </c>
      <c r="C864" s="1" t="n">
        <v>45798</v>
      </c>
      <c r="D864" t="inlineStr">
        <is>
          <t>NORRBOTTENS LÄN</t>
        </is>
      </c>
      <c r="E864" t="inlineStr">
        <is>
          <t>PITEÅ</t>
        </is>
      </c>
      <c r="F864" t="inlineStr">
        <is>
          <t>SCA</t>
        </is>
      </c>
      <c r="G864" t="n">
        <v>3.7</v>
      </c>
      <c r="H864" t="n">
        <v>0</v>
      </c>
      <c r="I864" t="n">
        <v>0</v>
      </c>
      <c r="J864" t="n">
        <v>1</v>
      </c>
      <c r="K864" t="n">
        <v>0</v>
      </c>
      <c r="L864" t="n">
        <v>0</v>
      </c>
      <c r="M864" t="n">
        <v>0</v>
      </c>
      <c r="N864" t="n">
        <v>0</v>
      </c>
      <c r="O864" t="n">
        <v>1</v>
      </c>
      <c r="P864" t="n">
        <v>0</v>
      </c>
      <c r="Q864" t="n">
        <v>1</v>
      </c>
      <c r="R864" s="2" t="inlineStr">
        <is>
          <t>Lunglav</t>
        </is>
      </c>
      <c r="S864">
        <f>HYPERLINK("https://klasma.github.io/Logging_2581/artfynd/A 41664-2023 artfynd.xlsx", "A 41664-2023")</f>
        <v/>
      </c>
      <c r="T864">
        <f>HYPERLINK("https://klasma.github.io/Logging_2581/kartor/A 41664-2023 karta.png", "A 41664-2023")</f>
        <v/>
      </c>
      <c r="V864">
        <f>HYPERLINK("https://klasma.github.io/Logging_2581/klagomål/A 41664-2023 FSC-klagomål.docx", "A 41664-2023")</f>
        <v/>
      </c>
      <c r="W864">
        <f>HYPERLINK("https://klasma.github.io/Logging_2581/klagomålsmail/A 41664-2023 FSC-klagomål mail.docx", "A 41664-2023")</f>
        <v/>
      </c>
      <c r="X864">
        <f>HYPERLINK("https://klasma.github.io/Logging_2581/tillsyn/A 41664-2023 tillsynsbegäran.docx", "A 41664-2023")</f>
        <v/>
      </c>
      <c r="Y864">
        <f>HYPERLINK("https://klasma.github.io/Logging_2581/tillsynsmail/A 41664-2023 tillsynsbegäran mail.docx", "A 41664-2023")</f>
        <v/>
      </c>
    </row>
    <row r="865" ht="15" customHeight="1">
      <c r="A865" t="inlineStr">
        <is>
          <t>A 42696-2023</t>
        </is>
      </c>
      <c r="B865" s="1" t="n">
        <v>45181</v>
      </c>
      <c r="C865" s="1" t="n">
        <v>45798</v>
      </c>
      <c r="D865" t="inlineStr">
        <is>
          <t>NORRBOTTENS LÄN</t>
        </is>
      </c>
      <c r="E865" t="inlineStr">
        <is>
          <t>PITEÅ</t>
        </is>
      </c>
      <c r="F865" t="inlineStr">
        <is>
          <t>Sveaskog</t>
        </is>
      </c>
      <c r="G865" t="n">
        <v>3</v>
      </c>
      <c r="H865" t="n">
        <v>0</v>
      </c>
      <c r="I865" t="n">
        <v>0</v>
      </c>
      <c r="J865" t="n">
        <v>1</v>
      </c>
      <c r="K865" t="n">
        <v>0</v>
      </c>
      <c r="L865" t="n">
        <v>0</v>
      </c>
      <c r="M865" t="n">
        <v>0</v>
      </c>
      <c r="N865" t="n">
        <v>0</v>
      </c>
      <c r="O865" t="n">
        <v>1</v>
      </c>
      <c r="P865" t="n">
        <v>0</v>
      </c>
      <c r="Q865" t="n">
        <v>1</v>
      </c>
      <c r="R865" s="2" t="inlineStr">
        <is>
          <t>Harticka</t>
        </is>
      </c>
      <c r="S865">
        <f>HYPERLINK("https://klasma.github.io/Logging_2581/artfynd/A 42696-2023 artfynd.xlsx", "A 42696-2023")</f>
        <v/>
      </c>
      <c r="T865">
        <f>HYPERLINK("https://klasma.github.io/Logging_2581/kartor/A 42696-2023 karta.png", "A 42696-2023")</f>
        <v/>
      </c>
      <c r="V865">
        <f>HYPERLINK("https://klasma.github.io/Logging_2581/klagomål/A 42696-2023 FSC-klagomål.docx", "A 42696-2023")</f>
        <v/>
      </c>
      <c r="W865">
        <f>HYPERLINK("https://klasma.github.io/Logging_2581/klagomålsmail/A 42696-2023 FSC-klagomål mail.docx", "A 42696-2023")</f>
        <v/>
      </c>
      <c r="X865">
        <f>HYPERLINK("https://klasma.github.io/Logging_2581/tillsyn/A 42696-2023 tillsynsbegäran.docx", "A 42696-2023")</f>
        <v/>
      </c>
      <c r="Y865">
        <f>HYPERLINK("https://klasma.github.io/Logging_2581/tillsynsmail/A 42696-2023 tillsynsbegäran mail.docx", "A 42696-2023")</f>
        <v/>
      </c>
    </row>
    <row r="866" ht="15" customHeight="1">
      <c r="A866" t="inlineStr">
        <is>
          <t>A 43323-2023</t>
        </is>
      </c>
      <c r="B866" s="1" t="n">
        <v>45183</v>
      </c>
      <c r="C866" s="1" t="n">
        <v>45798</v>
      </c>
      <c r="D866" t="inlineStr">
        <is>
          <t>NORRBOTTENS LÄN</t>
        </is>
      </c>
      <c r="E866" t="inlineStr">
        <is>
          <t>GÄLLIVARE</t>
        </is>
      </c>
      <c r="F866" t="inlineStr">
        <is>
          <t>Sveaskog</t>
        </is>
      </c>
      <c r="G866" t="n">
        <v>30.4</v>
      </c>
      <c r="H866" t="n">
        <v>1</v>
      </c>
      <c r="I866" t="n">
        <v>1</v>
      </c>
      <c r="J866" t="n">
        <v>0</v>
      </c>
      <c r="K866" t="n">
        <v>0</v>
      </c>
      <c r="L866" t="n">
        <v>0</v>
      </c>
      <c r="M866" t="n">
        <v>0</v>
      </c>
      <c r="N866" t="n">
        <v>0</v>
      </c>
      <c r="O866" t="n">
        <v>0</v>
      </c>
      <c r="P866" t="n">
        <v>0</v>
      </c>
      <c r="Q866" t="n">
        <v>1</v>
      </c>
      <c r="R866" s="2" t="inlineStr">
        <is>
          <t>Plattlummer</t>
        </is>
      </c>
      <c r="S866">
        <f>HYPERLINK("https://klasma.github.io/Logging_2523/artfynd/A 43323-2023 artfynd.xlsx", "A 43323-2023")</f>
        <v/>
      </c>
      <c r="T866">
        <f>HYPERLINK("https://klasma.github.io/Logging_2523/kartor/A 43323-2023 karta.png", "A 43323-2023")</f>
        <v/>
      </c>
      <c r="V866">
        <f>HYPERLINK("https://klasma.github.io/Logging_2523/klagomål/A 43323-2023 FSC-klagomål.docx", "A 43323-2023")</f>
        <v/>
      </c>
      <c r="W866">
        <f>HYPERLINK("https://klasma.github.io/Logging_2523/klagomålsmail/A 43323-2023 FSC-klagomål mail.docx", "A 43323-2023")</f>
        <v/>
      </c>
      <c r="X866">
        <f>HYPERLINK("https://klasma.github.io/Logging_2523/tillsyn/A 43323-2023 tillsynsbegäran.docx", "A 43323-2023")</f>
        <v/>
      </c>
      <c r="Y866">
        <f>HYPERLINK("https://klasma.github.io/Logging_2523/tillsynsmail/A 43323-2023 tillsynsbegäran mail.docx", "A 43323-2023")</f>
        <v/>
      </c>
    </row>
    <row r="867" ht="15" customHeight="1">
      <c r="A867" t="inlineStr">
        <is>
          <t>A 43851-2023</t>
        </is>
      </c>
      <c r="B867" s="1" t="n">
        <v>45187</v>
      </c>
      <c r="C867" s="1" t="n">
        <v>45798</v>
      </c>
      <c r="D867" t="inlineStr">
        <is>
          <t>NORRBOTTENS LÄN</t>
        </is>
      </c>
      <c r="E867" t="inlineStr">
        <is>
          <t>PAJALA</t>
        </is>
      </c>
      <c r="G867" t="n">
        <v>7.2</v>
      </c>
      <c r="H867" t="n">
        <v>0</v>
      </c>
      <c r="I867" t="n">
        <v>0</v>
      </c>
      <c r="J867" t="n">
        <v>1</v>
      </c>
      <c r="K867" t="n">
        <v>0</v>
      </c>
      <c r="L867" t="n">
        <v>0</v>
      </c>
      <c r="M867" t="n">
        <v>0</v>
      </c>
      <c r="N867" t="n">
        <v>0</v>
      </c>
      <c r="O867" t="n">
        <v>1</v>
      </c>
      <c r="P867" t="n">
        <v>0</v>
      </c>
      <c r="Q867" t="n">
        <v>1</v>
      </c>
      <c r="R867" s="2" t="inlineStr">
        <is>
          <t>Garnlav</t>
        </is>
      </c>
      <c r="S867">
        <f>HYPERLINK("https://klasma.github.io/Logging_2521/artfynd/A 43851-2023 artfynd.xlsx", "A 43851-2023")</f>
        <v/>
      </c>
      <c r="T867">
        <f>HYPERLINK("https://klasma.github.io/Logging_2521/kartor/A 43851-2023 karta.png", "A 43851-2023")</f>
        <v/>
      </c>
      <c r="V867">
        <f>HYPERLINK("https://klasma.github.io/Logging_2521/klagomål/A 43851-2023 FSC-klagomål.docx", "A 43851-2023")</f>
        <v/>
      </c>
      <c r="W867">
        <f>HYPERLINK("https://klasma.github.io/Logging_2521/klagomålsmail/A 43851-2023 FSC-klagomål mail.docx", "A 43851-2023")</f>
        <v/>
      </c>
      <c r="X867">
        <f>HYPERLINK("https://klasma.github.io/Logging_2521/tillsyn/A 43851-2023 tillsynsbegäran.docx", "A 43851-2023")</f>
        <v/>
      </c>
      <c r="Y867">
        <f>HYPERLINK("https://klasma.github.io/Logging_2521/tillsynsmail/A 43851-2023 tillsynsbegäran mail.docx", "A 43851-2023")</f>
        <v/>
      </c>
    </row>
    <row r="868" ht="15" customHeight="1">
      <c r="A868" t="inlineStr">
        <is>
          <t>A 44255-2023</t>
        </is>
      </c>
      <c r="B868" s="1" t="n">
        <v>45188</v>
      </c>
      <c r="C868" s="1" t="n">
        <v>45798</v>
      </c>
      <c r="D868" t="inlineStr">
        <is>
          <t>NORRBOTTENS LÄN</t>
        </is>
      </c>
      <c r="E868" t="inlineStr">
        <is>
          <t>PITEÅ</t>
        </is>
      </c>
      <c r="F868" t="inlineStr">
        <is>
          <t>Sveaskog</t>
        </is>
      </c>
      <c r="G868" t="n">
        <v>5.7</v>
      </c>
      <c r="H868" t="n">
        <v>0</v>
      </c>
      <c r="I868" t="n">
        <v>0</v>
      </c>
      <c r="J868" t="n">
        <v>1</v>
      </c>
      <c r="K868" t="n">
        <v>0</v>
      </c>
      <c r="L868" t="n">
        <v>0</v>
      </c>
      <c r="M868" t="n">
        <v>0</v>
      </c>
      <c r="N868" t="n">
        <v>0</v>
      </c>
      <c r="O868" t="n">
        <v>1</v>
      </c>
      <c r="P868" t="n">
        <v>0</v>
      </c>
      <c r="Q868" t="n">
        <v>1</v>
      </c>
      <c r="R868" s="2" t="inlineStr">
        <is>
          <t>Garnlav</t>
        </is>
      </c>
      <c r="S868">
        <f>HYPERLINK("https://klasma.github.io/Logging_2581/artfynd/A 44255-2023 artfynd.xlsx", "A 44255-2023")</f>
        <v/>
      </c>
      <c r="T868">
        <f>HYPERLINK("https://klasma.github.io/Logging_2581/kartor/A 44255-2023 karta.png", "A 44255-2023")</f>
        <v/>
      </c>
      <c r="V868">
        <f>HYPERLINK("https://klasma.github.io/Logging_2581/klagomål/A 44255-2023 FSC-klagomål.docx", "A 44255-2023")</f>
        <v/>
      </c>
      <c r="W868">
        <f>HYPERLINK("https://klasma.github.io/Logging_2581/klagomålsmail/A 44255-2023 FSC-klagomål mail.docx", "A 44255-2023")</f>
        <v/>
      </c>
      <c r="X868">
        <f>HYPERLINK("https://klasma.github.io/Logging_2581/tillsyn/A 44255-2023 tillsynsbegäran.docx", "A 44255-2023")</f>
        <v/>
      </c>
      <c r="Y868">
        <f>HYPERLINK("https://klasma.github.io/Logging_2581/tillsynsmail/A 44255-2023 tillsynsbegäran mail.docx", "A 44255-2023")</f>
        <v/>
      </c>
    </row>
    <row r="869" ht="15" customHeight="1">
      <c r="A869" t="inlineStr">
        <is>
          <t>A 46378-2023</t>
        </is>
      </c>
      <c r="B869" s="1" t="n">
        <v>45197</v>
      </c>
      <c r="C869" s="1" t="n">
        <v>45798</v>
      </c>
      <c r="D869" t="inlineStr">
        <is>
          <t>NORRBOTTENS LÄN</t>
        </is>
      </c>
      <c r="E869" t="inlineStr">
        <is>
          <t>ÖVERTORNEÅ</t>
        </is>
      </c>
      <c r="F869" t="inlineStr">
        <is>
          <t>Sveaskog</t>
        </is>
      </c>
      <c r="G869" t="n">
        <v>43.9</v>
      </c>
      <c r="H869" t="n">
        <v>1</v>
      </c>
      <c r="I869" t="n">
        <v>0</v>
      </c>
      <c r="J869" t="n">
        <v>1</v>
      </c>
      <c r="K869" t="n">
        <v>0</v>
      </c>
      <c r="L869" t="n">
        <v>0</v>
      </c>
      <c r="M869" t="n">
        <v>0</v>
      </c>
      <c r="N869" t="n">
        <v>0</v>
      </c>
      <c r="O869" t="n">
        <v>1</v>
      </c>
      <c r="P869" t="n">
        <v>0</v>
      </c>
      <c r="Q869" t="n">
        <v>1</v>
      </c>
      <c r="R869" s="2" t="inlineStr">
        <is>
          <t>Kungsörn</t>
        </is>
      </c>
      <c r="S869">
        <f>HYPERLINK("https://klasma.github.io/Logging_2518/artfynd/A 46378-2023 artfynd.xlsx", "A 46378-2023")</f>
        <v/>
      </c>
      <c r="T869">
        <f>HYPERLINK("https://klasma.github.io/Logging_2518/kartor/A 46378-2023 karta.png", "A 46378-2023")</f>
        <v/>
      </c>
      <c r="V869">
        <f>HYPERLINK("https://klasma.github.io/Logging_2518/klagomål/A 46378-2023 FSC-klagomål.docx", "A 46378-2023")</f>
        <v/>
      </c>
      <c r="W869">
        <f>HYPERLINK("https://klasma.github.io/Logging_2518/klagomålsmail/A 46378-2023 FSC-klagomål mail.docx", "A 46378-2023")</f>
        <v/>
      </c>
      <c r="X869">
        <f>HYPERLINK("https://klasma.github.io/Logging_2518/tillsyn/A 46378-2023 tillsynsbegäran.docx", "A 46378-2023")</f>
        <v/>
      </c>
      <c r="Y869">
        <f>HYPERLINK("https://klasma.github.io/Logging_2518/tillsynsmail/A 46378-2023 tillsynsbegäran mail.docx", "A 46378-2023")</f>
        <v/>
      </c>
      <c r="Z869">
        <f>HYPERLINK("https://klasma.github.io/Logging_2518/fåglar/A 46378-2023 prioriterade fågelarter.docx", "A 46378-2023")</f>
        <v/>
      </c>
    </row>
    <row r="870" ht="15" customHeight="1">
      <c r="A870" t="inlineStr">
        <is>
          <t>A 46853-2023</t>
        </is>
      </c>
      <c r="B870" s="1" t="n">
        <v>45199</v>
      </c>
      <c r="C870" s="1" t="n">
        <v>45798</v>
      </c>
      <c r="D870" t="inlineStr">
        <is>
          <t>NORRBOTTENS LÄN</t>
        </is>
      </c>
      <c r="E870" t="inlineStr">
        <is>
          <t>GÄLLIVARE</t>
        </is>
      </c>
      <c r="F870" t="inlineStr">
        <is>
          <t>SCA</t>
        </is>
      </c>
      <c r="G870" t="n">
        <v>6.7</v>
      </c>
      <c r="H870" t="n">
        <v>1</v>
      </c>
      <c r="I870" t="n">
        <v>0</v>
      </c>
      <c r="J870" t="n">
        <v>1</v>
      </c>
      <c r="K870" t="n">
        <v>0</v>
      </c>
      <c r="L870" t="n">
        <v>0</v>
      </c>
      <c r="M870" t="n">
        <v>0</v>
      </c>
      <c r="N870" t="n">
        <v>0</v>
      </c>
      <c r="O870" t="n">
        <v>1</v>
      </c>
      <c r="P870" t="n">
        <v>0</v>
      </c>
      <c r="Q870" t="n">
        <v>1</v>
      </c>
      <c r="R870" s="2" t="inlineStr">
        <is>
          <t>Utter</t>
        </is>
      </c>
      <c r="S870">
        <f>HYPERLINK("https://klasma.github.io/Logging_2523/artfynd/A 46853-2023 artfynd.xlsx", "A 46853-2023")</f>
        <v/>
      </c>
      <c r="T870">
        <f>HYPERLINK("https://klasma.github.io/Logging_2523/kartor/A 46853-2023 karta.png", "A 46853-2023")</f>
        <v/>
      </c>
      <c r="V870">
        <f>HYPERLINK("https://klasma.github.io/Logging_2523/klagomål/A 46853-2023 FSC-klagomål.docx", "A 46853-2023")</f>
        <v/>
      </c>
      <c r="W870">
        <f>HYPERLINK("https://klasma.github.io/Logging_2523/klagomålsmail/A 46853-2023 FSC-klagomål mail.docx", "A 46853-2023")</f>
        <v/>
      </c>
      <c r="X870">
        <f>HYPERLINK("https://klasma.github.io/Logging_2523/tillsyn/A 46853-2023 tillsynsbegäran.docx", "A 46853-2023")</f>
        <v/>
      </c>
      <c r="Y870">
        <f>HYPERLINK("https://klasma.github.io/Logging_2523/tillsynsmail/A 46853-2023 tillsynsbegäran mail.docx", "A 46853-2023")</f>
        <v/>
      </c>
    </row>
    <row r="871" ht="15" customHeight="1">
      <c r="A871" t="inlineStr">
        <is>
          <t>A 48418-2023</t>
        </is>
      </c>
      <c r="B871" s="1" t="n">
        <v>45205</v>
      </c>
      <c r="C871" s="1" t="n">
        <v>45798</v>
      </c>
      <c r="D871" t="inlineStr">
        <is>
          <t>NORRBOTTENS LÄN</t>
        </is>
      </c>
      <c r="E871" t="inlineStr">
        <is>
          <t>BODEN</t>
        </is>
      </c>
      <c r="F871" t="inlineStr">
        <is>
          <t>SCA</t>
        </is>
      </c>
      <c r="G871" t="n">
        <v>3.6</v>
      </c>
      <c r="H871" t="n">
        <v>1</v>
      </c>
      <c r="I871" t="n">
        <v>0</v>
      </c>
      <c r="J871" t="n">
        <v>1</v>
      </c>
      <c r="K871" t="n">
        <v>0</v>
      </c>
      <c r="L871" t="n">
        <v>0</v>
      </c>
      <c r="M871" t="n">
        <v>0</v>
      </c>
      <c r="N871" t="n">
        <v>0</v>
      </c>
      <c r="O871" t="n">
        <v>1</v>
      </c>
      <c r="P871" t="n">
        <v>0</v>
      </c>
      <c r="Q871" t="n">
        <v>1</v>
      </c>
      <c r="R871" s="2" t="inlineStr">
        <is>
          <t>Duvhök</t>
        </is>
      </c>
      <c r="S871">
        <f>HYPERLINK("https://klasma.github.io/Logging_2582/artfynd/A 48418-2023 artfynd.xlsx", "A 48418-2023")</f>
        <v/>
      </c>
      <c r="T871">
        <f>HYPERLINK("https://klasma.github.io/Logging_2582/kartor/A 48418-2023 karta.png", "A 48418-2023")</f>
        <v/>
      </c>
      <c r="V871">
        <f>HYPERLINK("https://klasma.github.io/Logging_2582/klagomål/A 48418-2023 FSC-klagomål.docx", "A 48418-2023")</f>
        <v/>
      </c>
      <c r="W871">
        <f>HYPERLINK("https://klasma.github.io/Logging_2582/klagomålsmail/A 48418-2023 FSC-klagomål mail.docx", "A 48418-2023")</f>
        <v/>
      </c>
      <c r="X871">
        <f>HYPERLINK("https://klasma.github.io/Logging_2582/tillsyn/A 48418-2023 tillsynsbegäran.docx", "A 48418-2023")</f>
        <v/>
      </c>
      <c r="Y871">
        <f>HYPERLINK("https://klasma.github.io/Logging_2582/tillsynsmail/A 48418-2023 tillsynsbegäran mail.docx", "A 48418-2023")</f>
        <v/>
      </c>
      <c r="Z871">
        <f>HYPERLINK("https://klasma.github.io/Logging_2582/fåglar/A 48418-2023 prioriterade fågelarter.docx", "A 48418-2023")</f>
        <v/>
      </c>
    </row>
    <row r="872" ht="15" customHeight="1">
      <c r="A872" t="inlineStr">
        <is>
          <t>A 51389-2023</t>
        </is>
      </c>
      <c r="B872" s="1" t="n">
        <v>45213</v>
      </c>
      <c r="C872" s="1" t="n">
        <v>45798</v>
      </c>
      <c r="D872" t="inlineStr">
        <is>
          <t>NORRBOTTENS LÄN</t>
        </is>
      </c>
      <c r="E872" t="inlineStr">
        <is>
          <t>GÄLLIVARE</t>
        </is>
      </c>
      <c r="G872" t="n">
        <v>4.5</v>
      </c>
      <c r="H872" t="n">
        <v>1</v>
      </c>
      <c r="I872" t="n">
        <v>0</v>
      </c>
      <c r="J872" t="n">
        <v>1</v>
      </c>
      <c r="K872" t="n">
        <v>0</v>
      </c>
      <c r="L872" t="n">
        <v>0</v>
      </c>
      <c r="M872" t="n">
        <v>0</v>
      </c>
      <c r="N872" t="n">
        <v>0</v>
      </c>
      <c r="O872" t="n">
        <v>1</v>
      </c>
      <c r="P872" t="n">
        <v>0</v>
      </c>
      <c r="Q872" t="n">
        <v>1</v>
      </c>
      <c r="R872" s="2" t="inlineStr">
        <is>
          <t>Spillkråka</t>
        </is>
      </c>
      <c r="S872">
        <f>HYPERLINK("https://klasma.github.io/Logging_2523/artfynd/A 51389-2023 artfynd.xlsx", "A 51389-2023")</f>
        <v/>
      </c>
      <c r="T872">
        <f>HYPERLINK("https://klasma.github.io/Logging_2523/kartor/A 51389-2023 karta.png", "A 51389-2023")</f>
        <v/>
      </c>
      <c r="V872">
        <f>HYPERLINK("https://klasma.github.io/Logging_2523/klagomål/A 51389-2023 FSC-klagomål.docx", "A 51389-2023")</f>
        <v/>
      </c>
      <c r="W872">
        <f>HYPERLINK("https://klasma.github.io/Logging_2523/klagomålsmail/A 51389-2023 FSC-klagomål mail.docx", "A 51389-2023")</f>
        <v/>
      </c>
      <c r="X872">
        <f>HYPERLINK("https://klasma.github.io/Logging_2523/tillsyn/A 51389-2023 tillsynsbegäran.docx", "A 51389-2023")</f>
        <v/>
      </c>
      <c r="Y872">
        <f>HYPERLINK("https://klasma.github.io/Logging_2523/tillsynsmail/A 51389-2023 tillsynsbegäran mail.docx", "A 51389-2023")</f>
        <v/>
      </c>
      <c r="Z872">
        <f>HYPERLINK("https://klasma.github.io/Logging_2523/fåglar/A 51389-2023 prioriterade fågelarter.docx", "A 51389-2023")</f>
        <v/>
      </c>
    </row>
    <row r="873" ht="15" customHeight="1">
      <c r="A873" t="inlineStr">
        <is>
          <t>A 50382-2023</t>
        </is>
      </c>
      <c r="B873" s="1" t="n">
        <v>45216</v>
      </c>
      <c r="C873" s="1" t="n">
        <v>45798</v>
      </c>
      <c r="D873" t="inlineStr">
        <is>
          <t>NORRBOTTENS LÄN</t>
        </is>
      </c>
      <c r="E873" t="inlineStr">
        <is>
          <t>PAJALA</t>
        </is>
      </c>
      <c r="F873" t="inlineStr">
        <is>
          <t>Sveaskog</t>
        </is>
      </c>
      <c r="G873" t="n">
        <v>4</v>
      </c>
      <c r="H873" t="n">
        <v>0</v>
      </c>
      <c r="I873" t="n">
        <v>0</v>
      </c>
      <c r="J873" t="n">
        <v>0</v>
      </c>
      <c r="K873" t="n">
        <v>1</v>
      </c>
      <c r="L873" t="n">
        <v>0</v>
      </c>
      <c r="M873" t="n">
        <v>0</v>
      </c>
      <c r="N873" t="n">
        <v>0</v>
      </c>
      <c r="O873" t="n">
        <v>1</v>
      </c>
      <c r="P873" t="n">
        <v>1</v>
      </c>
      <c r="Q873" t="n">
        <v>1</v>
      </c>
      <c r="R873" s="2" t="inlineStr">
        <is>
          <t>Lappticka</t>
        </is>
      </c>
      <c r="S873">
        <f>HYPERLINK("https://klasma.github.io/Logging_2521/artfynd/A 50382-2023 artfynd.xlsx", "A 50382-2023")</f>
        <v/>
      </c>
      <c r="T873">
        <f>HYPERLINK("https://klasma.github.io/Logging_2521/kartor/A 50382-2023 karta.png", "A 50382-2023")</f>
        <v/>
      </c>
      <c r="V873">
        <f>HYPERLINK("https://klasma.github.io/Logging_2521/klagomål/A 50382-2023 FSC-klagomål.docx", "A 50382-2023")</f>
        <v/>
      </c>
      <c r="W873">
        <f>HYPERLINK("https://klasma.github.io/Logging_2521/klagomålsmail/A 50382-2023 FSC-klagomål mail.docx", "A 50382-2023")</f>
        <v/>
      </c>
      <c r="X873">
        <f>HYPERLINK("https://klasma.github.io/Logging_2521/tillsyn/A 50382-2023 tillsynsbegäran.docx", "A 50382-2023")</f>
        <v/>
      </c>
      <c r="Y873">
        <f>HYPERLINK("https://klasma.github.io/Logging_2521/tillsynsmail/A 50382-2023 tillsynsbegäran mail.docx", "A 50382-2023")</f>
        <v/>
      </c>
    </row>
    <row r="874" ht="15" customHeight="1">
      <c r="A874" t="inlineStr">
        <is>
          <t>A 50377-2023</t>
        </is>
      </c>
      <c r="B874" s="1" t="n">
        <v>45216</v>
      </c>
      <c r="C874" s="1" t="n">
        <v>45798</v>
      </c>
      <c r="D874" t="inlineStr">
        <is>
          <t>NORRBOTTENS LÄN</t>
        </is>
      </c>
      <c r="E874" t="inlineStr">
        <is>
          <t>PAJALA</t>
        </is>
      </c>
      <c r="F874" t="inlineStr">
        <is>
          <t>Sveaskog</t>
        </is>
      </c>
      <c r="G874" t="n">
        <v>2.6</v>
      </c>
      <c r="H874" t="n">
        <v>0</v>
      </c>
      <c r="I874" t="n">
        <v>0</v>
      </c>
      <c r="J874" t="n">
        <v>1</v>
      </c>
      <c r="K874" t="n">
        <v>0</v>
      </c>
      <c r="L874" t="n">
        <v>0</v>
      </c>
      <c r="M874" t="n">
        <v>0</v>
      </c>
      <c r="N874" t="n">
        <v>0</v>
      </c>
      <c r="O874" t="n">
        <v>1</v>
      </c>
      <c r="P874" t="n">
        <v>0</v>
      </c>
      <c r="Q874" t="n">
        <v>1</v>
      </c>
      <c r="R874" s="2" t="inlineStr">
        <is>
          <t>Motaggsvamp</t>
        </is>
      </c>
      <c r="S874">
        <f>HYPERLINK("https://klasma.github.io/Logging_2521/artfynd/A 50377-2023 artfynd.xlsx", "A 50377-2023")</f>
        <v/>
      </c>
      <c r="T874">
        <f>HYPERLINK("https://klasma.github.io/Logging_2521/kartor/A 50377-2023 karta.png", "A 50377-2023")</f>
        <v/>
      </c>
      <c r="V874">
        <f>HYPERLINK("https://klasma.github.io/Logging_2521/klagomål/A 50377-2023 FSC-klagomål.docx", "A 50377-2023")</f>
        <v/>
      </c>
      <c r="W874">
        <f>HYPERLINK("https://klasma.github.io/Logging_2521/klagomålsmail/A 50377-2023 FSC-klagomål mail.docx", "A 50377-2023")</f>
        <v/>
      </c>
      <c r="X874">
        <f>HYPERLINK("https://klasma.github.io/Logging_2521/tillsyn/A 50377-2023 tillsynsbegäran.docx", "A 50377-2023")</f>
        <v/>
      </c>
      <c r="Y874">
        <f>HYPERLINK("https://klasma.github.io/Logging_2521/tillsynsmail/A 50377-2023 tillsynsbegäran mail.docx", "A 50377-2023")</f>
        <v/>
      </c>
    </row>
    <row r="875" ht="15" customHeight="1">
      <c r="A875" t="inlineStr">
        <is>
          <t>A 51371-2023</t>
        </is>
      </c>
      <c r="B875" s="1" t="n">
        <v>45219</v>
      </c>
      <c r="C875" s="1" t="n">
        <v>45798</v>
      </c>
      <c r="D875" t="inlineStr">
        <is>
          <t>NORRBOTTENS LÄN</t>
        </is>
      </c>
      <c r="E875" t="inlineStr">
        <is>
          <t>PITEÅ</t>
        </is>
      </c>
      <c r="G875" t="n">
        <v>9.800000000000001</v>
      </c>
      <c r="H875" t="n">
        <v>1</v>
      </c>
      <c r="I875" t="n">
        <v>0</v>
      </c>
      <c r="J875" t="n">
        <v>0</v>
      </c>
      <c r="K875" t="n">
        <v>1</v>
      </c>
      <c r="L875" t="n">
        <v>0</v>
      </c>
      <c r="M875" t="n">
        <v>0</v>
      </c>
      <c r="N875" t="n">
        <v>0</v>
      </c>
      <c r="O875" t="n">
        <v>1</v>
      </c>
      <c r="P875" t="n">
        <v>1</v>
      </c>
      <c r="Q875" t="n">
        <v>1</v>
      </c>
      <c r="R875" s="2" t="inlineStr">
        <is>
          <t>Norna</t>
        </is>
      </c>
      <c r="S875">
        <f>HYPERLINK("https://klasma.github.io/Logging_2581/artfynd/A 51371-2023 artfynd.xlsx", "A 51371-2023")</f>
        <v/>
      </c>
      <c r="T875">
        <f>HYPERLINK("https://klasma.github.io/Logging_2581/kartor/A 51371-2023 karta.png", "A 51371-2023")</f>
        <v/>
      </c>
      <c r="V875">
        <f>HYPERLINK("https://klasma.github.io/Logging_2581/klagomål/A 51371-2023 FSC-klagomål.docx", "A 51371-2023")</f>
        <v/>
      </c>
      <c r="W875">
        <f>HYPERLINK("https://klasma.github.io/Logging_2581/klagomålsmail/A 51371-2023 FSC-klagomål mail.docx", "A 51371-2023")</f>
        <v/>
      </c>
      <c r="X875">
        <f>HYPERLINK("https://klasma.github.io/Logging_2581/tillsyn/A 51371-2023 tillsynsbegäran.docx", "A 51371-2023")</f>
        <v/>
      </c>
      <c r="Y875">
        <f>HYPERLINK("https://klasma.github.io/Logging_2581/tillsynsmail/A 51371-2023 tillsynsbegäran mail.docx", "A 51371-2023")</f>
        <v/>
      </c>
    </row>
    <row r="876" ht="15" customHeight="1">
      <c r="A876" t="inlineStr">
        <is>
          <t>A 51580-2023</t>
        </is>
      </c>
      <c r="B876" s="1" t="n">
        <v>45222</v>
      </c>
      <c r="C876" s="1" t="n">
        <v>45798</v>
      </c>
      <c r="D876" t="inlineStr">
        <is>
          <t>NORRBOTTENS LÄN</t>
        </is>
      </c>
      <c r="E876" t="inlineStr">
        <is>
          <t>JOKKMOKK</t>
        </is>
      </c>
      <c r="G876" t="n">
        <v>11.1</v>
      </c>
      <c r="H876" t="n">
        <v>1</v>
      </c>
      <c r="I876" t="n">
        <v>0</v>
      </c>
      <c r="J876" t="n">
        <v>0</v>
      </c>
      <c r="K876" t="n">
        <v>1</v>
      </c>
      <c r="L876" t="n">
        <v>0</v>
      </c>
      <c r="M876" t="n">
        <v>0</v>
      </c>
      <c r="N876" t="n">
        <v>0</v>
      </c>
      <c r="O876" t="n">
        <v>1</v>
      </c>
      <c r="P876" t="n">
        <v>1</v>
      </c>
      <c r="Q876" t="n">
        <v>1</v>
      </c>
      <c r="R876" s="2" t="inlineStr">
        <is>
          <t>Norna</t>
        </is>
      </c>
      <c r="S876">
        <f>HYPERLINK("https://klasma.github.io/Logging_2510/artfynd/A 51580-2023 artfynd.xlsx", "A 51580-2023")</f>
        <v/>
      </c>
      <c r="T876">
        <f>HYPERLINK("https://klasma.github.io/Logging_2510/kartor/A 51580-2023 karta.png", "A 51580-2023")</f>
        <v/>
      </c>
      <c r="V876">
        <f>HYPERLINK("https://klasma.github.io/Logging_2510/klagomål/A 51580-2023 FSC-klagomål.docx", "A 51580-2023")</f>
        <v/>
      </c>
      <c r="W876">
        <f>HYPERLINK("https://klasma.github.io/Logging_2510/klagomålsmail/A 51580-2023 FSC-klagomål mail.docx", "A 51580-2023")</f>
        <v/>
      </c>
      <c r="X876">
        <f>HYPERLINK("https://klasma.github.io/Logging_2510/tillsyn/A 51580-2023 tillsynsbegäran.docx", "A 51580-2023")</f>
        <v/>
      </c>
      <c r="Y876">
        <f>HYPERLINK("https://klasma.github.io/Logging_2510/tillsynsmail/A 51580-2023 tillsynsbegäran mail.docx", "A 51580-2023")</f>
        <v/>
      </c>
    </row>
    <row r="877" ht="15" customHeight="1">
      <c r="A877" t="inlineStr">
        <is>
          <t>A 52268-2023</t>
        </is>
      </c>
      <c r="B877" s="1" t="n">
        <v>45224</v>
      </c>
      <c r="C877" s="1" t="n">
        <v>45798</v>
      </c>
      <c r="D877" t="inlineStr">
        <is>
          <t>NORRBOTTENS LÄN</t>
        </is>
      </c>
      <c r="E877" t="inlineStr">
        <is>
          <t>PITEÅ</t>
        </is>
      </c>
      <c r="G877" t="n">
        <v>4</v>
      </c>
      <c r="H877" t="n">
        <v>1</v>
      </c>
      <c r="I877" t="n">
        <v>0</v>
      </c>
      <c r="J877" t="n">
        <v>0</v>
      </c>
      <c r="K877" t="n">
        <v>0</v>
      </c>
      <c r="L877" t="n">
        <v>0</v>
      </c>
      <c r="M877" t="n">
        <v>0</v>
      </c>
      <c r="N877" t="n">
        <v>0</v>
      </c>
      <c r="O877" t="n">
        <v>0</v>
      </c>
      <c r="P877" t="n">
        <v>0</v>
      </c>
      <c r="Q877" t="n">
        <v>1</v>
      </c>
      <c r="R877" s="2" t="inlineStr">
        <is>
          <t>Revlummer</t>
        </is>
      </c>
      <c r="S877">
        <f>HYPERLINK("https://klasma.github.io/Logging_2581/artfynd/A 52268-2023 artfynd.xlsx", "A 52268-2023")</f>
        <v/>
      </c>
      <c r="T877">
        <f>HYPERLINK("https://klasma.github.io/Logging_2581/kartor/A 52268-2023 karta.png", "A 52268-2023")</f>
        <v/>
      </c>
      <c r="V877">
        <f>HYPERLINK("https://klasma.github.io/Logging_2581/klagomål/A 52268-2023 FSC-klagomål.docx", "A 52268-2023")</f>
        <v/>
      </c>
      <c r="W877">
        <f>HYPERLINK("https://klasma.github.io/Logging_2581/klagomålsmail/A 52268-2023 FSC-klagomål mail.docx", "A 52268-2023")</f>
        <v/>
      </c>
      <c r="X877">
        <f>HYPERLINK("https://klasma.github.io/Logging_2581/tillsyn/A 52268-2023 tillsynsbegäran.docx", "A 52268-2023")</f>
        <v/>
      </c>
      <c r="Y877">
        <f>HYPERLINK("https://klasma.github.io/Logging_2581/tillsynsmail/A 52268-2023 tillsynsbegäran mail.docx", "A 52268-2023")</f>
        <v/>
      </c>
    </row>
    <row r="878" ht="15" customHeight="1">
      <c r="A878" t="inlineStr">
        <is>
          <t>A 52394-2023</t>
        </is>
      </c>
      <c r="B878" s="1" t="n">
        <v>45224</v>
      </c>
      <c r="C878" s="1" t="n">
        <v>45798</v>
      </c>
      <c r="D878" t="inlineStr">
        <is>
          <t>NORRBOTTENS LÄN</t>
        </is>
      </c>
      <c r="E878" t="inlineStr">
        <is>
          <t>BODEN</t>
        </is>
      </c>
      <c r="F878" t="inlineStr">
        <is>
          <t>SCA</t>
        </is>
      </c>
      <c r="G878" t="n">
        <v>6.3</v>
      </c>
      <c r="H878" t="n">
        <v>0</v>
      </c>
      <c r="I878" t="n">
        <v>0</v>
      </c>
      <c r="J878" t="n">
        <v>1</v>
      </c>
      <c r="K878" t="n">
        <v>0</v>
      </c>
      <c r="L878" t="n">
        <v>0</v>
      </c>
      <c r="M878" t="n">
        <v>0</v>
      </c>
      <c r="N878" t="n">
        <v>0</v>
      </c>
      <c r="O878" t="n">
        <v>1</v>
      </c>
      <c r="P878" t="n">
        <v>0</v>
      </c>
      <c r="Q878" t="n">
        <v>1</v>
      </c>
      <c r="R878" s="2" t="inlineStr">
        <is>
          <t>Koralltaggsvamp</t>
        </is>
      </c>
      <c r="S878">
        <f>HYPERLINK("https://klasma.github.io/Logging_2582/artfynd/A 52394-2023 artfynd.xlsx", "A 52394-2023")</f>
        <v/>
      </c>
      <c r="T878">
        <f>HYPERLINK("https://klasma.github.io/Logging_2582/kartor/A 52394-2023 karta.png", "A 52394-2023")</f>
        <v/>
      </c>
      <c r="V878">
        <f>HYPERLINK("https://klasma.github.io/Logging_2582/klagomål/A 52394-2023 FSC-klagomål.docx", "A 52394-2023")</f>
        <v/>
      </c>
      <c r="W878">
        <f>HYPERLINK("https://klasma.github.io/Logging_2582/klagomålsmail/A 52394-2023 FSC-klagomål mail.docx", "A 52394-2023")</f>
        <v/>
      </c>
      <c r="X878">
        <f>HYPERLINK("https://klasma.github.io/Logging_2582/tillsyn/A 52394-2023 tillsynsbegäran.docx", "A 52394-2023")</f>
        <v/>
      </c>
      <c r="Y878">
        <f>HYPERLINK("https://klasma.github.io/Logging_2582/tillsynsmail/A 52394-2023 tillsynsbegäran mail.docx", "A 52394-2023")</f>
        <v/>
      </c>
    </row>
    <row r="879" ht="15" customHeight="1">
      <c r="A879" t="inlineStr">
        <is>
          <t>A 52537-2023</t>
        </is>
      </c>
      <c r="B879" s="1" t="n">
        <v>45225</v>
      </c>
      <c r="C879" s="1" t="n">
        <v>45798</v>
      </c>
      <c r="D879" t="inlineStr">
        <is>
          <t>NORRBOTTENS LÄN</t>
        </is>
      </c>
      <c r="E879" t="inlineStr">
        <is>
          <t>JOKKMOKK</t>
        </is>
      </c>
      <c r="F879" t="inlineStr">
        <is>
          <t>Övriga statliga verk och myndigheter</t>
        </is>
      </c>
      <c r="G879" t="n">
        <v>15.3</v>
      </c>
      <c r="H879" t="n">
        <v>0</v>
      </c>
      <c r="I879" t="n">
        <v>0</v>
      </c>
      <c r="J879" t="n">
        <v>1</v>
      </c>
      <c r="K879" t="n">
        <v>0</v>
      </c>
      <c r="L879" t="n">
        <v>0</v>
      </c>
      <c r="M879" t="n">
        <v>0</v>
      </c>
      <c r="N879" t="n">
        <v>0</v>
      </c>
      <c r="O879" t="n">
        <v>1</v>
      </c>
      <c r="P879" t="n">
        <v>0</v>
      </c>
      <c r="Q879" t="n">
        <v>1</v>
      </c>
      <c r="R879" s="2" t="inlineStr">
        <is>
          <t>Reliktbock</t>
        </is>
      </c>
      <c r="S879">
        <f>HYPERLINK("https://klasma.github.io/Logging_2510/artfynd/A 52537-2023 artfynd.xlsx", "A 52537-2023")</f>
        <v/>
      </c>
      <c r="T879">
        <f>HYPERLINK("https://klasma.github.io/Logging_2510/kartor/A 52537-2023 karta.png", "A 52537-2023")</f>
        <v/>
      </c>
      <c r="V879">
        <f>HYPERLINK("https://klasma.github.io/Logging_2510/klagomål/A 52537-2023 FSC-klagomål.docx", "A 52537-2023")</f>
        <v/>
      </c>
      <c r="W879">
        <f>HYPERLINK("https://klasma.github.io/Logging_2510/klagomålsmail/A 52537-2023 FSC-klagomål mail.docx", "A 52537-2023")</f>
        <v/>
      </c>
      <c r="X879">
        <f>HYPERLINK("https://klasma.github.io/Logging_2510/tillsyn/A 52537-2023 tillsynsbegäran.docx", "A 52537-2023")</f>
        <v/>
      </c>
      <c r="Y879">
        <f>HYPERLINK("https://klasma.github.io/Logging_2510/tillsynsmail/A 52537-2023 tillsynsbegäran mail.docx", "A 52537-2023")</f>
        <v/>
      </c>
    </row>
    <row r="880" ht="15" customHeight="1">
      <c r="A880" t="inlineStr">
        <is>
          <t>A 56564-2023</t>
        </is>
      </c>
      <c r="B880" s="1" t="n">
        <v>45237</v>
      </c>
      <c r="C880" s="1" t="n">
        <v>45798</v>
      </c>
      <c r="D880" t="inlineStr">
        <is>
          <t>NORRBOTTENS LÄN</t>
        </is>
      </c>
      <c r="E880" t="inlineStr">
        <is>
          <t>LULEÅ</t>
        </is>
      </c>
      <c r="G880" t="n">
        <v>33</v>
      </c>
      <c r="H880" t="n">
        <v>1</v>
      </c>
      <c r="I880" t="n">
        <v>0</v>
      </c>
      <c r="J880" t="n">
        <v>1</v>
      </c>
      <c r="K880" t="n">
        <v>0</v>
      </c>
      <c r="L880" t="n">
        <v>0</v>
      </c>
      <c r="M880" t="n">
        <v>0</v>
      </c>
      <c r="N880" t="n">
        <v>0</v>
      </c>
      <c r="O880" t="n">
        <v>1</v>
      </c>
      <c r="P880" t="n">
        <v>0</v>
      </c>
      <c r="Q880" t="n">
        <v>1</v>
      </c>
      <c r="R880" s="2" t="inlineStr">
        <is>
          <t>Järpe</t>
        </is>
      </c>
      <c r="S880">
        <f>HYPERLINK("https://klasma.github.io/Logging_2580/artfynd/A 56564-2023 artfynd.xlsx", "A 56564-2023")</f>
        <v/>
      </c>
      <c r="T880">
        <f>HYPERLINK("https://klasma.github.io/Logging_2580/kartor/A 56564-2023 karta.png", "A 56564-2023")</f>
        <v/>
      </c>
      <c r="V880">
        <f>HYPERLINK("https://klasma.github.io/Logging_2580/klagomål/A 56564-2023 FSC-klagomål.docx", "A 56564-2023")</f>
        <v/>
      </c>
      <c r="W880">
        <f>HYPERLINK("https://klasma.github.io/Logging_2580/klagomålsmail/A 56564-2023 FSC-klagomål mail.docx", "A 56564-2023")</f>
        <v/>
      </c>
      <c r="X880">
        <f>HYPERLINK("https://klasma.github.io/Logging_2580/tillsyn/A 56564-2023 tillsynsbegäran.docx", "A 56564-2023")</f>
        <v/>
      </c>
      <c r="Y880">
        <f>HYPERLINK("https://klasma.github.io/Logging_2580/tillsynsmail/A 56564-2023 tillsynsbegäran mail.docx", "A 56564-2023")</f>
        <v/>
      </c>
      <c r="Z880">
        <f>HYPERLINK("https://klasma.github.io/Logging_2580/fåglar/A 56564-2023 prioriterade fågelarter.docx", "A 56564-2023")</f>
        <v/>
      </c>
    </row>
    <row r="881" ht="15" customHeight="1">
      <c r="A881" t="inlineStr">
        <is>
          <t>A 56190-2023</t>
        </is>
      </c>
      <c r="B881" s="1" t="n">
        <v>45240</v>
      </c>
      <c r="C881" s="1" t="n">
        <v>45798</v>
      </c>
      <c r="D881" t="inlineStr">
        <is>
          <t>NORRBOTTENS LÄN</t>
        </is>
      </c>
      <c r="E881" t="inlineStr">
        <is>
          <t>KALIX</t>
        </is>
      </c>
      <c r="G881" t="n">
        <v>1.5</v>
      </c>
      <c r="H881" t="n">
        <v>0</v>
      </c>
      <c r="I881" t="n">
        <v>0</v>
      </c>
      <c r="J881" t="n">
        <v>1</v>
      </c>
      <c r="K881" t="n">
        <v>0</v>
      </c>
      <c r="L881" t="n">
        <v>0</v>
      </c>
      <c r="M881" t="n">
        <v>0</v>
      </c>
      <c r="N881" t="n">
        <v>0</v>
      </c>
      <c r="O881" t="n">
        <v>1</v>
      </c>
      <c r="P881" t="n">
        <v>0</v>
      </c>
      <c r="Q881" t="n">
        <v>1</v>
      </c>
      <c r="R881" s="2" t="inlineStr">
        <is>
          <t>Garnlav</t>
        </is>
      </c>
      <c r="S881">
        <f>HYPERLINK("https://klasma.github.io/Logging_2514/artfynd/A 56190-2023 artfynd.xlsx", "A 56190-2023")</f>
        <v/>
      </c>
      <c r="T881">
        <f>HYPERLINK("https://klasma.github.io/Logging_2514/kartor/A 56190-2023 karta.png", "A 56190-2023")</f>
        <v/>
      </c>
      <c r="V881">
        <f>HYPERLINK("https://klasma.github.io/Logging_2514/klagomål/A 56190-2023 FSC-klagomål.docx", "A 56190-2023")</f>
        <v/>
      </c>
      <c r="W881">
        <f>HYPERLINK("https://klasma.github.io/Logging_2514/klagomålsmail/A 56190-2023 FSC-klagomål mail.docx", "A 56190-2023")</f>
        <v/>
      </c>
      <c r="X881">
        <f>HYPERLINK("https://klasma.github.io/Logging_2514/tillsyn/A 56190-2023 tillsynsbegäran.docx", "A 56190-2023")</f>
        <v/>
      </c>
      <c r="Y881">
        <f>HYPERLINK("https://klasma.github.io/Logging_2514/tillsynsmail/A 56190-2023 tillsynsbegäran mail.docx", "A 56190-2023")</f>
        <v/>
      </c>
    </row>
    <row r="882" ht="15" customHeight="1">
      <c r="A882" t="inlineStr">
        <is>
          <t>A 56592-2023</t>
        </is>
      </c>
      <c r="B882" s="1" t="n">
        <v>45243</v>
      </c>
      <c r="C882" s="1" t="n">
        <v>45798</v>
      </c>
      <c r="D882" t="inlineStr">
        <is>
          <t>NORRBOTTENS LÄN</t>
        </is>
      </c>
      <c r="E882" t="inlineStr">
        <is>
          <t>PITEÅ</t>
        </is>
      </c>
      <c r="F882" t="inlineStr">
        <is>
          <t>Sveaskog</t>
        </is>
      </c>
      <c r="G882" t="n">
        <v>22.6</v>
      </c>
      <c r="H882" t="n">
        <v>1</v>
      </c>
      <c r="I882" t="n">
        <v>0</v>
      </c>
      <c r="J882" t="n">
        <v>0</v>
      </c>
      <c r="K882" t="n">
        <v>0</v>
      </c>
      <c r="L882" t="n">
        <v>0</v>
      </c>
      <c r="M882" t="n">
        <v>0</v>
      </c>
      <c r="N882" t="n">
        <v>0</v>
      </c>
      <c r="O882" t="n">
        <v>0</v>
      </c>
      <c r="P882" t="n">
        <v>0</v>
      </c>
      <c r="Q882" t="n">
        <v>1</v>
      </c>
      <c r="R882" s="2" t="inlineStr">
        <is>
          <t>Mattlummer</t>
        </is>
      </c>
      <c r="S882">
        <f>HYPERLINK("https://klasma.github.io/Logging_2581/artfynd/A 56592-2023 artfynd.xlsx", "A 56592-2023")</f>
        <v/>
      </c>
      <c r="T882">
        <f>HYPERLINK("https://klasma.github.io/Logging_2581/kartor/A 56592-2023 karta.png", "A 56592-2023")</f>
        <v/>
      </c>
      <c r="V882">
        <f>HYPERLINK("https://klasma.github.io/Logging_2581/klagomål/A 56592-2023 FSC-klagomål.docx", "A 56592-2023")</f>
        <v/>
      </c>
      <c r="W882">
        <f>HYPERLINK("https://klasma.github.io/Logging_2581/klagomålsmail/A 56592-2023 FSC-klagomål mail.docx", "A 56592-2023")</f>
        <v/>
      </c>
      <c r="X882">
        <f>HYPERLINK("https://klasma.github.io/Logging_2581/tillsyn/A 56592-2023 tillsynsbegäran.docx", "A 56592-2023")</f>
        <v/>
      </c>
      <c r="Y882">
        <f>HYPERLINK("https://klasma.github.io/Logging_2581/tillsynsmail/A 56592-2023 tillsynsbegäran mail.docx", "A 56592-2023")</f>
        <v/>
      </c>
    </row>
    <row r="883" ht="15" customHeight="1">
      <c r="A883" t="inlineStr">
        <is>
          <t>A 58068-2023</t>
        </is>
      </c>
      <c r="B883" s="1" t="n">
        <v>45247</v>
      </c>
      <c r="C883" s="1" t="n">
        <v>45798</v>
      </c>
      <c r="D883" t="inlineStr">
        <is>
          <t>NORRBOTTENS LÄN</t>
        </is>
      </c>
      <c r="E883" t="inlineStr">
        <is>
          <t>JOKKMOKK</t>
        </is>
      </c>
      <c r="G883" t="n">
        <v>3.1</v>
      </c>
      <c r="H883" t="n">
        <v>0</v>
      </c>
      <c r="I883" t="n">
        <v>1</v>
      </c>
      <c r="J883" t="n">
        <v>0</v>
      </c>
      <c r="K883" t="n">
        <v>0</v>
      </c>
      <c r="L883" t="n">
        <v>0</v>
      </c>
      <c r="M883" t="n">
        <v>0</v>
      </c>
      <c r="N883" t="n">
        <v>0</v>
      </c>
      <c r="O883" t="n">
        <v>0</v>
      </c>
      <c r="P883" t="n">
        <v>0</v>
      </c>
      <c r="Q883" t="n">
        <v>1</v>
      </c>
      <c r="R883" s="2" t="inlineStr">
        <is>
          <t>Källmossa</t>
        </is>
      </c>
      <c r="S883">
        <f>HYPERLINK("https://klasma.github.io/Logging_2510/artfynd/A 58068-2023 artfynd.xlsx", "A 58068-2023")</f>
        <v/>
      </c>
      <c r="T883">
        <f>HYPERLINK("https://klasma.github.io/Logging_2510/kartor/A 58068-2023 karta.png", "A 58068-2023")</f>
        <v/>
      </c>
      <c r="V883">
        <f>HYPERLINK("https://klasma.github.io/Logging_2510/klagomål/A 58068-2023 FSC-klagomål.docx", "A 58068-2023")</f>
        <v/>
      </c>
      <c r="W883">
        <f>HYPERLINK("https://klasma.github.io/Logging_2510/klagomålsmail/A 58068-2023 FSC-klagomål mail.docx", "A 58068-2023")</f>
        <v/>
      </c>
      <c r="X883">
        <f>HYPERLINK("https://klasma.github.io/Logging_2510/tillsyn/A 58068-2023 tillsynsbegäran.docx", "A 58068-2023")</f>
        <v/>
      </c>
      <c r="Y883">
        <f>HYPERLINK("https://klasma.github.io/Logging_2510/tillsynsmail/A 58068-2023 tillsynsbegäran mail.docx", "A 58068-2023")</f>
        <v/>
      </c>
    </row>
    <row r="884" ht="15" customHeight="1">
      <c r="A884" t="inlineStr">
        <is>
          <t>A 59466-2023</t>
        </is>
      </c>
      <c r="B884" s="1" t="n">
        <v>45254</v>
      </c>
      <c r="C884" s="1" t="n">
        <v>45798</v>
      </c>
      <c r="D884" t="inlineStr">
        <is>
          <t>NORRBOTTENS LÄN</t>
        </is>
      </c>
      <c r="E884" t="inlineStr">
        <is>
          <t>LULEÅ</t>
        </is>
      </c>
      <c r="F884" t="inlineStr">
        <is>
          <t>Sveaskog</t>
        </is>
      </c>
      <c r="G884" t="n">
        <v>0.4</v>
      </c>
      <c r="H884" t="n">
        <v>0</v>
      </c>
      <c r="I884" t="n">
        <v>0</v>
      </c>
      <c r="J884" t="n">
        <v>1</v>
      </c>
      <c r="K884" t="n">
        <v>0</v>
      </c>
      <c r="L884" t="n">
        <v>0</v>
      </c>
      <c r="M884" t="n">
        <v>0</v>
      </c>
      <c r="N884" t="n">
        <v>0</v>
      </c>
      <c r="O884" t="n">
        <v>1</v>
      </c>
      <c r="P884" t="n">
        <v>0</v>
      </c>
      <c r="Q884" t="n">
        <v>1</v>
      </c>
      <c r="R884" s="2" t="inlineStr">
        <is>
          <t>Motaggsvamp</t>
        </is>
      </c>
      <c r="S884">
        <f>HYPERLINK("https://klasma.github.io/Logging_2580/artfynd/A 59466-2023 artfynd.xlsx", "A 59466-2023")</f>
        <v/>
      </c>
      <c r="T884">
        <f>HYPERLINK("https://klasma.github.io/Logging_2580/kartor/A 59466-2023 karta.png", "A 59466-2023")</f>
        <v/>
      </c>
      <c r="V884">
        <f>HYPERLINK("https://klasma.github.io/Logging_2580/klagomål/A 59466-2023 FSC-klagomål.docx", "A 59466-2023")</f>
        <v/>
      </c>
      <c r="W884">
        <f>HYPERLINK("https://klasma.github.io/Logging_2580/klagomålsmail/A 59466-2023 FSC-klagomål mail.docx", "A 59466-2023")</f>
        <v/>
      </c>
      <c r="X884">
        <f>HYPERLINK("https://klasma.github.io/Logging_2580/tillsyn/A 59466-2023 tillsynsbegäran.docx", "A 59466-2023")</f>
        <v/>
      </c>
      <c r="Y884">
        <f>HYPERLINK("https://klasma.github.io/Logging_2580/tillsynsmail/A 59466-2023 tillsynsbegäran mail.docx", "A 59466-2023")</f>
        <v/>
      </c>
    </row>
    <row r="885" ht="15" customHeight="1">
      <c r="A885" t="inlineStr">
        <is>
          <t>A 60069-2023</t>
        </is>
      </c>
      <c r="B885" s="1" t="n">
        <v>45258</v>
      </c>
      <c r="C885" s="1" t="n">
        <v>45798</v>
      </c>
      <c r="D885" t="inlineStr">
        <is>
          <t>NORRBOTTENS LÄN</t>
        </is>
      </c>
      <c r="E885" t="inlineStr">
        <is>
          <t>PAJALA</t>
        </is>
      </c>
      <c r="G885" t="n">
        <v>4.4</v>
      </c>
      <c r="H885" t="n">
        <v>0</v>
      </c>
      <c r="I885" t="n">
        <v>0</v>
      </c>
      <c r="J885" t="n">
        <v>1</v>
      </c>
      <c r="K885" t="n">
        <v>0</v>
      </c>
      <c r="L885" t="n">
        <v>0</v>
      </c>
      <c r="M885" t="n">
        <v>0</v>
      </c>
      <c r="N885" t="n">
        <v>0</v>
      </c>
      <c r="O885" t="n">
        <v>1</v>
      </c>
      <c r="P885" t="n">
        <v>0</v>
      </c>
      <c r="Q885" t="n">
        <v>1</v>
      </c>
      <c r="R885" s="2" t="inlineStr">
        <is>
          <t>Garnlav</t>
        </is>
      </c>
      <c r="S885">
        <f>HYPERLINK("https://klasma.github.io/Logging_2521/artfynd/A 60069-2023 artfynd.xlsx", "A 60069-2023")</f>
        <v/>
      </c>
      <c r="T885">
        <f>HYPERLINK("https://klasma.github.io/Logging_2521/kartor/A 60069-2023 karta.png", "A 60069-2023")</f>
        <v/>
      </c>
      <c r="V885">
        <f>HYPERLINK("https://klasma.github.io/Logging_2521/klagomål/A 60069-2023 FSC-klagomål.docx", "A 60069-2023")</f>
        <v/>
      </c>
      <c r="W885">
        <f>HYPERLINK("https://klasma.github.io/Logging_2521/klagomålsmail/A 60069-2023 FSC-klagomål mail.docx", "A 60069-2023")</f>
        <v/>
      </c>
      <c r="X885">
        <f>HYPERLINK("https://klasma.github.io/Logging_2521/tillsyn/A 60069-2023 tillsynsbegäran.docx", "A 60069-2023")</f>
        <v/>
      </c>
      <c r="Y885">
        <f>HYPERLINK("https://klasma.github.io/Logging_2521/tillsynsmail/A 60069-2023 tillsynsbegäran mail.docx", "A 60069-2023")</f>
        <v/>
      </c>
    </row>
    <row r="886" ht="15" customHeight="1">
      <c r="A886" t="inlineStr">
        <is>
          <t>A 60970-2023</t>
        </is>
      </c>
      <c r="B886" s="1" t="n">
        <v>45261</v>
      </c>
      <c r="C886" s="1" t="n">
        <v>45798</v>
      </c>
      <c r="D886" t="inlineStr">
        <is>
          <t>NORRBOTTENS LÄN</t>
        </is>
      </c>
      <c r="E886" t="inlineStr">
        <is>
          <t>ÖVERKALIX</t>
        </is>
      </c>
      <c r="G886" t="n">
        <v>2.1</v>
      </c>
      <c r="H886" t="n">
        <v>0</v>
      </c>
      <c r="I886" t="n">
        <v>0</v>
      </c>
      <c r="J886" t="n">
        <v>1</v>
      </c>
      <c r="K886" t="n">
        <v>0</v>
      </c>
      <c r="L886" t="n">
        <v>0</v>
      </c>
      <c r="M886" t="n">
        <v>0</v>
      </c>
      <c r="N886" t="n">
        <v>0</v>
      </c>
      <c r="O886" t="n">
        <v>1</v>
      </c>
      <c r="P886" t="n">
        <v>0</v>
      </c>
      <c r="Q886" t="n">
        <v>1</v>
      </c>
      <c r="R886" s="2" t="inlineStr">
        <is>
          <t>Gammelgransskål</t>
        </is>
      </c>
      <c r="S886">
        <f>HYPERLINK("https://klasma.github.io/Logging_2513/artfynd/A 60970-2023 artfynd.xlsx", "A 60970-2023")</f>
        <v/>
      </c>
      <c r="T886">
        <f>HYPERLINK("https://klasma.github.io/Logging_2513/kartor/A 60970-2023 karta.png", "A 60970-2023")</f>
        <v/>
      </c>
      <c r="V886">
        <f>HYPERLINK("https://klasma.github.io/Logging_2513/klagomål/A 60970-2023 FSC-klagomål.docx", "A 60970-2023")</f>
        <v/>
      </c>
      <c r="W886">
        <f>HYPERLINK("https://klasma.github.io/Logging_2513/klagomålsmail/A 60970-2023 FSC-klagomål mail.docx", "A 60970-2023")</f>
        <v/>
      </c>
      <c r="X886">
        <f>HYPERLINK("https://klasma.github.io/Logging_2513/tillsyn/A 60970-2023 tillsynsbegäran.docx", "A 60970-2023")</f>
        <v/>
      </c>
      <c r="Y886">
        <f>HYPERLINK("https://klasma.github.io/Logging_2513/tillsynsmail/A 60970-2023 tillsynsbegäran mail.docx", "A 60970-2023")</f>
        <v/>
      </c>
    </row>
    <row r="887" ht="15" customHeight="1">
      <c r="A887" t="inlineStr">
        <is>
          <t>A 61645-2023</t>
        </is>
      </c>
      <c r="B887" s="1" t="n">
        <v>45265</v>
      </c>
      <c r="C887" s="1" t="n">
        <v>45798</v>
      </c>
      <c r="D887" t="inlineStr">
        <is>
          <t>NORRBOTTENS LÄN</t>
        </is>
      </c>
      <c r="E887" t="inlineStr">
        <is>
          <t>PITEÅ</t>
        </is>
      </c>
      <c r="G887" t="n">
        <v>6.1</v>
      </c>
      <c r="H887" t="n">
        <v>0</v>
      </c>
      <c r="I887" t="n">
        <v>0</v>
      </c>
      <c r="J887" t="n">
        <v>1</v>
      </c>
      <c r="K887" t="n">
        <v>0</v>
      </c>
      <c r="L887" t="n">
        <v>0</v>
      </c>
      <c r="M887" t="n">
        <v>0</v>
      </c>
      <c r="N887" t="n">
        <v>0</v>
      </c>
      <c r="O887" t="n">
        <v>1</v>
      </c>
      <c r="P887" t="n">
        <v>0</v>
      </c>
      <c r="Q887" t="n">
        <v>1</v>
      </c>
      <c r="R887" s="2" t="inlineStr">
        <is>
          <t>Garnlav</t>
        </is>
      </c>
      <c r="S887">
        <f>HYPERLINK("https://klasma.github.io/Logging_2581/artfynd/A 61645-2023 artfynd.xlsx", "A 61645-2023")</f>
        <v/>
      </c>
      <c r="T887">
        <f>HYPERLINK("https://klasma.github.io/Logging_2581/kartor/A 61645-2023 karta.png", "A 61645-2023")</f>
        <v/>
      </c>
      <c r="V887">
        <f>HYPERLINK("https://klasma.github.io/Logging_2581/klagomål/A 61645-2023 FSC-klagomål.docx", "A 61645-2023")</f>
        <v/>
      </c>
      <c r="W887">
        <f>HYPERLINK("https://klasma.github.io/Logging_2581/klagomålsmail/A 61645-2023 FSC-klagomål mail.docx", "A 61645-2023")</f>
        <v/>
      </c>
      <c r="X887">
        <f>HYPERLINK("https://klasma.github.io/Logging_2581/tillsyn/A 61645-2023 tillsynsbegäran.docx", "A 61645-2023")</f>
        <v/>
      </c>
      <c r="Y887">
        <f>HYPERLINK("https://klasma.github.io/Logging_2581/tillsynsmail/A 61645-2023 tillsynsbegäran mail.docx", "A 61645-2023")</f>
        <v/>
      </c>
    </row>
    <row r="888" ht="15" customHeight="1">
      <c r="A888" t="inlineStr">
        <is>
          <t>A 63879-2023</t>
        </is>
      </c>
      <c r="B888" s="1" t="n">
        <v>45278</v>
      </c>
      <c r="C888" s="1" t="n">
        <v>45798</v>
      </c>
      <c r="D888" t="inlineStr">
        <is>
          <t>NORRBOTTENS LÄN</t>
        </is>
      </c>
      <c r="E888" t="inlineStr">
        <is>
          <t>LULEÅ</t>
        </is>
      </c>
      <c r="G888" t="n">
        <v>4</v>
      </c>
      <c r="H888" t="n">
        <v>1</v>
      </c>
      <c r="I888" t="n">
        <v>0</v>
      </c>
      <c r="J888" t="n">
        <v>0</v>
      </c>
      <c r="K888" t="n">
        <v>0</v>
      </c>
      <c r="L888" t="n">
        <v>0</v>
      </c>
      <c r="M888" t="n">
        <v>0</v>
      </c>
      <c r="N888" t="n">
        <v>0</v>
      </c>
      <c r="O888" t="n">
        <v>0</v>
      </c>
      <c r="P888" t="n">
        <v>0</v>
      </c>
      <c r="Q888" t="n">
        <v>1</v>
      </c>
      <c r="R888" s="2" t="inlineStr">
        <is>
          <t>Nattviol</t>
        </is>
      </c>
      <c r="S888">
        <f>HYPERLINK("https://klasma.github.io/Logging_2580/artfynd/A 63879-2023 artfynd.xlsx", "A 63879-2023")</f>
        <v/>
      </c>
      <c r="T888">
        <f>HYPERLINK("https://klasma.github.io/Logging_2580/kartor/A 63879-2023 karta.png", "A 63879-2023")</f>
        <v/>
      </c>
      <c r="V888">
        <f>HYPERLINK("https://klasma.github.io/Logging_2580/klagomål/A 63879-2023 FSC-klagomål.docx", "A 63879-2023")</f>
        <v/>
      </c>
      <c r="W888">
        <f>HYPERLINK("https://klasma.github.io/Logging_2580/klagomålsmail/A 63879-2023 FSC-klagomål mail.docx", "A 63879-2023")</f>
        <v/>
      </c>
      <c r="X888">
        <f>HYPERLINK("https://klasma.github.io/Logging_2580/tillsyn/A 63879-2023 tillsynsbegäran.docx", "A 63879-2023")</f>
        <v/>
      </c>
      <c r="Y888">
        <f>HYPERLINK("https://klasma.github.io/Logging_2580/tillsynsmail/A 63879-2023 tillsynsbegäran mail.docx", "A 63879-2023")</f>
        <v/>
      </c>
    </row>
    <row r="889" ht="15" customHeight="1">
      <c r="A889" t="inlineStr">
        <is>
          <t>A 65183-2023</t>
        </is>
      </c>
      <c r="B889" s="1" t="n">
        <v>45288</v>
      </c>
      <c r="C889" s="1" t="n">
        <v>45798</v>
      </c>
      <c r="D889" t="inlineStr">
        <is>
          <t>NORRBOTTENS LÄN</t>
        </is>
      </c>
      <c r="E889" t="inlineStr">
        <is>
          <t>ÖVERTORNEÅ</t>
        </is>
      </c>
      <c r="G889" t="n">
        <v>8.300000000000001</v>
      </c>
      <c r="H889" t="n">
        <v>0</v>
      </c>
      <c r="I889" t="n">
        <v>0</v>
      </c>
      <c r="J889" t="n">
        <v>1</v>
      </c>
      <c r="K889" t="n">
        <v>0</v>
      </c>
      <c r="L889" t="n">
        <v>0</v>
      </c>
      <c r="M889" t="n">
        <v>0</v>
      </c>
      <c r="N889" t="n">
        <v>0</v>
      </c>
      <c r="O889" t="n">
        <v>1</v>
      </c>
      <c r="P889" t="n">
        <v>0</v>
      </c>
      <c r="Q889" t="n">
        <v>1</v>
      </c>
      <c r="R889" s="2" t="inlineStr">
        <is>
          <t>Garnlav</t>
        </is>
      </c>
      <c r="S889">
        <f>HYPERLINK("https://klasma.github.io/Logging_2518/artfynd/A 65183-2023 artfynd.xlsx", "A 65183-2023")</f>
        <v/>
      </c>
      <c r="T889">
        <f>HYPERLINK("https://klasma.github.io/Logging_2518/kartor/A 65183-2023 karta.png", "A 65183-2023")</f>
        <v/>
      </c>
      <c r="V889">
        <f>HYPERLINK("https://klasma.github.io/Logging_2518/klagomål/A 65183-2023 FSC-klagomål.docx", "A 65183-2023")</f>
        <v/>
      </c>
      <c r="W889">
        <f>HYPERLINK("https://klasma.github.io/Logging_2518/klagomålsmail/A 65183-2023 FSC-klagomål mail.docx", "A 65183-2023")</f>
        <v/>
      </c>
      <c r="X889">
        <f>HYPERLINK("https://klasma.github.io/Logging_2518/tillsyn/A 65183-2023 tillsynsbegäran.docx", "A 65183-2023")</f>
        <v/>
      </c>
      <c r="Y889">
        <f>HYPERLINK("https://klasma.github.io/Logging_2518/tillsynsmail/A 65183-2023 tillsynsbegäran mail.docx", "A 65183-2023")</f>
        <v/>
      </c>
    </row>
    <row r="890" ht="15" customHeight="1">
      <c r="A890" t="inlineStr">
        <is>
          <t>A 856-2024</t>
        </is>
      </c>
      <c r="B890" s="1" t="n">
        <v>45300</v>
      </c>
      <c r="C890" s="1" t="n">
        <v>45798</v>
      </c>
      <c r="D890" t="inlineStr">
        <is>
          <t>NORRBOTTENS LÄN</t>
        </is>
      </c>
      <c r="E890" t="inlineStr">
        <is>
          <t>ÖVERTORNEÅ</t>
        </is>
      </c>
      <c r="G890" t="n">
        <v>8.300000000000001</v>
      </c>
      <c r="H890" t="n">
        <v>0</v>
      </c>
      <c r="I890" t="n">
        <v>0</v>
      </c>
      <c r="J890" t="n">
        <v>1</v>
      </c>
      <c r="K890" t="n">
        <v>0</v>
      </c>
      <c r="L890" t="n">
        <v>0</v>
      </c>
      <c r="M890" t="n">
        <v>0</v>
      </c>
      <c r="N890" t="n">
        <v>0</v>
      </c>
      <c r="O890" t="n">
        <v>1</v>
      </c>
      <c r="P890" t="n">
        <v>0</v>
      </c>
      <c r="Q890" t="n">
        <v>1</v>
      </c>
      <c r="R890" s="2" t="inlineStr">
        <is>
          <t>Garnlav</t>
        </is>
      </c>
      <c r="S890">
        <f>HYPERLINK("https://klasma.github.io/Logging_2518/artfynd/A 856-2024 artfynd.xlsx", "A 856-2024")</f>
        <v/>
      </c>
      <c r="T890">
        <f>HYPERLINK("https://klasma.github.io/Logging_2518/kartor/A 856-2024 karta.png", "A 856-2024")</f>
        <v/>
      </c>
      <c r="V890">
        <f>HYPERLINK("https://klasma.github.io/Logging_2518/klagomål/A 856-2024 FSC-klagomål.docx", "A 856-2024")</f>
        <v/>
      </c>
      <c r="W890">
        <f>HYPERLINK("https://klasma.github.io/Logging_2518/klagomålsmail/A 856-2024 FSC-klagomål mail.docx", "A 856-2024")</f>
        <v/>
      </c>
      <c r="X890">
        <f>HYPERLINK("https://klasma.github.io/Logging_2518/tillsyn/A 856-2024 tillsynsbegäran.docx", "A 856-2024")</f>
        <v/>
      </c>
      <c r="Y890">
        <f>HYPERLINK("https://klasma.github.io/Logging_2518/tillsynsmail/A 856-2024 tillsynsbegäran mail.docx", "A 856-2024")</f>
        <v/>
      </c>
    </row>
    <row r="891" ht="15" customHeight="1">
      <c r="A891" t="inlineStr">
        <is>
          <t>A 1625-2024</t>
        </is>
      </c>
      <c r="B891" s="1" t="n">
        <v>45306</v>
      </c>
      <c r="C891" s="1" t="n">
        <v>45798</v>
      </c>
      <c r="D891" t="inlineStr">
        <is>
          <t>NORRBOTTENS LÄN</t>
        </is>
      </c>
      <c r="E891" t="inlineStr">
        <is>
          <t>GÄLLIVARE</t>
        </is>
      </c>
      <c r="F891" t="inlineStr">
        <is>
          <t>Sveaskog</t>
        </is>
      </c>
      <c r="G891" t="n">
        <v>6.6</v>
      </c>
      <c r="H891" t="n">
        <v>0</v>
      </c>
      <c r="I891" t="n">
        <v>0</v>
      </c>
      <c r="J891" t="n">
        <v>1</v>
      </c>
      <c r="K891" t="n">
        <v>0</v>
      </c>
      <c r="L891" t="n">
        <v>0</v>
      </c>
      <c r="M891" t="n">
        <v>0</v>
      </c>
      <c r="N891" t="n">
        <v>0</v>
      </c>
      <c r="O891" t="n">
        <v>1</v>
      </c>
      <c r="P891" t="n">
        <v>0</v>
      </c>
      <c r="Q891" t="n">
        <v>1</v>
      </c>
      <c r="R891" s="2" t="inlineStr">
        <is>
          <t>Orange taggsvamp</t>
        </is>
      </c>
      <c r="S891">
        <f>HYPERLINK("https://klasma.github.io/Logging_2523/artfynd/A 1625-2024 artfynd.xlsx", "A 1625-2024")</f>
        <v/>
      </c>
      <c r="T891">
        <f>HYPERLINK("https://klasma.github.io/Logging_2523/kartor/A 1625-2024 karta.png", "A 1625-2024")</f>
        <v/>
      </c>
      <c r="V891">
        <f>HYPERLINK("https://klasma.github.io/Logging_2523/klagomål/A 1625-2024 FSC-klagomål.docx", "A 1625-2024")</f>
        <v/>
      </c>
      <c r="W891">
        <f>HYPERLINK("https://klasma.github.io/Logging_2523/klagomålsmail/A 1625-2024 FSC-klagomål mail.docx", "A 1625-2024")</f>
        <v/>
      </c>
      <c r="X891">
        <f>HYPERLINK("https://klasma.github.io/Logging_2523/tillsyn/A 1625-2024 tillsynsbegäran.docx", "A 1625-2024")</f>
        <v/>
      </c>
      <c r="Y891">
        <f>HYPERLINK("https://klasma.github.io/Logging_2523/tillsynsmail/A 1625-2024 tillsynsbegäran mail.docx", "A 1625-2024")</f>
        <v/>
      </c>
    </row>
    <row r="892" ht="15" customHeight="1">
      <c r="A892" t="inlineStr">
        <is>
          <t>A 2568-2024</t>
        </is>
      </c>
      <c r="B892" s="1" t="n">
        <v>45313</v>
      </c>
      <c r="C892" s="1" t="n">
        <v>45798</v>
      </c>
      <c r="D892" t="inlineStr">
        <is>
          <t>NORRBOTTENS LÄN</t>
        </is>
      </c>
      <c r="E892" t="inlineStr">
        <is>
          <t>BODEN</t>
        </is>
      </c>
      <c r="G892" t="n">
        <v>1.6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2568-2024 artfynd.xlsx", "A 2568-2024")</f>
        <v/>
      </c>
      <c r="T892">
        <f>HYPERLINK("https://klasma.github.io/Logging_2582/kartor/A 2568-2024 karta.png", "A 2568-2024")</f>
        <v/>
      </c>
      <c r="V892">
        <f>HYPERLINK("https://klasma.github.io/Logging_2582/klagomål/A 2568-2024 FSC-klagomål.docx", "A 2568-2024")</f>
        <v/>
      </c>
      <c r="W892">
        <f>HYPERLINK("https://klasma.github.io/Logging_2582/klagomålsmail/A 2568-2024 FSC-klagomål mail.docx", "A 2568-2024")</f>
        <v/>
      </c>
      <c r="X892">
        <f>HYPERLINK("https://klasma.github.io/Logging_2582/tillsyn/A 2568-2024 tillsynsbegäran.docx", "A 2568-2024")</f>
        <v/>
      </c>
      <c r="Y892">
        <f>HYPERLINK("https://klasma.github.io/Logging_2582/tillsynsmail/A 2568-2024 tillsynsbegäran mail.docx", "A 2568-2024")</f>
        <v/>
      </c>
    </row>
    <row r="893" ht="15" customHeight="1">
      <c r="A893" t="inlineStr">
        <is>
          <t>A 4126-2024</t>
        </is>
      </c>
      <c r="B893" s="1" t="n">
        <v>45323</v>
      </c>
      <c r="C893" s="1" t="n">
        <v>45798</v>
      </c>
      <c r="D893" t="inlineStr">
        <is>
          <t>NORRBOTTENS LÄN</t>
        </is>
      </c>
      <c r="E893" t="inlineStr">
        <is>
          <t>PITEÅ</t>
        </is>
      </c>
      <c r="F893" t="inlineStr">
        <is>
          <t>Sveaskog</t>
        </is>
      </c>
      <c r="G893" t="n">
        <v>7.8</v>
      </c>
      <c r="H893" t="n">
        <v>0</v>
      </c>
      <c r="I893" t="n">
        <v>0</v>
      </c>
      <c r="J893" t="n">
        <v>1</v>
      </c>
      <c r="K893" t="n">
        <v>0</v>
      </c>
      <c r="L893" t="n">
        <v>0</v>
      </c>
      <c r="M893" t="n">
        <v>0</v>
      </c>
      <c r="N893" t="n">
        <v>0</v>
      </c>
      <c r="O893" t="n">
        <v>1</v>
      </c>
      <c r="P893" t="n">
        <v>0</v>
      </c>
      <c r="Q893" t="n">
        <v>1</v>
      </c>
      <c r="R893" s="2" t="inlineStr">
        <is>
          <t>Tallticka</t>
        </is>
      </c>
      <c r="S893">
        <f>HYPERLINK("https://klasma.github.io/Logging_2581/artfynd/A 4126-2024 artfynd.xlsx", "A 4126-2024")</f>
        <v/>
      </c>
      <c r="T893">
        <f>HYPERLINK("https://klasma.github.io/Logging_2581/kartor/A 4126-2024 karta.png", "A 4126-2024")</f>
        <v/>
      </c>
      <c r="V893">
        <f>HYPERLINK("https://klasma.github.io/Logging_2581/klagomål/A 4126-2024 FSC-klagomål.docx", "A 4126-2024")</f>
        <v/>
      </c>
      <c r="W893">
        <f>HYPERLINK("https://klasma.github.io/Logging_2581/klagomålsmail/A 4126-2024 FSC-klagomål mail.docx", "A 4126-2024")</f>
        <v/>
      </c>
      <c r="X893">
        <f>HYPERLINK("https://klasma.github.io/Logging_2581/tillsyn/A 4126-2024 tillsynsbegäran.docx", "A 4126-2024")</f>
        <v/>
      </c>
      <c r="Y893">
        <f>HYPERLINK("https://klasma.github.io/Logging_2581/tillsynsmail/A 4126-2024 tillsynsbegäran mail.docx", "A 4126-2024")</f>
        <v/>
      </c>
    </row>
    <row r="894" ht="15" customHeight="1">
      <c r="A894" t="inlineStr">
        <is>
          <t>A 4141-2024</t>
        </is>
      </c>
      <c r="B894" s="1" t="n">
        <v>45323</v>
      </c>
      <c r="C894" s="1" t="n">
        <v>45798</v>
      </c>
      <c r="D894" t="inlineStr">
        <is>
          <t>NORRBOTTENS LÄN</t>
        </is>
      </c>
      <c r="E894" t="inlineStr">
        <is>
          <t>LULEÅ</t>
        </is>
      </c>
      <c r="G894" t="n">
        <v>24</v>
      </c>
      <c r="H894" t="n">
        <v>1</v>
      </c>
      <c r="I894" t="n">
        <v>0</v>
      </c>
      <c r="J894" t="n">
        <v>1</v>
      </c>
      <c r="K894" t="n">
        <v>0</v>
      </c>
      <c r="L894" t="n">
        <v>0</v>
      </c>
      <c r="M894" t="n">
        <v>0</v>
      </c>
      <c r="N894" t="n">
        <v>0</v>
      </c>
      <c r="O894" t="n">
        <v>1</v>
      </c>
      <c r="P894" t="n">
        <v>0</v>
      </c>
      <c r="Q894" t="n">
        <v>1</v>
      </c>
      <c r="R894" s="2" t="inlineStr">
        <is>
          <t>Havsörn</t>
        </is>
      </c>
      <c r="S894">
        <f>HYPERLINK("https://klasma.github.io/Logging_2580/artfynd/A 4141-2024 artfynd.xlsx", "A 4141-2024")</f>
        <v/>
      </c>
      <c r="T894">
        <f>HYPERLINK("https://klasma.github.io/Logging_2580/kartor/A 4141-2024 karta.png", "A 4141-2024")</f>
        <v/>
      </c>
      <c r="V894">
        <f>HYPERLINK("https://klasma.github.io/Logging_2580/klagomål/A 4141-2024 FSC-klagomål.docx", "A 4141-2024")</f>
        <v/>
      </c>
      <c r="W894">
        <f>HYPERLINK("https://klasma.github.io/Logging_2580/klagomålsmail/A 4141-2024 FSC-klagomål mail.docx", "A 4141-2024")</f>
        <v/>
      </c>
      <c r="X894">
        <f>HYPERLINK("https://klasma.github.io/Logging_2580/tillsyn/A 4141-2024 tillsynsbegäran.docx", "A 4141-2024")</f>
        <v/>
      </c>
      <c r="Y894">
        <f>HYPERLINK("https://klasma.github.io/Logging_2580/tillsynsmail/A 4141-2024 tillsynsbegäran mail.docx", "A 4141-2024")</f>
        <v/>
      </c>
      <c r="Z894">
        <f>HYPERLINK("https://klasma.github.io/Logging_2580/fåglar/A 4141-2024 prioriterade fågelarter.docx", "A 4141-2024")</f>
        <v/>
      </c>
    </row>
    <row r="895" ht="15" customHeight="1">
      <c r="A895" t="inlineStr">
        <is>
          <t>A 4692-2024</t>
        </is>
      </c>
      <c r="B895" s="1" t="n">
        <v>45328</v>
      </c>
      <c r="C895" s="1" t="n">
        <v>45798</v>
      </c>
      <c r="D895" t="inlineStr">
        <is>
          <t>NORRBOTTENS LÄN</t>
        </is>
      </c>
      <c r="E895" t="inlineStr">
        <is>
          <t>LULEÅ</t>
        </is>
      </c>
      <c r="G895" t="n">
        <v>4</v>
      </c>
      <c r="H895" t="n">
        <v>1</v>
      </c>
      <c r="I895" t="n">
        <v>0</v>
      </c>
      <c r="J895" t="n">
        <v>0</v>
      </c>
      <c r="K895" t="n">
        <v>0</v>
      </c>
      <c r="L895" t="n">
        <v>0</v>
      </c>
      <c r="M895" t="n">
        <v>0</v>
      </c>
      <c r="N895" t="n">
        <v>0</v>
      </c>
      <c r="O895" t="n">
        <v>0</v>
      </c>
      <c r="P895" t="n">
        <v>0</v>
      </c>
      <c r="Q895" t="n">
        <v>1</v>
      </c>
      <c r="R895" s="2" t="inlineStr">
        <is>
          <t>Fläcknycklar</t>
        </is>
      </c>
      <c r="S895">
        <f>HYPERLINK("https://klasma.github.io/Logging_2580/artfynd/A 4692-2024 artfynd.xlsx", "A 4692-2024")</f>
        <v/>
      </c>
      <c r="T895">
        <f>HYPERLINK("https://klasma.github.io/Logging_2580/kartor/A 4692-2024 karta.png", "A 4692-2024")</f>
        <v/>
      </c>
      <c r="V895">
        <f>HYPERLINK("https://klasma.github.io/Logging_2580/klagomål/A 4692-2024 FSC-klagomål.docx", "A 4692-2024")</f>
        <v/>
      </c>
      <c r="W895">
        <f>HYPERLINK("https://klasma.github.io/Logging_2580/klagomålsmail/A 4692-2024 FSC-klagomål mail.docx", "A 4692-2024")</f>
        <v/>
      </c>
      <c r="X895">
        <f>HYPERLINK("https://klasma.github.io/Logging_2580/tillsyn/A 4692-2024 tillsynsbegäran.docx", "A 4692-2024")</f>
        <v/>
      </c>
      <c r="Y895">
        <f>HYPERLINK("https://klasma.github.io/Logging_2580/tillsynsmail/A 4692-2024 tillsynsbegäran mail.docx", "A 4692-2024")</f>
        <v/>
      </c>
    </row>
    <row r="896" ht="15" customHeight="1">
      <c r="A896" t="inlineStr">
        <is>
          <t>A 6275-2024</t>
        </is>
      </c>
      <c r="B896" s="1" t="n">
        <v>45337</v>
      </c>
      <c r="C896" s="1" t="n">
        <v>45798</v>
      </c>
      <c r="D896" t="inlineStr">
        <is>
          <t>NORRBOTTENS LÄN</t>
        </is>
      </c>
      <c r="E896" t="inlineStr">
        <is>
          <t>ÄLVSBYN</t>
        </is>
      </c>
      <c r="F896" t="inlineStr">
        <is>
          <t>SCA</t>
        </is>
      </c>
      <c r="G896" t="n">
        <v>2.4</v>
      </c>
      <c r="H896" t="n">
        <v>0</v>
      </c>
      <c r="I896" t="n">
        <v>0</v>
      </c>
      <c r="J896" t="n">
        <v>1</v>
      </c>
      <c r="K896" t="n">
        <v>0</v>
      </c>
      <c r="L896" t="n">
        <v>0</v>
      </c>
      <c r="M896" t="n">
        <v>0</v>
      </c>
      <c r="N896" t="n">
        <v>0</v>
      </c>
      <c r="O896" t="n">
        <v>1</v>
      </c>
      <c r="P896" t="n">
        <v>0</v>
      </c>
      <c r="Q896" t="n">
        <v>1</v>
      </c>
      <c r="R896" s="2" t="inlineStr">
        <is>
          <t>Granticka</t>
        </is>
      </c>
      <c r="S896">
        <f>HYPERLINK("https://klasma.github.io/Logging_2560/artfynd/A 6275-2024 artfynd.xlsx", "A 6275-2024")</f>
        <v/>
      </c>
      <c r="T896">
        <f>HYPERLINK("https://klasma.github.io/Logging_2560/kartor/A 6275-2024 karta.png", "A 6275-2024")</f>
        <v/>
      </c>
      <c r="V896">
        <f>HYPERLINK("https://klasma.github.io/Logging_2560/klagomål/A 6275-2024 FSC-klagomål.docx", "A 6275-2024")</f>
        <v/>
      </c>
      <c r="W896">
        <f>HYPERLINK("https://klasma.github.io/Logging_2560/klagomålsmail/A 6275-2024 FSC-klagomål mail.docx", "A 6275-2024")</f>
        <v/>
      </c>
      <c r="X896">
        <f>HYPERLINK("https://klasma.github.io/Logging_2560/tillsyn/A 6275-2024 tillsynsbegäran.docx", "A 6275-2024")</f>
        <v/>
      </c>
      <c r="Y896">
        <f>HYPERLINK("https://klasma.github.io/Logging_2560/tillsynsmail/A 6275-2024 tillsynsbegäran mail.docx", "A 6275-2024")</f>
        <v/>
      </c>
    </row>
    <row r="897" ht="15" customHeight="1">
      <c r="A897" t="inlineStr">
        <is>
          <t>A 7558-2024</t>
        </is>
      </c>
      <c r="B897" s="1" t="n">
        <v>45348</v>
      </c>
      <c r="C897" s="1" t="n">
        <v>45798</v>
      </c>
      <c r="D897" t="inlineStr">
        <is>
          <t>NORRBOTTENS LÄN</t>
        </is>
      </c>
      <c r="E897" t="inlineStr">
        <is>
          <t>PITEÅ</t>
        </is>
      </c>
      <c r="F897" t="inlineStr">
        <is>
          <t>Sveaskog</t>
        </is>
      </c>
      <c r="G897" t="n">
        <v>14.9</v>
      </c>
      <c r="H897" t="n">
        <v>1</v>
      </c>
      <c r="I897" t="n">
        <v>1</v>
      </c>
      <c r="J897" t="n">
        <v>0</v>
      </c>
      <c r="K897" t="n">
        <v>0</v>
      </c>
      <c r="L897" t="n">
        <v>0</v>
      </c>
      <c r="M897" t="n">
        <v>0</v>
      </c>
      <c r="N897" t="n">
        <v>0</v>
      </c>
      <c r="O897" t="n">
        <v>0</v>
      </c>
      <c r="P897" t="n">
        <v>0</v>
      </c>
      <c r="Q897" t="n">
        <v>1</v>
      </c>
      <c r="R897" s="2" t="inlineStr">
        <is>
          <t>Plattlummer</t>
        </is>
      </c>
      <c r="S897">
        <f>HYPERLINK("https://klasma.github.io/Logging_2581/artfynd/A 7558-2024 artfynd.xlsx", "A 7558-2024")</f>
        <v/>
      </c>
      <c r="T897">
        <f>HYPERLINK("https://klasma.github.io/Logging_2581/kartor/A 7558-2024 karta.png", "A 7558-2024")</f>
        <v/>
      </c>
      <c r="V897">
        <f>HYPERLINK("https://klasma.github.io/Logging_2581/klagomål/A 7558-2024 FSC-klagomål.docx", "A 7558-2024")</f>
        <v/>
      </c>
      <c r="W897">
        <f>HYPERLINK("https://klasma.github.io/Logging_2581/klagomålsmail/A 7558-2024 FSC-klagomål mail.docx", "A 7558-2024")</f>
        <v/>
      </c>
      <c r="X897">
        <f>HYPERLINK("https://klasma.github.io/Logging_2581/tillsyn/A 7558-2024 tillsynsbegäran.docx", "A 7558-2024")</f>
        <v/>
      </c>
      <c r="Y897">
        <f>HYPERLINK("https://klasma.github.io/Logging_2581/tillsynsmail/A 7558-2024 tillsynsbegäran mail.docx", "A 7558-2024")</f>
        <v/>
      </c>
    </row>
    <row r="898" ht="15" customHeight="1">
      <c r="A898" t="inlineStr">
        <is>
          <t>A 8985-2024</t>
        </is>
      </c>
      <c r="B898" s="1" t="n">
        <v>45356</v>
      </c>
      <c r="C898" s="1" t="n">
        <v>45798</v>
      </c>
      <c r="D898" t="inlineStr">
        <is>
          <t>NORRBOTTENS LÄN</t>
        </is>
      </c>
      <c r="E898" t="inlineStr">
        <is>
          <t>PAJALA</t>
        </is>
      </c>
      <c r="G898" t="n">
        <v>16.2</v>
      </c>
      <c r="H898" t="n">
        <v>1</v>
      </c>
      <c r="I898" t="n">
        <v>0</v>
      </c>
      <c r="J898" t="n">
        <v>0</v>
      </c>
      <c r="K898" t="n">
        <v>0</v>
      </c>
      <c r="L898" t="n">
        <v>0</v>
      </c>
      <c r="M898" t="n">
        <v>0</v>
      </c>
      <c r="N898" t="n">
        <v>0</v>
      </c>
      <c r="O898" t="n">
        <v>0</v>
      </c>
      <c r="P898" t="n">
        <v>0</v>
      </c>
      <c r="Q898" t="n">
        <v>1</v>
      </c>
      <c r="R898" s="2" t="inlineStr">
        <is>
          <t>Fläcknycklar</t>
        </is>
      </c>
      <c r="S898">
        <f>HYPERLINK("https://klasma.github.io/Logging_2521/artfynd/A 8985-2024 artfynd.xlsx", "A 8985-2024")</f>
        <v/>
      </c>
      <c r="T898">
        <f>HYPERLINK("https://klasma.github.io/Logging_2521/kartor/A 8985-2024 karta.png", "A 8985-2024")</f>
        <v/>
      </c>
      <c r="V898">
        <f>HYPERLINK("https://klasma.github.io/Logging_2521/klagomål/A 8985-2024 FSC-klagomål.docx", "A 8985-2024")</f>
        <v/>
      </c>
      <c r="W898">
        <f>HYPERLINK("https://klasma.github.io/Logging_2521/klagomålsmail/A 8985-2024 FSC-klagomål mail.docx", "A 8985-2024")</f>
        <v/>
      </c>
      <c r="X898">
        <f>HYPERLINK("https://klasma.github.io/Logging_2521/tillsyn/A 8985-2024 tillsynsbegäran.docx", "A 8985-2024")</f>
        <v/>
      </c>
      <c r="Y898">
        <f>HYPERLINK("https://klasma.github.io/Logging_2521/tillsynsmail/A 8985-2024 tillsynsbegäran mail.docx", "A 8985-2024")</f>
        <v/>
      </c>
    </row>
    <row r="899" ht="15" customHeight="1">
      <c r="A899" t="inlineStr">
        <is>
          <t>A 9007-2024</t>
        </is>
      </c>
      <c r="B899" s="1" t="n">
        <v>45356</v>
      </c>
      <c r="C899" s="1" t="n">
        <v>45798</v>
      </c>
      <c r="D899" t="inlineStr">
        <is>
          <t>NORRBOTTENS LÄN</t>
        </is>
      </c>
      <c r="E899" t="inlineStr">
        <is>
          <t>PITEÅ</t>
        </is>
      </c>
      <c r="G899" t="n">
        <v>1.6</v>
      </c>
      <c r="H899" t="n">
        <v>1</v>
      </c>
      <c r="I899" t="n">
        <v>0</v>
      </c>
      <c r="J899" t="n">
        <v>0</v>
      </c>
      <c r="K899" t="n">
        <v>1</v>
      </c>
      <c r="L899" t="n">
        <v>0</v>
      </c>
      <c r="M899" t="n">
        <v>0</v>
      </c>
      <c r="N899" t="n">
        <v>0</v>
      </c>
      <c r="O899" t="n">
        <v>1</v>
      </c>
      <c r="P899" t="n">
        <v>1</v>
      </c>
      <c r="Q899" t="n">
        <v>1</v>
      </c>
      <c r="R899" s="2" t="inlineStr">
        <is>
          <t>Norna</t>
        </is>
      </c>
      <c r="S899">
        <f>HYPERLINK("https://klasma.github.io/Logging_2581/artfynd/A 9007-2024 artfynd.xlsx", "A 9007-2024")</f>
        <v/>
      </c>
      <c r="T899">
        <f>HYPERLINK("https://klasma.github.io/Logging_2581/kartor/A 9007-2024 karta.png", "A 9007-2024")</f>
        <v/>
      </c>
      <c r="V899">
        <f>HYPERLINK("https://klasma.github.io/Logging_2581/klagomål/A 9007-2024 FSC-klagomål.docx", "A 9007-2024")</f>
        <v/>
      </c>
      <c r="W899">
        <f>HYPERLINK("https://klasma.github.io/Logging_2581/klagomålsmail/A 9007-2024 FSC-klagomål mail.docx", "A 9007-2024")</f>
        <v/>
      </c>
      <c r="X899">
        <f>HYPERLINK("https://klasma.github.io/Logging_2581/tillsyn/A 9007-2024 tillsynsbegäran.docx", "A 9007-2024")</f>
        <v/>
      </c>
      <c r="Y899">
        <f>HYPERLINK("https://klasma.github.io/Logging_2581/tillsynsmail/A 9007-2024 tillsynsbegäran mail.docx", "A 9007-2024")</f>
        <v/>
      </c>
    </row>
    <row r="900" ht="15" customHeight="1">
      <c r="A900" t="inlineStr">
        <is>
          <t>A 9757-2024</t>
        </is>
      </c>
      <c r="B900" s="1" t="n">
        <v>45362</v>
      </c>
      <c r="C900" s="1" t="n">
        <v>45798</v>
      </c>
      <c r="D900" t="inlineStr">
        <is>
          <t>NORRBOTTENS LÄN</t>
        </is>
      </c>
      <c r="E900" t="inlineStr">
        <is>
          <t>PAJALA</t>
        </is>
      </c>
      <c r="F900" t="inlineStr">
        <is>
          <t>Allmännings- och besparingsskogar</t>
        </is>
      </c>
      <c r="G900" t="n">
        <v>38.1</v>
      </c>
      <c r="H900" t="n">
        <v>1</v>
      </c>
      <c r="I900" t="n">
        <v>0</v>
      </c>
      <c r="J900" t="n">
        <v>0</v>
      </c>
      <c r="K900" t="n">
        <v>0</v>
      </c>
      <c r="L900" t="n">
        <v>0</v>
      </c>
      <c r="M900" t="n">
        <v>0</v>
      </c>
      <c r="N900" t="n">
        <v>0</v>
      </c>
      <c r="O900" t="n">
        <v>0</v>
      </c>
      <c r="P900" t="n">
        <v>0</v>
      </c>
      <c r="Q900" t="n">
        <v>1</v>
      </c>
      <c r="R900" s="2" t="inlineStr">
        <is>
          <t>Fläcknycklar</t>
        </is>
      </c>
      <c r="S900">
        <f>HYPERLINK("https://klasma.github.io/Logging_2521/artfynd/A 9757-2024 artfynd.xlsx", "A 9757-2024")</f>
        <v/>
      </c>
      <c r="T900">
        <f>HYPERLINK("https://klasma.github.io/Logging_2521/kartor/A 9757-2024 karta.png", "A 9757-2024")</f>
        <v/>
      </c>
      <c r="V900">
        <f>HYPERLINK("https://klasma.github.io/Logging_2521/klagomål/A 9757-2024 FSC-klagomål.docx", "A 9757-2024")</f>
        <v/>
      </c>
      <c r="W900">
        <f>HYPERLINK("https://klasma.github.io/Logging_2521/klagomålsmail/A 9757-2024 FSC-klagomål mail.docx", "A 9757-2024")</f>
        <v/>
      </c>
      <c r="X900">
        <f>HYPERLINK("https://klasma.github.io/Logging_2521/tillsyn/A 9757-2024 tillsynsbegäran.docx", "A 9757-2024")</f>
        <v/>
      </c>
      <c r="Y900">
        <f>HYPERLINK("https://klasma.github.io/Logging_2521/tillsynsmail/A 9757-2024 tillsynsbegäran mail.docx", "A 9757-2024")</f>
        <v/>
      </c>
    </row>
    <row r="901" ht="15" customHeight="1">
      <c r="A901" t="inlineStr">
        <is>
          <t>A 11555-2024</t>
        </is>
      </c>
      <c r="B901" s="1" t="n">
        <v>45373</v>
      </c>
      <c r="C901" s="1" t="n">
        <v>45798</v>
      </c>
      <c r="D901" t="inlineStr">
        <is>
          <t>NORRBOTTENS LÄN</t>
        </is>
      </c>
      <c r="E901" t="inlineStr">
        <is>
          <t>BODEN</t>
        </is>
      </c>
      <c r="F901" t="inlineStr">
        <is>
          <t>SCA</t>
        </is>
      </c>
      <c r="G901" t="n">
        <v>1.6</v>
      </c>
      <c r="H901" t="n">
        <v>1</v>
      </c>
      <c r="I901" t="n">
        <v>0</v>
      </c>
      <c r="J901" t="n">
        <v>0</v>
      </c>
      <c r="K901" t="n">
        <v>0</v>
      </c>
      <c r="L901" t="n">
        <v>0</v>
      </c>
      <c r="M901" t="n">
        <v>0</v>
      </c>
      <c r="N901" t="n">
        <v>0</v>
      </c>
      <c r="O901" t="n">
        <v>0</v>
      </c>
      <c r="P901" t="n">
        <v>0</v>
      </c>
      <c r="Q901" t="n">
        <v>1</v>
      </c>
      <c r="R901" s="2" t="inlineStr">
        <is>
          <t>Grön flodtrollslända</t>
        </is>
      </c>
      <c r="S901">
        <f>HYPERLINK("https://klasma.github.io/Logging_2582/artfynd/A 11555-2024 artfynd.xlsx", "A 11555-2024")</f>
        <v/>
      </c>
      <c r="T901">
        <f>HYPERLINK("https://klasma.github.io/Logging_2582/kartor/A 11555-2024 karta.png", "A 11555-2024")</f>
        <v/>
      </c>
      <c r="V901">
        <f>HYPERLINK("https://klasma.github.io/Logging_2582/klagomål/A 11555-2024 FSC-klagomål.docx", "A 11555-2024")</f>
        <v/>
      </c>
      <c r="W901">
        <f>HYPERLINK("https://klasma.github.io/Logging_2582/klagomålsmail/A 11555-2024 FSC-klagomål mail.docx", "A 11555-2024")</f>
        <v/>
      </c>
      <c r="X901">
        <f>HYPERLINK("https://klasma.github.io/Logging_2582/tillsyn/A 11555-2024 tillsynsbegäran.docx", "A 11555-2024")</f>
        <v/>
      </c>
      <c r="Y901">
        <f>HYPERLINK("https://klasma.github.io/Logging_2582/tillsynsmail/A 11555-2024 tillsynsbegäran mail.docx", "A 11555-2024")</f>
        <v/>
      </c>
    </row>
    <row r="902" ht="15" customHeight="1">
      <c r="A902" t="inlineStr">
        <is>
          <t>A 12224-2024</t>
        </is>
      </c>
      <c r="B902" s="1" t="n">
        <v>45378</v>
      </c>
      <c r="C902" s="1" t="n">
        <v>45798</v>
      </c>
      <c r="D902" t="inlineStr">
        <is>
          <t>NORRBOTTENS LÄN</t>
        </is>
      </c>
      <c r="E902" t="inlineStr">
        <is>
          <t>GÄLLIVARE</t>
        </is>
      </c>
      <c r="F902" t="inlineStr">
        <is>
          <t>Sveaskog</t>
        </is>
      </c>
      <c r="G902" t="n">
        <v>28.6</v>
      </c>
      <c r="H902" t="n">
        <v>0</v>
      </c>
      <c r="I902" t="n">
        <v>0</v>
      </c>
      <c r="J902" t="n">
        <v>1</v>
      </c>
      <c r="K902" t="n">
        <v>0</v>
      </c>
      <c r="L902" t="n">
        <v>0</v>
      </c>
      <c r="M902" t="n">
        <v>0</v>
      </c>
      <c r="N902" t="n">
        <v>0</v>
      </c>
      <c r="O902" t="n">
        <v>1</v>
      </c>
      <c r="P902" t="n">
        <v>0</v>
      </c>
      <c r="Q902" t="n">
        <v>1</v>
      </c>
      <c r="R902" s="2" t="inlineStr">
        <is>
          <t>Garnlav</t>
        </is>
      </c>
      <c r="S902">
        <f>HYPERLINK("https://klasma.github.io/Logging_2523/artfynd/A 12224-2024 artfynd.xlsx", "A 12224-2024")</f>
        <v/>
      </c>
      <c r="T902">
        <f>HYPERLINK("https://klasma.github.io/Logging_2523/kartor/A 12224-2024 karta.png", "A 12224-2024")</f>
        <v/>
      </c>
      <c r="V902">
        <f>HYPERLINK("https://klasma.github.io/Logging_2523/klagomål/A 12224-2024 FSC-klagomål.docx", "A 12224-2024")</f>
        <v/>
      </c>
      <c r="W902">
        <f>HYPERLINK("https://klasma.github.io/Logging_2523/klagomålsmail/A 12224-2024 FSC-klagomål mail.docx", "A 12224-2024")</f>
        <v/>
      </c>
      <c r="X902">
        <f>HYPERLINK("https://klasma.github.io/Logging_2523/tillsyn/A 12224-2024 tillsynsbegäran.docx", "A 12224-2024")</f>
        <v/>
      </c>
      <c r="Y902">
        <f>HYPERLINK("https://klasma.github.io/Logging_2523/tillsynsmail/A 12224-2024 tillsynsbegäran mail.docx", "A 12224-2024")</f>
        <v/>
      </c>
    </row>
    <row r="903" ht="15" customHeight="1">
      <c r="A903" t="inlineStr">
        <is>
          <t>A 12462-2024</t>
        </is>
      </c>
      <c r="B903" s="1" t="n">
        <v>45378</v>
      </c>
      <c r="C903" s="1" t="n">
        <v>45798</v>
      </c>
      <c r="D903" t="inlineStr">
        <is>
          <t>NORRBOTTENS LÄN</t>
        </is>
      </c>
      <c r="E903" t="inlineStr">
        <is>
          <t>LULEÅ</t>
        </is>
      </c>
      <c r="G903" t="n">
        <v>6.9</v>
      </c>
      <c r="H903" t="n">
        <v>0</v>
      </c>
      <c r="I903" t="n">
        <v>0</v>
      </c>
      <c r="J903" t="n">
        <v>1</v>
      </c>
      <c r="K903" t="n">
        <v>0</v>
      </c>
      <c r="L903" t="n">
        <v>0</v>
      </c>
      <c r="M903" t="n">
        <v>0</v>
      </c>
      <c r="N903" t="n">
        <v>0</v>
      </c>
      <c r="O903" t="n">
        <v>1</v>
      </c>
      <c r="P903" t="n">
        <v>0</v>
      </c>
      <c r="Q903" t="n">
        <v>1</v>
      </c>
      <c r="R903" s="2" t="inlineStr">
        <is>
          <t>Ullticka</t>
        </is>
      </c>
      <c r="S903">
        <f>HYPERLINK("https://klasma.github.io/Logging_2580/artfynd/A 12462-2024 artfynd.xlsx", "A 12462-2024")</f>
        <v/>
      </c>
      <c r="T903">
        <f>HYPERLINK("https://klasma.github.io/Logging_2580/kartor/A 12462-2024 karta.png", "A 12462-2024")</f>
        <v/>
      </c>
      <c r="V903">
        <f>HYPERLINK("https://klasma.github.io/Logging_2580/klagomål/A 12462-2024 FSC-klagomål.docx", "A 12462-2024")</f>
        <v/>
      </c>
      <c r="W903">
        <f>HYPERLINK("https://klasma.github.io/Logging_2580/klagomålsmail/A 12462-2024 FSC-klagomål mail.docx", "A 12462-2024")</f>
        <v/>
      </c>
      <c r="X903">
        <f>HYPERLINK("https://klasma.github.io/Logging_2580/tillsyn/A 12462-2024 tillsynsbegäran.docx", "A 12462-2024")</f>
        <v/>
      </c>
      <c r="Y903">
        <f>HYPERLINK("https://klasma.github.io/Logging_2580/tillsynsmail/A 12462-2024 tillsynsbegäran mail.docx", "A 12462-2024")</f>
        <v/>
      </c>
    </row>
    <row r="904" ht="15" customHeight="1">
      <c r="A904" t="inlineStr">
        <is>
          <t>A 12522-2024</t>
        </is>
      </c>
      <c r="B904" s="1" t="n">
        <v>45379</v>
      </c>
      <c r="C904" s="1" t="n">
        <v>45798</v>
      </c>
      <c r="D904" t="inlineStr">
        <is>
          <t>NORRBOTTENS LÄN</t>
        </is>
      </c>
      <c r="E904" t="inlineStr">
        <is>
          <t>GÄLLIVARE</t>
        </is>
      </c>
      <c r="F904" t="inlineStr">
        <is>
          <t>Sveaskog</t>
        </is>
      </c>
      <c r="G904" t="n">
        <v>27.8</v>
      </c>
      <c r="H904" t="n">
        <v>1</v>
      </c>
      <c r="I904" t="n">
        <v>0</v>
      </c>
      <c r="J904" t="n">
        <v>0</v>
      </c>
      <c r="K904" t="n">
        <v>1</v>
      </c>
      <c r="L904" t="n">
        <v>0</v>
      </c>
      <c r="M904" t="n">
        <v>0</v>
      </c>
      <c r="N904" t="n">
        <v>0</v>
      </c>
      <c r="O904" t="n">
        <v>1</v>
      </c>
      <c r="P904" t="n">
        <v>1</v>
      </c>
      <c r="Q904" t="n">
        <v>1</v>
      </c>
      <c r="R904" s="2" t="inlineStr">
        <is>
          <t>Doftticka</t>
        </is>
      </c>
      <c r="S904">
        <f>HYPERLINK("https://klasma.github.io/Logging_2523/artfynd/A 12522-2024 artfynd.xlsx", "A 12522-2024")</f>
        <v/>
      </c>
      <c r="T904">
        <f>HYPERLINK("https://klasma.github.io/Logging_2523/kartor/A 12522-2024 karta.png", "A 12522-2024")</f>
        <v/>
      </c>
      <c r="V904">
        <f>HYPERLINK("https://klasma.github.io/Logging_2523/klagomål/A 12522-2024 FSC-klagomål.docx", "A 12522-2024")</f>
        <v/>
      </c>
      <c r="W904">
        <f>HYPERLINK("https://klasma.github.io/Logging_2523/klagomålsmail/A 12522-2024 FSC-klagomål mail.docx", "A 12522-2024")</f>
        <v/>
      </c>
      <c r="X904">
        <f>HYPERLINK("https://klasma.github.io/Logging_2523/tillsyn/A 12522-2024 tillsynsbegäran.docx", "A 12522-2024")</f>
        <v/>
      </c>
      <c r="Y904">
        <f>HYPERLINK("https://klasma.github.io/Logging_2523/tillsynsmail/A 12522-2024 tillsynsbegäran mail.docx", "A 12522-2024")</f>
        <v/>
      </c>
    </row>
    <row r="905" ht="15" customHeight="1">
      <c r="A905" t="inlineStr">
        <is>
          <t>A 16008-2024</t>
        </is>
      </c>
      <c r="B905" s="1" t="n">
        <v>45405</v>
      </c>
      <c r="C905" s="1" t="n">
        <v>45798</v>
      </c>
      <c r="D905" t="inlineStr">
        <is>
          <t>NORRBOTTENS LÄN</t>
        </is>
      </c>
      <c r="E905" t="inlineStr">
        <is>
          <t>PAJALA</t>
        </is>
      </c>
      <c r="G905" t="n">
        <v>39.9</v>
      </c>
      <c r="H905" t="n">
        <v>0</v>
      </c>
      <c r="I905" t="n">
        <v>1</v>
      </c>
      <c r="J905" t="n">
        <v>0</v>
      </c>
      <c r="K905" t="n">
        <v>0</v>
      </c>
      <c r="L905" t="n">
        <v>0</v>
      </c>
      <c r="M905" t="n">
        <v>0</v>
      </c>
      <c r="N905" t="n">
        <v>0</v>
      </c>
      <c r="O905" t="n">
        <v>0</v>
      </c>
      <c r="P905" t="n">
        <v>0</v>
      </c>
      <c r="Q905" t="n">
        <v>1</v>
      </c>
      <c r="R905" s="2" t="inlineStr">
        <is>
          <t>Grönpyrola</t>
        </is>
      </c>
      <c r="S905">
        <f>HYPERLINK("https://klasma.github.io/Logging_2521/artfynd/A 16008-2024 artfynd.xlsx", "A 16008-2024")</f>
        <v/>
      </c>
      <c r="T905">
        <f>HYPERLINK("https://klasma.github.io/Logging_2521/kartor/A 16008-2024 karta.png", "A 16008-2024")</f>
        <v/>
      </c>
      <c r="V905">
        <f>HYPERLINK("https://klasma.github.io/Logging_2521/klagomål/A 16008-2024 FSC-klagomål.docx", "A 16008-2024")</f>
        <v/>
      </c>
      <c r="W905">
        <f>HYPERLINK("https://klasma.github.io/Logging_2521/klagomålsmail/A 16008-2024 FSC-klagomål mail.docx", "A 16008-2024")</f>
        <v/>
      </c>
      <c r="X905">
        <f>HYPERLINK("https://klasma.github.io/Logging_2521/tillsyn/A 16008-2024 tillsynsbegäran.docx", "A 16008-2024")</f>
        <v/>
      </c>
      <c r="Y905">
        <f>HYPERLINK("https://klasma.github.io/Logging_2521/tillsynsmail/A 16008-2024 tillsynsbegäran mail.docx", "A 16008-2024")</f>
        <v/>
      </c>
    </row>
    <row r="906" ht="15" customHeight="1">
      <c r="A906" t="inlineStr">
        <is>
          <t>A 16217-2024</t>
        </is>
      </c>
      <c r="B906" s="1" t="n">
        <v>45407</v>
      </c>
      <c r="C906" s="1" t="n">
        <v>45798</v>
      </c>
      <c r="D906" t="inlineStr">
        <is>
          <t>NORRBOTTENS LÄN</t>
        </is>
      </c>
      <c r="E906" t="inlineStr">
        <is>
          <t>BODEN</t>
        </is>
      </c>
      <c r="G906" t="n">
        <v>7.2</v>
      </c>
      <c r="H906" t="n">
        <v>1</v>
      </c>
      <c r="I906" t="n">
        <v>0</v>
      </c>
      <c r="J906" t="n">
        <v>1</v>
      </c>
      <c r="K906" t="n">
        <v>0</v>
      </c>
      <c r="L906" t="n">
        <v>0</v>
      </c>
      <c r="M906" t="n">
        <v>0</v>
      </c>
      <c r="N906" t="n">
        <v>0</v>
      </c>
      <c r="O906" t="n">
        <v>1</v>
      </c>
      <c r="P906" t="n">
        <v>0</v>
      </c>
      <c r="Q906" t="n">
        <v>1</v>
      </c>
      <c r="R906" s="2" t="inlineStr">
        <is>
          <t>Videsparv</t>
        </is>
      </c>
      <c r="S906">
        <f>HYPERLINK("https://klasma.github.io/Logging_2582/artfynd/A 16217-2024 artfynd.xlsx", "A 16217-2024")</f>
        <v/>
      </c>
      <c r="T906">
        <f>HYPERLINK("https://klasma.github.io/Logging_2582/kartor/A 16217-2024 karta.png", "A 16217-2024")</f>
        <v/>
      </c>
      <c r="V906">
        <f>HYPERLINK("https://klasma.github.io/Logging_2582/klagomål/A 16217-2024 FSC-klagomål.docx", "A 16217-2024")</f>
        <v/>
      </c>
      <c r="W906">
        <f>HYPERLINK("https://klasma.github.io/Logging_2582/klagomålsmail/A 16217-2024 FSC-klagomål mail.docx", "A 16217-2024")</f>
        <v/>
      </c>
      <c r="X906">
        <f>HYPERLINK("https://klasma.github.io/Logging_2582/tillsyn/A 16217-2024 tillsynsbegäran.docx", "A 16217-2024")</f>
        <v/>
      </c>
      <c r="Y906">
        <f>HYPERLINK("https://klasma.github.io/Logging_2582/tillsynsmail/A 16217-2024 tillsynsbegäran mail.docx", "A 16217-2024")</f>
        <v/>
      </c>
      <c r="Z906">
        <f>HYPERLINK("https://klasma.github.io/Logging_2582/fåglar/A 16217-2024 prioriterade fågelarter.docx", "A 16217-2024")</f>
        <v/>
      </c>
    </row>
    <row r="907" ht="15" customHeight="1">
      <c r="A907" t="inlineStr">
        <is>
          <t>A 16457-2024</t>
        </is>
      </c>
      <c r="B907" s="1" t="n">
        <v>45408</v>
      </c>
      <c r="C907" s="1" t="n">
        <v>45798</v>
      </c>
      <c r="D907" t="inlineStr">
        <is>
          <t>NORRBOTTENS LÄN</t>
        </is>
      </c>
      <c r="E907" t="inlineStr">
        <is>
          <t>ÖVERTORNEÅ</t>
        </is>
      </c>
      <c r="G907" t="n">
        <v>4.7</v>
      </c>
      <c r="H907" t="n">
        <v>1</v>
      </c>
      <c r="I907" t="n">
        <v>0</v>
      </c>
      <c r="J907" t="n">
        <v>0</v>
      </c>
      <c r="K907" t="n">
        <v>0</v>
      </c>
      <c r="L907" t="n">
        <v>0</v>
      </c>
      <c r="M907" t="n">
        <v>0</v>
      </c>
      <c r="N907" t="n">
        <v>0</v>
      </c>
      <c r="O907" t="n">
        <v>0</v>
      </c>
      <c r="P907" t="n">
        <v>0</v>
      </c>
      <c r="Q907" t="n">
        <v>1</v>
      </c>
      <c r="R907" s="2" t="inlineStr">
        <is>
          <t>Orre</t>
        </is>
      </c>
      <c r="S907">
        <f>HYPERLINK("https://klasma.github.io/Logging_2518/artfynd/A 16457-2024 artfynd.xlsx", "A 16457-2024")</f>
        <v/>
      </c>
      <c r="T907">
        <f>HYPERLINK("https://klasma.github.io/Logging_2518/kartor/A 16457-2024 karta.png", "A 16457-2024")</f>
        <v/>
      </c>
      <c r="V907">
        <f>HYPERLINK("https://klasma.github.io/Logging_2518/klagomål/A 16457-2024 FSC-klagomål.docx", "A 16457-2024")</f>
        <v/>
      </c>
      <c r="W907">
        <f>HYPERLINK("https://klasma.github.io/Logging_2518/klagomålsmail/A 16457-2024 FSC-klagomål mail.docx", "A 16457-2024")</f>
        <v/>
      </c>
      <c r="X907">
        <f>HYPERLINK("https://klasma.github.io/Logging_2518/tillsyn/A 16457-2024 tillsynsbegäran.docx", "A 16457-2024")</f>
        <v/>
      </c>
      <c r="Y907">
        <f>HYPERLINK("https://klasma.github.io/Logging_2518/tillsynsmail/A 16457-2024 tillsynsbegäran mail.docx", "A 16457-2024")</f>
        <v/>
      </c>
      <c r="Z907">
        <f>HYPERLINK("https://klasma.github.io/Logging_2518/fåglar/A 16457-2024 prioriterade fågelarter.docx", "A 16457-2024")</f>
        <v/>
      </c>
    </row>
    <row r="908" ht="15" customHeight="1">
      <c r="A908" t="inlineStr">
        <is>
          <t>A 18043-2024</t>
        </is>
      </c>
      <c r="B908" s="1" t="n">
        <v>45420</v>
      </c>
      <c r="C908" s="1" t="n">
        <v>45798</v>
      </c>
      <c r="D908" t="inlineStr">
        <is>
          <t>NORRBOTTENS LÄN</t>
        </is>
      </c>
      <c r="E908" t="inlineStr">
        <is>
          <t>GÄLLIVARE</t>
        </is>
      </c>
      <c r="G908" t="n">
        <v>35.5</v>
      </c>
      <c r="H908" t="n">
        <v>0</v>
      </c>
      <c r="I908" t="n">
        <v>0</v>
      </c>
      <c r="J908" t="n">
        <v>1</v>
      </c>
      <c r="K908" t="n">
        <v>0</v>
      </c>
      <c r="L908" t="n">
        <v>0</v>
      </c>
      <c r="M908" t="n">
        <v>0</v>
      </c>
      <c r="N908" t="n">
        <v>0</v>
      </c>
      <c r="O908" t="n">
        <v>1</v>
      </c>
      <c r="P908" t="n">
        <v>0</v>
      </c>
      <c r="Q908" t="n">
        <v>1</v>
      </c>
      <c r="R908" s="2" t="inlineStr">
        <is>
          <t>Garnlav</t>
        </is>
      </c>
      <c r="S908">
        <f>HYPERLINK("https://klasma.github.io/Logging_2523/artfynd/A 18043-2024 artfynd.xlsx", "A 18043-2024")</f>
        <v/>
      </c>
      <c r="T908">
        <f>HYPERLINK("https://klasma.github.io/Logging_2523/kartor/A 18043-2024 karta.png", "A 18043-2024")</f>
        <v/>
      </c>
      <c r="V908">
        <f>HYPERLINK("https://klasma.github.io/Logging_2523/klagomål/A 18043-2024 FSC-klagomål.docx", "A 18043-2024")</f>
        <v/>
      </c>
      <c r="W908">
        <f>HYPERLINK("https://klasma.github.io/Logging_2523/klagomålsmail/A 18043-2024 FSC-klagomål mail.docx", "A 18043-2024")</f>
        <v/>
      </c>
      <c r="X908">
        <f>HYPERLINK("https://klasma.github.io/Logging_2523/tillsyn/A 18043-2024 tillsynsbegäran.docx", "A 18043-2024")</f>
        <v/>
      </c>
      <c r="Y908">
        <f>HYPERLINK("https://klasma.github.io/Logging_2523/tillsynsmail/A 18043-2024 tillsynsbegäran mail.docx", "A 18043-2024")</f>
        <v/>
      </c>
    </row>
    <row r="909" ht="15" customHeight="1">
      <c r="A909" t="inlineStr">
        <is>
          <t>A 18671-2024</t>
        </is>
      </c>
      <c r="B909" s="1" t="n">
        <v>45426</v>
      </c>
      <c r="C909" s="1" t="n">
        <v>45798</v>
      </c>
      <c r="D909" t="inlineStr">
        <is>
          <t>NORRBOTTENS LÄN</t>
        </is>
      </c>
      <c r="E909" t="inlineStr">
        <is>
          <t>ÖVERTORNEÅ</t>
        </is>
      </c>
      <c r="F909" t="inlineStr">
        <is>
          <t>Sveaskog</t>
        </is>
      </c>
      <c r="G909" t="n">
        <v>33.8</v>
      </c>
      <c r="H909" t="n">
        <v>0</v>
      </c>
      <c r="I909" t="n">
        <v>0</v>
      </c>
      <c r="J909" t="n">
        <v>1</v>
      </c>
      <c r="K909" t="n">
        <v>0</v>
      </c>
      <c r="L909" t="n">
        <v>0</v>
      </c>
      <c r="M909" t="n">
        <v>0</v>
      </c>
      <c r="N909" t="n">
        <v>0</v>
      </c>
      <c r="O909" t="n">
        <v>1</v>
      </c>
      <c r="P909" t="n">
        <v>0</v>
      </c>
      <c r="Q909" t="n">
        <v>1</v>
      </c>
      <c r="R909" s="2" t="inlineStr">
        <is>
          <t>Röd trolldruva</t>
        </is>
      </c>
      <c r="S909">
        <f>HYPERLINK("https://klasma.github.io/Logging_2518/artfynd/A 18671-2024 artfynd.xlsx", "A 18671-2024")</f>
        <v/>
      </c>
      <c r="T909">
        <f>HYPERLINK("https://klasma.github.io/Logging_2518/kartor/A 18671-2024 karta.png", "A 18671-2024")</f>
        <v/>
      </c>
      <c r="V909">
        <f>HYPERLINK("https://klasma.github.io/Logging_2518/klagomål/A 18671-2024 FSC-klagomål.docx", "A 18671-2024")</f>
        <v/>
      </c>
      <c r="W909">
        <f>HYPERLINK("https://klasma.github.io/Logging_2518/klagomålsmail/A 18671-2024 FSC-klagomål mail.docx", "A 18671-2024")</f>
        <v/>
      </c>
      <c r="X909">
        <f>HYPERLINK("https://klasma.github.io/Logging_2518/tillsyn/A 18671-2024 tillsynsbegäran.docx", "A 18671-2024")</f>
        <v/>
      </c>
      <c r="Y909">
        <f>HYPERLINK("https://klasma.github.io/Logging_2518/tillsynsmail/A 18671-2024 tillsynsbegäran mail.docx", "A 18671-2024")</f>
        <v/>
      </c>
    </row>
    <row r="910" ht="15" customHeight="1">
      <c r="A910" t="inlineStr">
        <is>
          <t>A 19552-2024</t>
        </is>
      </c>
      <c r="B910" s="1" t="n">
        <v>45429</v>
      </c>
      <c r="C910" s="1" t="n">
        <v>45798</v>
      </c>
      <c r="D910" t="inlineStr">
        <is>
          <t>NORRBOTTENS LÄN</t>
        </is>
      </c>
      <c r="E910" t="inlineStr">
        <is>
          <t>LULEÅ</t>
        </is>
      </c>
      <c r="G910" t="n">
        <v>0.7</v>
      </c>
      <c r="H910" t="n">
        <v>0</v>
      </c>
      <c r="I910" t="n">
        <v>0</v>
      </c>
      <c r="J910" t="n">
        <v>0</v>
      </c>
      <c r="K910" t="n">
        <v>1</v>
      </c>
      <c r="L910" t="n">
        <v>0</v>
      </c>
      <c r="M910" t="n">
        <v>0</v>
      </c>
      <c r="N910" t="n">
        <v>0</v>
      </c>
      <c r="O910" t="n">
        <v>1</v>
      </c>
      <c r="P910" t="n">
        <v>1</v>
      </c>
      <c r="Q910" t="n">
        <v>1</v>
      </c>
      <c r="R910" s="2" t="inlineStr">
        <is>
          <t>Smalfotad taggsvamp</t>
        </is>
      </c>
      <c r="S910">
        <f>HYPERLINK("https://klasma.github.io/Logging_2580/artfynd/A 19552-2024 artfynd.xlsx", "A 19552-2024")</f>
        <v/>
      </c>
      <c r="T910">
        <f>HYPERLINK("https://klasma.github.io/Logging_2580/kartor/A 19552-2024 karta.png", "A 19552-2024")</f>
        <v/>
      </c>
      <c r="V910">
        <f>HYPERLINK("https://klasma.github.io/Logging_2580/klagomål/A 19552-2024 FSC-klagomål.docx", "A 19552-2024")</f>
        <v/>
      </c>
      <c r="W910">
        <f>HYPERLINK("https://klasma.github.io/Logging_2580/klagomålsmail/A 19552-2024 FSC-klagomål mail.docx", "A 19552-2024")</f>
        <v/>
      </c>
      <c r="X910">
        <f>HYPERLINK("https://klasma.github.io/Logging_2580/tillsyn/A 19552-2024 tillsynsbegäran.docx", "A 19552-2024")</f>
        <v/>
      </c>
      <c r="Y910">
        <f>HYPERLINK("https://klasma.github.io/Logging_2580/tillsynsmail/A 19552-2024 tillsynsbegäran mail.docx", "A 19552-2024")</f>
        <v/>
      </c>
    </row>
    <row r="911" ht="15" customHeight="1">
      <c r="A911" t="inlineStr">
        <is>
          <t>A 20087-2024</t>
        </is>
      </c>
      <c r="B911" s="1" t="n">
        <v>45434</v>
      </c>
      <c r="C911" s="1" t="n">
        <v>45798</v>
      </c>
      <c r="D911" t="inlineStr">
        <is>
          <t>NORRBOTTENS LÄN</t>
        </is>
      </c>
      <c r="E911" t="inlineStr">
        <is>
          <t>PITEÅ</t>
        </is>
      </c>
      <c r="G911" t="n">
        <v>4.3</v>
      </c>
      <c r="H911" t="n">
        <v>0</v>
      </c>
      <c r="I911" t="n">
        <v>0</v>
      </c>
      <c r="J911" t="n">
        <v>1</v>
      </c>
      <c r="K911" t="n">
        <v>0</v>
      </c>
      <c r="L911" t="n">
        <v>0</v>
      </c>
      <c r="M911" t="n">
        <v>0</v>
      </c>
      <c r="N911" t="n">
        <v>0</v>
      </c>
      <c r="O911" t="n">
        <v>1</v>
      </c>
      <c r="P911" t="n">
        <v>0</v>
      </c>
      <c r="Q911" t="n">
        <v>1</v>
      </c>
      <c r="R911" s="2" t="inlineStr">
        <is>
          <t>Gammelgransskål</t>
        </is>
      </c>
      <c r="S911">
        <f>HYPERLINK("https://klasma.github.io/Logging_2581/artfynd/A 20087-2024 artfynd.xlsx", "A 20087-2024")</f>
        <v/>
      </c>
      <c r="T911">
        <f>HYPERLINK("https://klasma.github.io/Logging_2581/kartor/A 20087-2024 karta.png", "A 20087-2024")</f>
        <v/>
      </c>
      <c r="V911">
        <f>HYPERLINK("https://klasma.github.io/Logging_2581/klagomål/A 20087-2024 FSC-klagomål.docx", "A 20087-2024")</f>
        <v/>
      </c>
      <c r="W911">
        <f>HYPERLINK("https://klasma.github.io/Logging_2581/klagomålsmail/A 20087-2024 FSC-klagomål mail.docx", "A 20087-2024")</f>
        <v/>
      </c>
      <c r="X911">
        <f>HYPERLINK("https://klasma.github.io/Logging_2581/tillsyn/A 20087-2024 tillsynsbegäran.docx", "A 20087-2024")</f>
        <v/>
      </c>
      <c r="Y911">
        <f>HYPERLINK("https://klasma.github.io/Logging_2581/tillsynsmail/A 20087-2024 tillsynsbegäran mail.docx", "A 20087-2024")</f>
        <v/>
      </c>
    </row>
    <row r="912" ht="15" customHeight="1">
      <c r="A912" t="inlineStr">
        <is>
          <t>A 21102-2024</t>
        </is>
      </c>
      <c r="B912" s="1" t="n">
        <v>45440</v>
      </c>
      <c r="C912" s="1" t="n">
        <v>45798</v>
      </c>
      <c r="D912" t="inlineStr">
        <is>
          <t>NORRBOTTENS LÄN</t>
        </is>
      </c>
      <c r="E912" t="inlineStr">
        <is>
          <t>PITEÅ</t>
        </is>
      </c>
      <c r="F912" t="inlineStr">
        <is>
          <t>SCA</t>
        </is>
      </c>
      <c r="G912" t="n">
        <v>1.4</v>
      </c>
      <c r="H912" t="n">
        <v>0</v>
      </c>
      <c r="I912" t="n">
        <v>1</v>
      </c>
      <c r="J912" t="n">
        <v>0</v>
      </c>
      <c r="K912" t="n">
        <v>0</v>
      </c>
      <c r="L912" t="n">
        <v>0</v>
      </c>
      <c r="M912" t="n">
        <v>0</v>
      </c>
      <c r="N912" t="n">
        <v>0</v>
      </c>
      <c r="O912" t="n">
        <v>0</v>
      </c>
      <c r="P912" t="n">
        <v>0</v>
      </c>
      <c r="Q912" t="n">
        <v>1</v>
      </c>
      <c r="R912" s="2" t="inlineStr">
        <is>
          <t>Tibast</t>
        </is>
      </c>
      <c r="S912">
        <f>HYPERLINK("https://klasma.github.io/Logging_2581/artfynd/A 21102-2024 artfynd.xlsx", "A 21102-2024")</f>
        <v/>
      </c>
      <c r="T912">
        <f>HYPERLINK("https://klasma.github.io/Logging_2581/kartor/A 21102-2024 karta.png", "A 21102-2024")</f>
        <v/>
      </c>
      <c r="V912">
        <f>HYPERLINK("https://klasma.github.io/Logging_2581/klagomål/A 21102-2024 FSC-klagomål.docx", "A 21102-2024")</f>
        <v/>
      </c>
      <c r="W912">
        <f>HYPERLINK("https://klasma.github.io/Logging_2581/klagomålsmail/A 21102-2024 FSC-klagomål mail.docx", "A 21102-2024")</f>
        <v/>
      </c>
      <c r="X912">
        <f>HYPERLINK("https://klasma.github.io/Logging_2581/tillsyn/A 21102-2024 tillsynsbegäran.docx", "A 21102-2024")</f>
        <v/>
      </c>
      <c r="Y912">
        <f>HYPERLINK("https://klasma.github.io/Logging_2581/tillsynsmail/A 21102-2024 tillsynsbegäran mail.docx", "A 21102-2024")</f>
        <v/>
      </c>
    </row>
    <row r="913" ht="15" customHeight="1">
      <c r="A913" t="inlineStr">
        <is>
          <t>A 21400-2024</t>
        </is>
      </c>
      <c r="B913" s="1" t="n">
        <v>45441</v>
      </c>
      <c r="C913" s="1" t="n">
        <v>45798</v>
      </c>
      <c r="D913" t="inlineStr">
        <is>
          <t>NORRBOTTENS LÄN</t>
        </is>
      </c>
      <c r="E913" t="inlineStr">
        <is>
          <t>BODEN</t>
        </is>
      </c>
      <c r="F913" t="inlineStr">
        <is>
          <t>Sveaskog</t>
        </is>
      </c>
      <c r="G913" t="n">
        <v>13.6</v>
      </c>
      <c r="H913" t="n">
        <v>0</v>
      </c>
      <c r="I913" t="n">
        <v>0</v>
      </c>
      <c r="J913" t="n">
        <v>1</v>
      </c>
      <c r="K913" t="n">
        <v>0</v>
      </c>
      <c r="L913" t="n">
        <v>0</v>
      </c>
      <c r="M913" t="n">
        <v>0</v>
      </c>
      <c r="N913" t="n">
        <v>0</v>
      </c>
      <c r="O913" t="n">
        <v>1</v>
      </c>
      <c r="P913" t="n">
        <v>0</v>
      </c>
      <c r="Q913" t="n">
        <v>1</v>
      </c>
      <c r="R913" s="2" t="inlineStr">
        <is>
          <t>Lunglav</t>
        </is>
      </c>
      <c r="S913">
        <f>HYPERLINK("https://klasma.github.io/Logging_2582/artfynd/A 21400-2024 artfynd.xlsx", "A 21400-2024")</f>
        <v/>
      </c>
      <c r="T913">
        <f>HYPERLINK("https://klasma.github.io/Logging_2582/kartor/A 21400-2024 karta.png", "A 21400-2024")</f>
        <v/>
      </c>
      <c r="V913">
        <f>HYPERLINK("https://klasma.github.io/Logging_2582/klagomål/A 21400-2024 FSC-klagomål.docx", "A 21400-2024")</f>
        <v/>
      </c>
      <c r="W913">
        <f>HYPERLINK("https://klasma.github.io/Logging_2582/klagomålsmail/A 21400-2024 FSC-klagomål mail.docx", "A 21400-2024")</f>
        <v/>
      </c>
      <c r="X913">
        <f>HYPERLINK("https://klasma.github.io/Logging_2582/tillsyn/A 21400-2024 tillsynsbegäran.docx", "A 21400-2024")</f>
        <v/>
      </c>
      <c r="Y913">
        <f>HYPERLINK("https://klasma.github.io/Logging_2582/tillsynsmail/A 21400-2024 tillsynsbegäran mail.docx", "A 21400-2024")</f>
        <v/>
      </c>
    </row>
    <row r="914" ht="15" customHeight="1">
      <c r="A914" t="inlineStr">
        <is>
          <t>A 22076-2024</t>
        </is>
      </c>
      <c r="B914" s="1" t="n">
        <v>45443</v>
      </c>
      <c r="C914" s="1" t="n">
        <v>45798</v>
      </c>
      <c r="D914" t="inlineStr">
        <is>
          <t>NORRBOTTENS LÄN</t>
        </is>
      </c>
      <c r="E914" t="inlineStr">
        <is>
          <t>ÖVERKALIX</t>
        </is>
      </c>
      <c r="F914" t="inlineStr">
        <is>
          <t>Sveaskog</t>
        </is>
      </c>
      <c r="G914" t="n">
        <v>7.1</v>
      </c>
      <c r="H914" t="n">
        <v>0</v>
      </c>
      <c r="I914" t="n">
        <v>1</v>
      </c>
      <c r="J914" t="n">
        <v>0</v>
      </c>
      <c r="K914" t="n">
        <v>0</v>
      </c>
      <c r="L914" t="n">
        <v>0</v>
      </c>
      <c r="M914" t="n">
        <v>0</v>
      </c>
      <c r="N914" t="n">
        <v>0</v>
      </c>
      <c r="O914" t="n">
        <v>0</v>
      </c>
      <c r="P914" t="n">
        <v>0</v>
      </c>
      <c r="Q914" t="n">
        <v>1</v>
      </c>
      <c r="R914" s="2" t="inlineStr">
        <is>
          <t>Dropptaggsvamp</t>
        </is>
      </c>
      <c r="S914">
        <f>HYPERLINK("https://klasma.github.io/Logging_2513/artfynd/A 22076-2024 artfynd.xlsx", "A 22076-2024")</f>
        <v/>
      </c>
      <c r="T914">
        <f>HYPERLINK("https://klasma.github.io/Logging_2513/kartor/A 22076-2024 karta.png", "A 22076-2024")</f>
        <v/>
      </c>
      <c r="V914">
        <f>HYPERLINK("https://klasma.github.io/Logging_2513/klagomål/A 22076-2024 FSC-klagomål.docx", "A 22076-2024")</f>
        <v/>
      </c>
      <c r="W914">
        <f>HYPERLINK("https://klasma.github.io/Logging_2513/klagomålsmail/A 22076-2024 FSC-klagomål mail.docx", "A 22076-2024")</f>
        <v/>
      </c>
      <c r="X914">
        <f>HYPERLINK("https://klasma.github.io/Logging_2513/tillsyn/A 22076-2024 tillsynsbegäran.docx", "A 22076-2024")</f>
        <v/>
      </c>
      <c r="Y914">
        <f>HYPERLINK("https://klasma.github.io/Logging_2513/tillsynsmail/A 22076-2024 tillsynsbegäran mail.docx", "A 22076-2024")</f>
        <v/>
      </c>
    </row>
    <row r="915" ht="15" customHeight="1">
      <c r="A915" t="inlineStr">
        <is>
          <t>A 21974-2024</t>
        </is>
      </c>
      <c r="B915" s="1" t="n">
        <v>45443</v>
      </c>
      <c r="C915" s="1" t="n">
        <v>45798</v>
      </c>
      <c r="D915" t="inlineStr">
        <is>
          <t>NORRBOTTENS LÄN</t>
        </is>
      </c>
      <c r="E915" t="inlineStr">
        <is>
          <t>ÄLVSBYN</t>
        </is>
      </c>
      <c r="F915" t="inlineStr">
        <is>
          <t>Sveaskog</t>
        </is>
      </c>
      <c r="G915" t="n">
        <v>13.1</v>
      </c>
      <c r="H915" t="n">
        <v>0</v>
      </c>
      <c r="I915" t="n">
        <v>1</v>
      </c>
      <c r="J915" t="n">
        <v>0</v>
      </c>
      <c r="K915" t="n">
        <v>0</v>
      </c>
      <c r="L915" t="n">
        <v>0</v>
      </c>
      <c r="M915" t="n">
        <v>0</v>
      </c>
      <c r="N915" t="n">
        <v>0</v>
      </c>
      <c r="O915" t="n">
        <v>0</v>
      </c>
      <c r="P915" t="n">
        <v>0</v>
      </c>
      <c r="Q915" t="n">
        <v>1</v>
      </c>
      <c r="R915" s="2" t="inlineStr">
        <is>
          <t>Stuplav</t>
        </is>
      </c>
      <c r="S915">
        <f>HYPERLINK("https://klasma.github.io/Logging_2560/artfynd/A 21974-2024 artfynd.xlsx", "A 21974-2024")</f>
        <v/>
      </c>
      <c r="T915">
        <f>HYPERLINK("https://klasma.github.io/Logging_2560/kartor/A 21974-2024 karta.png", "A 21974-2024")</f>
        <v/>
      </c>
      <c r="V915">
        <f>HYPERLINK("https://klasma.github.io/Logging_2560/klagomål/A 21974-2024 FSC-klagomål.docx", "A 21974-2024")</f>
        <v/>
      </c>
      <c r="W915">
        <f>HYPERLINK("https://klasma.github.io/Logging_2560/klagomålsmail/A 21974-2024 FSC-klagomål mail.docx", "A 21974-2024")</f>
        <v/>
      </c>
      <c r="X915">
        <f>HYPERLINK("https://klasma.github.io/Logging_2560/tillsyn/A 21974-2024 tillsynsbegäran.docx", "A 21974-2024")</f>
        <v/>
      </c>
      <c r="Y915">
        <f>HYPERLINK("https://klasma.github.io/Logging_2560/tillsynsmail/A 21974-2024 tillsynsbegäran mail.docx", "A 21974-2024")</f>
        <v/>
      </c>
    </row>
    <row r="916" ht="15" customHeight="1">
      <c r="A916" t="inlineStr">
        <is>
          <t>A 21907-2024</t>
        </is>
      </c>
      <c r="B916" s="1" t="n">
        <v>45443</v>
      </c>
      <c r="C916" s="1" t="n">
        <v>45798</v>
      </c>
      <c r="D916" t="inlineStr">
        <is>
          <t>NORRBOTTENS LÄN</t>
        </is>
      </c>
      <c r="E916" t="inlineStr">
        <is>
          <t>BODEN</t>
        </is>
      </c>
      <c r="F916" t="inlineStr">
        <is>
          <t>Sveaskog</t>
        </is>
      </c>
      <c r="G916" t="n">
        <v>6</v>
      </c>
      <c r="H916" t="n">
        <v>0</v>
      </c>
      <c r="I916" t="n">
        <v>0</v>
      </c>
      <c r="J916" t="n">
        <v>1</v>
      </c>
      <c r="K916" t="n">
        <v>0</v>
      </c>
      <c r="L916" t="n">
        <v>0</v>
      </c>
      <c r="M916" t="n">
        <v>0</v>
      </c>
      <c r="N916" t="n">
        <v>0</v>
      </c>
      <c r="O916" t="n">
        <v>1</v>
      </c>
      <c r="P916" t="n">
        <v>0</v>
      </c>
      <c r="Q916" t="n">
        <v>1</v>
      </c>
      <c r="R916" s="2" t="inlineStr">
        <is>
          <t>Orange taggsvamp</t>
        </is>
      </c>
      <c r="S916">
        <f>HYPERLINK("https://klasma.github.io/Logging_2582/artfynd/A 21907-2024 artfynd.xlsx", "A 21907-2024")</f>
        <v/>
      </c>
      <c r="T916">
        <f>HYPERLINK("https://klasma.github.io/Logging_2582/kartor/A 21907-2024 karta.png", "A 21907-2024")</f>
        <v/>
      </c>
      <c r="V916">
        <f>HYPERLINK("https://klasma.github.io/Logging_2582/klagomål/A 21907-2024 FSC-klagomål.docx", "A 21907-2024")</f>
        <v/>
      </c>
      <c r="W916">
        <f>HYPERLINK("https://klasma.github.io/Logging_2582/klagomålsmail/A 21907-2024 FSC-klagomål mail.docx", "A 21907-2024")</f>
        <v/>
      </c>
      <c r="X916">
        <f>HYPERLINK("https://klasma.github.io/Logging_2582/tillsyn/A 21907-2024 tillsynsbegäran.docx", "A 21907-2024")</f>
        <v/>
      </c>
      <c r="Y916">
        <f>HYPERLINK("https://klasma.github.io/Logging_2582/tillsynsmail/A 21907-2024 tillsynsbegäran mail.docx", "A 21907-2024")</f>
        <v/>
      </c>
    </row>
    <row r="917" ht="15" customHeight="1">
      <c r="A917" t="inlineStr">
        <is>
          <t>A 21858-2024</t>
        </is>
      </c>
      <c r="B917" s="1" t="n">
        <v>45443</v>
      </c>
      <c r="C917" s="1" t="n">
        <v>45798</v>
      </c>
      <c r="D917" t="inlineStr">
        <is>
          <t>NORRBOTTENS LÄN</t>
        </is>
      </c>
      <c r="E917" t="inlineStr">
        <is>
          <t>ÄLVSBYN</t>
        </is>
      </c>
      <c r="F917" t="inlineStr">
        <is>
          <t>Sveaskog</t>
        </is>
      </c>
      <c r="G917" t="n">
        <v>16.2</v>
      </c>
      <c r="H917" t="n">
        <v>0</v>
      </c>
      <c r="I917" t="n">
        <v>1</v>
      </c>
      <c r="J917" t="n">
        <v>0</v>
      </c>
      <c r="K917" t="n">
        <v>0</v>
      </c>
      <c r="L917" t="n">
        <v>0</v>
      </c>
      <c r="M917" t="n">
        <v>0</v>
      </c>
      <c r="N917" t="n">
        <v>0</v>
      </c>
      <c r="O917" t="n">
        <v>0</v>
      </c>
      <c r="P917" t="n">
        <v>0</v>
      </c>
      <c r="Q917" t="n">
        <v>1</v>
      </c>
      <c r="R917" s="2" t="inlineStr">
        <is>
          <t>Stuplav</t>
        </is>
      </c>
      <c r="S917">
        <f>HYPERLINK("https://klasma.github.io/Logging_2560/artfynd/A 21858-2024 artfynd.xlsx", "A 21858-2024")</f>
        <v/>
      </c>
      <c r="T917">
        <f>HYPERLINK("https://klasma.github.io/Logging_2560/kartor/A 21858-2024 karta.png", "A 21858-2024")</f>
        <v/>
      </c>
      <c r="V917">
        <f>HYPERLINK("https://klasma.github.io/Logging_2560/klagomål/A 21858-2024 FSC-klagomål.docx", "A 21858-2024")</f>
        <v/>
      </c>
      <c r="W917">
        <f>HYPERLINK("https://klasma.github.io/Logging_2560/klagomålsmail/A 21858-2024 FSC-klagomål mail.docx", "A 21858-2024")</f>
        <v/>
      </c>
      <c r="X917">
        <f>HYPERLINK("https://klasma.github.io/Logging_2560/tillsyn/A 21858-2024 tillsynsbegäran.docx", "A 21858-2024")</f>
        <v/>
      </c>
      <c r="Y917">
        <f>HYPERLINK("https://klasma.github.io/Logging_2560/tillsynsmail/A 21858-2024 tillsynsbegäran mail.docx", "A 21858-2024")</f>
        <v/>
      </c>
    </row>
    <row r="918" ht="15" customHeight="1">
      <c r="A918" t="inlineStr">
        <is>
          <t>A 22264-2024</t>
        </is>
      </c>
      <c r="B918" s="1" t="n">
        <v>45446</v>
      </c>
      <c r="C918" s="1" t="n">
        <v>45798</v>
      </c>
      <c r="D918" t="inlineStr">
        <is>
          <t>NORRBOTTENS LÄN</t>
        </is>
      </c>
      <c r="E918" t="inlineStr">
        <is>
          <t>BODEN</t>
        </is>
      </c>
      <c r="F918" t="inlineStr">
        <is>
          <t>Sveaskog</t>
        </is>
      </c>
      <c r="G918" t="n">
        <v>16.7</v>
      </c>
      <c r="H918" t="n">
        <v>0</v>
      </c>
      <c r="I918" t="n">
        <v>1</v>
      </c>
      <c r="J918" t="n">
        <v>0</v>
      </c>
      <c r="K918" t="n">
        <v>0</v>
      </c>
      <c r="L918" t="n">
        <v>0</v>
      </c>
      <c r="M918" t="n">
        <v>0</v>
      </c>
      <c r="N918" t="n">
        <v>0</v>
      </c>
      <c r="O918" t="n">
        <v>0</v>
      </c>
      <c r="P918" t="n">
        <v>0</v>
      </c>
      <c r="Q918" t="n">
        <v>1</v>
      </c>
      <c r="R918" s="2" t="inlineStr">
        <is>
          <t>Tibast</t>
        </is>
      </c>
      <c r="S918">
        <f>HYPERLINK("https://klasma.github.io/Logging_2582/artfynd/A 22264-2024 artfynd.xlsx", "A 22264-2024")</f>
        <v/>
      </c>
      <c r="T918">
        <f>HYPERLINK("https://klasma.github.io/Logging_2582/kartor/A 22264-2024 karta.png", "A 22264-2024")</f>
        <v/>
      </c>
      <c r="V918">
        <f>HYPERLINK("https://klasma.github.io/Logging_2582/klagomål/A 22264-2024 FSC-klagomål.docx", "A 22264-2024")</f>
        <v/>
      </c>
      <c r="W918">
        <f>HYPERLINK("https://klasma.github.io/Logging_2582/klagomålsmail/A 22264-2024 FSC-klagomål mail.docx", "A 22264-2024")</f>
        <v/>
      </c>
      <c r="X918">
        <f>HYPERLINK("https://klasma.github.io/Logging_2582/tillsyn/A 22264-2024 tillsynsbegäran.docx", "A 22264-2024")</f>
        <v/>
      </c>
      <c r="Y918">
        <f>HYPERLINK("https://klasma.github.io/Logging_2582/tillsynsmail/A 22264-2024 tillsynsbegäran mail.docx", "A 22264-2024")</f>
        <v/>
      </c>
    </row>
    <row r="919" ht="15" customHeight="1">
      <c r="A919" t="inlineStr">
        <is>
          <t>A 22495-2024</t>
        </is>
      </c>
      <c r="B919" s="1" t="n">
        <v>45447</v>
      </c>
      <c r="C919" s="1" t="n">
        <v>45798</v>
      </c>
      <c r="D919" t="inlineStr">
        <is>
          <t>NORRBOTTENS LÄN</t>
        </is>
      </c>
      <c r="E919" t="inlineStr">
        <is>
          <t>KIRUNA</t>
        </is>
      </c>
      <c r="G919" t="n">
        <v>7.1</v>
      </c>
      <c r="H919" t="n">
        <v>0</v>
      </c>
      <c r="I919" t="n">
        <v>0</v>
      </c>
      <c r="J919" t="n">
        <v>0</v>
      </c>
      <c r="K919" t="n">
        <v>1</v>
      </c>
      <c r="L919" t="n">
        <v>0</v>
      </c>
      <c r="M919" t="n">
        <v>0</v>
      </c>
      <c r="N919" t="n">
        <v>0</v>
      </c>
      <c r="O919" t="n">
        <v>1</v>
      </c>
      <c r="P919" t="n">
        <v>1</v>
      </c>
      <c r="Q919" t="n">
        <v>1</v>
      </c>
      <c r="R919" s="2" t="inlineStr">
        <is>
          <t>Tajgafältmätare</t>
        </is>
      </c>
      <c r="S919">
        <f>HYPERLINK("https://klasma.github.io/Logging_2584/artfynd/A 22495-2024 artfynd.xlsx", "A 22495-2024")</f>
        <v/>
      </c>
      <c r="T919">
        <f>HYPERLINK("https://klasma.github.io/Logging_2584/kartor/A 22495-2024 karta.png", "A 22495-2024")</f>
        <v/>
      </c>
      <c r="V919">
        <f>HYPERLINK("https://klasma.github.io/Logging_2584/klagomål/A 22495-2024 FSC-klagomål.docx", "A 22495-2024")</f>
        <v/>
      </c>
      <c r="W919">
        <f>HYPERLINK("https://klasma.github.io/Logging_2584/klagomålsmail/A 22495-2024 FSC-klagomål mail.docx", "A 22495-2024")</f>
        <v/>
      </c>
      <c r="X919">
        <f>HYPERLINK("https://klasma.github.io/Logging_2584/tillsyn/A 22495-2024 tillsynsbegäran.docx", "A 22495-2024")</f>
        <v/>
      </c>
      <c r="Y919">
        <f>HYPERLINK("https://klasma.github.io/Logging_2584/tillsynsmail/A 22495-2024 tillsynsbegäran mail.docx", "A 22495-2024")</f>
        <v/>
      </c>
    </row>
    <row r="920" ht="15" customHeight="1">
      <c r="A920" t="inlineStr">
        <is>
          <t>A 22865-2024</t>
        </is>
      </c>
      <c r="B920" s="1" t="n">
        <v>45448</v>
      </c>
      <c r="C920" s="1" t="n">
        <v>45798</v>
      </c>
      <c r="D920" t="inlineStr">
        <is>
          <t>NORRBOTTENS LÄN</t>
        </is>
      </c>
      <c r="E920" t="inlineStr">
        <is>
          <t>BODEN</t>
        </is>
      </c>
      <c r="F920" t="inlineStr">
        <is>
          <t>Sveaskog</t>
        </is>
      </c>
      <c r="G920" t="n">
        <v>7.2</v>
      </c>
      <c r="H920" t="n">
        <v>0</v>
      </c>
      <c r="I920" t="n">
        <v>0</v>
      </c>
      <c r="J920" t="n">
        <v>1</v>
      </c>
      <c r="K920" t="n">
        <v>0</v>
      </c>
      <c r="L920" t="n">
        <v>0</v>
      </c>
      <c r="M920" t="n">
        <v>0</v>
      </c>
      <c r="N920" t="n">
        <v>0</v>
      </c>
      <c r="O920" t="n">
        <v>1</v>
      </c>
      <c r="P920" t="n">
        <v>0</v>
      </c>
      <c r="Q920" t="n">
        <v>1</v>
      </c>
      <c r="R920" s="2" t="inlineStr">
        <is>
          <t>Lunglav</t>
        </is>
      </c>
      <c r="S920">
        <f>HYPERLINK("https://klasma.github.io/Logging_2582/artfynd/A 22865-2024 artfynd.xlsx", "A 22865-2024")</f>
        <v/>
      </c>
      <c r="T920">
        <f>HYPERLINK("https://klasma.github.io/Logging_2582/kartor/A 22865-2024 karta.png", "A 22865-2024")</f>
        <v/>
      </c>
      <c r="V920">
        <f>HYPERLINK("https://klasma.github.io/Logging_2582/klagomål/A 22865-2024 FSC-klagomål.docx", "A 22865-2024")</f>
        <v/>
      </c>
      <c r="W920">
        <f>HYPERLINK("https://klasma.github.io/Logging_2582/klagomålsmail/A 22865-2024 FSC-klagomål mail.docx", "A 22865-2024")</f>
        <v/>
      </c>
      <c r="X920">
        <f>HYPERLINK("https://klasma.github.io/Logging_2582/tillsyn/A 22865-2024 tillsynsbegäran.docx", "A 22865-2024")</f>
        <v/>
      </c>
      <c r="Y920">
        <f>HYPERLINK("https://klasma.github.io/Logging_2582/tillsynsmail/A 22865-2024 tillsynsbegäran mail.docx", "A 22865-2024")</f>
        <v/>
      </c>
    </row>
    <row r="921" ht="15" customHeight="1">
      <c r="A921" t="inlineStr">
        <is>
          <t>A 23056-2024</t>
        </is>
      </c>
      <c r="B921" s="1" t="n">
        <v>45449</v>
      </c>
      <c r="C921" s="1" t="n">
        <v>45798</v>
      </c>
      <c r="D921" t="inlineStr">
        <is>
          <t>NORRBOTTENS LÄN</t>
        </is>
      </c>
      <c r="E921" t="inlineStr">
        <is>
          <t>ÖVERTORNEÅ</t>
        </is>
      </c>
      <c r="G921" t="n">
        <v>1.4</v>
      </c>
      <c r="H921" t="n">
        <v>1</v>
      </c>
      <c r="I921" t="n">
        <v>0</v>
      </c>
      <c r="J921" t="n">
        <v>0</v>
      </c>
      <c r="K921" t="n">
        <v>0</v>
      </c>
      <c r="L921" t="n">
        <v>0</v>
      </c>
      <c r="M921" t="n">
        <v>0</v>
      </c>
      <c r="N921" t="n">
        <v>0</v>
      </c>
      <c r="O921" t="n">
        <v>0</v>
      </c>
      <c r="P921" t="n">
        <v>0</v>
      </c>
      <c r="Q921" t="n">
        <v>1</v>
      </c>
      <c r="R921" s="2" t="inlineStr">
        <is>
          <t>Revlummer</t>
        </is>
      </c>
      <c r="S921">
        <f>HYPERLINK("https://klasma.github.io/Logging_2518/artfynd/A 23056-2024 artfynd.xlsx", "A 23056-2024")</f>
        <v/>
      </c>
      <c r="T921">
        <f>HYPERLINK("https://klasma.github.io/Logging_2518/kartor/A 23056-2024 karta.png", "A 23056-2024")</f>
        <v/>
      </c>
      <c r="V921">
        <f>HYPERLINK("https://klasma.github.io/Logging_2518/klagomål/A 23056-2024 FSC-klagomål.docx", "A 23056-2024")</f>
        <v/>
      </c>
      <c r="W921">
        <f>HYPERLINK("https://klasma.github.io/Logging_2518/klagomålsmail/A 23056-2024 FSC-klagomål mail.docx", "A 23056-2024")</f>
        <v/>
      </c>
      <c r="X921">
        <f>HYPERLINK("https://klasma.github.io/Logging_2518/tillsyn/A 23056-2024 tillsynsbegäran.docx", "A 23056-2024")</f>
        <v/>
      </c>
      <c r="Y921">
        <f>HYPERLINK("https://klasma.github.io/Logging_2518/tillsynsmail/A 23056-2024 tillsynsbegäran mail.docx", "A 23056-2024")</f>
        <v/>
      </c>
    </row>
    <row r="922" ht="15" customHeight="1">
      <c r="A922" t="inlineStr">
        <is>
          <t>A 23075-2024</t>
        </is>
      </c>
      <c r="B922" s="1" t="n">
        <v>45450</v>
      </c>
      <c r="C922" s="1" t="n">
        <v>45798</v>
      </c>
      <c r="D922" t="inlineStr">
        <is>
          <t>NORRBOTTENS LÄN</t>
        </is>
      </c>
      <c r="E922" t="inlineStr">
        <is>
          <t>PITEÅ</t>
        </is>
      </c>
      <c r="F922" t="inlineStr">
        <is>
          <t>Sveaskog</t>
        </is>
      </c>
      <c r="G922" t="n">
        <v>21.7</v>
      </c>
      <c r="H922" t="n">
        <v>0</v>
      </c>
      <c r="I922" t="n">
        <v>0</v>
      </c>
      <c r="J922" t="n">
        <v>1</v>
      </c>
      <c r="K922" t="n">
        <v>0</v>
      </c>
      <c r="L922" t="n">
        <v>0</v>
      </c>
      <c r="M922" t="n">
        <v>0</v>
      </c>
      <c r="N922" t="n">
        <v>0</v>
      </c>
      <c r="O922" t="n">
        <v>1</v>
      </c>
      <c r="P922" t="n">
        <v>0</v>
      </c>
      <c r="Q922" t="n">
        <v>1</v>
      </c>
      <c r="R922" s="2" t="inlineStr">
        <is>
          <t>Violmussling</t>
        </is>
      </c>
      <c r="S922">
        <f>HYPERLINK("https://klasma.github.io/Logging_2581/artfynd/A 23075-2024 artfynd.xlsx", "A 23075-2024")</f>
        <v/>
      </c>
      <c r="T922">
        <f>HYPERLINK("https://klasma.github.io/Logging_2581/kartor/A 23075-2024 karta.png", "A 23075-2024")</f>
        <v/>
      </c>
      <c r="V922">
        <f>HYPERLINK("https://klasma.github.io/Logging_2581/klagomål/A 23075-2024 FSC-klagomål.docx", "A 23075-2024")</f>
        <v/>
      </c>
      <c r="W922">
        <f>HYPERLINK("https://klasma.github.io/Logging_2581/klagomålsmail/A 23075-2024 FSC-klagomål mail.docx", "A 23075-2024")</f>
        <v/>
      </c>
      <c r="X922">
        <f>HYPERLINK("https://klasma.github.io/Logging_2581/tillsyn/A 23075-2024 tillsynsbegäran.docx", "A 23075-2024")</f>
        <v/>
      </c>
      <c r="Y922">
        <f>HYPERLINK("https://klasma.github.io/Logging_2581/tillsynsmail/A 23075-2024 tillsynsbegäran mail.docx", "A 23075-2024")</f>
        <v/>
      </c>
    </row>
    <row r="923" ht="15" customHeight="1">
      <c r="A923" t="inlineStr">
        <is>
          <t>A 23096-2024</t>
        </is>
      </c>
      <c r="B923" s="1" t="n">
        <v>45450</v>
      </c>
      <c r="C923" s="1" t="n">
        <v>45798</v>
      </c>
      <c r="D923" t="inlineStr">
        <is>
          <t>NORRBOTTENS LÄN</t>
        </is>
      </c>
      <c r="E923" t="inlineStr">
        <is>
          <t>BODEN</t>
        </is>
      </c>
      <c r="F923" t="inlineStr">
        <is>
          <t>Sveaskog</t>
        </is>
      </c>
      <c r="G923" t="n">
        <v>13.5</v>
      </c>
      <c r="H923" t="n">
        <v>0</v>
      </c>
      <c r="I923" t="n">
        <v>0</v>
      </c>
      <c r="J923" t="n">
        <v>1</v>
      </c>
      <c r="K923" t="n">
        <v>0</v>
      </c>
      <c r="L923" t="n">
        <v>0</v>
      </c>
      <c r="M923" t="n">
        <v>0</v>
      </c>
      <c r="N923" t="n">
        <v>0</v>
      </c>
      <c r="O923" t="n">
        <v>1</v>
      </c>
      <c r="P923" t="n">
        <v>0</v>
      </c>
      <c r="Q923" t="n">
        <v>1</v>
      </c>
      <c r="R923" s="2" t="inlineStr">
        <is>
          <t>Lunglav</t>
        </is>
      </c>
      <c r="S923">
        <f>HYPERLINK("https://klasma.github.io/Logging_2582/artfynd/A 23096-2024 artfynd.xlsx", "A 23096-2024")</f>
        <v/>
      </c>
      <c r="T923">
        <f>HYPERLINK("https://klasma.github.io/Logging_2582/kartor/A 23096-2024 karta.png", "A 23096-2024")</f>
        <v/>
      </c>
      <c r="V923">
        <f>HYPERLINK("https://klasma.github.io/Logging_2582/klagomål/A 23096-2024 FSC-klagomål.docx", "A 23096-2024")</f>
        <v/>
      </c>
      <c r="W923">
        <f>HYPERLINK("https://klasma.github.io/Logging_2582/klagomålsmail/A 23096-2024 FSC-klagomål mail.docx", "A 23096-2024")</f>
        <v/>
      </c>
      <c r="X923">
        <f>HYPERLINK("https://klasma.github.io/Logging_2582/tillsyn/A 23096-2024 tillsynsbegäran.docx", "A 23096-2024")</f>
        <v/>
      </c>
      <c r="Y923">
        <f>HYPERLINK("https://klasma.github.io/Logging_2582/tillsynsmail/A 23096-2024 tillsynsbegäran mail.docx", "A 23096-2024")</f>
        <v/>
      </c>
    </row>
    <row r="924" ht="15" customHeight="1">
      <c r="A924" t="inlineStr">
        <is>
          <t>A 23132-2024</t>
        </is>
      </c>
      <c r="B924" s="1" t="n">
        <v>45450</v>
      </c>
      <c r="C924" s="1" t="n">
        <v>45798</v>
      </c>
      <c r="D924" t="inlineStr">
        <is>
          <t>NORRBOTTENS LÄN</t>
        </is>
      </c>
      <c r="E924" t="inlineStr">
        <is>
          <t>ÄLVSBYN</t>
        </is>
      </c>
      <c r="F924" t="inlineStr">
        <is>
          <t>Sveaskog</t>
        </is>
      </c>
      <c r="G924" t="n">
        <v>5.8</v>
      </c>
      <c r="H924" t="n">
        <v>0</v>
      </c>
      <c r="I924" t="n">
        <v>0</v>
      </c>
      <c r="J924" t="n">
        <v>1</v>
      </c>
      <c r="K924" t="n">
        <v>0</v>
      </c>
      <c r="L924" t="n">
        <v>0</v>
      </c>
      <c r="M924" t="n">
        <v>0</v>
      </c>
      <c r="N924" t="n">
        <v>0</v>
      </c>
      <c r="O924" t="n">
        <v>1</v>
      </c>
      <c r="P924" t="n">
        <v>0</v>
      </c>
      <c r="Q924" t="n">
        <v>1</v>
      </c>
      <c r="R924" s="2" t="inlineStr">
        <is>
          <t>Lunglav</t>
        </is>
      </c>
      <c r="S924">
        <f>HYPERLINK("https://klasma.github.io/Logging_2560/artfynd/A 23132-2024 artfynd.xlsx", "A 23132-2024")</f>
        <v/>
      </c>
      <c r="T924">
        <f>HYPERLINK("https://klasma.github.io/Logging_2560/kartor/A 23132-2024 karta.png", "A 23132-2024")</f>
        <v/>
      </c>
      <c r="V924">
        <f>HYPERLINK("https://klasma.github.io/Logging_2560/klagomål/A 23132-2024 FSC-klagomål.docx", "A 23132-2024")</f>
        <v/>
      </c>
      <c r="W924">
        <f>HYPERLINK("https://klasma.github.io/Logging_2560/klagomålsmail/A 23132-2024 FSC-klagomål mail.docx", "A 23132-2024")</f>
        <v/>
      </c>
      <c r="X924">
        <f>HYPERLINK("https://klasma.github.io/Logging_2560/tillsyn/A 23132-2024 tillsynsbegäran.docx", "A 23132-2024")</f>
        <v/>
      </c>
      <c r="Y924">
        <f>HYPERLINK("https://klasma.github.io/Logging_2560/tillsynsmail/A 23132-2024 tillsynsbegäran mail.docx", "A 23132-2024")</f>
        <v/>
      </c>
    </row>
    <row r="925" ht="15" customHeight="1">
      <c r="A925" t="inlineStr">
        <is>
          <t>A 23157-2024</t>
        </is>
      </c>
      <c r="B925" s="1" t="n">
        <v>45450</v>
      </c>
      <c r="C925" s="1" t="n">
        <v>45798</v>
      </c>
      <c r="D925" t="inlineStr">
        <is>
          <t>NORRBOTTENS LÄN</t>
        </is>
      </c>
      <c r="E925" t="inlineStr">
        <is>
          <t>ÖVERKALIX</t>
        </is>
      </c>
      <c r="F925" t="inlineStr">
        <is>
          <t>Sveaskog</t>
        </is>
      </c>
      <c r="G925" t="n">
        <v>5.9</v>
      </c>
      <c r="H925" t="n">
        <v>0</v>
      </c>
      <c r="I925" t="n">
        <v>1</v>
      </c>
      <c r="J925" t="n">
        <v>0</v>
      </c>
      <c r="K925" t="n">
        <v>0</v>
      </c>
      <c r="L925" t="n">
        <v>0</v>
      </c>
      <c r="M925" t="n">
        <v>0</v>
      </c>
      <c r="N925" t="n">
        <v>0</v>
      </c>
      <c r="O925" t="n">
        <v>0</v>
      </c>
      <c r="P925" t="n">
        <v>0</v>
      </c>
      <c r="Q925" t="n">
        <v>1</v>
      </c>
      <c r="R925" s="2" t="inlineStr">
        <is>
          <t>Bollvitmossa</t>
        </is>
      </c>
      <c r="S925">
        <f>HYPERLINK("https://klasma.github.io/Logging_2513/artfynd/A 23157-2024 artfynd.xlsx", "A 23157-2024")</f>
        <v/>
      </c>
      <c r="T925">
        <f>HYPERLINK("https://klasma.github.io/Logging_2513/kartor/A 23157-2024 karta.png", "A 23157-2024")</f>
        <v/>
      </c>
      <c r="V925">
        <f>HYPERLINK("https://klasma.github.io/Logging_2513/klagomål/A 23157-2024 FSC-klagomål.docx", "A 23157-2024")</f>
        <v/>
      </c>
      <c r="W925">
        <f>HYPERLINK("https://klasma.github.io/Logging_2513/klagomålsmail/A 23157-2024 FSC-klagomål mail.docx", "A 23157-2024")</f>
        <v/>
      </c>
      <c r="X925">
        <f>HYPERLINK("https://klasma.github.io/Logging_2513/tillsyn/A 23157-2024 tillsynsbegäran.docx", "A 23157-2024")</f>
        <v/>
      </c>
      <c r="Y925">
        <f>HYPERLINK("https://klasma.github.io/Logging_2513/tillsynsmail/A 23157-2024 tillsynsbegäran mail.docx", "A 23157-2024")</f>
        <v/>
      </c>
    </row>
    <row r="926" ht="15" customHeight="1">
      <c r="A926" t="inlineStr">
        <is>
          <t>A 25609-2024</t>
        </is>
      </c>
      <c r="B926" s="1" t="n">
        <v>45463</v>
      </c>
      <c r="C926" s="1" t="n">
        <v>45798</v>
      </c>
      <c r="D926" t="inlineStr">
        <is>
          <t>NORRBOTTENS LÄN</t>
        </is>
      </c>
      <c r="E926" t="inlineStr">
        <is>
          <t>BODEN</t>
        </is>
      </c>
      <c r="F926" t="inlineStr">
        <is>
          <t>Sveaskog</t>
        </is>
      </c>
      <c r="G926" t="n">
        <v>13.4</v>
      </c>
      <c r="H926" t="n">
        <v>0</v>
      </c>
      <c r="I926" t="n">
        <v>0</v>
      </c>
      <c r="J926" t="n">
        <v>1</v>
      </c>
      <c r="K926" t="n">
        <v>0</v>
      </c>
      <c r="L926" t="n">
        <v>0</v>
      </c>
      <c r="M926" t="n">
        <v>0</v>
      </c>
      <c r="N926" t="n">
        <v>0</v>
      </c>
      <c r="O926" t="n">
        <v>1</v>
      </c>
      <c r="P926" t="n">
        <v>0</v>
      </c>
      <c r="Q926" t="n">
        <v>1</v>
      </c>
      <c r="R926" s="2" t="inlineStr">
        <is>
          <t>Lunglav</t>
        </is>
      </c>
      <c r="S926">
        <f>HYPERLINK("https://klasma.github.io/Logging_2582/artfynd/A 25609-2024 artfynd.xlsx", "A 25609-2024")</f>
        <v/>
      </c>
      <c r="T926">
        <f>HYPERLINK("https://klasma.github.io/Logging_2582/kartor/A 25609-2024 karta.png", "A 25609-2024")</f>
        <v/>
      </c>
      <c r="V926">
        <f>HYPERLINK("https://klasma.github.io/Logging_2582/klagomål/A 25609-2024 FSC-klagomål.docx", "A 25609-2024")</f>
        <v/>
      </c>
      <c r="W926">
        <f>HYPERLINK("https://klasma.github.io/Logging_2582/klagomålsmail/A 25609-2024 FSC-klagomål mail.docx", "A 25609-2024")</f>
        <v/>
      </c>
      <c r="X926">
        <f>HYPERLINK("https://klasma.github.io/Logging_2582/tillsyn/A 25609-2024 tillsynsbegäran.docx", "A 25609-2024")</f>
        <v/>
      </c>
      <c r="Y926">
        <f>HYPERLINK("https://klasma.github.io/Logging_2582/tillsynsmail/A 25609-2024 tillsynsbegäran mail.docx", "A 25609-2024")</f>
        <v/>
      </c>
    </row>
    <row r="927" ht="15" customHeight="1">
      <c r="A927" t="inlineStr">
        <is>
          <t>A 25484-2024</t>
        </is>
      </c>
      <c r="B927" s="1" t="n">
        <v>45463</v>
      </c>
      <c r="C927" s="1" t="n">
        <v>45798</v>
      </c>
      <c r="D927" t="inlineStr">
        <is>
          <t>NORRBOTTENS LÄN</t>
        </is>
      </c>
      <c r="E927" t="inlineStr">
        <is>
          <t>PAJALA</t>
        </is>
      </c>
      <c r="F927" t="inlineStr">
        <is>
          <t>Sveaskog</t>
        </is>
      </c>
      <c r="G927" t="n">
        <v>5.9</v>
      </c>
      <c r="H927" t="n">
        <v>0</v>
      </c>
      <c r="I927" t="n">
        <v>0</v>
      </c>
      <c r="J927" t="n">
        <v>1</v>
      </c>
      <c r="K927" t="n">
        <v>0</v>
      </c>
      <c r="L927" t="n">
        <v>0</v>
      </c>
      <c r="M927" t="n">
        <v>0</v>
      </c>
      <c r="N927" t="n">
        <v>0</v>
      </c>
      <c r="O927" t="n">
        <v>1</v>
      </c>
      <c r="P927" t="n">
        <v>0</v>
      </c>
      <c r="Q927" t="n">
        <v>1</v>
      </c>
      <c r="R927" s="2" t="inlineStr">
        <is>
          <t>Violmussling</t>
        </is>
      </c>
      <c r="S927">
        <f>HYPERLINK("https://klasma.github.io/Logging_2521/artfynd/A 25484-2024 artfynd.xlsx", "A 25484-2024")</f>
        <v/>
      </c>
      <c r="T927">
        <f>HYPERLINK("https://klasma.github.io/Logging_2521/kartor/A 25484-2024 karta.png", "A 25484-2024")</f>
        <v/>
      </c>
      <c r="V927">
        <f>HYPERLINK("https://klasma.github.io/Logging_2521/klagomål/A 25484-2024 FSC-klagomål.docx", "A 25484-2024")</f>
        <v/>
      </c>
      <c r="W927">
        <f>HYPERLINK("https://klasma.github.io/Logging_2521/klagomålsmail/A 25484-2024 FSC-klagomål mail.docx", "A 25484-2024")</f>
        <v/>
      </c>
      <c r="X927">
        <f>HYPERLINK("https://klasma.github.io/Logging_2521/tillsyn/A 25484-2024 tillsynsbegäran.docx", "A 25484-2024")</f>
        <v/>
      </c>
      <c r="Y927">
        <f>HYPERLINK("https://klasma.github.io/Logging_2521/tillsynsmail/A 25484-2024 tillsynsbegäran mail.docx", "A 25484-2024")</f>
        <v/>
      </c>
    </row>
    <row r="928" ht="15" customHeight="1">
      <c r="A928" t="inlineStr">
        <is>
          <t>A 25528-2024</t>
        </is>
      </c>
      <c r="B928" s="1" t="n">
        <v>45463</v>
      </c>
      <c r="C928" s="1" t="n">
        <v>45798</v>
      </c>
      <c r="D928" t="inlineStr">
        <is>
          <t>NORRBOTTENS LÄN</t>
        </is>
      </c>
      <c r="E928" t="inlineStr">
        <is>
          <t>LULEÅ</t>
        </is>
      </c>
      <c r="G928" t="n">
        <v>1.4</v>
      </c>
      <c r="H928" t="n">
        <v>0</v>
      </c>
      <c r="I928" t="n">
        <v>0</v>
      </c>
      <c r="J928" t="n">
        <v>1</v>
      </c>
      <c r="K928" t="n">
        <v>0</v>
      </c>
      <c r="L928" t="n">
        <v>0</v>
      </c>
      <c r="M928" t="n">
        <v>0</v>
      </c>
      <c r="N928" t="n">
        <v>0</v>
      </c>
      <c r="O928" t="n">
        <v>1</v>
      </c>
      <c r="P928" t="n">
        <v>0</v>
      </c>
      <c r="Q928" t="n">
        <v>1</v>
      </c>
      <c r="R928" s="2" t="inlineStr">
        <is>
          <t>Granticka</t>
        </is>
      </c>
      <c r="S928">
        <f>HYPERLINK("https://klasma.github.io/Logging_2580/artfynd/A 25528-2024 artfynd.xlsx", "A 25528-2024")</f>
        <v/>
      </c>
      <c r="T928">
        <f>HYPERLINK("https://klasma.github.io/Logging_2580/kartor/A 25528-2024 karta.png", "A 25528-2024")</f>
        <v/>
      </c>
      <c r="V928">
        <f>HYPERLINK("https://klasma.github.io/Logging_2580/klagomål/A 25528-2024 FSC-klagomål.docx", "A 25528-2024")</f>
        <v/>
      </c>
      <c r="W928">
        <f>HYPERLINK("https://klasma.github.io/Logging_2580/klagomålsmail/A 25528-2024 FSC-klagomål mail.docx", "A 25528-2024")</f>
        <v/>
      </c>
      <c r="X928">
        <f>HYPERLINK("https://klasma.github.io/Logging_2580/tillsyn/A 25528-2024 tillsynsbegäran.docx", "A 25528-2024")</f>
        <v/>
      </c>
      <c r="Y928">
        <f>HYPERLINK("https://klasma.github.io/Logging_2580/tillsynsmail/A 25528-2024 tillsynsbegäran mail.docx", "A 25528-2024")</f>
        <v/>
      </c>
    </row>
    <row r="929" ht="15" customHeight="1">
      <c r="A929" t="inlineStr">
        <is>
          <t>A 26255-2024</t>
        </is>
      </c>
      <c r="B929" s="1" t="n">
        <v>45468</v>
      </c>
      <c r="C929" s="1" t="n">
        <v>45798</v>
      </c>
      <c r="D929" t="inlineStr">
        <is>
          <t>NORRBOTTENS LÄN</t>
        </is>
      </c>
      <c r="E929" t="inlineStr">
        <is>
          <t>KALIX</t>
        </is>
      </c>
      <c r="G929" t="n">
        <v>5.5</v>
      </c>
      <c r="H929" t="n">
        <v>0</v>
      </c>
      <c r="I929" t="n">
        <v>1</v>
      </c>
      <c r="J929" t="n">
        <v>0</v>
      </c>
      <c r="K929" t="n">
        <v>0</v>
      </c>
      <c r="L929" t="n">
        <v>0</v>
      </c>
      <c r="M929" t="n">
        <v>0</v>
      </c>
      <c r="N929" t="n">
        <v>0</v>
      </c>
      <c r="O929" t="n">
        <v>0</v>
      </c>
      <c r="P929" t="n">
        <v>0</v>
      </c>
      <c r="Q929" t="n">
        <v>1</v>
      </c>
      <c r="R929" s="2" t="inlineStr">
        <is>
          <t>Dropptaggsvamp</t>
        </is>
      </c>
      <c r="S929">
        <f>HYPERLINK("https://klasma.github.io/Logging_2514/artfynd/A 26255-2024 artfynd.xlsx", "A 26255-2024")</f>
        <v/>
      </c>
      <c r="T929">
        <f>HYPERLINK("https://klasma.github.io/Logging_2514/kartor/A 26255-2024 karta.png", "A 26255-2024")</f>
        <v/>
      </c>
      <c r="V929">
        <f>HYPERLINK("https://klasma.github.io/Logging_2514/klagomål/A 26255-2024 FSC-klagomål.docx", "A 26255-2024")</f>
        <v/>
      </c>
      <c r="W929">
        <f>HYPERLINK("https://klasma.github.io/Logging_2514/klagomålsmail/A 26255-2024 FSC-klagomål mail.docx", "A 26255-2024")</f>
        <v/>
      </c>
      <c r="X929">
        <f>HYPERLINK("https://klasma.github.io/Logging_2514/tillsyn/A 26255-2024 tillsynsbegäran.docx", "A 26255-2024")</f>
        <v/>
      </c>
      <c r="Y929">
        <f>HYPERLINK("https://klasma.github.io/Logging_2514/tillsynsmail/A 26255-2024 tillsynsbegäran mail.docx", "A 26255-2024")</f>
        <v/>
      </c>
    </row>
    <row r="930" ht="15" customHeight="1">
      <c r="A930" t="inlineStr">
        <is>
          <t>A 26551-2024</t>
        </is>
      </c>
      <c r="B930" s="1" t="n">
        <v>45469</v>
      </c>
      <c r="C930" s="1" t="n">
        <v>45798</v>
      </c>
      <c r="D930" t="inlineStr">
        <is>
          <t>NORRBOTTENS LÄN</t>
        </is>
      </c>
      <c r="E930" t="inlineStr">
        <is>
          <t>GÄLLIVARE</t>
        </is>
      </c>
      <c r="F930" t="inlineStr">
        <is>
          <t>Sveaskog</t>
        </is>
      </c>
      <c r="G930" t="n">
        <v>8.699999999999999</v>
      </c>
      <c r="H930" t="n">
        <v>0</v>
      </c>
      <c r="I930" t="n">
        <v>0</v>
      </c>
      <c r="J930" t="n">
        <v>1</v>
      </c>
      <c r="K930" t="n">
        <v>0</v>
      </c>
      <c r="L930" t="n">
        <v>0</v>
      </c>
      <c r="M930" t="n">
        <v>0</v>
      </c>
      <c r="N930" t="n">
        <v>0</v>
      </c>
      <c r="O930" t="n">
        <v>1</v>
      </c>
      <c r="P930" t="n">
        <v>0</v>
      </c>
      <c r="Q930" t="n">
        <v>1</v>
      </c>
      <c r="R930" s="2" t="inlineStr">
        <is>
          <t>Lunglav</t>
        </is>
      </c>
      <c r="S930">
        <f>HYPERLINK("https://klasma.github.io/Logging_2523/artfynd/A 26551-2024 artfynd.xlsx", "A 26551-2024")</f>
        <v/>
      </c>
      <c r="T930">
        <f>HYPERLINK("https://klasma.github.io/Logging_2523/kartor/A 26551-2024 karta.png", "A 26551-2024")</f>
        <v/>
      </c>
      <c r="V930">
        <f>HYPERLINK("https://klasma.github.io/Logging_2523/klagomål/A 26551-2024 FSC-klagomål.docx", "A 26551-2024")</f>
        <v/>
      </c>
      <c r="W930">
        <f>HYPERLINK("https://klasma.github.io/Logging_2523/klagomålsmail/A 26551-2024 FSC-klagomål mail.docx", "A 26551-2024")</f>
        <v/>
      </c>
      <c r="X930">
        <f>HYPERLINK("https://klasma.github.io/Logging_2523/tillsyn/A 26551-2024 tillsynsbegäran.docx", "A 26551-2024")</f>
        <v/>
      </c>
      <c r="Y930">
        <f>HYPERLINK("https://klasma.github.io/Logging_2523/tillsynsmail/A 26551-2024 tillsynsbegäran mail.docx", "A 26551-2024")</f>
        <v/>
      </c>
    </row>
    <row r="931" ht="15" customHeight="1">
      <c r="A931" t="inlineStr">
        <is>
          <t>A 26595-2024</t>
        </is>
      </c>
      <c r="B931" s="1" t="n">
        <v>45469</v>
      </c>
      <c r="C931" s="1" t="n">
        <v>45798</v>
      </c>
      <c r="D931" t="inlineStr">
        <is>
          <t>NORRBOTTENS LÄN</t>
        </is>
      </c>
      <c r="E931" t="inlineStr">
        <is>
          <t>BODEN</t>
        </is>
      </c>
      <c r="F931" t="inlineStr">
        <is>
          <t>Sveaskog</t>
        </is>
      </c>
      <c r="G931" t="n">
        <v>32.7</v>
      </c>
      <c r="H931" t="n">
        <v>0</v>
      </c>
      <c r="I931" t="n">
        <v>0</v>
      </c>
      <c r="J931" t="n">
        <v>1</v>
      </c>
      <c r="K931" t="n">
        <v>0</v>
      </c>
      <c r="L931" t="n">
        <v>0</v>
      </c>
      <c r="M931" t="n">
        <v>0</v>
      </c>
      <c r="N931" t="n">
        <v>0</v>
      </c>
      <c r="O931" t="n">
        <v>1</v>
      </c>
      <c r="P931" t="n">
        <v>0</v>
      </c>
      <c r="Q931" t="n">
        <v>1</v>
      </c>
      <c r="R931" s="2" t="inlineStr">
        <is>
          <t>Lunglav</t>
        </is>
      </c>
      <c r="S931">
        <f>HYPERLINK("https://klasma.github.io/Logging_2582/artfynd/A 26595-2024 artfynd.xlsx", "A 26595-2024")</f>
        <v/>
      </c>
      <c r="T931">
        <f>HYPERLINK("https://klasma.github.io/Logging_2582/kartor/A 26595-2024 karta.png", "A 26595-2024")</f>
        <v/>
      </c>
      <c r="V931">
        <f>HYPERLINK("https://klasma.github.io/Logging_2582/klagomål/A 26595-2024 FSC-klagomål.docx", "A 26595-2024")</f>
        <v/>
      </c>
      <c r="W931">
        <f>HYPERLINK("https://klasma.github.io/Logging_2582/klagomålsmail/A 26595-2024 FSC-klagomål mail.docx", "A 26595-2024")</f>
        <v/>
      </c>
      <c r="X931">
        <f>HYPERLINK("https://klasma.github.io/Logging_2582/tillsyn/A 26595-2024 tillsynsbegäran.docx", "A 26595-2024")</f>
        <v/>
      </c>
      <c r="Y931">
        <f>HYPERLINK("https://klasma.github.io/Logging_2582/tillsynsmail/A 26595-2024 tillsynsbegäran mail.docx", "A 26595-2024")</f>
        <v/>
      </c>
    </row>
    <row r="932" ht="15" customHeight="1">
      <c r="A932" t="inlineStr">
        <is>
          <t>A 26552-2024</t>
        </is>
      </c>
      <c r="B932" s="1" t="n">
        <v>45469</v>
      </c>
      <c r="C932" s="1" t="n">
        <v>45798</v>
      </c>
      <c r="D932" t="inlineStr">
        <is>
          <t>NORRBOTTENS LÄN</t>
        </is>
      </c>
      <c r="E932" t="inlineStr">
        <is>
          <t>GÄLLIVARE</t>
        </is>
      </c>
      <c r="F932" t="inlineStr">
        <is>
          <t>Sveaskog</t>
        </is>
      </c>
      <c r="G932" t="n">
        <v>5.1</v>
      </c>
      <c r="H932" t="n">
        <v>0</v>
      </c>
      <c r="I932" t="n">
        <v>0</v>
      </c>
      <c r="J932" t="n">
        <v>1</v>
      </c>
      <c r="K932" t="n">
        <v>0</v>
      </c>
      <c r="L932" t="n">
        <v>0</v>
      </c>
      <c r="M932" t="n">
        <v>0</v>
      </c>
      <c r="N932" t="n">
        <v>0</v>
      </c>
      <c r="O932" t="n">
        <v>1</v>
      </c>
      <c r="P932" t="n">
        <v>0</v>
      </c>
      <c r="Q932" t="n">
        <v>1</v>
      </c>
      <c r="R932" s="2" t="inlineStr">
        <is>
          <t>Garnlav</t>
        </is>
      </c>
      <c r="S932">
        <f>HYPERLINK("https://klasma.github.io/Logging_2523/artfynd/A 26552-2024 artfynd.xlsx", "A 26552-2024")</f>
        <v/>
      </c>
      <c r="T932">
        <f>HYPERLINK("https://klasma.github.io/Logging_2523/kartor/A 26552-2024 karta.png", "A 26552-2024")</f>
        <v/>
      </c>
      <c r="V932">
        <f>HYPERLINK("https://klasma.github.io/Logging_2523/klagomål/A 26552-2024 FSC-klagomål.docx", "A 26552-2024")</f>
        <v/>
      </c>
      <c r="W932">
        <f>HYPERLINK("https://klasma.github.io/Logging_2523/klagomålsmail/A 26552-2024 FSC-klagomål mail.docx", "A 26552-2024")</f>
        <v/>
      </c>
      <c r="X932">
        <f>HYPERLINK("https://klasma.github.io/Logging_2523/tillsyn/A 26552-2024 tillsynsbegäran.docx", "A 26552-2024")</f>
        <v/>
      </c>
      <c r="Y932">
        <f>HYPERLINK("https://klasma.github.io/Logging_2523/tillsynsmail/A 26552-2024 tillsynsbegäran mail.docx", "A 26552-2024")</f>
        <v/>
      </c>
    </row>
    <row r="933" ht="15" customHeight="1">
      <c r="A933" t="inlineStr">
        <is>
          <t>A 28106-2024</t>
        </is>
      </c>
      <c r="B933" s="1" t="n">
        <v>45476</v>
      </c>
      <c r="C933" s="1" t="n">
        <v>45798</v>
      </c>
      <c r="D933" t="inlineStr">
        <is>
          <t>NORRBOTTENS LÄN</t>
        </is>
      </c>
      <c r="E933" t="inlineStr">
        <is>
          <t>GÄLLIVARE</t>
        </is>
      </c>
      <c r="F933" t="inlineStr">
        <is>
          <t>Sveaskog</t>
        </is>
      </c>
      <c r="G933" t="n">
        <v>1.1</v>
      </c>
      <c r="H933" t="n">
        <v>1</v>
      </c>
      <c r="I933" t="n">
        <v>0</v>
      </c>
      <c r="J933" t="n">
        <v>0</v>
      </c>
      <c r="K933" t="n">
        <v>1</v>
      </c>
      <c r="L933" t="n">
        <v>0</v>
      </c>
      <c r="M933" t="n">
        <v>0</v>
      </c>
      <c r="N933" t="n">
        <v>0</v>
      </c>
      <c r="O933" t="n">
        <v>1</v>
      </c>
      <c r="P933" t="n">
        <v>1</v>
      </c>
      <c r="Q933" t="n">
        <v>1</v>
      </c>
      <c r="R933" s="2" t="inlineStr">
        <is>
          <t>Doftticka</t>
        </is>
      </c>
      <c r="S933">
        <f>HYPERLINK("https://klasma.github.io/Logging_2523/artfynd/A 28106-2024 artfynd.xlsx", "A 28106-2024")</f>
        <v/>
      </c>
      <c r="T933">
        <f>HYPERLINK("https://klasma.github.io/Logging_2523/kartor/A 28106-2024 karta.png", "A 28106-2024")</f>
        <v/>
      </c>
      <c r="V933">
        <f>HYPERLINK("https://klasma.github.io/Logging_2523/klagomål/A 28106-2024 FSC-klagomål.docx", "A 28106-2024")</f>
        <v/>
      </c>
      <c r="W933">
        <f>HYPERLINK("https://klasma.github.io/Logging_2523/klagomålsmail/A 28106-2024 FSC-klagomål mail.docx", "A 28106-2024")</f>
        <v/>
      </c>
      <c r="X933">
        <f>HYPERLINK("https://klasma.github.io/Logging_2523/tillsyn/A 28106-2024 tillsynsbegäran.docx", "A 28106-2024")</f>
        <v/>
      </c>
      <c r="Y933">
        <f>HYPERLINK("https://klasma.github.io/Logging_2523/tillsynsmail/A 28106-2024 tillsynsbegäran mail.docx", "A 28106-2024")</f>
        <v/>
      </c>
    </row>
    <row r="934" ht="15" customHeight="1">
      <c r="A934" t="inlineStr">
        <is>
          <t>A 28428-2024</t>
        </is>
      </c>
      <c r="B934" s="1" t="n">
        <v>45477</v>
      </c>
      <c r="C934" s="1" t="n">
        <v>45798</v>
      </c>
      <c r="D934" t="inlineStr">
        <is>
          <t>NORRBOTTENS LÄN</t>
        </is>
      </c>
      <c r="E934" t="inlineStr">
        <is>
          <t>PAJALA</t>
        </is>
      </c>
      <c r="G934" t="n">
        <v>44.7</v>
      </c>
      <c r="H934" t="n">
        <v>0</v>
      </c>
      <c r="I934" t="n">
        <v>0</v>
      </c>
      <c r="J934" t="n">
        <v>0</v>
      </c>
      <c r="K934" t="n">
        <v>1</v>
      </c>
      <c r="L934" t="n">
        <v>0</v>
      </c>
      <c r="M934" t="n">
        <v>0</v>
      </c>
      <c r="N934" t="n">
        <v>0</v>
      </c>
      <c r="O934" t="n">
        <v>1</v>
      </c>
      <c r="P934" t="n">
        <v>1</v>
      </c>
      <c r="Q934" t="n">
        <v>1</v>
      </c>
      <c r="R934" s="2" t="inlineStr">
        <is>
          <t>Gräddporing</t>
        </is>
      </c>
      <c r="S934">
        <f>HYPERLINK("https://klasma.github.io/Logging_2521/artfynd/A 28428-2024 artfynd.xlsx", "A 28428-2024")</f>
        <v/>
      </c>
      <c r="T934">
        <f>HYPERLINK("https://klasma.github.io/Logging_2521/kartor/A 28428-2024 karta.png", "A 28428-2024")</f>
        <v/>
      </c>
      <c r="V934">
        <f>HYPERLINK("https://klasma.github.io/Logging_2521/klagomål/A 28428-2024 FSC-klagomål.docx", "A 28428-2024")</f>
        <v/>
      </c>
      <c r="W934">
        <f>HYPERLINK("https://klasma.github.io/Logging_2521/klagomålsmail/A 28428-2024 FSC-klagomål mail.docx", "A 28428-2024")</f>
        <v/>
      </c>
      <c r="X934">
        <f>HYPERLINK("https://klasma.github.io/Logging_2521/tillsyn/A 28428-2024 tillsynsbegäran.docx", "A 28428-2024")</f>
        <v/>
      </c>
      <c r="Y934">
        <f>HYPERLINK("https://klasma.github.io/Logging_2521/tillsynsmail/A 28428-2024 tillsynsbegäran mail.docx", "A 28428-2024")</f>
        <v/>
      </c>
    </row>
    <row r="935" ht="15" customHeight="1">
      <c r="A935" t="inlineStr">
        <is>
          <t>A 29679-2024</t>
        </is>
      </c>
      <c r="B935" s="1" t="n">
        <v>45485</v>
      </c>
      <c r="C935" s="1" t="n">
        <v>45798</v>
      </c>
      <c r="D935" t="inlineStr">
        <is>
          <t>NORRBOTTENS LÄN</t>
        </is>
      </c>
      <c r="E935" t="inlineStr">
        <is>
          <t>JOKKMOKK</t>
        </is>
      </c>
      <c r="F935" t="inlineStr">
        <is>
          <t>SCA</t>
        </is>
      </c>
      <c r="G935" t="n">
        <v>16.1</v>
      </c>
      <c r="H935" t="n">
        <v>0</v>
      </c>
      <c r="I935" t="n">
        <v>0</v>
      </c>
      <c r="J935" t="n">
        <v>1</v>
      </c>
      <c r="K935" t="n">
        <v>0</v>
      </c>
      <c r="L935" t="n">
        <v>0</v>
      </c>
      <c r="M935" t="n">
        <v>0</v>
      </c>
      <c r="N935" t="n">
        <v>0</v>
      </c>
      <c r="O935" t="n">
        <v>1</v>
      </c>
      <c r="P935" t="n">
        <v>0</v>
      </c>
      <c r="Q935" t="n">
        <v>1</v>
      </c>
      <c r="R935" s="2" t="inlineStr">
        <is>
          <t>Kolflarnlav</t>
        </is>
      </c>
      <c r="S935">
        <f>HYPERLINK("https://klasma.github.io/Logging_2510/artfynd/A 29679-2024 artfynd.xlsx", "A 29679-2024")</f>
        <v/>
      </c>
      <c r="T935">
        <f>HYPERLINK("https://klasma.github.io/Logging_2510/kartor/A 29679-2024 karta.png", "A 29679-2024")</f>
        <v/>
      </c>
      <c r="V935">
        <f>HYPERLINK("https://klasma.github.io/Logging_2510/klagomål/A 29679-2024 FSC-klagomål.docx", "A 29679-2024")</f>
        <v/>
      </c>
      <c r="W935">
        <f>HYPERLINK("https://klasma.github.io/Logging_2510/klagomålsmail/A 29679-2024 FSC-klagomål mail.docx", "A 29679-2024")</f>
        <v/>
      </c>
      <c r="X935">
        <f>HYPERLINK("https://klasma.github.io/Logging_2510/tillsyn/A 29679-2024 tillsynsbegäran.docx", "A 29679-2024")</f>
        <v/>
      </c>
      <c r="Y935">
        <f>HYPERLINK("https://klasma.github.io/Logging_2510/tillsynsmail/A 29679-2024 tillsynsbegäran mail.docx", "A 29679-2024")</f>
        <v/>
      </c>
    </row>
    <row r="936" ht="15" customHeight="1">
      <c r="A936" t="inlineStr">
        <is>
          <t>A 30225-2024</t>
        </is>
      </c>
      <c r="B936" s="1" t="n">
        <v>45490</v>
      </c>
      <c r="C936" s="1" t="n">
        <v>45798</v>
      </c>
      <c r="D936" t="inlineStr">
        <is>
          <t>NORRBOTTENS LÄN</t>
        </is>
      </c>
      <c r="E936" t="inlineStr">
        <is>
          <t>PITEÅ</t>
        </is>
      </c>
      <c r="G936" t="n">
        <v>2.9</v>
      </c>
      <c r="H936" t="n">
        <v>0</v>
      </c>
      <c r="I936" t="n">
        <v>0</v>
      </c>
      <c r="J936" t="n">
        <v>1</v>
      </c>
      <c r="K936" t="n">
        <v>0</v>
      </c>
      <c r="L936" t="n">
        <v>0</v>
      </c>
      <c r="M936" t="n">
        <v>0</v>
      </c>
      <c r="N936" t="n">
        <v>0</v>
      </c>
      <c r="O936" t="n">
        <v>1</v>
      </c>
      <c r="P936" t="n">
        <v>0</v>
      </c>
      <c r="Q936" t="n">
        <v>1</v>
      </c>
      <c r="R936" s="2" t="inlineStr">
        <is>
          <t>Garnlav</t>
        </is>
      </c>
      <c r="S936">
        <f>HYPERLINK("https://klasma.github.io/Logging_2581/artfynd/A 30225-2024 artfynd.xlsx", "A 30225-2024")</f>
        <v/>
      </c>
      <c r="T936">
        <f>HYPERLINK("https://klasma.github.io/Logging_2581/kartor/A 30225-2024 karta.png", "A 30225-2024")</f>
        <v/>
      </c>
      <c r="V936">
        <f>HYPERLINK("https://klasma.github.io/Logging_2581/klagomål/A 30225-2024 FSC-klagomål.docx", "A 30225-2024")</f>
        <v/>
      </c>
      <c r="W936">
        <f>HYPERLINK("https://klasma.github.io/Logging_2581/klagomålsmail/A 30225-2024 FSC-klagomål mail.docx", "A 30225-2024")</f>
        <v/>
      </c>
      <c r="X936">
        <f>HYPERLINK("https://klasma.github.io/Logging_2581/tillsyn/A 30225-2024 tillsynsbegäran.docx", "A 30225-2024")</f>
        <v/>
      </c>
      <c r="Y936">
        <f>HYPERLINK("https://klasma.github.io/Logging_2581/tillsynsmail/A 30225-2024 tillsynsbegäran mail.docx", "A 30225-2024")</f>
        <v/>
      </c>
    </row>
    <row r="937" ht="15" customHeight="1">
      <c r="A937" t="inlineStr">
        <is>
          <t>A 31272-2024</t>
        </is>
      </c>
      <c r="B937" s="1" t="n">
        <v>45504</v>
      </c>
      <c r="C937" s="1" t="n">
        <v>45798</v>
      </c>
      <c r="D937" t="inlineStr">
        <is>
          <t>NORRBOTTENS LÄN</t>
        </is>
      </c>
      <c r="E937" t="inlineStr">
        <is>
          <t>BODEN</t>
        </is>
      </c>
      <c r="F937" t="inlineStr">
        <is>
          <t>Sveaskog</t>
        </is>
      </c>
      <c r="G937" t="n">
        <v>24.2</v>
      </c>
      <c r="H937" t="n">
        <v>0</v>
      </c>
      <c r="I937" t="n">
        <v>1</v>
      </c>
      <c r="J937" t="n">
        <v>0</v>
      </c>
      <c r="K937" t="n">
        <v>0</v>
      </c>
      <c r="L937" t="n">
        <v>0</v>
      </c>
      <c r="M937" t="n">
        <v>0</v>
      </c>
      <c r="N937" t="n">
        <v>0</v>
      </c>
      <c r="O937" t="n">
        <v>0</v>
      </c>
      <c r="P937" t="n">
        <v>0</v>
      </c>
      <c r="Q937" t="n">
        <v>1</v>
      </c>
      <c r="R937" s="2" t="inlineStr">
        <is>
          <t>Skarp dropptaggsvamp</t>
        </is>
      </c>
      <c r="S937">
        <f>HYPERLINK("https://klasma.github.io/Logging_2582/artfynd/A 31272-2024 artfynd.xlsx", "A 31272-2024")</f>
        <v/>
      </c>
      <c r="T937">
        <f>HYPERLINK("https://klasma.github.io/Logging_2582/kartor/A 31272-2024 karta.png", "A 31272-2024")</f>
        <v/>
      </c>
      <c r="V937">
        <f>HYPERLINK("https://klasma.github.io/Logging_2582/klagomål/A 31272-2024 FSC-klagomål.docx", "A 31272-2024")</f>
        <v/>
      </c>
      <c r="W937">
        <f>HYPERLINK("https://klasma.github.io/Logging_2582/klagomålsmail/A 31272-2024 FSC-klagomål mail.docx", "A 31272-2024")</f>
        <v/>
      </c>
      <c r="X937">
        <f>HYPERLINK("https://klasma.github.io/Logging_2582/tillsyn/A 31272-2024 tillsynsbegäran.docx", "A 31272-2024")</f>
        <v/>
      </c>
      <c r="Y937">
        <f>HYPERLINK("https://klasma.github.io/Logging_2582/tillsynsmail/A 31272-2024 tillsynsbegäran mail.docx", "A 31272-2024")</f>
        <v/>
      </c>
    </row>
    <row r="938" ht="15" customHeight="1">
      <c r="A938" t="inlineStr">
        <is>
          <t>A 32599-2024</t>
        </is>
      </c>
      <c r="B938" s="1" t="n">
        <v>45513</v>
      </c>
      <c r="C938" s="1" t="n">
        <v>45798</v>
      </c>
      <c r="D938" t="inlineStr">
        <is>
          <t>NORRBOTTENS LÄN</t>
        </is>
      </c>
      <c r="E938" t="inlineStr">
        <is>
          <t>ARVIDSJAUR</t>
        </is>
      </c>
      <c r="F938" t="inlineStr">
        <is>
          <t>Sveaskog</t>
        </is>
      </c>
      <c r="G938" t="n">
        <v>12.2</v>
      </c>
      <c r="H938" t="n">
        <v>0</v>
      </c>
      <c r="I938" t="n">
        <v>0</v>
      </c>
      <c r="J938" t="n">
        <v>1</v>
      </c>
      <c r="K938" t="n">
        <v>0</v>
      </c>
      <c r="L938" t="n">
        <v>0</v>
      </c>
      <c r="M938" t="n">
        <v>0</v>
      </c>
      <c r="N938" t="n">
        <v>0</v>
      </c>
      <c r="O938" t="n">
        <v>1</v>
      </c>
      <c r="P938" t="n">
        <v>0</v>
      </c>
      <c r="Q938" t="n">
        <v>1</v>
      </c>
      <c r="R938" s="2" t="inlineStr">
        <is>
          <t>Lunglav</t>
        </is>
      </c>
      <c r="S938">
        <f>HYPERLINK("https://klasma.github.io/Logging_2505/artfynd/A 32599-2024 artfynd.xlsx", "A 32599-2024")</f>
        <v/>
      </c>
      <c r="T938">
        <f>HYPERLINK("https://klasma.github.io/Logging_2505/kartor/A 32599-2024 karta.png", "A 32599-2024")</f>
        <v/>
      </c>
      <c r="V938">
        <f>HYPERLINK("https://klasma.github.io/Logging_2505/klagomål/A 32599-2024 FSC-klagomål.docx", "A 32599-2024")</f>
        <v/>
      </c>
      <c r="W938">
        <f>HYPERLINK("https://klasma.github.io/Logging_2505/klagomålsmail/A 32599-2024 FSC-klagomål mail.docx", "A 32599-2024")</f>
        <v/>
      </c>
      <c r="X938">
        <f>HYPERLINK("https://klasma.github.io/Logging_2505/tillsyn/A 32599-2024 tillsynsbegäran.docx", "A 32599-2024")</f>
        <v/>
      </c>
      <c r="Y938">
        <f>HYPERLINK("https://klasma.github.io/Logging_2505/tillsynsmail/A 32599-2024 tillsynsbegäran mail.docx", "A 32599-2024")</f>
        <v/>
      </c>
    </row>
    <row r="939" ht="15" customHeight="1">
      <c r="A939" t="inlineStr">
        <is>
          <t>A 32600-2024</t>
        </is>
      </c>
      <c r="B939" s="1" t="n">
        <v>45513</v>
      </c>
      <c r="C939" s="1" t="n">
        <v>45798</v>
      </c>
      <c r="D939" t="inlineStr">
        <is>
          <t>NORRBOTTENS LÄN</t>
        </is>
      </c>
      <c r="E939" t="inlineStr">
        <is>
          <t>BODEN</t>
        </is>
      </c>
      <c r="G939" t="n">
        <v>2.5</v>
      </c>
      <c r="H939" t="n">
        <v>0</v>
      </c>
      <c r="I939" t="n">
        <v>0</v>
      </c>
      <c r="J939" t="n">
        <v>1</v>
      </c>
      <c r="K939" t="n">
        <v>0</v>
      </c>
      <c r="L939" t="n">
        <v>0</v>
      </c>
      <c r="M939" t="n">
        <v>0</v>
      </c>
      <c r="N939" t="n">
        <v>0</v>
      </c>
      <c r="O939" t="n">
        <v>1</v>
      </c>
      <c r="P939" t="n">
        <v>0</v>
      </c>
      <c r="Q939" t="n">
        <v>1</v>
      </c>
      <c r="R939" s="2" t="inlineStr">
        <is>
          <t>Lunglav</t>
        </is>
      </c>
      <c r="S939">
        <f>HYPERLINK("https://klasma.github.io/Logging_2582/artfynd/A 32600-2024 artfynd.xlsx", "A 32600-2024")</f>
        <v/>
      </c>
      <c r="T939">
        <f>HYPERLINK("https://klasma.github.io/Logging_2582/kartor/A 32600-2024 karta.png", "A 32600-2024")</f>
        <v/>
      </c>
      <c r="V939">
        <f>HYPERLINK("https://klasma.github.io/Logging_2582/klagomål/A 32600-2024 FSC-klagomål.docx", "A 32600-2024")</f>
        <v/>
      </c>
      <c r="W939">
        <f>HYPERLINK("https://klasma.github.io/Logging_2582/klagomålsmail/A 32600-2024 FSC-klagomål mail.docx", "A 32600-2024")</f>
        <v/>
      </c>
      <c r="X939">
        <f>HYPERLINK("https://klasma.github.io/Logging_2582/tillsyn/A 32600-2024 tillsynsbegäran.docx", "A 32600-2024")</f>
        <v/>
      </c>
      <c r="Y939">
        <f>HYPERLINK("https://klasma.github.io/Logging_2582/tillsynsmail/A 32600-2024 tillsynsbegäran mail.docx", "A 32600-2024")</f>
        <v/>
      </c>
    </row>
    <row r="940" ht="15" customHeight="1">
      <c r="A940" t="inlineStr">
        <is>
          <t>A 32902-2024</t>
        </is>
      </c>
      <c r="B940" s="1" t="n">
        <v>45517</v>
      </c>
      <c r="C940" s="1" t="n">
        <v>45798</v>
      </c>
      <c r="D940" t="inlineStr">
        <is>
          <t>NORRBOTTENS LÄN</t>
        </is>
      </c>
      <c r="E940" t="inlineStr">
        <is>
          <t>PITEÅ</t>
        </is>
      </c>
      <c r="F940" t="inlineStr">
        <is>
          <t>SCA</t>
        </is>
      </c>
      <c r="G940" t="n">
        <v>6.2</v>
      </c>
      <c r="H940" t="n">
        <v>0</v>
      </c>
      <c r="I940" t="n">
        <v>1</v>
      </c>
      <c r="J940" t="n">
        <v>0</v>
      </c>
      <c r="K940" t="n">
        <v>0</v>
      </c>
      <c r="L940" t="n">
        <v>0</v>
      </c>
      <c r="M940" t="n">
        <v>0</v>
      </c>
      <c r="N940" t="n">
        <v>0</v>
      </c>
      <c r="O940" t="n">
        <v>0</v>
      </c>
      <c r="P940" t="n">
        <v>0</v>
      </c>
      <c r="Q940" t="n">
        <v>1</v>
      </c>
      <c r="R940" s="2" t="inlineStr">
        <is>
          <t>Stuplav</t>
        </is>
      </c>
      <c r="S940">
        <f>HYPERLINK("https://klasma.github.io/Logging_2581/artfynd/A 32902-2024 artfynd.xlsx", "A 32902-2024")</f>
        <v/>
      </c>
      <c r="T940">
        <f>HYPERLINK("https://klasma.github.io/Logging_2581/kartor/A 32902-2024 karta.png", "A 32902-2024")</f>
        <v/>
      </c>
      <c r="V940">
        <f>HYPERLINK("https://klasma.github.io/Logging_2581/klagomål/A 32902-2024 FSC-klagomål.docx", "A 32902-2024")</f>
        <v/>
      </c>
      <c r="W940">
        <f>HYPERLINK("https://klasma.github.io/Logging_2581/klagomålsmail/A 32902-2024 FSC-klagomål mail.docx", "A 32902-2024")</f>
        <v/>
      </c>
      <c r="X940">
        <f>HYPERLINK("https://klasma.github.io/Logging_2581/tillsyn/A 32902-2024 tillsynsbegäran.docx", "A 32902-2024")</f>
        <v/>
      </c>
      <c r="Y940">
        <f>HYPERLINK("https://klasma.github.io/Logging_2581/tillsynsmail/A 32902-2024 tillsynsbegäran mail.docx", "A 32902-2024")</f>
        <v/>
      </c>
    </row>
    <row r="941" ht="15" customHeight="1">
      <c r="A941" t="inlineStr">
        <is>
          <t>A 32828-2024</t>
        </is>
      </c>
      <c r="B941" s="1" t="n">
        <v>45516</v>
      </c>
      <c r="C941" s="1" t="n">
        <v>45798</v>
      </c>
      <c r="D941" t="inlineStr">
        <is>
          <t>NORRBOTTENS LÄN</t>
        </is>
      </c>
      <c r="E941" t="inlineStr">
        <is>
          <t>GÄLLIVARE</t>
        </is>
      </c>
      <c r="F941" t="inlineStr">
        <is>
          <t>Sveaskog</t>
        </is>
      </c>
      <c r="G941" t="n">
        <v>27.1</v>
      </c>
      <c r="H941" t="n">
        <v>1</v>
      </c>
      <c r="I941" t="n">
        <v>0</v>
      </c>
      <c r="J941" t="n">
        <v>0</v>
      </c>
      <c r="K941" t="n">
        <v>1</v>
      </c>
      <c r="L941" t="n">
        <v>0</v>
      </c>
      <c r="M941" t="n">
        <v>0</v>
      </c>
      <c r="N941" t="n">
        <v>0</v>
      </c>
      <c r="O941" t="n">
        <v>1</v>
      </c>
      <c r="P941" t="n">
        <v>1</v>
      </c>
      <c r="Q941" t="n">
        <v>1</v>
      </c>
      <c r="R941" s="2" t="inlineStr">
        <is>
          <t>Doftticka</t>
        </is>
      </c>
      <c r="S941">
        <f>HYPERLINK("https://klasma.github.io/Logging_2523/artfynd/A 32828-2024 artfynd.xlsx", "A 32828-2024")</f>
        <v/>
      </c>
      <c r="T941">
        <f>HYPERLINK("https://klasma.github.io/Logging_2523/kartor/A 32828-2024 karta.png", "A 32828-2024")</f>
        <v/>
      </c>
      <c r="V941">
        <f>HYPERLINK("https://klasma.github.io/Logging_2523/klagomål/A 32828-2024 FSC-klagomål.docx", "A 32828-2024")</f>
        <v/>
      </c>
      <c r="W941">
        <f>HYPERLINK("https://klasma.github.io/Logging_2523/klagomålsmail/A 32828-2024 FSC-klagomål mail.docx", "A 32828-2024")</f>
        <v/>
      </c>
      <c r="X941">
        <f>HYPERLINK("https://klasma.github.io/Logging_2523/tillsyn/A 32828-2024 tillsynsbegäran.docx", "A 32828-2024")</f>
        <v/>
      </c>
      <c r="Y941">
        <f>HYPERLINK("https://klasma.github.io/Logging_2523/tillsynsmail/A 32828-2024 tillsynsbegäran mail.docx", "A 32828-2024")</f>
        <v/>
      </c>
    </row>
    <row r="942" ht="15" customHeight="1">
      <c r="A942" t="inlineStr">
        <is>
          <t>A 33834-2024</t>
        </is>
      </c>
      <c r="B942" s="1" t="n">
        <v>45520</v>
      </c>
      <c r="C942" s="1" t="n">
        <v>45798</v>
      </c>
      <c r="D942" t="inlineStr">
        <is>
          <t>NORRBOTTENS LÄN</t>
        </is>
      </c>
      <c r="E942" t="inlineStr">
        <is>
          <t>ÖVERKALIX</t>
        </is>
      </c>
      <c r="F942" t="inlineStr">
        <is>
          <t>Sveaskog</t>
        </is>
      </c>
      <c r="G942" t="n">
        <v>8.300000000000001</v>
      </c>
      <c r="H942" t="n">
        <v>0</v>
      </c>
      <c r="I942" t="n">
        <v>1</v>
      </c>
      <c r="J942" t="n">
        <v>0</v>
      </c>
      <c r="K942" t="n">
        <v>0</v>
      </c>
      <c r="L942" t="n">
        <v>0</v>
      </c>
      <c r="M942" t="n">
        <v>0</v>
      </c>
      <c r="N942" t="n">
        <v>0</v>
      </c>
      <c r="O942" t="n">
        <v>0</v>
      </c>
      <c r="P942" t="n">
        <v>0</v>
      </c>
      <c r="Q942" t="n">
        <v>1</v>
      </c>
      <c r="R942" s="2" t="inlineStr">
        <is>
          <t>Dropptaggsvamp</t>
        </is>
      </c>
      <c r="S942">
        <f>HYPERLINK("https://klasma.github.io/Logging_2513/artfynd/A 33834-2024 artfynd.xlsx", "A 33834-2024")</f>
        <v/>
      </c>
      <c r="T942">
        <f>HYPERLINK("https://klasma.github.io/Logging_2513/kartor/A 33834-2024 karta.png", "A 33834-2024")</f>
        <v/>
      </c>
      <c r="V942">
        <f>HYPERLINK("https://klasma.github.io/Logging_2513/klagomål/A 33834-2024 FSC-klagomål.docx", "A 33834-2024")</f>
        <v/>
      </c>
      <c r="W942">
        <f>HYPERLINK("https://klasma.github.io/Logging_2513/klagomålsmail/A 33834-2024 FSC-klagomål mail.docx", "A 33834-2024")</f>
        <v/>
      </c>
      <c r="X942">
        <f>HYPERLINK("https://klasma.github.io/Logging_2513/tillsyn/A 33834-2024 tillsynsbegäran.docx", "A 33834-2024")</f>
        <v/>
      </c>
      <c r="Y942">
        <f>HYPERLINK("https://klasma.github.io/Logging_2513/tillsynsmail/A 33834-2024 tillsynsbegäran mail.docx", "A 33834-2024")</f>
        <v/>
      </c>
    </row>
    <row r="943" ht="15" customHeight="1">
      <c r="A943" t="inlineStr">
        <is>
          <t>A 33674-2024</t>
        </is>
      </c>
      <c r="B943" s="1" t="n">
        <v>45520</v>
      </c>
      <c r="C943" s="1" t="n">
        <v>45798</v>
      </c>
      <c r="D943" t="inlineStr">
        <is>
          <t>NORRBOTTENS LÄN</t>
        </is>
      </c>
      <c r="E943" t="inlineStr">
        <is>
          <t>BODEN</t>
        </is>
      </c>
      <c r="F943" t="inlineStr">
        <is>
          <t>Sveaskog</t>
        </is>
      </c>
      <c r="G943" t="n">
        <v>6.6</v>
      </c>
      <c r="H943" t="n">
        <v>0</v>
      </c>
      <c r="I943" t="n">
        <v>0</v>
      </c>
      <c r="J943" t="n">
        <v>1</v>
      </c>
      <c r="K943" t="n">
        <v>0</v>
      </c>
      <c r="L943" t="n">
        <v>0</v>
      </c>
      <c r="M943" t="n">
        <v>0</v>
      </c>
      <c r="N943" t="n">
        <v>0</v>
      </c>
      <c r="O943" t="n">
        <v>1</v>
      </c>
      <c r="P943" t="n">
        <v>0</v>
      </c>
      <c r="Q943" t="n">
        <v>1</v>
      </c>
      <c r="R943" s="2" t="inlineStr">
        <is>
          <t>Blå taggsvamp</t>
        </is>
      </c>
      <c r="S943">
        <f>HYPERLINK("https://klasma.github.io/Logging_2582/artfynd/A 33674-2024 artfynd.xlsx", "A 33674-2024")</f>
        <v/>
      </c>
      <c r="T943">
        <f>HYPERLINK("https://klasma.github.io/Logging_2582/kartor/A 33674-2024 karta.png", "A 33674-2024")</f>
        <v/>
      </c>
      <c r="V943">
        <f>HYPERLINK("https://klasma.github.io/Logging_2582/klagomål/A 33674-2024 FSC-klagomål.docx", "A 33674-2024")</f>
        <v/>
      </c>
      <c r="W943">
        <f>HYPERLINK("https://klasma.github.io/Logging_2582/klagomålsmail/A 33674-2024 FSC-klagomål mail.docx", "A 33674-2024")</f>
        <v/>
      </c>
      <c r="X943">
        <f>HYPERLINK("https://klasma.github.io/Logging_2582/tillsyn/A 33674-2024 tillsynsbegäran.docx", "A 33674-2024")</f>
        <v/>
      </c>
      <c r="Y943">
        <f>HYPERLINK("https://klasma.github.io/Logging_2582/tillsynsmail/A 33674-2024 tillsynsbegäran mail.docx", "A 33674-2024")</f>
        <v/>
      </c>
    </row>
    <row r="944" ht="15" customHeight="1">
      <c r="A944" t="inlineStr">
        <is>
          <t>A 34618-2024</t>
        </is>
      </c>
      <c r="B944" s="1" t="n">
        <v>45526</v>
      </c>
      <c r="C944" s="1" t="n">
        <v>45798</v>
      </c>
      <c r="D944" t="inlineStr">
        <is>
          <t>NORRBOTTENS LÄN</t>
        </is>
      </c>
      <c r="E944" t="inlineStr">
        <is>
          <t>GÄLLIVARE</t>
        </is>
      </c>
      <c r="F944" t="inlineStr">
        <is>
          <t>Sveaskog</t>
        </is>
      </c>
      <c r="G944" t="n">
        <v>11.2</v>
      </c>
      <c r="H944" t="n">
        <v>1</v>
      </c>
      <c r="I944" t="n">
        <v>0</v>
      </c>
      <c r="J944" t="n">
        <v>0</v>
      </c>
      <c r="K944" t="n">
        <v>1</v>
      </c>
      <c r="L944" t="n">
        <v>0</v>
      </c>
      <c r="M944" t="n">
        <v>0</v>
      </c>
      <c r="N944" t="n">
        <v>0</v>
      </c>
      <c r="O944" t="n">
        <v>1</v>
      </c>
      <c r="P944" t="n">
        <v>1</v>
      </c>
      <c r="Q944" t="n">
        <v>1</v>
      </c>
      <c r="R944" s="2" t="inlineStr">
        <is>
          <t>Doftticka</t>
        </is>
      </c>
      <c r="S944">
        <f>HYPERLINK("https://klasma.github.io/Logging_2523/artfynd/A 34618-2024 artfynd.xlsx", "A 34618-2024")</f>
        <v/>
      </c>
      <c r="T944">
        <f>HYPERLINK("https://klasma.github.io/Logging_2523/kartor/A 34618-2024 karta.png", "A 34618-2024")</f>
        <v/>
      </c>
      <c r="V944">
        <f>HYPERLINK("https://klasma.github.io/Logging_2523/klagomål/A 34618-2024 FSC-klagomål.docx", "A 34618-2024")</f>
        <v/>
      </c>
      <c r="W944">
        <f>HYPERLINK("https://klasma.github.io/Logging_2523/klagomålsmail/A 34618-2024 FSC-klagomål mail.docx", "A 34618-2024")</f>
        <v/>
      </c>
      <c r="X944">
        <f>HYPERLINK("https://klasma.github.io/Logging_2523/tillsyn/A 34618-2024 tillsynsbegäran.docx", "A 34618-2024")</f>
        <v/>
      </c>
      <c r="Y944">
        <f>HYPERLINK("https://klasma.github.io/Logging_2523/tillsynsmail/A 34618-2024 tillsynsbegäran mail.docx", "A 34618-2024")</f>
        <v/>
      </c>
    </row>
    <row r="945" ht="15" customHeight="1">
      <c r="A945" t="inlineStr">
        <is>
          <t>A 34591-2024</t>
        </is>
      </c>
      <c r="B945" s="1" t="n">
        <v>45526</v>
      </c>
      <c r="C945" s="1" t="n">
        <v>45798</v>
      </c>
      <c r="D945" t="inlineStr">
        <is>
          <t>NORRBOTTENS LÄN</t>
        </is>
      </c>
      <c r="E945" t="inlineStr">
        <is>
          <t>GÄLLIVARE</t>
        </is>
      </c>
      <c r="F945" t="inlineStr">
        <is>
          <t>Sveaskog</t>
        </is>
      </c>
      <c r="G945" t="n">
        <v>1.1</v>
      </c>
      <c r="H945" t="n">
        <v>0</v>
      </c>
      <c r="I945" t="n">
        <v>1</v>
      </c>
      <c r="J945" t="n">
        <v>0</v>
      </c>
      <c r="K945" t="n">
        <v>0</v>
      </c>
      <c r="L945" t="n">
        <v>0</v>
      </c>
      <c r="M945" t="n">
        <v>0</v>
      </c>
      <c r="N945" t="n">
        <v>0</v>
      </c>
      <c r="O945" t="n">
        <v>0</v>
      </c>
      <c r="P945" t="n">
        <v>0</v>
      </c>
      <c r="Q945" t="n">
        <v>1</v>
      </c>
      <c r="R945" s="2" t="inlineStr">
        <is>
          <t>Dropptaggsvamp</t>
        </is>
      </c>
      <c r="S945">
        <f>HYPERLINK("https://klasma.github.io/Logging_2523/artfynd/A 34591-2024 artfynd.xlsx", "A 34591-2024")</f>
        <v/>
      </c>
      <c r="T945">
        <f>HYPERLINK("https://klasma.github.io/Logging_2523/kartor/A 34591-2024 karta.png", "A 34591-2024")</f>
        <v/>
      </c>
      <c r="V945">
        <f>HYPERLINK("https://klasma.github.io/Logging_2523/klagomål/A 34591-2024 FSC-klagomål.docx", "A 34591-2024")</f>
        <v/>
      </c>
      <c r="W945">
        <f>HYPERLINK("https://klasma.github.io/Logging_2523/klagomålsmail/A 34591-2024 FSC-klagomål mail.docx", "A 34591-2024")</f>
        <v/>
      </c>
      <c r="X945">
        <f>HYPERLINK("https://klasma.github.io/Logging_2523/tillsyn/A 34591-2024 tillsynsbegäran.docx", "A 34591-2024")</f>
        <v/>
      </c>
      <c r="Y945">
        <f>HYPERLINK("https://klasma.github.io/Logging_2523/tillsynsmail/A 34591-2024 tillsynsbegäran mail.docx", "A 34591-2024")</f>
        <v/>
      </c>
    </row>
    <row r="946" ht="15" customHeight="1">
      <c r="A946" t="inlineStr">
        <is>
          <t>A 34879-2024</t>
        </is>
      </c>
      <c r="B946" s="1" t="n">
        <v>45527</v>
      </c>
      <c r="C946" s="1" t="n">
        <v>45798</v>
      </c>
      <c r="D946" t="inlineStr">
        <is>
          <t>NORRBOTTENS LÄN</t>
        </is>
      </c>
      <c r="E946" t="inlineStr">
        <is>
          <t>GÄLLIVARE</t>
        </is>
      </c>
      <c r="F946" t="inlineStr">
        <is>
          <t>SCA</t>
        </is>
      </c>
      <c r="G946" t="n">
        <v>4.3</v>
      </c>
      <c r="H946" t="n">
        <v>1</v>
      </c>
      <c r="I946" t="n">
        <v>0</v>
      </c>
      <c r="J946" t="n">
        <v>0</v>
      </c>
      <c r="K946" t="n">
        <v>0</v>
      </c>
      <c r="L946" t="n">
        <v>0</v>
      </c>
      <c r="M946" t="n">
        <v>0</v>
      </c>
      <c r="N946" t="n">
        <v>0</v>
      </c>
      <c r="O946" t="n">
        <v>0</v>
      </c>
      <c r="P946" t="n">
        <v>0</v>
      </c>
      <c r="Q946" t="n">
        <v>1</v>
      </c>
      <c r="R946" s="2" t="inlineStr">
        <is>
          <t>Huggorm</t>
        </is>
      </c>
      <c r="S946">
        <f>HYPERLINK("https://klasma.github.io/Logging_2523/artfynd/A 34879-2024 artfynd.xlsx", "A 34879-2024")</f>
        <v/>
      </c>
      <c r="T946">
        <f>HYPERLINK("https://klasma.github.io/Logging_2523/kartor/A 34879-2024 karta.png", "A 34879-2024")</f>
        <v/>
      </c>
      <c r="V946">
        <f>HYPERLINK("https://klasma.github.io/Logging_2523/klagomål/A 34879-2024 FSC-klagomål.docx", "A 34879-2024")</f>
        <v/>
      </c>
      <c r="W946">
        <f>HYPERLINK("https://klasma.github.io/Logging_2523/klagomålsmail/A 34879-2024 FSC-klagomål mail.docx", "A 34879-2024")</f>
        <v/>
      </c>
      <c r="X946">
        <f>HYPERLINK("https://klasma.github.io/Logging_2523/tillsyn/A 34879-2024 tillsynsbegäran.docx", "A 34879-2024")</f>
        <v/>
      </c>
      <c r="Y946">
        <f>HYPERLINK("https://klasma.github.io/Logging_2523/tillsynsmail/A 34879-2024 tillsynsbegäran mail.docx", "A 34879-2024")</f>
        <v/>
      </c>
    </row>
    <row r="947" ht="15" customHeight="1">
      <c r="A947" t="inlineStr">
        <is>
          <t>A 35545-2024</t>
        </is>
      </c>
      <c r="B947" s="1" t="n">
        <v>45531</v>
      </c>
      <c r="C947" s="1" t="n">
        <v>45798</v>
      </c>
      <c r="D947" t="inlineStr">
        <is>
          <t>NORRBOTTENS LÄN</t>
        </is>
      </c>
      <c r="E947" t="inlineStr">
        <is>
          <t>LULEÅ</t>
        </is>
      </c>
      <c r="G947" t="n">
        <v>19.7</v>
      </c>
      <c r="H947" t="n">
        <v>0</v>
      </c>
      <c r="I947" t="n">
        <v>0</v>
      </c>
      <c r="J947" t="n">
        <v>0</v>
      </c>
      <c r="K947" t="n">
        <v>1</v>
      </c>
      <c r="L947" t="n">
        <v>0</v>
      </c>
      <c r="M947" t="n">
        <v>0</v>
      </c>
      <c r="N947" t="n">
        <v>0</v>
      </c>
      <c r="O947" t="n">
        <v>1</v>
      </c>
      <c r="P947" t="n">
        <v>1</v>
      </c>
      <c r="Q947" t="n">
        <v>1</v>
      </c>
      <c r="R947" s="2" t="inlineStr">
        <is>
          <t>Liten aspgelélav</t>
        </is>
      </c>
      <c r="S947">
        <f>HYPERLINK("https://klasma.github.io/Logging_2580/artfynd/A 35545-2024 artfynd.xlsx", "A 35545-2024")</f>
        <v/>
      </c>
      <c r="T947">
        <f>HYPERLINK("https://klasma.github.io/Logging_2580/kartor/A 35545-2024 karta.png", "A 35545-2024")</f>
        <v/>
      </c>
      <c r="V947">
        <f>HYPERLINK("https://klasma.github.io/Logging_2580/klagomål/A 35545-2024 FSC-klagomål.docx", "A 35545-2024")</f>
        <v/>
      </c>
      <c r="W947">
        <f>HYPERLINK("https://klasma.github.io/Logging_2580/klagomålsmail/A 35545-2024 FSC-klagomål mail.docx", "A 35545-2024")</f>
        <v/>
      </c>
      <c r="X947">
        <f>HYPERLINK("https://klasma.github.io/Logging_2580/tillsyn/A 35545-2024 tillsynsbegäran.docx", "A 35545-2024")</f>
        <v/>
      </c>
      <c r="Y947">
        <f>HYPERLINK("https://klasma.github.io/Logging_2580/tillsynsmail/A 35545-2024 tillsynsbegäran mail.docx", "A 35545-2024")</f>
        <v/>
      </c>
    </row>
    <row r="948" ht="15" customHeight="1">
      <c r="A948" t="inlineStr">
        <is>
          <t>A 36111-2024</t>
        </is>
      </c>
      <c r="B948" s="1" t="n">
        <v>45534</v>
      </c>
      <c r="C948" s="1" t="n">
        <v>45798</v>
      </c>
      <c r="D948" t="inlineStr">
        <is>
          <t>NORRBOTTENS LÄN</t>
        </is>
      </c>
      <c r="E948" t="inlineStr">
        <is>
          <t>JOKKMOKK</t>
        </is>
      </c>
      <c r="F948" t="inlineStr">
        <is>
          <t>Sveaskog</t>
        </is>
      </c>
      <c r="G948" t="n">
        <v>1.7</v>
      </c>
      <c r="H948" t="n">
        <v>0</v>
      </c>
      <c r="I948" t="n">
        <v>1</v>
      </c>
      <c r="J948" t="n">
        <v>0</v>
      </c>
      <c r="K948" t="n">
        <v>0</v>
      </c>
      <c r="L948" t="n">
        <v>0</v>
      </c>
      <c r="M948" t="n">
        <v>0</v>
      </c>
      <c r="N948" t="n">
        <v>0</v>
      </c>
      <c r="O948" t="n">
        <v>0</v>
      </c>
      <c r="P948" t="n">
        <v>0</v>
      </c>
      <c r="Q948" t="n">
        <v>1</v>
      </c>
      <c r="R948" s="2" t="inlineStr">
        <is>
          <t>Skarp dropptaggsvamp</t>
        </is>
      </c>
      <c r="S948">
        <f>HYPERLINK("https://klasma.github.io/Logging_2510/artfynd/A 36111-2024 artfynd.xlsx", "A 36111-2024")</f>
        <v/>
      </c>
      <c r="T948">
        <f>HYPERLINK("https://klasma.github.io/Logging_2510/kartor/A 36111-2024 karta.png", "A 36111-2024")</f>
        <v/>
      </c>
      <c r="V948">
        <f>HYPERLINK("https://klasma.github.io/Logging_2510/klagomål/A 36111-2024 FSC-klagomål.docx", "A 36111-2024")</f>
        <v/>
      </c>
      <c r="W948">
        <f>HYPERLINK("https://klasma.github.io/Logging_2510/klagomålsmail/A 36111-2024 FSC-klagomål mail.docx", "A 36111-2024")</f>
        <v/>
      </c>
      <c r="X948">
        <f>HYPERLINK("https://klasma.github.io/Logging_2510/tillsyn/A 36111-2024 tillsynsbegäran.docx", "A 36111-2024")</f>
        <v/>
      </c>
      <c r="Y948">
        <f>HYPERLINK("https://klasma.github.io/Logging_2510/tillsynsmail/A 36111-2024 tillsynsbegäran mail.docx", "A 36111-2024")</f>
        <v/>
      </c>
    </row>
    <row r="949" ht="15" customHeight="1">
      <c r="A949" t="inlineStr">
        <is>
          <t>A 36112-2024</t>
        </is>
      </c>
      <c r="B949" s="1" t="n">
        <v>45534</v>
      </c>
      <c r="C949" s="1" t="n">
        <v>45798</v>
      </c>
      <c r="D949" t="inlineStr">
        <is>
          <t>NORRBOTTENS LÄN</t>
        </is>
      </c>
      <c r="E949" t="inlineStr">
        <is>
          <t>JOKKMOKK</t>
        </is>
      </c>
      <c r="F949" t="inlineStr">
        <is>
          <t>Sveaskog</t>
        </is>
      </c>
      <c r="G949" t="n">
        <v>2.7</v>
      </c>
      <c r="H949" t="n">
        <v>0</v>
      </c>
      <c r="I949" t="n">
        <v>0</v>
      </c>
      <c r="J949" t="n">
        <v>1</v>
      </c>
      <c r="K949" t="n">
        <v>0</v>
      </c>
      <c r="L949" t="n">
        <v>0</v>
      </c>
      <c r="M949" t="n">
        <v>0</v>
      </c>
      <c r="N949" t="n">
        <v>0</v>
      </c>
      <c r="O949" t="n">
        <v>1</v>
      </c>
      <c r="P949" t="n">
        <v>0</v>
      </c>
      <c r="Q949" t="n">
        <v>1</v>
      </c>
      <c r="R949" s="2" t="inlineStr">
        <is>
          <t>Tallriska</t>
        </is>
      </c>
      <c r="S949">
        <f>HYPERLINK("https://klasma.github.io/Logging_2510/artfynd/A 36112-2024 artfynd.xlsx", "A 36112-2024")</f>
        <v/>
      </c>
      <c r="T949">
        <f>HYPERLINK("https://klasma.github.io/Logging_2510/kartor/A 36112-2024 karta.png", "A 36112-2024")</f>
        <v/>
      </c>
      <c r="V949">
        <f>HYPERLINK("https://klasma.github.io/Logging_2510/klagomål/A 36112-2024 FSC-klagomål.docx", "A 36112-2024")</f>
        <v/>
      </c>
      <c r="W949">
        <f>HYPERLINK("https://klasma.github.io/Logging_2510/klagomålsmail/A 36112-2024 FSC-klagomål mail.docx", "A 36112-2024")</f>
        <v/>
      </c>
      <c r="X949">
        <f>HYPERLINK("https://klasma.github.io/Logging_2510/tillsyn/A 36112-2024 tillsynsbegäran.docx", "A 36112-2024")</f>
        <v/>
      </c>
      <c r="Y949">
        <f>HYPERLINK("https://klasma.github.io/Logging_2510/tillsynsmail/A 36112-2024 tillsynsbegäran mail.docx", "A 36112-2024")</f>
        <v/>
      </c>
    </row>
    <row r="950" ht="15" customHeight="1">
      <c r="A950" t="inlineStr">
        <is>
          <t>A 36743-2024</t>
        </is>
      </c>
      <c r="B950" s="1" t="n">
        <v>45538</v>
      </c>
      <c r="C950" s="1" t="n">
        <v>45798</v>
      </c>
      <c r="D950" t="inlineStr">
        <is>
          <t>NORRBOTTENS LÄN</t>
        </is>
      </c>
      <c r="E950" t="inlineStr">
        <is>
          <t>BODEN</t>
        </is>
      </c>
      <c r="F950" t="inlineStr">
        <is>
          <t>Sveaskog</t>
        </is>
      </c>
      <c r="G950" t="n">
        <v>1.7</v>
      </c>
      <c r="H950" t="n">
        <v>0</v>
      </c>
      <c r="I950" t="n">
        <v>0</v>
      </c>
      <c r="J950" t="n">
        <v>1</v>
      </c>
      <c r="K950" t="n">
        <v>0</v>
      </c>
      <c r="L950" t="n">
        <v>0</v>
      </c>
      <c r="M950" t="n">
        <v>0</v>
      </c>
      <c r="N950" t="n">
        <v>0</v>
      </c>
      <c r="O950" t="n">
        <v>1</v>
      </c>
      <c r="P950" t="n">
        <v>0</v>
      </c>
      <c r="Q950" t="n">
        <v>1</v>
      </c>
      <c r="R950" s="2" t="inlineStr">
        <is>
          <t>Lunglav</t>
        </is>
      </c>
      <c r="S950">
        <f>HYPERLINK("https://klasma.github.io/Logging_2582/artfynd/A 36743-2024 artfynd.xlsx", "A 36743-2024")</f>
        <v/>
      </c>
      <c r="T950">
        <f>HYPERLINK("https://klasma.github.io/Logging_2582/kartor/A 36743-2024 karta.png", "A 36743-2024")</f>
        <v/>
      </c>
      <c r="V950">
        <f>HYPERLINK("https://klasma.github.io/Logging_2582/klagomål/A 36743-2024 FSC-klagomål.docx", "A 36743-2024")</f>
        <v/>
      </c>
      <c r="W950">
        <f>HYPERLINK("https://klasma.github.io/Logging_2582/klagomålsmail/A 36743-2024 FSC-klagomål mail.docx", "A 36743-2024")</f>
        <v/>
      </c>
      <c r="X950">
        <f>HYPERLINK("https://klasma.github.io/Logging_2582/tillsyn/A 36743-2024 tillsynsbegäran.docx", "A 36743-2024")</f>
        <v/>
      </c>
      <c r="Y950">
        <f>HYPERLINK("https://klasma.github.io/Logging_2582/tillsynsmail/A 36743-2024 tillsynsbegäran mail.docx", "A 36743-2024")</f>
        <v/>
      </c>
    </row>
    <row r="951" ht="15" customHeight="1">
      <c r="A951" t="inlineStr">
        <is>
          <t>A 37314-2024</t>
        </is>
      </c>
      <c r="B951" s="1" t="n">
        <v>45540</v>
      </c>
      <c r="C951" s="1" t="n">
        <v>45798</v>
      </c>
      <c r="D951" t="inlineStr">
        <is>
          <t>NORRBOTTENS LÄN</t>
        </is>
      </c>
      <c r="E951" t="inlineStr">
        <is>
          <t>ÖVERKALIX</t>
        </is>
      </c>
      <c r="F951" t="inlineStr">
        <is>
          <t>Sveaskog</t>
        </is>
      </c>
      <c r="G951" t="n">
        <v>7</v>
      </c>
      <c r="H951" t="n">
        <v>0</v>
      </c>
      <c r="I951" t="n">
        <v>0</v>
      </c>
      <c r="J951" t="n">
        <v>1</v>
      </c>
      <c r="K951" t="n">
        <v>0</v>
      </c>
      <c r="L951" t="n">
        <v>0</v>
      </c>
      <c r="M951" t="n">
        <v>0</v>
      </c>
      <c r="N951" t="n">
        <v>0</v>
      </c>
      <c r="O951" t="n">
        <v>1</v>
      </c>
      <c r="P951" t="n">
        <v>0</v>
      </c>
      <c r="Q951" t="n">
        <v>1</v>
      </c>
      <c r="R951" s="2" t="inlineStr">
        <is>
          <t>Garnlav</t>
        </is>
      </c>
      <c r="S951">
        <f>HYPERLINK("https://klasma.github.io/Logging_2513/artfynd/A 37314-2024 artfynd.xlsx", "A 37314-2024")</f>
        <v/>
      </c>
      <c r="T951">
        <f>HYPERLINK("https://klasma.github.io/Logging_2513/kartor/A 37314-2024 karta.png", "A 37314-2024")</f>
        <v/>
      </c>
      <c r="V951">
        <f>HYPERLINK("https://klasma.github.io/Logging_2513/klagomål/A 37314-2024 FSC-klagomål.docx", "A 37314-2024")</f>
        <v/>
      </c>
      <c r="W951">
        <f>HYPERLINK("https://klasma.github.io/Logging_2513/klagomålsmail/A 37314-2024 FSC-klagomål mail.docx", "A 37314-2024")</f>
        <v/>
      </c>
      <c r="X951">
        <f>HYPERLINK("https://klasma.github.io/Logging_2513/tillsyn/A 37314-2024 tillsynsbegäran.docx", "A 37314-2024")</f>
        <v/>
      </c>
      <c r="Y951">
        <f>HYPERLINK("https://klasma.github.io/Logging_2513/tillsynsmail/A 37314-2024 tillsynsbegäran mail.docx", "A 37314-2024")</f>
        <v/>
      </c>
    </row>
    <row r="952" ht="15" customHeight="1">
      <c r="A952" t="inlineStr">
        <is>
          <t>A 37309-2024</t>
        </is>
      </c>
      <c r="B952" s="1" t="n">
        <v>45540</v>
      </c>
      <c r="C952" s="1" t="n">
        <v>45798</v>
      </c>
      <c r="D952" t="inlineStr">
        <is>
          <t>NORRBOTTENS LÄN</t>
        </is>
      </c>
      <c r="E952" t="inlineStr">
        <is>
          <t>ÖVERKALIX</t>
        </is>
      </c>
      <c r="F952" t="inlineStr">
        <is>
          <t>Sveaskog</t>
        </is>
      </c>
      <c r="G952" t="n">
        <v>10.4</v>
      </c>
      <c r="H952" t="n">
        <v>0</v>
      </c>
      <c r="I952" t="n">
        <v>0</v>
      </c>
      <c r="J952" t="n">
        <v>1</v>
      </c>
      <c r="K952" t="n">
        <v>0</v>
      </c>
      <c r="L952" t="n">
        <v>0</v>
      </c>
      <c r="M952" t="n">
        <v>0</v>
      </c>
      <c r="N952" t="n">
        <v>0</v>
      </c>
      <c r="O952" t="n">
        <v>1</v>
      </c>
      <c r="P952" t="n">
        <v>0</v>
      </c>
      <c r="Q952" t="n">
        <v>1</v>
      </c>
      <c r="R952" s="2" t="inlineStr">
        <is>
          <t>Lunglav</t>
        </is>
      </c>
      <c r="S952">
        <f>HYPERLINK("https://klasma.github.io/Logging_2513/artfynd/A 37309-2024 artfynd.xlsx", "A 37309-2024")</f>
        <v/>
      </c>
      <c r="T952">
        <f>HYPERLINK("https://klasma.github.io/Logging_2513/kartor/A 37309-2024 karta.png", "A 37309-2024")</f>
        <v/>
      </c>
      <c r="U952">
        <f>HYPERLINK("https://klasma.github.io/Logging_2513/knärot/A 37309-2024 karta knärot.png", "A 37309-2024")</f>
        <v/>
      </c>
      <c r="V952">
        <f>HYPERLINK("https://klasma.github.io/Logging_2513/klagomål/A 37309-2024 FSC-klagomål.docx", "A 37309-2024")</f>
        <v/>
      </c>
      <c r="W952">
        <f>HYPERLINK("https://klasma.github.io/Logging_2513/klagomålsmail/A 37309-2024 FSC-klagomål mail.docx", "A 37309-2024")</f>
        <v/>
      </c>
      <c r="X952">
        <f>HYPERLINK("https://klasma.github.io/Logging_2513/tillsyn/A 37309-2024 tillsynsbegäran.docx", "A 37309-2024")</f>
        <v/>
      </c>
      <c r="Y952">
        <f>HYPERLINK("https://klasma.github.io/Logging_2513/tillsynsmail/A 37309-2024 tillsynsbegäran mail.docx", "A 37309-2024")</f>
        <v/>
      </c>
    </row>
    <row r="953" ht="15" customHeight="1">
      <c r="A953" t="inlineStr">
        <is>
          <t>A 37997-2024</t>
        </is>
      </c>
      <c r="B953" s="1" t="n">
        <v>45544</v>
      </c>
      <c r="C953" s="1" t="n">
        <v>45798</v>
      </c>
      <c r="D953" t="inlineStr">
        <is>
          <t>NORRBOTTENS LÄN</t>
        </is>
      </c>
      <c r="E953" t="inlineStr">
        <is>
          <t>ÖVERKALIX</t>
        </is>
      </c>
      <c r="F953" t="inlineStr">
        <is>
          <t>Sveaskog</t>
        </is>
      </c>
      <c r="G953" t="n">
        <v>1.9</v>
      </c>
      <c r="H953" t="n">
        <v>0</v>
      </c>
      <c r="I953" t="n">
        <v>0</v>
      </c>
      <c r="J953" t="n">
        <v>1</v>
      </c>
      <c r="K953" t="n">
        <v>0</v>
      </c>
      <c r="L953" t="n">
        <v>0</v>
      </c>
      <c r="M953" t="n">
        <v>0</v>
      </c>
      <c r="N953" t="n">
        <v>0</v>
      </c>
      <c r="O953" t="n">
        <v>1</v>
      </c>
      <c r="P953" t="n">
        <v>0</v>
      </c>
      <c r="Q953" t="n">
        <v>1</v>
      </c>
      <c r="R953" s="2" t="inlineStr">
        <is>
          <t>Lunglav</t>
        </is>
      </c>
      <c r="S953">
        <f>HYPERLINK("https://klasma.github.io/Logging_2513/artfynd/A 37997-2024 artfynd.xlsx", "A 37997-2024")</f>
        <v/>
      </c>
      <c r="T953">
        <f>HYPERLINK("https://klasma.github.io/Logging_2513/kartor/A 37997-2024 karta.png", "A 37997-2024")</f>
        <v/>
      </c>
      <c r="V953">
        <f>HYPERLINK("https://klasma.github.io/Logging_2513/klagomål/A 37997-2024 FSC-klagomål.docx", "A 37997-2024")</f>
        <v/>
      </c>
      <c r="W953">
        <f>HYPERLINK("https://klasma.github.io/Logging_2513/klagomålsmail/A 37997-2024 FSC-klagomål mail.docx", "A 37997-2024")</f>
        <v/>
      </c>
      <c r="X953">
        <f>HYPERLINK("https://klasma.github.io/Logging_2513/tillsyn/A 37997-2024 tillsynsbegäran.docx", "A 37997-2024")</f>
        <v/>
      </c>
      <c r="Y953">
        <f>HYPERLINK("https://klasma.github.io/Logging_2513/tillsynsmail/A 37997-2024 tillsynsbegäran mail.docx", "A 37997-2024")</f>
        <v/>
      </c>
    </row>
    <row r="954" ht="15" customHeight="1">
      <c r="A954" t="inlineStr">
        <is>
          <t>A 37818-2024</t>
        </is>
      </c>
      <c r="B954" s="1" t="n">
        <v>45544</v>
      </c>
      <c r="C954" s="1" t="n">
        <v>45798</v>
      </c>
      <c r="D954" t="inlineStr">
        <is>
          <t>NORRBOTTENS LÄN</t>
        </is>
      </c>
      <c r="E954" t="inlineStr">
        <is>
          <t>PITEÅ</t>
        </is>
      </c>
      <c r="G954" t="n">
        <v>3.1</v>
      </c>
      <c r="H954" t="n">
        <v>0</v>
      </c>
      <c r="I954" t="n">
        <v>0</v>
      </c>
      <c r="J954" t="n">
        <v>1</v>
      </c>
      <c r="K954" t="n">
        <v>0</v>
      </c>
      <c r="L954" t="n">
        <v>0</v>
      </c>
      <c r="M954" t="n">
        <v>0</v>
      </c>
      <c r="N954" t="n">
        <v>0</v>
      </c>
      <c r="O954" t="n">
        <v>1</v>
      </c>
      <c r="P954" t="n">
        <v>0</v>
      </c>
      <c r="Q954" t="n">
        <v>1</v>
      </c>
      <c r="R954" s="2" t="inlineStr">
        <is>
          <t>Kolflarnlav</t>
        </is>
      </c>
      <c r="S954">
        <f>HYPERLINK("https://klasma.github.io/Logging_2581/artfynd/A 37818-2024 artfynd.xlsx", "A 37818-2024")</f>
        <v/>
      </c>
      <c r="T954">
        <f>HYPERLINK("https://klasma.github.io/Logging_2581/kartor/A 37818-2024 karta.png", "A 37818-2024")</f>
        <v/>
      </c>
      <c r="V954">
        <f>HYPERLINK("https://klasma.github.io/Logging_2581/klagomål/A 37818-2024 FSC-klagomål.docx", "A 37818-2024")</f>
        <v/>
      </c>
      <c r="W954">
        <f>HYPERLINK("https://klasma.github.io/Logging_2581/klagomålsmail/A 37818-2024 FSC-klagomål mail.docx", "A 37818-2024")</f>
        <v/>
      </c>
      <c r="X954">
        <f>HYPERLINK("https://klasma.github.io/Logging_2581/tillsyn/A 37818-2024 tillsynsbegäran.docx", "A 37818-2024")</f>
        <v/>
      </c>
      <c r="Y954">
        <f>HYPERLINK("https://klasma.github.io/Logging_2581/tillsynsmail/A 37818-2024 tillsynsbegäran mail.docx", "A 37818-2024")</f>
        <v/>
      </c>
    </row>
    <row r="955" ht="15" customHeight="1">
      <c r="A955" t="inlineStr">
        <is>
          <t>A 38158-2024</t>
        </is>
      </c>
      <c r="B955" s="1" t="n">
        <v>45545</v>
      </c>
      <c r="C955" s="1" t="n">
        <v>45798</v>
      </c>
      <c r="D955" t="inlineStr">
        <is>
          <t>NORRBOTTENS LÄN</t>
        </is>
      </c>
      <c r="E955" t="inlineStr">
        <is>
          <t>ÖVERTORNEÅ</t>
        </is>
      </c>
      <c r="F955" t="inlineStr">
        <is>
          <t>Sveaskog</t>
        </is>
      </c>
      <c r="G955" t="n">
        <v>3.2</v>
      </c>
      <c r="H955" t="n">
        <v>0</v>
      </c>
      <c r="I955" t="n">
        <v>0</v>
      </c>
      <c r="J955" t="n">
        <v>0</v>
      </c>
      <c r="K955" t="n">
        <v>1</v>
      </c>
      <c r="L955" t="n">
        <v>0</v>
      </c>
      <c r="M955" t="n">
        <v>0</v>
      </c>
      <c r="N955" t="n">
        <v>0</v>
      </c>
      <c r="O955" t="n">
        <v>1</v>
      </c>
      <c r="P955" t="n">
        <v>1</v>
      </c>
      <c r="Q955" t="n">
        <v>1</v>
      </c>
      <c r="R955" s="2" t="inlineStr">
        <is>
          <t>Lappticka</t>
        </is>
      </c>
      <c r="S955">
        <f>HYPERLINK("https://klasma.github.io/Logging_2518/artfynd/A 38158-2024 artfynd.xlsx", "A 38158-2024")</f>
        <v/>
      </c>
      <c r="T955">
        <f>HYPERLINK("https://klasma.github.io/Logging_2518/kartor/A 38158-2024 karta.png", "A 38158-2024")</f>
        <v/>
      </c>
      <c r="V955">
        <f>HYPERLINK("https://klasma.github.io/Logging_2518/klagomål/A 38158-2024 FSC-klagomål.docx", "A 38158-2024")</f>
        <v/>
      </c>
      <c r="W955">
        <f>HYPERLINK("https://klasma.github.io/Logging_2518/klagomålsmail/A 38158-2024 FSC-klagomål mail.docx", "A 38158-2024")</f>
        <v/>
      </c>
      <c r="X955">
        <f>HYPERLINK("https://klasma.github.io/Logging_2518/tillsyn/A 38158-2024 tillsynsbegäran.docx", "A 38158-2024")</f>
        <v/>
      </c>
      <c r="Y955">
        <f>HYPERLINK("https://klasma.github.io/Logging_2518/tillsynsmail/A 38158-2024 tillsynsbegäran mail.docx", "A 38158-2024")</f>
        <v/>
      </c>
    </row>
    <row r="956" ht="15" customHeight="1">
      <c r="A956" t="inlineStr">
        <is>
          <t>A 38333-2024</t>
        </is>
      </c>
      <c r="B956" s="1" t="n">
        <v>45545</v>
      </c>
      <c r="C956" s="1" t="n">
        <v>45798</v>
      </c>
      <c r="D956" t="inlineStr">
        <is>
          <t>NORRBOTTENS LÄN</t>
        </is>
      </c>
      <c r="E956" t="inlineStr">
        <is>
          <t>LULEÅ</t>
        </is>
      </c>
      <c r="F956" t="inlineStr">
        <is>
          <t>Sveaskog</t>
        </is>
      </c>
      <c r="G956" t="n">
        <v>2.9</v>
      </c>
      <c r="H956" t="n">
        <v>1</v>
      </c>
      <c r="I956" t="n">
        <v>0</v>
      </c>
      <c r="J956" t="n">
        <v>0</v>
      </c>
      <c r="K956" t="n">
        <v>1</v>
      </c>
      <c r="L956" t="n">
        <v>0</v>
      </c>
      <c r="M956" t="n">
        <v>0</v>
      </c>
      <c r="N956" t="n">
        <v>0</v>
      </c>
      <c r="O956" t="n">
        <v>1</v>
      </c>
      <c r="P956" t="n">
        <v>1</v>
      </c>
      <c r="Q956" t="n">
        <v>1</v>
      </c>
      <c r="R956" s="2" t="inlineStr">
        <is>
          <t>Knärot</t>
        </is>
      </c>
      <c r="S956">
        <f>HYPERLINK("https://klasma.github.io/Logging_2580/artfynd/A 38333-2024 artfynd.xlsx", "A 38333-2024")</f>
        <v/>
      </c>
      <c r="T956">
        <f>HYPERLINK("https://klasma.github.io/Logging_2580/kartor/A 38333-2024 karta.png", "A 38333-2024")</f>
        <v/>
      </c>
      <c r="U956">
        <f>HYPERLINK("https://klasma.github.io/Logging_2580/knärot/A 38333-2024 karta knärot.png", "A 38333-2024")</f>
        <v/>
      </c>
      <c r="V956">
        <f>HYPERLINK("https://klasma.github.io/Logging_2580/klagomål/A 38333-2024 FSC-klagomål.docx", "A 38333-2024")</f>
        <v/>
      </c>
      <c r="W956">
        <f>HYPERLINK("https://klasma.github.io/Logging_2580/klagomålsmail/A 38333-2024 FSC-klagomål mail.docx", "A 38333-2024")</f>
        <v/>
      </c>
      <c r="X956">
        <f>HYPERLINK("https://klasma.github.io/Logging_2580/tillsyn/A 38333-2024 tillsynsbegäran.docx", "A 38333-2024")</f>
        <v/>
      </c>
      <c r="Y956">
        <f>HYPERLINK("https://klasma.github.io/Logging_2580/tillsynsmail/A 38333-2024 tillsynsbegäran mail.docx", "A 38333-2024")</f>
        <v/>
      </c>
    </row>
    <row r="957" ht="15" customHeight="1">
      <c r="A957" t="inlineStr">
        <is>
          <t>A 39106-2024</t>
        </is>
      </c>
      <c r="B957" s="1" t="n">
        <v>45548</v>
      </c>
      <c r="C957" s="1" t="n">
        <v>45798</v>
      </c>
      <c r="D957" t="inlineStr">
        <is>
          <t>NORRBOTTENS LÄN</t>
        </is>
      </c>
      <c r="E957" t="inlineStr">
        <is>
          <t>KALIX</t>
        </is>
      </c>
      <c r="F957" t="inlineStr">
        <is>
          <t>Sveaskog</t>
        </is>
      </c>
      <c r="G957" t="n">
        <v>38.6</v>
      </c>
      <c r="H957" t="n">
        <v>0</v>
      </c>
      <c r="I957" t="n">
        <v>0</v>
      </c>
      <c r="J957" t="n">
        <v>1</v>
      </c>
      <c r="K957" t="n">
        <v>0</v>
      </c>
      <c r="L957" t="n">
        <v>0</v>
      </c>
      <c r="M957" t="n">
        <v>0</v>
      </c>
      <c r="N957" t="n">
        <v>0</v>
      </c>
      <c r="O957" t="n">
        <v>1</v>
      </c>
      <c r="P957" t="n">
        <v>0</v>
      </c>
      <c r="Q957" t="n">
        <v>1</v>
      </c>
      <c r="R957" s="2" t="inlineStr">
        <is>
          <t>Orange taggsvamp</t>
        </is>
      </c>
      <c r="S957">
        <f>HYPERLINK("https://klasma.github.io/Logging_2514/artfynd/A 39106-2024 artfynd.xlsx", "A 39106-2024")</f>
        <v/>
      </c>
      <c r="T957">
        <f>HYPERLINK("https://klasma.github.io/Logging_2514/kartor/A 39106-2024 karta.png", "A 39106-2024")</f>
        <v/>
      </c>
      <c r="V957">
        <f>HYPERLINK("https://klasma.github.io/Logging_2514/klagomål/A 39106-2024 FSC-klagomål.docx", "A 39106-2024")</f>
        <v/>
      </c>
      <c r="W957">
        <f>HYPERLINK("https://klasma.github.io/Logging_2514/klagomålsmail/A 39106-2024 FSC-klagomål mail.docx", "A 39106-2024")</f>
        <v/>
      </c>
      <c r="X957">
        <f>HYPERLINK("https://klasma.github.io/Logging_2514/tillsyn/A 39106-2024 tillsynsbegäran.docx", "A 39106-2024")</f>
        <v/>
      </c>
      <c r="Y957">
        <f>HYPERLINK("https://klasma.github.io/Logging_2514/tillsynsmail/A 39106-2024 tillsynsbegäran mail.docx", "A 39106-2024")</f>
        <v/>
      </c>
    </row>
    <row r="958" ht="15" customHeight="1">
      <c r="A958" t="inlineStr">
        <is>
          <t>A 39866-2024</t>
        </is>
      </c>
      <c r="B958" s="1" t="n">
        <v>45553</v>
      </c>
      <c r="C958" s="1" t="n">
        <v>45798</v>
      </c>
      <c r="D958" t="inlineStr">
        <is>
          <t>NORRBOTTENS LÄN</t>
        </is>
      </c>
      <c r="E958" t="inlineStr">
        <is>
          <t>PITEÅ</t>
        </is>
      </c>
      <c r="G958" t="n">
        <v>2.7</v>
      </c>
      <c r="H958" t="n">
        <v>0</v>
      </c>
      <c r="I958" t="n">
        <v>0</v>
      </c>
      <c r="J958" t="n">
        <v>1</v>
      </c>
      <c r="K958" t="n">
        <v>0</v>
      </c>
      <c r="L958" t="n">
        <v>0</v>
      </c>
      <c r="M958" t="n">
        <v>0</v>
      </c>
      <c r="N958" t="n">
        <v>0</v>
      </c>
      <c r="O958" t="n">
        <v>1</v>
      </c>
      <c r="P958" t="n">
        <v>0</v>
      </c>
      <c r="Q958" t="n">
        <v>1</v>
      </c>
      <c r="R958" s="2" t="inlineStr">
        <is>
          <t>Tallticka</t>
        </is>
      </c>
      <c r="S958">
        <f>HYPERLINK("https://klasma.github.io/Logging_2581/artfynd/A 39866-2024 artfynd.xlsx", "A 39866-2024")</f>
        <v/>
      </c>
      <c r="T958">
        <f>HYPERLINK("https://klasma.github.io/Logging_2581/kartor/A 39866-2024 karta.png", "A 39866-2024")</f>
        <v/>
      </c>
      <c r="V958">
        <f>HYPERLINK("https://klasma.github.io/Logging_2581/klagomål/A 39866-2024 FSC-klagomål.docx", "A 39866-2024")</f>
        <v/>
      </c>
      <c r="W958">
        <f>HYPERLINK("https://klasma.github.io/Logging_2581/klagomålsmail/A 39866-2024 FSC-klagomål mail.docx", "A 39866-2024")</f>
        <v/>
      </c>
      <c r="X958">
        <f>HYPERLINK("https://klasma.github.io/Logging_2581/tillsyn/A 39866-2024 tillsynsbegäran.docx", "A 39866-2024")</f>
        <v/>
      </c>
      <c r="Y958">
        <f>HYPERLINK("https://klasma.github.io/Logging_2581/tillsynsmail/A 39866-2024 tillsynsbegäran mail.docx", "A 39866-2024")</f>
        <v/>
      </c>
    </row>
    <row r="959" ht="15" customHeight="1">
      <c r="A959" t="inlineStr">
        <is>
          <t>A 40019-2024</t>
        </is>
      </c>
      <c r="B959" s="1" t="n">
        <v>45553</v>
      </c>
      <c r="C959" s="1" t="n">
        <v>45798</v>
      </c>
      <c r="D959" t="inlineStr">
        <is>
          <t>NORRBOTTENS LÄN</t>
        </is>
      </c>
      <c r="E959" t="inlineStr">
        <is>
          <t>GÄLLIVARE</t>
        </is>
      </c>
      <c r="F959" t="inlineStr">
        <is>
          <t>Sveaskog</t>
        </is>
      </c>
      <c r="G959" t="n">
        <v>7.7</v>
      </c>
      <c r="H959" t="n">
        <v>0</v>
      </c>
      <c r="I959" t="n">
        <v>0</v>
      </c>
      <c r="J959" t="n">
        <v>1</v>
      </c>
      <c r="K959" t="n">
        <v>0</v>
      </c>
      <c r="L959" t="n">
        <v>0</v>
      </c>
      <c r="M959" t="n">
        <v>0</v>
      </c>
      <c r="N959" t="n">
        <v>0</v>
      </c>
      <c r="O959" t="n">
        <v>1</v>
      </c>
      <c r="P959" t="n">
        <v>0</v>
      </c>
      <c r="Q959" t="n">
        <v>1</v>
      </c>
      <c r="R959" s="2" t="inlineStr">
        <is>
          <t>Blå taggsvamp</t>
        </is>
      </c>
      <c r="S959">
        <f>HYPERLINK("https://klasma.github.io/Logging_2523/artfynd/A 40019-2024 artfynd.xlsx", "A 40019-2024")</f>
        <v/>
      </c>
      <c r="T959">
        <f>HYPERLINK("https://klasma.github.io/Logging_2523/kartor/A 40019-2024 karta.png", "A 40019-2024")</f>
        <v/>
      </c>
      <c r="V959">
        <f>HYPERLINK("https://klasma.github.io/Logging_2523/klagomål/A 40019-2024 FSC-klagomål.docx", "A 40019-2024")</f>
        <v/>
      </c>
      <c r="W959">
        <f>HYPERLINK("https://klasma.github.io/Logging_2523/klagomålsmail/A 40019-2024 FSC-klagomål mail.docx", "A 40019-2024")</f>
        <v/>
      </c>
      <c r="X959">
        <f>HYPERLINK("https://klasma.github.io/Logging_2523/tillsyn/A 40019-2024 tillsynsbegäran.docx", "A 40019-2024")</f>
        <v/>
      </c>
      <c r="Y959">
        <f>HYPERLINK("https://klasma.github.io/Logging_2523/tillsynsmail/A 40019-2024 tillsynsbegäran mail.docx", "A 40019-2024")</f>
        <v/>
      </c>
    </row>
    <row r="960" ht="15" customHeight="1">
      <c r="A960" t="inlineStr">
        <is>
          <t>A 40197-2024</t>
        </is>
      </c>
      <c r="B960" s="1" t="n">
        <v>45554</v>
      </c>
      <c r="C960" s="1" t="n">
        <v>45798</v>
      </c>
      <c r="D960" t="inlineStr">
        <is>
          <t>NORRBOTTENS LÄN</t>
        </is>
      </c>
      <c r="E960" t="inlineStr">
        <is>
          <t>GÄLLIVARE</t>
        </is>
      </c>
      <c r="F960" t="inlineStr">
        <is>
          <t>Sveaskog</t>
        </is>
      </c>
      <c r="G960" t="n">
        <v>16.3</v>
      </c>
      <c r="H960" t="n">
        <v>0</v>
      </c>
      <c r="I960" t="n">
        <v>1</v>
      </c>
      <c r="J960" t="n">
        <v>0</v>
      </c>
      <c r="K960" t="n">
        <v>0</v>
      </c>
      <c r="L960" t="n">
        <v>0</v>
      </c>
      <c r="M960" t="n">
        <v>0</v>
      </c>
      <c r="N960" t="n">
        <v>0</v>
      </c>
      <c r="O960" t="n">
        <v>0</v>
      </c>
      <c r="P960" t="n">
        <v>0</v>
      </c>
      <c r="Q960" t="n">
        <v>1</v>
      </c>
      <c r="R960" s="2" t="inlineStr">
        <is>
          <t>Dropptaggsvamp</t>
        </is>
      </c>
      <c r="S960">
        <f>HYPERLINK("https://klasma.github.io/Logging_2523/artfynd/A 40197-2024 artfynd.xlsx", "A 40197-2024")</f>
        <v/>
      </c>
      <c r="T960">
        <f>HYPERLINK("https://klasma.github.io/Logging_2523/kartor/A 40197-2024 karta.png", "A 40197-2024")</f>
        <v/>
      </c>
      <c r="V960">
        <f>HYPERLINK("https://klasma.github.io/Logging_2523/klagomål/A 40197-2024 FSC-klagomål.docx", "A 40197-2024")</f>
        <v/>
      </c>
      <c r="W960">
        <f>HYPERLINK("https://klasma.github.io/Logging_2523/klagomålsmail/A 40197-2024 FSC-klagomål mail.docx", "A 40197-2024")</f>
        <v/>
      </c>
      <c r="X960">
        <f>HYPERLINK("https://klasma.github.io/Logging_2523/tillsyn/A 40197-2024 tillsynsbegäran.docx", "A 40197-2024")</f>
        <v/>
      </c>
      <c r="Y960">
        <f>HYPERLINK("https://klasma.github.io/Logging_2523/tillsynsmail/A 40197-2024 tillsynsbegäran mail.docx", "A 40197-2024")</f>
        <v/>
      </c>
    </row>
    <row r="961" ht="15" customHeight="1">
      <c r="A961" t="inlineStr">
        <is>
          <t>A 40126-2024</t>
        </is>
      </c>
      <c r="B961" s="1" t="n">
        <v>45554</v>
      </c>
      <c r="C961" s="1" t="n">
        <v>45798</v>
      </c>
      <c r="D961" t="inlineStr">
        <is>
          <t>NORRBOTTENS LÄN</t>
        </is>
      </c>
      <c r="E961" t="inlineStr">
        <is>
          <t>JOKKMOKK</t>
        </is>
      </c>
      <c r="F961" t="inlineStr">
        <is>
          <t>Sveaskog</t>
        </is>
      </c>
      <c r="G961" t="n">
        <v>4.1</v>
      </c>
      <c r="H961" t="n">
        <v>1</v>
      </c>
      <c r="I961" t="n">
        <v>0</v>
      </c>
      <c r="J961" t="n">
        <v>0</v>
      </c>
      <c r="K961" t="n">
        <v>1</v>
      </c>
      <c r="L961" t="n">
        <v>0</v>
      </c>
      <c r="M961" t="n">
        <v>0</v>
      </c>
      <c r="N961" t="n">
        <v>0</v>
      </c>
      <c r="O961" t="n">
        <v>1</v>
      </c>
      <c r="P961" t="n">
        <v>1</v>
      </c>
      <c r="Q961" t="n">
        <v>1</v>
      </c>
      <c r="R961" s="2" t="inlineStr">
        <is>
          <t>Doftticka</t>
        </is>
      </c>
      <c r="S961">
        <f>HYPERLINK("https://klasma.github.io/Logging_2510/artfynd/A 40126-2024 artfynd.xlsx", "A 40126-2024")</f>
        <v/>
      </c>
      <c r="T961">
        <f>HYPERLINK("https://klasma.github.io/Logging_2510/kartor/A 40126-2024 karta.png", "A 40126-2024")</f>
        <v/>
      </c>
      <c r="V961">
        <f>HYPERLINK("https://klasma.github.io/Logging_2510/klagomål/A 40126-2024 FSC-klagomål.docx", "A 40126-2024")</f>
        <v/>
      </c>
      <c r="W961">
        <f>HYPERLINK("https://klasma.github.io/Logging_2510/klagomålsmail/A 40126-2024 FSC-klagomål mail.docx", "A 40126-2024")</f>
        <v/>
      </c>
      <c r="X961">
        <f>HYPERLINK("https://klasma.github.io/Logging_2510/tillsyn/A 40126-2024 tillsynsbegäran.docx", "A 40126-2024")</f>
        <v/>
      </c>
      <c r="Y961">
        <f>HYPERLINK("https://klasma.github.io/Logging_2510/tillsynsmail/A 40126-2024 tillsynsbegäran mail.docx", "A 40126-2024")</f>
        <v/>
      </c>
    </row>
    <row r="962" ht="15" customHeight="1">
      <c r="A962" t="inlineStr">
        <is>
          <t>A 40533-2024</t>
        </is>
      </c>
      <c r="B962" s="1" t="n">
        <v>45555</v>
      </c>
      <c r="C962" s="1" t="n">
        <v>45798</v>
      </c>
      <c r="D962" t="inlineStr">
        <is>
          <t>NORRBOTTENS LÄN</t>
        </is>
      </c>
      <c r="E962" t="inlineStr">
        <is>
          <t>BODEN</t>
        </is>
      </c>
      <c r="F962" t="inlineStr">
        <is>
          <t>Sveaskog</t>
        </is>
      </c>
      <c r="G962" t="n">
        <v>32</v>
      </c>
      <c r="H962" t="n">
        <v>0</v>
      </c>
      <c r="I962" t="n">
        <v>0</v>
      </c>
      <c r="J962" t="n">
        <v>1</v>
      </c>
      <c r="K962" t="n">
        <v>0</v>
      </c>
      <c r="L962" t="n">
        <v>0</v>
      </c>
      <c r="M962" t="n">
        <v>0</v>
      </c>
      <c r="N962" t="n">
        <v>0</v>
      </c>
      <c r="O962" t="n">
        <v>1</v>
      </c>
      <c r="P962" t="n">
        <v>0</v>
      </c>
      <c r="Q962" t="n">
        <v>1</v>
      </c>
      <c r="R962" s="2" t="inlineStr">
        <is>
          <t>Lunglav</t>
        </is>
      </c>
      <c r="S962">
        <f>HYPERLINK("https://klasma.github.io/Logging_2582/artfynd/A 40533-2024 artfynd.xlsx", "A 40533-2024")</f>
        <v/>
      </c>
      <c r="T962">
        <f>HYPERLINK("https://klasma.github.io/Logging_2582/kartor/A 40533-2024 karta.png", "A 40533-2024")</f>
        <v/>
      </c>
      <c r="V962">
        <f>HYPERLINK("https://klasma.github.io/Logging_2582/klagomål/A 40533-2024 FSC-klagomål.docx", "A 40533-2024")</f>
        <v/>
      </c>
      <c r="W962">
        <f>HYPERLINK("https://klasma.github.io/Logging_2582/klagomålsmail/A 40533-2024 FSC-klagomål mail.docx", "A 40533-2024")</f>
        <v/>
      </c>
      <c r="X962">
        <f>HYPERLINK("https://klasma.github.io/Logging_2582/tillsyn/A 40533-2024 tillsynsbegäran.docx", "A 40533-2024")</f>
        <v/>
      </c>
      <c r="Y962">
        <f>HYPERLINK("https://klasma.github.io/Logging_2582/tillsynsmail/A 40533-2024 tillsynsbegäran mail.docx", "A 40533-2024")</f>
        <v/>
      </c>
    </row>
    <row r="963" ht="15" customHeight="1">
      <c r="A963" t="inlineStr">
        <is>
          <t>A 41151-2024</t>
        </is>
      </c>
      <c r="B963" s="1" t="n">
        <v>45559</v>
      </c>
      <c r="C963" s="1" t="n">
        <v>45798</v>
      </c>
      <c r="D963" t="inlineStr">
        <is>
          <t>NORRBOTTENS LÄN</t>
        </is>
      </c>
      <c r="E963" t="inlineStr">
        <is>
          <t>GÄLLIVARE</t>
        </is>
      </c>
      <c r="F963" t="inlineStr">
        <is>
          <t>Sveaskog</t>
        </is>
      </c>
      <c r="G963" t="n">
        <v>12.5</v>
      </c>
      <c r="H963" t="n">
        <v>0</v>
      </c>
      <c r="I963" t="n">
        <v>0</v>
      </c>
      <c r="J963" t="n">
        <v>1</v>
      </c>
      <c r="K963" t="n">
        <v>0</v>
      </c>
      <c r="L963" t="n">
        <v>0</v>
      </c>
      <c r="M963" t="n">
        <v>0</v>
      </c>
      <c r="N963" t="n">
        <v>0</v>
      </c>
      <c r="O963" t="n">
        <v>1</v>
      </c>
      <c r="P963" t="n">
        <v>0</v>
      </c>
      <c r="Q963" t="n">
        <v>1</v>
      </c>
      <c r="R963" s="2" t="inlineStr">
        <is>
          <t>Tallticka</t>
        </is>
      </c>
      <c r="S963">
        <f>HYPERLINK("https://klasma.github.io/Logging_2523/artfynd/A 41151-2024 artfynd.xlsx", "A 41151-2024")</f>
        <v/>
      </c>
      <c r="T963">
        <f>HYPERLINK("https://klasma.github.io/Logging_2523/kartor/A 41151-2024 karta.png", "A 41151-2024")</f>
        <v/>
      </c>
      <c r="V963">
        <f>HYPERLINK("https://klasma.github.io/Logging_2523/klagomål/A 41151-2024 FSC-klagomål.docx", "A 41151-2024")</f>
        <v/>
      </c>
      <c r="W963">
        <f>HYPERLINK("https://klasma.github.io/Logging_2523/klagomålsmail/A 41151-2024 FSC-klagomål mail.docx", "A 41151-2024")</f>
        <v/>
      </c>
      <c r="X963">
        <f>HYPERLINK("https://klasma.github.io/Logging_2523/tillsyn/A 41151-2024 tillsynsbegäran.docx", "A 41151-2024")</f>
        <v/>
      </c>
      <c r="Y963">
        <f>HYPERLINK("https://klasma.github.io/Logging_2523/tillsynsmail/A 41151-2024 tillsynsbegäran mail.docx", "A 41151-2024")</f>
        <v/>
      </c>
    </row>
    <row r="964" ht="15" customHeight="1">
      <c r="A964" t="inlineStr">
        <is>
          <t>A 41375-2024</t>
        </is>
      </c>
      <c r="B964" s="1" t="n">
        <v>45559</v>
      </c>
      <c r="C964" s="1" t="n">
        <v>45798</v>
      </c>
      <c r="D964" t="inlineStr">
        <is>
          <t>NORRBOTTENS LÄN</t>
        </is>
      </c>
      <c r="E964" t="inlineStr">
        <is>
          <t>ARJEPLOG</t>
        </is>
      </c>
      <c r="F964" t="inlineStr">
        <is>
          <t>Övriga statliga verk och myndigheter</t>
        </is>
      </c>
      <c r="G964" t="n">
        <v>5.9</v>
      </c>
      <c r="H964" t="n">
        <v>1</v>
      </c>
      <c r="I964" t="n">
        <v>1</v>
      </c>
      <c r="J964" t="n">
        <v>0</v>
      </c>
      <c r="K964" t="n">
        <v>0</v>
      </c>
      <c r="L964" t="n">
        <v>0</v>
      </c>
      <c r="M964" t="n">
        <v>0</v>
      </c>
      <c r="N964" t="n">
        <v>0</v>
      </c>
      <c r="O964" t="n">
        <v>0</v>
      </c>
      <c r="P964" t="n">
        <v>0</v>
      </c>
      <c r="Q964" t="n">
        <v>1</v>
      </c>
      <c r="R964" s="2" t="inlineStr">
        <is>
          <t>Korallrot</t>
        </is>
      </c>
      <c r="S964">
        <f>HYPERLINK("https://klasma.github.io/Logging_2506/artfynd/A 41375-2024 artfynd.xlsx", "A 41375-2024")</f>
        <v/>
      </c>
      <c r="T964">
        <f>HYPERLINK("https://klasma.github.io/Logging_2506/kartor/A 41375-2024 karta.png", "A 41375-2024")</f>
        <v/>
      </c>
      <c r="V964">
        <f>HYPERLINK("https://klasma.github.io/Logging_2506/klagomål/A 41375-2024 FSC-klagomål.docx", "A 41375-2024")</f>
        <v/>
      </c>
      <c r="W964">
        <f>HYPERLINK("https://klasma.github.io/Logging_2506/klagomålsmail/A 41375-2024 FSC-klagomål mail.docx", "A 41375-2024")</f>
        <v/>
      </c>
      <c r="X964">
        <f>HYPERLINK("https://klasma.github.io/Logging_2506/tillsyn/A 41375-2024 tillsynsbegäran.docx", "A 41375-2024")</f>
        <v/>
      </c>
      <c r="Y964">
        <f>HYPERLINK("https://klasma.github.io/Logging_2506/tillsynsmail/A 41375-2024 tillsynsbegäran mail.docx", "A 41375-2024")</f>
        <v/>
      </c>
    </row>
    <row r="965" ht="15" customHeight="1">
      <c r="A965" t="inlineStr">
        <is>
          <t>A 42554-2024</t>
        </is>
      </c>
      <c r="B965" s="1" t="n">
        <v>45565</v>
      </c>
      <c r="C965" s="1" t="n">
        <v>45798</v>
      </c>
      <c r="D965" t="inlineStr">
        <is>
          <t>NORRBOTTENS LÄN</t>
        </is>
      </c>
      <c r="E965" t="inlineStr">
        <is>
          <t>ÄLVSBYN</t>
        </is>
      </c>
      <c r="F965" t="inlineStr">
        <is>
          <t>Sveaskog</t>
        </is>
      </c>
      <c r="G965" t="n">
        <v>4.8</v>
      </c>
      <c r="H965" t="n">
        <v>1</v>
      </c>
      <c r="I965" t="n">
        <v>0</v>
      </c>
      <c r="J965" t="n">
        <v>0</v>
      </c>
      <c r="K965" t="n">
        <v>0</v>
      </c>
      <c r="L965" t="n">
        <v>0</v>
      </c>
      <c r="M965" t="n">
        <v>0</v>
      </c>
      <c r="N965" t="n">
        <v>0</v>
      </c>
      <c r="O965" t="n">
        <v>0</v>
      </c>
      <c r="P965" t="n">
        <v>0</v>
      </c>
      <c r="Q965" t="n">
        <v>1</v>
      </c>
      <c r="R965" s="2" t="inlineStr">
        <is>
          <t>Nattviol</t>
        </is>
      </c>
      <c r="S965">
        <f>HYPERLINK("https://klasma.github.io/Logging_2560/artfynd/A 42554-2024 artfynd.xlsx", "A 42554-2024")</f>
        <v/>
      </c>
      <c r="T965">
        <f>HYPERLINK("https://klasma.github.io/Logging_2560/kartor/A 42554-2024 karta.png", "A 42554-2024")</f>
        <v/>
      </c>
      <c r="V965">
        <f>HYPERLINK("https://klasma.github.io/Logging_2560/klagomål/A 42554-2024 FSC-klagomål.docx", "A 42554-2024")</f>
        <v/>
      </c>
      <c r="W965">
        <f>HYPERLINK("https://klasma.github.io/Logging_2560/klagomålsmail/A 42554-2024 FSC-klagomål mail.docx", "A 42554-2024")</f>
        <v/>
      </c>
      <c r="X965">
        <f>HYPERLINK("https://klasma.github.io/Logging_2560/tillsyn/A 42554-2024 tillsynsbegäran.docx", "A 42554-2024")</f>
        <v/>
      </c>
      <c r="Y965">
        <f>HYPERLINK("https://klasma.github.io/Logging_2560/tillsynsmail/A 42554-2024 tillsynsbegäran mail.docx", "A 42554-2024")</f>
        <v/>
      </c>
    </row>
    <row r="966" ht="15" customHeight="1">
      <c r="A966" t="inlineStr">
        <is>
          <t>A 43039-2024</t>
        </is>
      </c>
      <c r="B966" s="1" t="n">
        <v>45567</v>
      </c>
      <c r="C966" s="1" t="n">
        <v>45798</v>
      </c>
      <c r="D966" t="inlineStr">
        <is>
          <t>NORRBOTTENS LÄN</t>
        </is>
      </c>
      <c r="E966" t="inlineStr">
        <is>
          <t>JOKKMOKK</t>
        </is>
      </c>
      <c r="F966" t="inlineStr">
        <is>
          <t>Sveaskog</t>
        </is>
      </c>
      <c r="G966" t="n">
        <v>8.199999999999999</v>
      </c>
      <c r="H966" t="n">
        <v>1</v>
      </c>
      <c r="I966" t="n">
        <v>0</v>
      </c>
      <c r="J966" t="n">
        <v>0</v>
      </c>
      <c r="K966" t="n">
        <v>1</v>
      </c>
      <c r="L966" t="n">
        <v>0</v>
      </c>
      <c r="M966" t="n">
        <v>0</v>
      </c>
      <c r="N966" t="n">
        <v>0</v>
      </c>
      <c r="O966" t="n">
        <v>1</v>
      </c>
      <c r="P966" t="n">
        <v>1</v>
      </c>
      <c r="Q966" t="n">
        <v>1</v>
      </c>
      <c r="R966" s="2" t="inlineStr">
        <is>
          <t>Doftticka</t>
        </is>
      </c>
      <c r="S966">
        <f>HYPERLINK("https://klasma.github.io/Logging_2510/artfynd/A 43039-2024 artfynd.xlsx", "A 43039-2024")</f>
        <v/>
      </c>
      <c r="T966">
        <f>HYPERLINK("https://klasma.github.io/Logging_2510/kartor/A 43039-2024 karta.png", "A 43039-2024")</f>
        <v/>
      </c>
      <c r="V966">
        <f>HYPERLINK("https://klasma.github.io/Logging_2510/klagomål/A 43039-2024 FSC-klagomål.docx", "A 43039-2024")</f>
        <v/>
      </c>
      <c r="W966">
        <f>HYPERLINK("https://klasma.github.io/Logging_2510/klagomålsmail/A 43039-2024 FSC-klagomål mail.docx", "A 43039-2024")</f>
        <v/>
      </c>
      <c r="X966">
        <f>HYPERLINK("https://klasma.github.io/Logging_2510/tillsyn/A 43039-2024 tillsynsbegäran.docx", "A 43039-2024")</f>
        <v/>
      </c>
      <c r="Y966">
        <f>HYPERLINK("https://klasma.github.io/Logging_2510/tillsynsmail/A 43039-2024 tillsynsbegäran mail.docx", "A 43039-2024")</f>
        <v/>
      </c>
    </row>
    <row r="967" ht="15" customHeight="1">
      <c r="A967" t="inlineStr">
        <is>
          <t>A 43023-2024</t>
        </is>
      </c>
      <c r="B967" s="1" t="n">
        <v>45567</v>
      </c>
      <c r="C967" s="1" t="n">
        <v>45798</v>
      </c>
      <c r="D967" t="inlineStr">
        <is>
          <t>NORRBOTTENS LÄN</t>
        </is>
      </c>
      <c r="E967" t="inlineStr">
        <is>
          <t>JOKKMOKK</t>
        </is>
      </c>
      <c r="F967" t="inlineStr">
        <is>
          <t>Sveaskog</t>
        </is>
      </c>
      <c r="G967" t="n">
        <v>11.1</v>
      </c>
      <c r="H967" t="n">
        <v>0</v>
      </c>
      <c r="I967" t="n">
        <v>1</v>
      </c>
      <c r="J967" t="n">
        <v>0</v>
      </c>
      <c r="K967" t="n">
        <v>0</v>
      </c>
      <c r="L967" t="n">
        <v>0</v>
      </c>
      <c r="M967" t="n">
        <v>0</v>
      </c>
      <c r="N967" t="n">
        <v>0</v>
      </c>
      <c r="O967" t="n">
        <v>0</v>
      </c>
      <c r="P967" t="n">
        <v>0</v>
      </c>
      <c r="Q967" t="n">
        <v>1</v>
      </c>
      <c r="R967" s="2" t="inlineStr">
        <is>
          <t>Skarp dropptaggsvamp</t>
        </is>
      </c>
      <c r="S967">
        <f>HYPERLINK("https://klasma.github.io/Logging_2510/artfynd/A 43023-2024 artfynd.xlsx", "A 43023-2024")</f>
        <v/>
      </c>
      <c r="T967">
        <f>HYPERLINK("https://klasma.github.io/Logging_2510/kartor/A 43023-2024 karta.png", "A 43023-2024")</f>
        <v/>
      </c>
      <c r="V967">
        <f>HYPERLINK("https://klasma.github.io/Logging_2510/klagomål/A 43023-2024 FSC-klagomål.docx", "A 43023-2024")</f>
        <v/>
      </c>
      <c r="W967">
        <f>HYPERLINK("https://klasma.github.io/Logging_2510/klagomålsmail/A 43023-2024 FSC-klagomål mail.docx", "A 43023-2024")</f>
        <v/>
      </c>
      <c r="X967">
        <f>HYPERLINK("https://klasma.github.io/Logging_2510/tillsyn/A 43023-2024 tillsynsbegäran.docx", "A 43023-2024")</f>
        <v/>
      </c>
      <c r="Y967">
        <f>HYPERLINK("https://klasma.github.io/Logging_2510/tillsynsmail/A 43023-2024 tillsynsbegäran mail.docx", "A 43023-2024")</f>
        <v/>
      </c>
    </row>
    <row r="968" ht="15" customHeight="1">
      <c r="A968" t="inlineStr">
        <is>
          <t>A 43774-2024</t>
        </is>
      </c>
      <c r="B968" s="1" t="n">
        <v>45570</v>
      </c>
      <c r="C968" s="1" t="n">
        <v>45798</v>
      </c>
      <c r="D968" t="inlineStr">
        <is>
          <t>NORRBOTTENS LÄN</t>
        </is>
      </c>
      <c r="E968" t="inlineStr">
        <is>
          <t>ÄLVSBYN</t>
        </is>
      </c>
      <c r="F968" t="inlineStr">
        <is>
          <t>SCA</t>
        </is>
      </c>
      <c r="G968" t="n">
        <v>2</v>
      </c>
      <c r="H968" t="n">
        <v>0</v>
      </c>
      <c r="I968" t="n">
        <v>0</v>
      </c>
      <c r="J968" t="n">
        <v>1</v>
      </c>
      <c r="K968" t="n">
        <v>0</v>
      </c>
      <c r="L968" t="n">
        <v>0</v>
      </c>
      <c r="M968" t="n">
        <v>0</v>
      </c>
      <c r="N968" t="n">
        <v>0</v>
      </c>
      <c r="O968" t="n">
        <v>1</v>
      </c>
      <c r="P968" t="n">
        <v>0</v>
      </c>
      <c r="Q968" t="n">
        <v>1</v>
      </c>
      <c r="R968" s="2" t="inlineStr">
        <is>
          <t>Gammelgransskål</t>
        </is>
      </c>
      <c r="S968">
        <f>HYPERLINK("https://klasma.github.io/Logging_2560/artfynd/A 43774-2024 artfynd.xlsx", "A 43774-2024")</f>
        <v/>
      </c>
      <c r="T968">
        <f>HYPERLINK("https://klasma.github.io/Logging_2560/kartor/A 43774-2024 karta.png", "A 43774-2024")</f>
        <v/>
      </c>
      <c r="V968">
        <f>HYPERLINK("https://klasma.github.io/Logging_2560/klagomål/A 43774-2024 FSC-klagomål.docx", "A 43774-2024")</f>
        <v/>
      </c>
      <c r="W968">
        <f>HYPERLINK("https://klasma.github.io/Logging_2560/klagomålsmail/A 43774-2024 FSC-klagomål mail.docx", "A 43774-2024")</f>
        <v/>
      </c>
      <c r="X968">
        <f>HYPERLINK("https://klasma.github.io/Logging_2560/tillsyn/A 43774-2024 tillsynsbegäran.docx", "A 43774-2024")</f>
        <v/>
      </c>
      <c r="Y968">
        <f>HYPERLINK("https://klasma.github.io/Logging_2560/tillsynsmail/A 43774-2024 tillsynsbegäran mail.docx", "A 43774-2024")</f>
        <v/>
      </c>
    </row>
    <row r="969" ht="15" customHeight="1">
      <c r="A969" t="inlineStr">
        <is>
          <t>A 44147-2024</t>
        </is>
      </c>
      <c r="B969" s="1" t="n">
        <v>45572</v>
      </c>
      <c r="C969" s="1" t="n">
        <v>45798</v>
      </c>
      <c r="D969" t="inlineStr">
        <is>
          <t>NORRBOTTENS LÄN</t>
        </is>
      </c>
      <c r="E969" t="inlineStr">
        <is>
          <t>JOKKMOKK</t>
        </is>
      </c>
      <c r="F969" t="inlineStr">
        <is>
          <t>Sveaskog</t>
        </is>
      </c>
      <c r="G969" t="n">
        <v>6.2</v>
      </c>
      <c r="H969" t="n">
        <v>1</v>
      </c>
      <c r="I969" t="n">
        <v>1</v>
      </c>
      <c r="J969" t="n">
        <v>0</v>
      </c>
      <c r="K969" t="n">
        <v>0</v>
      </c>
      <c r="L969" t="n">
        <v>0</v>
      </c>
      <c r="M969" t="n">
        <v>0</v>
      </c>
      <c r="N969" t="n">
        <v>0</v>
      </c>
      <c r="O969" t="n">
        <v>0</v>
      </c>
      <c r="P969" t="n">
        <v>0</v>
      </c>
      <c r="Q969" t="n">
        <v>1</v>
      </c>
      <c r="R969" s="2" t="inlineStr">
        <is>
          <t>Plattlummer</t>
        </is>
      </c>
      <c r="S969">
        <f>HYPERLINK("https://klasma.github.io/Logging_2510/artfynd/A 44147-2024 artfynd.xlsx", "A 44147-2024")</f>
        <v/>
      </c>
      <c r="T969">
        <f>HYPERLINK("https://klasma.github.io/Logging_2510/kartor/A 44147-2024 karta.png", "A 44147-2024")</f>
        <v/>
      </c>
      <c r="V969">
        <f>HYPERLINK("https://klasma.github.io/Logging_2510/klagomål/A 44147-2024 FSC-klagomål.docx", "A 44147-2024")</f>
        <v/>
      </c>
      <c r="W969">
        <f>HYPERLINK("https://klasma.github.io/Logging_2510/klagomålsmail/A 44147-2024 FSC-klagomål mail.docx", "A 44147-2024")</f>
        <v/>
      </c>
      <c r="X969">
        <f>HYPERLINK("https://klasma.github.io/Logging_2510/tillsyn/A 44147-2024 tillsynsbegäran.docx", "A 44147-2024")</f>
        <v/>
      </c>
      <c r="Y969">
        <f>HYPERLINK("https://klasma.github.io/Logging_2510/tillsynsmail/A 44147-2024 tillsynsbegäran mail.docx", "A 44147-2024")</f>
        <v/>
      </c>
    </row>
    <row r="970" ht="15" customHeight="1">
      <c r="A970" t="inlineStr">
        <is>
          <t>A 44481-2024</t>
        </is>
      </c>
      <c r="B970" s="1" t="n">
        <v>45574</v>
      </c>
      <c r="C970" s="1" t="n">
        <v>45798</v>
      </c>
      <c r="D970" t="inlineStr">
        <is>
          <t>NORRBOTTENS LÄN</t>
        </is>
      </c>
      <c r="E970" t="inlineStr">
        <is>
          <t>GÄLLIVARE</t>
        </is>
      </c>
      <c r="F970" t="inlineStr">
        <is>
          <t>Sveaskog</t>
        </is>
      </c>
      <c r="G970" t="n">
        <v>10.8</v>
      </c>
      <c r="H970" t="n">
        <v>0</v>
      </c>
      <c r="I970" t="n">
        <v>0</v>
      </c>
      <c r="J970" t="n">
        <v>1</v>
      </c>
      <c r="K970" t="n">
        <v>0</v>
      </c>
      <c r="L970" t="n">
        <v>0</v>
      </c>
      <c r="M970" t="n">
        <v>0</v>
      </c>
      <c r="N970" t="n">
        <v>0</v>
      </c>
      <c r="O970" t="n">
        <v>1</v>
      </c>
      <c r="P970" t="n">
        <v>0</v>
      </c>
      <c r="Q970" t="n">
        <v>1</v>
      </c>
      <c r="R970" s="2" t="inlineStr">
        <is>
          <t>Motaggsvamp</t>
        </is>
      </c>
      <c r="S970">
        <f>HYPERLINK("https://klasma.github.io/Logging_2523/artfynd/A 44481-2024 artfynd.xlsx", "A 44481-2024")</f>
        <v/>
      </c>
      <c r="T970">
        <f>HYPERLINK("https://klasma.github.io/Logging_2523/kartor/A 44481-2024 karta.png", "A 44481-2024")</f>
        <v/>
      </c>
      <c r="V970">
        <f>HYPERLINK("https://klasma.github.io/Logging_2523/klagomål/A 44481-2024 FSC-klagomål.docx", "A 44481-2024")</f>
        <v/>
      </c>
      <c r="W970">
        <f>HYPERLINK("https://klasma.github.io/Logging_2523/klagomålsmail/A 44481-2024 FSC-klagomål mail.docx", "A 44481-2024")</f>
        <v/>
      </c>
      <c r="X970">
        <f>HYPERLINK("https://klasma.github.io/Logging_2523/tillsyn/A 44481-2024 tillsynsbegäran.docx", "A 44481-2024")</f>
        <v/>
      </c>
      <c r="Y970">
        <f>HYPERLINK("https://klasma.github.io/Logging_2523/tillsynsmail/A 44481-2024 tillsynsbegäran mail.docx", "A 44481-2024")</f>
        <v/>
      </c>
    </row>
    <row r="971" ht="15" customHeight="1">
      <c r="A971" t="inlineStr">
        <is>
          <t>A 44648-2024</t>
        </is>
      </c>
      <c r="B971" s="1" t="n">
        <v>45574</v>
      </c>
      <c r="C971" s="1" t="n">
        <v>45798</v>
      </c>
      <c r="D971" t="inlineStr">
        <is>
          <t>NORRBOTTENS LÄN</t>
        </is>
      </c>
      <c r="E971" t="inlineStr">
        <is>
          <t>GÄLLIVARE</t>
        </is>
      </c>
      <c r="F971" t="inlineStr">
        <is>
          <t>Sveaskog</t>
        </is>
      </c>
      <c r="G971" t="n">
        <v>1.8</v>
      </c>
      <c r="H971" t="n">
        <v>0</v>
      </c>
      <c r="I971" t="n">
        <v>1</v>
      </c>
      <c r="J971" t="n">
        <v>0</v>
      </c>
      <c r="K971" t="n">
        <v>0</v>
      </c>
      <c r="L971" t="n">
        <v>0</v>
      </c>
      <c r="M971" t="n">
        <v>0</v>
      </c>
      <c r="N971" t="n">
        <v>0</v>
      </c>
      <c r="O971" t="n">
        <v>0</v>
      </c>
      <c r="P971" t="n">
        <v>0</v>
      </c>
      <c r="Q971" t="n">
        <v>1</v>
      </c>
      <c r="R971" s="2" t="inlineStr">
        <is>
          <t>Dropptaggsvamp</t>
        </is>
      </c>
      <c r="S971">
        <f>HYPERLINK("https://klasma.github.io/Logging_2523/artfynd/A 44648-2024 artfynd.xlsx", "A 44648-2024")</f>
        <v/>
      </c>
      <c r="T971">
        <f>HYPERLINK("https://klasma.github.io/Logging_2523/kartor/A 44648-2024 karta.png", "A 44648-2024")</f>
        <v/>
      </c>
      <c r="V971">
        <f>HYPERLINK("https://klasma.github.io/Logging_2523/klagomål/A 44648-2024 FSC-klagomål.docx", "A 44648-2024")</f>
        <v/>
      </c>
      <c r="W971">
        <f>HYPERLINK("https://klasma.github.io/Logging_2523/klagomålsmail/A 44648-2024 FSC-klagomål mail.docx", "A 44648-2024")</f>
        <v/>
      </c>
      <c r="X971">
        <f>HYPERLINK("https://klasma.github.io/Logging_2523/tillsyn/A 44648-2024 tillsynsbegäran.docx", "A 44648-2024")</f>
        <v/>
      </c>
      <c r="Y971">
        <f>HYPERLINK("https://klasma.github.io/Logging_2523/tillsynsmail/A 44648-2024 tillsynsbegäran mail.docx", "A 44648-2024")</f>
        <v/>
      </c>
    </row>
    <row r="972" ht="15" customHeight="1">
      <c r="A972" t="inlineStr">
        <is>
          <t>A 44704-2024</t>
        </is>
      </c>
      <c r="B972" s="1" t="n">
        <v>45574</v>
      </c>
      <c r="C972" s="1" t="n">
        <v>45798</v>
      </c>
      <c r="D972" t="inlineStr">
        <is>
          <t>NORRBOTTENS LÄN</t>
        </is>
      </c>
      <c r="E972" t="inlineStr">
        <is>
          <t>PITEÅ</t>
        </is>
      </c>
      <c r="F972" t="inlineStr">
        <is>
          <t>Sveaskog</t>
        </is>
      </c>
      <c r="G972" t="n">
        <v>3.2</v>
      </c>
      <c r="H972" t="n">
        <v>0</v>
      </c>
      <c r="I972" t="n">
        <v>0</v>
      </c>
      <c r="J972" t="n">
        <v>1</v>
      </c>
      <c r="K972" t="n">
        <v>0</v>
      </c>
      <c r="L972" t="n">
        <v>0</v>
      </c>
      <c r="M972" t="n">
        <v>0</v>
      </c>
      <c r="N972" t="n">
        <v>0</v>
      </c>
      <c r="O972" t="n">
        <v>1</v>
      </c>
      <c r="P972" t="n">
        <v>0</v>
      </c>
      <c r="Q972" t="n">
        <v>1</v>
      </c>
      <c r="R972" s="2" t="inlineStr">
        <is>
          <t>Granticka</t>
        </is>
      </c>
      <c r="S972">
        <f>HYPERLINK("https://klasma.github.io/Logging_2581/artfynd/A 44704-2024 artfynd.xlsx", "A 44704-2024")</f>
        <v/>
      </c>
      <c r="T972">
        <f>HYPERLINK("https://klasma.github.io/Logging_2581/kartor/A 44704-2024 karta.png", "A 44704-2024")</f>
        <v/>
      </c>
      <c r="V972">
        <f>HYPERLINK("https://klasma.github.io/Logging_2581/klagomål/A 44704-2024 FSC-klagomål.docx", "A 44704-2024")</f>
        <v/>
      </c>
      <c r="W972">
        <f>HYPERLINK("https://klasma.github.io/Logging_2581/klagomålsmail/A 44704-2024 FSC-klagomål mail.docx", "A 44704-2024")</f>
        <v/>
      </c>
      <c r="X972">
        <f>HYPERLINK("https://klasma.github.io/Logging_2581/tillsyn/A 44704-2024 tillsynsbegäran.docx", "A 44704-2024")</f>
        <v/>
      </c>
      <c r="Y972">
        <f>HYPERLINK("https://klasma.github.io/Logging_2581/tillsynsmail/A 44704-2024 tillsynsbegäran mail.docx", "A 44704-2024")</f>
        <v/>
      </c>
    </row>
    <row r="973" ht="15" customHeight="1">
      <c r="A973" t="inlineStr">
        <is>
          <t>A 44777-2024</t>
        </is>
      </c>
      <c r="B973" s="1" t="n">
        <v>45574</v>
      </c>
      <c r="C973" s="1" t="n">
        <v>45798</v>
      </c>
      <c r="D973" t="inlineStr">
        <is>
          <t>NORRBOTTENS LÄN</t>
        </is>
      </c>
      <c r="E973" t="inlineStr">
        <is>
          <t>PAJALA</t>
        </is>
      </c>
      <c r="F973" t="inlineStr">
        <is>
          <t>Sveaskog</t>
        </is>
      </c>
      <c r="G973" t="n">
        <v>6.3</v>
      </c>
      <c r="H973" t="n">
        <v>0</v>
      </c>
      <c r="I973" t="n">
        <v>0</v>
      </c>
      <c r="J973" t="n">
        <v>1</v>
      </c>
      <c r="K973" t="n">
        <v>0</v>
      </c>
      <c r="L973" t="n">
        <v>0</v>
      </c>
      <c r="M973" t="n">
        <v>0</v>
      </c>
      <c r="N973" t="n">
        <v>0</v>
      </c>
      <c r="O973" t="n">
        <v>1</v>
      </c>
      <c r="P973" t="n">
        <v>0</v>
      </c>
      <c r="Q973" t="n">
        <v>1</v>
      </c>
      <c r="R973" s="2" t="inlineStr">
        <is>
          <t>Garnlav</t>
        </is>
      </c>
      <c r="S973">
        <f>HYPERLINK("https://klasma.github.io/Logging_2521/artfynd/A 44777-2024 artfynd.xlsx", "A 44777-2024")</f>
        <v/>
      </c>
      <c r="T973">
        <f>HYPERLINK("https://klasma.github.io/Logging_2521/kartor/A 44777-2024 karta.png", "A 44777-2024")</f>
        <v/>
      </c>
      <c r="V973">
        <f>HYPERLINK("https://klasma.github.io/Logging_2521/klagomål/A 44777-2024 FSC-klagomål.docx", "A 44777-2024")</f>
        <v/>
      </c>
      <c r="W973">
        <f>HYPERLINK("https://klasma.github.io/Logging_2521/klagomålsmail/A 44777-2024 FSC-klagomål mail.docx", "A 44777-2024")</f>
        <v/>
      </c>
      <c r="X973">
        <f>HYPERLINK("https://klasma.github.io/Logging_2521/tillsyn/A 44777-2024 tillsynsbegäran.docx", "A 44777-2024")</f>
        <v/>
      </c>
      <c r="Y973">
        <f>HYPERLINK("https://klasma.github.io/Logging_2521/tillsynsmail/A 44777-2024 tillsynsbegäran mail.docx", "A 44777-2024")</f>
        <v/>
      </c>
    </row>
    <row r="974" ht="15" customHeight="1">
      <c r="A974" t="inlineStr">
        <is>
          <t>A 45386-2024</t>
        </is>
      </c>
      <c r="B974" s="1" t="n">
        <v>45576</v>
      </c>
      <c r="C974" s="1" t="n">
        <v>45798</v>
      </c>
      <c r="D974" t="inlineStr">
        <is>
          <t>NORRBOTTENS LÄN</t>
        </is>
      </c>
      <c r="E974" t="inlineStr">
        <is>
          <t>ARVIDSJAUR</t>
        </is>
      </c>
      <c r="F974" t="inlineStr">
        <is>
          <t>Sveaskog</t>
        </is>
      </c>
      <c r="G974" t="n">
        <v>11.9</v>
      </c>
      <c r="H974" t="n">
        <v>0</v>
      </c>
      <c r="I974" t="n">
        <v>1</v>
      </c>
      <c r="J974" t="n">
        <v>0</v>
      </c>
      <c r="K974" t="n">
        <v>0</v>
      </c>
      <c r="L974" t="n">
        <v>0</v>
      </c>
      <c r="M974" t="n">
        <v>0</v>
      </c>
      <c r="N974" t="n">
        <v>0</v>
      </c>
      <c r="O974" t="n">
        <v>0</v>
      </c>
      <c r="P974" t="n">
        <v>0</v>
      </c>
      <c r="Q974" t="n">
        <v>1</v>
      </c>
      <c r="R974" s="2" t="inlineStr">
        <is>
          <t>Dropptaggsvamp</t>
        </is>
      </c>
      <c r="S974">
        <f>HYPERLINK("https://klasma.github.io/Logging_2505/artfynd/A 45386-2024 artfynd.xlsx", "A 45386-2024")</f>
        <v/>
      </c>
      <c r="T974">
        <f>HYPERLINK("https://klasma.github.io/Logging_2505/kartor/A 45386-2024 karta.png", "A 45386-2024")</f>
        <v/>
      </c>
      <c r="V974">
        <f>HYPERLINK("https://klasma.github.io/Logging_2505/klagomål/A 45386-2024 FSC-klagomål.docx", "A 45386-2024")</f>
        <v/>
      </c>
      <c r="W974">
        <f>HYPERLINK("https://klasma.github.io/Logging_2505/klagomålsmail/A 45386-2024 FSC-klagomål mail.docx", "A 45386-2024")</f>
        <v/>
      </c>
      <c r="X974">
        <f>HYPERLINK("https://klasma.github.io/Logging_2505/tillsyn/A 45386-2024 tillsynsbegäran.docx", "A 45386-2024")</f>
        <v/>
      </c>
      <c r="Y974">
        <f>HYPERLINK("https://klasma.github.io/Logging_2505/tillsynsmail/A 45386-2024 tillsynsbegäran mail.docx", "A 45386-2024")</f>
        <v/>
      </c>
    </row>
    <row r="975" ht="15" customHeight="1">
      <c r="A975" t="inlineStr">
        <is>
          <t>A 46280-2024</t>
        </is>
      </c>
      <c r="B975" s="1" t="n">
        <v>45581</v>
      </c>
      <c r="C975" s="1" t="n">
        <v>45798</v>
      </c>
      <c r="D975" t="inlineStr">
        <is>
          <t>NORRBOTTENS LÄN</t>
        </is>
      </c>
      <c r="E975" t="inlineStr">
        <is>
          <t>ÖVERKALIX</t>
        </is>
      </c>
      <c r="F975" t="inlineStr">
        <is>
          <t>SCA</t>
        </is>
      </c>
      <c r="G975" t="n">
        <v>6</v>
      </c>
      <c r="H975" t="n">
        <v>1</v>
      </c>
      <c r="I975" t="n">
        <v>0</v>
      </c>
      <c r="J975" t="n">
        <v>1</v>
      </c>
      <c r="K975" t="n">
        <v>0</v>
      </c>
      <c r="L975" t="n">
        <v>0</v>
      </c>
      <c r="M975" t="n">
        <v>0</v>
      </c>
      <c r="N975" t="n">
        <v>0</v>
      </c>
      <c r="O975" t="n">
        <v>1</v>
      </c>
      <c r="P975" t="n">
        <v>0</v>
      </c>
      <c r="Q975" t="n">
        <v>1</v>
      </c>
      <c r="R975" s="2" t="inlineStr">
        <is>
          <t>Spillkråka</t>
        </is>
      </c>
      <c r="S975">
        <f>HYPERLINK("https://klasma.github.io/Logging_2513/artfynd/A 46280-2024 artfynd.xlsx", "A 46280-2024")</f>
        <v/>
      </c>
      <c r="T975">
        <f>HYPERLINK("https://klasma.github.io/Logging_2513/kartor/A 46280-2024 karta.png", "A 46280-2024")</f>
        <v/>
      </c>
      <c r="V975">
        <f>HYPERLINK("https://klasma.github.io/Logging_2513/klagomål/A 46280-2024 FSC-klagomål.docx", "A 46280-2024")</f>
        <v/>
      </c>
      <c r="W975">
        <f>HYPERLINK("https://klasma.github.io/Logging_2513/klagomålsmail/A 46280-2024 FSC-klagomål mail.docx", "A 46280-2024")</f>
        <v/>
      </c>
      <c r="X975">
        <f>HYPERLINK("https://klasma.github.io/Logging_2513/tillsyn/A 46280-2024 tillsynsbegäran.docx", "A 46280-2024")</f>
        <v/>
      </c>
      <c r="Y975">
        <f>HYPERLINK("https://klasma.github.io/Logging_2513/tillsynsmail/A 46280-2024 tillsynsbegäran mail.docx", "A 46280-2024")</f>
        <v/>
      </c>
      <c r="Z975">
        <f>HYPERLINK("https://klasma.github.io/Logging_2513/fåglar/A 46280-2024 prioriterade fågelarter.docx", "A 46280-2024")</f>
        <v/>
      </c>
    </row>
    <row r="976" ht="15" customHeight="1">
      <c r="A976" t="inlineStr">
        <is>
          <t>A 46281-2024</t>
        </is>
      </c>
      <c r="B976" s="1" t="n">
        <v>45581</v>
      </c>
      <c r="C976" s="1" t="n">
        <v>45798</v>
      </c>
      <c r="D976" t="inlineStr">
        <is>
          <t>NORRBOTTENS LÄN</t>
        </is>
      </c>
      <c r="E976" t="inlineStr">
        <is>
          <t>ÖVERKALIX</t>
        </is>
      </c>
      <c r="F976" t="inlineStr">
        <is>
          <t>SCA</t>
        </is>
      </c>
      <c r="G976" t="n">
        <v>1.2</v>
      </c>
      <c r="H976" t="n">
        <v>0</v>
      </c>
      <c r="I976" t="n">
        <v>0</v>
      </c>
      <c r="J976" t="n">
        <v>1</v>
      </c>
      <c r="K976" t="n">
        <v>0</v>
      </c>
      <c r="L976" t="n">
        <v>0</v>
      </c>
      <c r="M976" t="n">
        <v>0</v>
      </c>
      <c r="N976" t="n">
        <v>0</v>
      </c>
      <c r="O976" t="n">
        <v>1</v>
      </c>
      <c r="P976" t="n">
        <v>0</v>
      </c>
      <c r="Q976" t="n">
        <v>1</v>
      </c>
      <c r="R976" s="2" t="inlineStr">
        <is>
          <t>Blå taggsvamp</t>
        </is>
      </c>
      <c r="S976">
        <f>HYPERLINK("https://klasma.github.io/Logging_2513/artfynd/A 46281-2024 artfynd.xlsx", "A 46281-2024")</f>
        <v/>
      </c>
      <c r="T976">
        <f>HYPERLINK("https://klasma.github.io/Logging_2513/kartor/A 46281-2024 karta.png", "A 46281-2024")</f>
        <v/>
      </c>
      <c r="V976">
        <f>HYPERLINK("https://klasma.github.io/Logging_2513/klagomål/A 46281-2024 FSC-klagomål.docx", "A 46281-2024")</f>
        <v/>
      </c>
      <c r="W976">
        <f>HYPERLINK("https://klasma.github.io/Logging_2513/klagomålsmail/A 46281-2024 FSC-klagomål mail.docx", "A 46281-2024")</f>
        <v/>
      </c>
      <c r="X976">
        <f>HYPERLINK("https://klasma.github.io/Logging_2513/tillsyn/A 46281-2024 tillsynsbegäran.docx", "A 46281-2024")</f>
        <v/>
      </c>
      <c r="Y976">
        <f>HYPERLINK("https://klasma.github.io/Logging_2513/tillsynsmail/A 46281-2024 tillsynsbegäran mail.docx", "A 46281-2024")</f>
        <v/>
      </c>
    </row>
    <row r="977" ht="15" customHeight="1">
      <c r="A977" t="inlineStr">
        <is>
          <t>A 46388-2024</t>
        </is>
      </c>
      <c r="B977" s="1" t="n">
        <v>45582</v>
      </c>
      <c r="C977" s="1" t="n">
        <v>45798</v>
      </c>
      <c r="D977" t="inlineStr">
        <is>
          <t>NORRBOTTENS LÄN</t>
        </is>
      </c>
      <c r="E977" t="inlineStr">
        <is>
          <t>JOKKMOKK</t>
        </is>
      </c>
      <c r="F977" t="inlineStr">
        <is>
          <t>Sveaskog</t>
        </is>
      </c>
      <c r="G977" t="n">
        <v>1.3</v>
      </c>
      <c r="H977" t="n">
        <v>0</v>
      </c>
      <c r="I977" t="n">
        <v>0</v>
      </c>
      <c r="J977" t="n">
        <v>1</v>
      </c>
      <c r="K977" t="n">
        <v>0</v>
      </c>
      <c r="L977" t="n">
        <v>0</v>
      </c>
      <c r="M977" t="n">
        <v>0</v>
      </c>
      <c r="N977" t="n">
        <v>0</v>
      </c>
      <c r="O977" t="n">
        <v>1</v>
      </c>
      <c r="P977" t="n">
        <v>0</v>
      </c>
      <c r="Q977" t="n">
        <v>1</v>
      </c>
      <c r="R977" s="2" t="inlineStr">
        <is>
          <t>Kolflarnlav</t>
        </is>
      </c>
      <c r="S977">
        <f>HYPERLINK("https://klasma.github.io/Logging_2510/artfynd/A 46388-2024 artfynd.xlsx", "A 46388-2024")</f>
        <v/>
      </c>
      <c r="T977">
        <f>HYPERLINK("https://klasma.github.io/Logging_2510/kartor/A 46388-2024 karta.png", "A 46388-2024")</f>
        <v/>
      </c>
      <c r="V977">
        <f>HYPERLINK("https://klasma.github.io/Logging_2510/klagomål/A 46388-2024 FSC-klagomål.docx", "A 46388-2024")</f>
        <v/>
      </c>
      <c r="W977">
        <f>HYPERLINK("https://klasma.github.io/Logging_2510/klagomålsmail/A 46388-2024 FSC-klagomål mail.docx", "A 46388-2024")</f>
        <v/>
      </c>
      <c r="X977">
        <f>HYPERLINK("https://klasma.github.io/Logging_2510/tillsyn/A 46388-2024 tillsynsbegäran.docx", "A 46388-2024")</f>
        <v/>
      </c>
      <c r="Y977">
        <f>HYPERLINK("https://klasma.github.io/Logging_2510/tillsynsmail/A 46388-2024 tillsynsbegäran mail.docx", "A 46388-2024")</f>
        <v/>
      </c>
    </row>
    <row r="978" ht="15" customHeight="1">
      <c r="A978" t="inlineStr">
        <is>
          <t>A 46652-2024</t>
        </is>
      </c>
      <c r="B978" s="1" t="n">
        <v>45583</v>
      </c>
      <c r="C978" s="1" t="n">
        <v>45798</v>
      </c>
      <c r="D978" t="inlineStr">
        <is>
          <t>NORRBOTTENS LÄN</t>
        </is>
      </c>
      <c r="E978" t="inlineStr">
        <is>
          <t>GÄLLIVARE</t>
        </is>
      </c>
      <c r="F978" t="inlineStr">
        <is>
          <t>Sveaskog</t>
        </is>
      </c>
      <c r="G978" t="n">
        <v>10.2</v>
      </c>
      <c r="H978" t="n">
        <v>0</v>
      </c>
      <c r="I978" t="n">
        <v>0</v>
      </c>
      <c r="J978" t="n">
        <v>1</v>
      </c>
      <c r="K978" t="n">
        <v>0</v>
      </c>
      <c r="L978" t="n">
        <v>0</v>
      </c>
      <c r="M978" t="n">
        <v>0</v>
      </c>
      <c r="N978" t="n">
        <v>0</v>
      </c>
      <c r="O978" t="n">
        <v>1</v>
      </c>
      <c r="P978" t="n">
        <v>0</v>
      </c>
      <c r="Q978" t="n">
        <v>1</v>
      </c>
      <c r="R978" s="2" t="inlineStr">
        <is>
          <t>Motaggsvamp</t>
        </is>
      </c>
      <c r="S978">
        <f>HYPERLINK("https://klasma.github.io/Logging_2523/artfynd/A 46652-2024 artfynd.xlsx", "A 46652-2024")</f>
        <v/>
      </c>
      <c r="T978">
        <f>HYPERLINK("https://klasma.github.io/Logging_2523/kartor/A 46652-2024 karta.png", "A 46652-2024")</f>
        <v/>
      </c>
      <c r="V978">
        <f>HYPERLINK("https://klasma.github.io/Logging_2523/klagomål/A 46652-2024 FSC-klagomål.docx", "A 46652-2024")</f>
        <v/>
      </c>
      <c r="W978">
        <f>HYPERLINK("https://klasma.github.io/Logging_2523/klagomålsmail/A 46652-2024 FSC-klagomål mail.docx", "A 46652-2024")</f>
        <v/>
      </c>
      <c r="X978">
        <f>HYPERLINK("https://klasma.github.io/Logging_2523/tillsyn/A 46652-2024 tillsynsbegäran.docx", "A 46652-2024")</f>
        <v/>
      </c>
      <c r="Y978">
        <f>HYPERLINK("https://klasma.github.io/Logging_2523/tillsynsmail/A 46652-2024 tillsynsbegäran mail.docx", "A 46652-2024")</f>
        <v/>
      </c>
    </row>
    <row r="979" ht="15" customHeight="1">
      <c r="A979" t="inlineStr">
        <is>
          <t>A 46952-2024</t>
        </is>
      </c>
      <c r="B979" s="1" t="n">
        <v>45585</v>
      </c>
      <c r="C979" s="1" t="n">
        <v>45798</v>
      </c>
      <c r="D979" t="inlineStr">
        <is>
          <t>NORRBOTTENS LÄN</t>
        </is>
      </c>
      <c r="E979" t="inlineStr">
        <is>
          <t>PAJALA</t>
        </is>
      </c>
      <c r="G979" t="n">
        <v>19.1</v>
      </c>
      <c r="H979" t="n">
        <v>1</v>
      </c>
      <c r="I979" t="n">
        <v>1</v>
      </c>
      <c r="J979" t="n">
        <v>0</v>
      </c>
      <c r="K979" t="n">
        <v>0</v>
      </c>
      <c r="L979" t="n">
        <v>0</v>
      </c>
      <c r="M979" t="n">
        <v>0</v>
      </c>
      <c r="N979" t="n">
        <v>0</v>
      </c>
      <c r="O979" t="n">
        <v>0</v>
      </c>
      <c r="P979" t="n">
        <v>0</v>
      </c>
      <c r="Q979" t="n">
        <v>1</v>
      </c>
      <c r="R979" s="2" t="inlineStr">
        <is>
          <t>Lappranunkel</t>
        </is>
      </c>
      <c r="S979">
        <f>HYPERLINK("https://klasma.github.io/Logging_2521/artfynd/A 46952-2024 artfynd.xlsx", "A 46952-2024")</f>
        <v/>
      </c>
      <c r="T979">
        <f>HYPERLINK("https://klasma.github.io/Logging_2521/kartor/A 46952-2024 karta.png", "A 46952-2024")</f>
        <v/>
      </c>
      <c r="V979">
        <f>HYPERLINK("https://klasma.github.io/Logging_2521/klagomål/A 46952-2024 FSC-klagomål.docx", "A 46952-2024")</f>
        <v/>
      </c>
      <c r="W979">
        <f>HYPERLINK("https://klasma.github.io/Logging_2521/klagomålsmail/A 46952-2024 FSC-klagomål mail.docx", "A 46952-2024")</f>
        <v/>
      </c>
      <c r="X979">
        <f>HYPERLINK("https://klasma.github.io/Logging_2521/tillsyn/A 46952-2024 tillsynsbegäran.docx", "A 46952-2024")</f>
        <v/>
      </c>
      <c r="Y979">
        <f>HYPERLINK("https://klasma.github.io/Logging_2521/tillsynsmail/A 46952-2024 tillsynsbegäran mail.docx", "A 46952-2024")</f>
        <v/>
      </c>
    </row>
    <row r="980" ht="15" customHeight="1">
      <c r="A980" t="inlineStr">
        <is>
          <t>A 47018-2024</t>
        </is>
      </c>
      <c r="B980" s="1" t="n">
        <v>45586</v>
      </c>
      <c r="C980" s="1" t="n">
        <v>45798</v>
      </c>
      <c r="D980" t="inlineStr">
        <is>
          <t>NORRBOTTENS LÄN</t>
        </is>
      </c>
      <c r="E980" t="inlineStr">
        <is>
          <t>BODEN</t>
        </is>
      </c>
      <c r="F980" t="inlineStr">
        <is>
          <t>Sveaskog</t>
        </is>
      </c>
      <c r="G980" t="n">
        <v>18.1</v>
      </c>
      <c r="H980" t="n">
        <v>0</v>
      </c>
      <c r="I980" t="n">
        <v>0</v>
      </c>
      <c r="J980" t="n">
        <v>1</v>
      </c>
      <c r="K980" t="n">
        <v>0</v>
      </c>
      <c r="L980" t="n">
        <v>0</v>
      </c>
      <c r="M980" t="n">
        <v>0</v>
      </c>
      <c r="N980" t="n">
        <v>0</v>
      </c>
      <c r="O980" t="n">
        <v>1</v>
      </c>
      <c r="P980" t="n">
        <v>0</v>
      </c>
      <c r="Q980" t="n">
        <v>1</v>
      </c>
      <c r="R980" s="2" t="inlineStr">
        <is>
          <t>Blågrå svartspik</t>
        </is>
      </c>
      <c r="S980">
        <f>HYPERLINK("https://klasma.github.io/Logging_2582/artfynd/A 47018-2024 artfynd.xlsx", "A 47018-2024")</f>
        <v/>
      </c>
      <c r="T980">
        <f>HYPERLINK("https://klasma.github.io/Logging_2582/kartor/A 47018-2024 karta.png", "A 47018-2024")</f>
        <v/>
      </c>
      <c r="V980">
        <f>HYPERLINK("https://klasma.github.io/Logging_2582/klagomål/A 47018-2024 FSC-klagomål.docx", "A 47018-2024")</f>
        <v/>
      </c>
      <c r="W980">
        <f>HYPERLINK("https://klasma.github.io/Logging_2582/klagomålsmail/A 47018-2024 FSC-klagomål mail.docx", "A 47018-2024")</f>
        <v/>
      </c>
      <c r="X980">
        <f>HYPERLINK("https://klasma.github.io/Logging_2582/tillsyn/A 47018-2024 tillsynsbegäran.docx", "A 47018-2024")</f>
        <v/>
      </c>
      <c r="Y980">
        <f>HYPERLINK("https://klasma.github.io/Logging_2582/tillsynsmail/A 47018-2024 tillsynsbegäran mail.docx", "A 47018-2024")</f>
        <v/>
      </c>
    </row>
    <row r="981" ht="15" customHeight="1">
      <c r="A981" t="inlineStr">
        <is>
          <t>A 47680-2024</t>
        </is>
      </c>
      <c r="B981" s="1" t="n">
        <v>45588</v>
      </c>
      <c r="C981" s="1" t="n">
        <v>45798</v>
      </c>
      <c r="D981" t="inlineStr">
        <is>
          <t>NORRBOTTENS LÄN</t>
        </is>
      </c>
      <c r="E981" t="inlineStr">
        <is>
          <t>ÖVERKALIX</t>
        </is>
      </c>
      <c r="F981" t="inlineStr">
        <is>
          <t>Sveaskog</t>
        </is>
      </c>
      <c r="G981" t="n">
        <v>2.1</v>
      </c>
      <c r="H981" t="n">
        <v>0</v>
      </c>
      <c r="I981" t="n">
        <v>0</v>
      </c>
      <c r="J981" t="n">
        <v>1</v>
      </c>
      <c r="K981" t="n">
        <v>0</v>
      </c>
      <c r="L981" t="n">
        <v>0</v>
      </c>
      <c r="M981" t="n">
        <v>0</v>
      </c>
      <c r="N981" t="n">
        <v>0</v>
      </c>
      <c r="O981" t="n">
        <v>1</v>
      </c>
      <c r="P981" t="n">
        <v>0</v>
      </c>
      <c r="Q981" t="n">
        <v>1</v>
      </c>
      <c r="R981" s="2" t="inlineStr">
        <is>
          <t>Blå taggsvamp</t>
        </is>
      </c>
      <c r="S981">
        <f>HYPERLINK("https://klasma.github.io/Logging_2513/artfynd/A 47680-2024 artfynd.xlsx", "A 47680-2024")</f>
        <v/>
      </c>
      <c r="T981">
        <f>HYPERLINK("https://klasma.github.io/Logging_2513/kartor/A 47680-2024 karta.png", "A 47680-2024")</f>
        <v/>
      </c>
      <c r="V981">
        <f>HYPERLINK("https://klasma.github.io/Logging_2513/klagomål/A 47680-2024 FSC-klagomål.docx", "A 47680-2024")</f>
        <v/>
      </c>
      <c r="W981">
        <f>HYPERLINK("https://klasma.github.io/Logging_2513/klagomålsmail/A 47680-2024 FSC-klagomål mail.docx", "A 47680-2024")</f>
        <v/>
      </c>
      <c r="X981">
        <f>HYPERLINK("https://klasma.github.io/Logging_2513/tillsyn/A 47680-2024 tillsynsbegäran.docx", "A 47680-2024")</f>
        <v/>
      </c>
      <c r="Y981">
        <f>HYPERLINK("https://klasma.github.io/Logging_2513/tillsynsmail/A 47680-2024 tillsynsbegäran mail.docx", "A 47680-2024")</f>
        <v/>
      </c>
    </row>
    <row r="982" ht="15" customHeight="1">
      <c r="A982" t="inlineStr">
        <is>
          <t>A 48368-2024</t>
        </is>
      </c>
      <c r="B982" s="1" t="n">
        <v>45590</v>
      </c>
      <c r="C982" s="1" t="n">
        <v>45798</v>
      </c>
      <c r="D982" t="inlineStr">
        <is>
          <t>NORRBOTTENS LÄN</t>
        </is>
      </c>
      <c r="E982" t="inlineStr">
        <is>
          <t>ARVIDSJAUR</t>
        </is>
      </c>
      <c r="F982" t="inlineStr">
        <is>
          <t>Sveaskog</t>
        </is>
      </c>
      <c r="G982" t="n">
        <v>7.2</v>
      </c>
      <c r="H982" t="n">
        <v>0</v>
      </c>
      <c r="I982" t="n">
        <v>0</v>
      </c>
      <c r="J982" t="n">
        <v>1</v>
      </c>
      <c r="K982" t="n">
        <v>0</v>
      </c>
      <c r="L982" t="n">
        <v>0</v>
      </c>
      <c r="M982" t="n">
        <v>0</v>
      </c>
      <c r="N982" t="n">
        <v>0</v>
      </c>
      <c r="O982" t="n">
        <v>1</v>
      </c>
      <c r="P982" t="n">
        <v>0</v>
      </c>
      <c r="Q982" t="n">
        <v>1</v>
      </c>
      <c r="R982" s="2" t="inlineStr">
        <is>
          <t>Orange taggsvamp</t>
        </is>
      </c>
      <c r="S982">
        <f>HYPERLINK("https://klasma.github.io/Logging_2505/artfynd/A 48368-2024 artfynd.xlsx", "A 48368-2024")</f>
        <v/>
      </c>
      <c r="T982">
        <f>HYPERLINK("https://klasma.github.io/Logging_2505/kartor/A 48368-2024 karta.png", "A 48368-2024")</f>
        <v/>
      </c>
      <c r="V982">
        <f>HYPERLINK("https://klasma.github.io/Logging_2505/klagomål/A 48368-2024 FSC-klagomål.docx", "A 48368-2024")</f>
        <v/>
      </c>
      <c r="W982">
        <f>HYPERLINK("https://klasma.github.io/Logging_2505/klagomålsmail/A 48368-2024 FSC-klagomål mail.docx", "A 48368-2024")</f>
        <v/>
      </c>
      <c r="X982">
        <f>HYPERLINK("https://klasma.github.io/Logging_2505/tillsyn/A 48368-2024 tillsynsbegäran.docx", "A 48368-2024")</f>
        <v/>
      </c>
      <c r="Y982">
        <f>HYPERLINK("https://klasma.github.io/Logging_2505/tillsynsmail/A 48368-2024 tillsynsbegäran mail.docx", "A 48368-2024")</f>
        <v/>
      </c>
    </row>
    <row r="983" ht="15" customHeight="1">
      <c r="A983" t="inlineStr">
        <is>
          <t>A 48899-2024</t>
        </is>
      </c>
      <c r="B983" s="1" t="n">
        <v>45594</v>
      </c>
      <c r="C983" s="1" t="n">
        <v>45798</v>
      </c>
      <c r="D983" t="inlineStr">
        <is>
          <t>NORRBOTTENS LÄN</t>
        </is>
      </c>
      <c r="E983" t="inlineStr">
        <is>
          <t>BODEN</t>
        </is>
      </c>
      <c r="F983" t="inlineStr">
        <is>
          <t>SCA</t>
        </is>
      </c>
      <c r="G983" t="n">
        <v>18</v>
      </c>
      <c r="H983" t="n">
        <v>1</v>
      </c>
      <c r="I983" t="n">
        <v>0</v>
      </c>
      <c r="J983" t="n">
        <v>0</v>
      </c>
      <c r="K983" t="n">
        <v>0</v>
      </c>
      <c r="L983" t="n">
        <v>0</v>
      </c>
      <c r="M983" t="n">
        <v>0</v>
      </c>
      <c r="N983" t="n">
        <v>0</v>
      </c>
      <c r="O983" t="n">
        <v>0</v>
      </c>
      <c r="P983" t="n">
        <v>0</v>
      </c>
      <c r="Q983" t="n">
        <v>1</v>
      </c>
      <c r="R983" s="2" t="inlineStr">
        <is>
          <t>Fläcknycklar</t>
        </is>
      </c>
      <c r="S983">
        <f>HYPERLINK("https://klasma.github.io/Logging_2582/artfynd/A 48899-2024 artfynd.xlsx", "A 48899-2024")</f>
        <v/>
      </c>
      <c r="T983">
        <f>HYPERLINK("https://klasma.github.io/Logging_2582/kartor/A 48899-2024 karta.png", "A 48899-2024")</f>
        <v/>
      </c>
      <c r="V983">
        <f>HYPERLINK("https://klasma.github.io/Logging_2582/klagomål/A 48899-2024 FSC-klagomål.docx", "A 48899-2024")</f>
        <v/>
      </c>
      <c r="W983">
        <f>HYPERLINK("https://klasma.github.io/Logging_2582/klagomålsmail/A 48899-2024 FSC-klagomål mail.docx", "A 48899-2024")</f>
        <v/>
      </c>
      <c r="X983">
        <f>HYPERLINK("https://klasma.github.io/Logging_2582/tillsyn/A 48899-2024 tillsynsbegäran.docx", "A 48899-2024")</f>
        <v/>
      </c>
      <c r="Y983">
        <f>HYPERLINK("https://klasma.github.io/Logging_2582/tillsynsmail/A 48899-2024 tillsynsbegäran mail.docx", "A 48899-2024")</f>
        <v/>
      </c>
    </row>
    <row r="984" ht="15" customHeight="1">
      <c r="A984" t="inlineStr">
        <is>
          <t>A 49525-2024</t>
        </is>
      </c>
      <c r="B984" s="1" t="n">
        <v>45596</v>
      </c>
      <c r="C984" s="1" t="n">
        <v>45798</v>
      </c>
      <c r="D984" t="inlineStr">
        <is>
          <t>NORRBOTTENS LÄN</t>
        </is>
      </c>
      <c r="E984" t="inlineStr">
        <is>
          <t>JOKKMOKK</t>
        </is>
      </c>
      <c r="F984" t="inlineStr">
        <is>
          <t>SCA</t>
        </is>
      </c>
      <c r="G984" t="n">
        <v>2.5</v>
      </c>
      <c r="H984" t="n">
        <v>0</v>
      </c>
      <c r="I984" t="n">
        <v>0</v>
      </c>
      <c r="J984" t="n">
        <v>0</v>
      </c>
      <c r="K984" t="n">
        <v>1</v>
      </c>
      <c r="L984" t="n">
        <v>0</v>
      </c>
      <c r="M984" t="n">
        <v>0</v>
      </c>
      <c r="N984" t="n">
        <v>0</v>
      </c>
      <c r="O984" t="n">
        <v>1</v>
      </c>
      <c r="P984" t="n">
        <v>1</v>
      </c>
      <c r="Q984" t="n">
        <v>1</v>
      </c>
      <c r="R984" s="2" t="inlineStr">
        <is>
          <t>Ringlav</t>
        </is>
      </c>
      <c r="S984">
        <f>HYPERLINK("https://klasma.github.io/Logging_2510/artfynd/A 49525-2024 artfynd.xlsx", "A 49525-2024")</f>
        <v/>
      </c>
      <c r="T984">
        <f>HYPERLINK("https://klasma.github.io/Logging_2510/kartor/A 49525-2024 karta.png", "A 49525-2024")</f>
        <v/>
      </c>
      <c r="V984">
        <f>HYPERLINK("https://klasma.github.io/Logging_2510/klagomål/A 49525-2024 FSC-klagomål.docx", "A 49525-2024")</f>
        <v/>
      </c>
      <c r="W984">
        <f>HYPERLINK("https://klasma.github.io/Logging_2510/klagomålsmail/A 49525-2024 FSC-klagomål mail.docx", "A 49525-2024")</f>
        <v/>
      </c>
      <c r="X984">
        <f>HYPERLINK("https://klasma.github.io/Logging_2510/tillsyn/A 49525-2024 tillsynsbegäran.docx", "A 49525-2024")</f>
        <v/>
      </c>
      <c r="Y984">
        <f>HYPERLINK("https://klasma.github.io/Logging_2510/tillsynsmail/A 49525-2024 tillsynsbegäran mail.docx", "A 49525-2024")</f>
        <v/>
      </c>
    </row>
    <row r="985" ht="15" customHeight="1">
      <c r="A985" t="inlineStr">
        <is>
          <t>A 50121-2024</t>
        </is>
      </c>
      <c r="B985" s="1" t="n">
        <v>45600</v>
      </c>
      <c r="C985" s="1" t="n">
        <v>45798</v>
      </c>
      <c r="D985" t="inlineStr">
        <is>
          <t>NORRBOTTENS LÄN</t>
        </is>
      </c>
      <c r="E985" t="inlineStr">
        <is>
          <t>JOKKMOKK</t>
        </is>
      </c>
      <c r="G985" t="n">
        <v>2.3</v>
      </c>
      <c r="H985" t="n">
        <v>1</v>
      </c>
      <c r="I985" t="n">
        <v>0</v>
      </c>
      <c r="J985" t="n">
        <v>1</v>
      </c>
      <c r="K985" t="n">
        <v>0</v>
      </c>
      <c r="L985" t="n">
        <v>0</v>
      </c>
      <c r="M985" t="n">
        <v>0</v>
      </c>
      <c r="N985" t="n">
        <v>0</v>
      </c>
      <c r="O985" t="n">
        <v>1</v>
      </c>
      <c r="P985" t="n">
        <v>0</v>
      </c>
      <c r="Q985" t="n">
        <v>1</v>
      </c>
      <c r="R985" s="2" t="inlineStr">
        <is>
          <t>Buskskvätta</t>
        </is>
      </c>
      <c r="S985">
        <f>HYPERLINK("https://klasma.github.io/Logging_2510/artfynd/A 50121-2024 artfynd.xlsx", "A 50121-2024")</f>
        <v/>
      </c>
      <c r="T985">
        <f>HYPERLINK("https://klasma.github.io/Logging_2510/kartor/A 50121-2024 karta.png", "A 50121-2024")</f>
        <v/>
      </c>
      <c r="V985">
        <f>HYPERLINK("https://klasma.github.io/Logging_2510/klagomål/A 50121-2024 FSC-klagomål.docx", "A 50121-2024")</f>
        <v/>
      </c>
      <c r="W985">
        <f>HYPERLINK("https://klasma.github.io/Logging_2510/klagomålsmail/A 50121-2024 FSC-klagomål mail.docx", "A 50121-2024")</f>
        <v/>
      </c>
      <c r="X985">
        <f>HYPERLINK("https://klasma.github.io/Logging_2510/tillsyn/A 50121-2024 tillsynsbegäran.docx", "A 50121-2024")</f>
        <v/>
      </c>
      <c r="Y985">
        <f>HYPERLINK("https://klasma.github.io/Logging_2510/tillsynsmail/A 50121-2024 tillsynsbegäran mail.docx", "A 50121-2024")</f>
        <v/>
      </c>
      <c r="Z985">
        <f>HYPERLINK("https://klasma.github.io/Logging_2510/fåglar/A 50121-2024 prioriterade fågelarter.docx", "A 50121-2024")</f>
        <v/>
      </c>
    </row>
    <row r="986" ht="15" customHeight="1">
      <c r="A986" t="inlineStr">
        <is>
          <t>A 50912-2024</t>
        </is>
      </c>
      <c r="B986" s="1" t="n">
        <v>45602</v>
      </c>
      <c r="C986" s="1" t="n">
        <v>45798</v>
      </c>
      <c r="D986" t="inlineStr">
        <is>
          <t>NORRBOTTENS LÄN</t>
        </is>
      </c>
      <c r="E986" t="inlineStr">
        <is>
          <t>BODEN</t>
        </is>
      </c>
      <c r="G986" t="n">
        <v>3.5</v>
      </c>
      <c r="H986" t="n">
        <v>1</v>
      </c>
      <c r="I986" t="n">
        <v>0</v>
      </c>
      <c r="J986" t="n">
        <v>0</v>
      </c>
      <c r="K986" t="n">
        <v>0</v>
      </c>
      <c r="L986" t="n">
        <v>0</v>
      </c>
      <c r="M986" t="n">
        <v>0</v>
      </c>
      <c r="N986" t="n">
        <v>0</v>
      </c>
      <c r="O986" t="n">
        <v>0</v>
      </c>
      <c r="P986" t="n">
        <v>0</v>
      </c>
      <c r="Q986" t="n">
        <v>1</v>
      </c>
      <c r="R986" s="2" t="inlineStr">
        <is>
          <t>Revlummer</t>
        </is>
      </c>
      <c r="S986">
        <f>HYPERLINK("https://klasma.github.io/Logging_2582/artfynd/A 50912-2024 artfynd.xlsx", "A 50912-2024")</f>
        <v/>
      </c>
      <c r="T986">
        <f>HYPERLINK("https://klasma.github.io/Logging_2582/kartor/A 50912-2024 karta.png", "A 50912-2024")</f>
        <v/>
      </c>
      <c r="V986">
        <f>HYPERLINK("https://klasma.github.io/Logging_2582/klagomål/A 50912-2024 FSC-klagomål.docx", "A 50912-2024")</f>
        <v/>
      </c>
      <c r="W986">
        <f>HYPERLINK("https://klasma.github.io/Logging_2582/klagomålsmail/A 50912-2024 FSC-klagomål mail.docx", "A 50912-2024")</f>
        <v/>
      </c>
      <c r="X986">
        <f>HYPERLINK("https://klasma.github.io/Logging_2582/tillsyn/A 50912-2024 tillsynsbegäran.docx", "A 50912-2024")</f>
        <v/>
      </c>
      <c r="Y986">
        <f>HYPERLINK("https://klasma.github.io/Logging_2582/tillsynsmail/A 50912-2024 tillsynsbegäran mail.docx", "A 50912-2024")</f>
        <v/>
      </c>
    </row>
    <row r="987" ht="15" customHeight="1">
      <c r="A987" t="inlineStr">
        <is>
          <t>A 50866-2024</t>
        </is>
      </c>
      <c r="B987" s="1" t="n">
        <v>45602</v>
      </c>
      <c r="C987" s="1" t="n">
        <v>45798</v>
      </c>
      <c r="D987" t="inlineStr">
        <is>
          <t>NORRBOTTENS LÄN</t>
        </is>
      </c>
      <c r="E987" t="inlineStr">
        <is>
          <t>BODEN</t>
        </is>
      </c>
      <c r="F987" t="inlineStr">
        <is>
          <t>Sveaskog</t>
        </is>
      </c>
      <c r="G987" t="n">
        <v>2.7</v>
      </c>
      <c r="H987" t="n">
        <v>0</v>
      </c>
      <c r="I987" t="n">
        <v>0</v>
      </c>
      <c r="J987" t="n">
        <v>1</v>
      </c>
      <c r="K987" t="n">
        <v>0</v>
      </c>
      <c r="L987" t="n">
        <v>0</v>
      </c>
      <c r="M987" t="n">
        <v>0</v>
      </c>
      <c r="N987" t="n">
        <v>0</v>
      </c>
      <c r="O987" t="n">
        <v>1</v>
      </c>
      <c r="P987" t="n">
        <v>0</v>
      </c>
      <c r="Q987" t="n">
        <v>1</v>
      </c>
      <c r="R987" s="2" t="inlineStr">
        <is>
          <t>Garnlav</t>
        </is>
      </c>
      <c r="S987">
        <f>HYPERLINK("https://klasma.github.io/Logging_2582/artfynd/A 50866-2024 artfynd.xlsx", "A 50866-2024")</f>
        <v/>
      </c>
      <c r="T987">
        <f>HYPERLINK("https://klasma.github.io/Logging_2582/kartor/A 50866-2024 karta.png", "A 50866-2024")</f>
        <v/>
      </c>
      <c r="V987">
        <f>HYPERLINK("https://klasma.github.io/Logging_2582/klagomål/A 50866-2024 FSC-klagomål.docx", "A 50866-2024")</f>
        <v/>
      </c>
      <c r="W987">
        <f>HYPERLINK("https://klasma.github.io/Logging_2582/klagomålsmail/A 50866-2024 FSC-klagomål mail.docx", "A 50866-2024")</f>
        <v/>
      </c>
      <c r="X987">
        <f>HYPERLINK("https://klasma.github.io/Logging_2582/tillsyn/A 50866-2024 tillsynsbegäran.docx", "A 50866-2024")</f>
        <v/>
      </c>
      <c r="Y987">
        <f>HYPERLINK("https://klasma.github.io/Logging_2582/tillsynsmail/A 50866-2024 tillsynsbegäran mail.docx", "A 50866-2024")</f>
        <v/>
      </c>
    </row>
    <row r="988" ht="15" customHeight="1">
      <c r="A988" t="inlineStr">
        <is>
          <t>A 51497-2024</t>
        </is>
      </c>
      <c r="B988" s="1" t="n">
        <v>45604</v>
      </c>
      <c r="C988" s="1" t="n">
        <v>45798</v>
      </c>
      <c r="D988" t="inlineStr">
        <is>
          <t>NORRBOTTENS LÄN</t>
        </is>
      </c>
      <c r="E988" t="inlineStr">
        <is>
          <t>JOKKMOKK</t>
        </is>
      </c>
      <c r="G988" t="n">
        <v>16.6</v>
      </c>
      <c r="H988" t="n">
        <v>0</v>
      </c>
      <c r="I988" t="n">
        <v>0</v>
      </c>
      <c r="J988" t="n">
        <v>1</v>
      </c>
      <c r="K988" t="n">
        <v>0</v>
      </c>
      <c r="L988" t="n">
        <v>0</v>
      </c>
      <c r="M988" t="n">
        <v>0</v>
      </c>
      <c r="N988" t="n">
        <v>0</v>
      </c>
      <c r="O988" t="n">
        <v>1</v>
      </c>
      <c r="P988" t="n">
        <v>0</v>
      </c>
      <c r="Q988" t="n">
        <v>1</v>
      </c>
      <c r="R988" s="2" t="inlineStr">
        <is>
          <t>Tallticka</t>
        </is>
      </c>
      <c r="S988">
        <f>HYPERLINK("https://klasma.github.io/Logging_2510/artfynd/A 51497-2024 artfynd.xlsx", "A 51497-2024")</f>
        <v/>
      </c>
      <c r="T988">
        <f>HYPERLINK("https://klasma.github.io/Logging_2510/kartor/A 51497-2024 karta.png", "A 51497-2024")</f>
        <v/>
      </c>
      <c r="V988">
        <f>HYPERLINK("https://klasma.github.io/Logging_2510/klagomål/A 51497-2024 FSC-klagomål.docx", "A 51497-2024")</f>
        <v/>
      </c>
      <c r="W988">
        <f>HYPERLINK("https://klasma.github.io/Logging_2510/klagomålsmail/A 51497-2024 FSC-klagomål mail.docx", "A 51497-2024")</f>
        <v/>
      </c>
      <c r="X988">
        <f>HYPERLINK("https://klasma.github.io/Logging_2510/tillsyn/A 51497-2024 tillsynsbegäran.docx", "A 51497-2024")</f>
        <v/>
      </c>
      <c r="Y988">
        <f>HYPERLINK("https://klasma.github.io/Logging_2510/tillsynsmail/A 51497-2024 tillsynsbegäran mail.docx", "A 51497-2024")</f>
        <v/>
      </c>
    </row>
    <row r="989" ht="15" customHeight="1">
      <c r="A989" t="inlineStr">
        <is>
          <t>A 52260-2024</t>
        </is>
      </c>
      <c r="B989" s="1" t="n">
        <v>45608</v>
      </c>
      <c r="C989" s="1" t="n">
        <v>45798</v>
      </c>
      <c r="D989" t="inlineStr">
        <is>
          <t>NORRBOTTENS LÄN</t>
        </is>
      </c>
      <c r="E989" t="inlineStr">
        <is>
          <t>JOKKMOKK</t>
        </is>
      </c>
      <c r="F989" t="inlineStr">
        <is>
          <t>Allmännings- och besparingsskogar</t>
        </is>
      </c>
      <c r="G989" t="n">
        <v>11.6</v>
      </c>
      <c r="H989" t="n">
        <v>0</v>
      </c>
      <c r="I989" t="n">
        <v>0</v>
      </c>
      <c r="J989" t="n">
        <v>1</v>
      </c>
      <c r="K989" t="n">
        <v>0</v>
      </c>
      <c r="L989" t="n">
        <v>0</v>
      </c>
      <c r="M989" t="n">
        <v>0</v>
      </c>
      <c r="N989" t="n">
        <v>0</v>
      </c>
      <c r="O989" t="n">
        <v>1</v>
      </c>
      <c r="P989" t="n">
        <v>0</v>
      </c>
      <c r="Q989" t="n">
        <v>1</v>
      </c>
      <c r="R989" s="2" t="inlineStr">
        <is>
          <t>Tallticka</t>
        </is>
      </c>
      <c r="S989">
        <f>HYPERLINK("https://klasma.github.io/Logging_2510/artfynd/A 52260-2024 artfynd.xlsx", "A 52260-2024")</f>
        <v/>
      </c>
      <c r="T989">
        <f>HYPERLINK("https://klasma.github.io/Logging_2510/kartor/A 52260-2024 karta.png", "A 52260-2024")</f>
        <v/>
      </c>
      <c r="V989">
        <f>HYPERLINK("https://klasma.github.io/Logging_2510/klagomål/A 52260-2024 FSC-klagomål.docx", "A 52260-2024")</f>
        <v/>
      </c>
      <c r="W989">
        <f>HYPERLINK("https://klasma.github.io/Logging_2510/klagomålsmail/A 52260-2024 FSC-klagomål mail.docx", "A 52260-2024")</f>
        <v/>
      </c>
      <c r="X989">
        <f>HYPERLINK("https://klasma.github.io/Logging_2510/tillsyn/A 52260-2024 tillsynsbegäran.docx", "A 52260-2024")</f>
        <v/>
      </c>
      <c r="Y989">
        <f>HYPERLINK("https://klasma.github.io/Logging_2510/tillsynsmail/A 52260-2024 tillsynsbegäran mail.docx", "A 52260-2024")</f>
        <v/>
      </c>
    </row>
    <row r="990" ht="15" customHeight="1">
      <c r="A990" t="inlineStr">
        <is>
          <t>A 53142-2024</t>
        </is>
      </c>
      <c r="B990" s="1" t="n">
        <v>45611</v>
      </c>
      <c r="C990" s="1" t="n">
        <v>45798</v>
      </c>
      <c r="D990" t="inlineStr">
        <is>
          <t>NORRBOTTENS LÄN</t>
        </is>
      </c>
      <c r="E990" t="inlineStr">
        <is>
          <t>BODEN</t>
        </is>
      </c>
      <c r="F990" t="inlineStr">
        <is>
          <t>Sveaskog</t>
        </is>
      </c>
      <c r="G990" t="n">
        <v>6.6</v>
      </c>
      <c r="H990" t="n">
        <v>1</v>
      </c>
      <c r="I990" t="n">
        <v>0</v>
      </c>
      <c r="J990" t="n">
        <v>0</v>
      </c>
      <c r="K990" t="n">
        <v>1</v>
      </c>
      <c r="L990" t="n">
        <v>0</v>
      </c>
      <c r="M990" t="n">
        <v>0</v>
      </c>
      <c r="N990" t="n">
        <v>0</v>
      </c>
      <c r="O990" t="n">
        <v>1</v>
      </c>
      <c r="P990" t="n">
        <v>1</v>
      </c>
      <c r="Q990" t="n">
        <v>1</v>
      </c>
      <c r="R990" s="2" t="inlineStr">
        <is>
          <t>Doftticka</t>
        </is>
      </c>
      <c r="S990">
        <f>HYPERLINK("https://klasma.github.io/Logging_2582/artfynd/A 53142-2024 artfynd.xlsx", "A 53142-2024")</f>
        <v/>
      </c>
      <c r="T990">
        <f>HYPERLINK("https://klasma.github.io/Logging_2582/kartor/A 53142-2024 karta.png", "A 53142-2024")</f>
        <v/>
      </c>
      <c r="V990">
        <f>HYPERLINK("https://klasma.github.io/Logging_2582/klagomål/A 53142-2024 FSC-klagomål.docx", "A 53142-2024")</f>
        <v/>
      </c>
      <c r="W990">
        <f>HYPERLINK("https://klasma.github.io/Logging_2582/klagomålsmail/A 53142-2024 FSC-klagomål mail.docx", "A 53142-2024")</f>
        <v/>
      </c>
      <c r="X990">
        <f>HYPERLINK("https://klasma.github.io/Logging_2582/tillsyn/A 53142-2024 tillsynsbegäran.docx", "A 53142-2024")</f>
        <v/>
      </c>
      <c r="Y990">
        <f>HYPERLINK("https://klasma.github.io/Logging_2582/tillsynsmail/A 53142-2024 tillsynsbegäran mail.docx", "A 53142-2024")</f>
        <v/>
      </c>
    </row>
    <row r="991" ht="15" customHeight="1">
      <c r="A991" t="inlineStr">
        <is>
          <t>A 52994-2024</t>
        </is>
      </c>
      <c r="B991" s="1" t="n">
        <v>45611</v>
      </c>
      <c r="C991" s="1" t="n">
        <v>45798</v>
      </c>
      <c r="D991" t="inlineStr">
        <is>
          <t>NORRBOTTENS LÄN</t>
        </is>
      </c>
      <c r="E991" t="inlineStr">
        <is>
          <t>JOKKMOKK</t>
        </is>
      </c>
      <c r="F991" t="inlineStr">
        <is>
          <t>Sveaskog</t>
        </is>
      </c>
      <c r="G991" t="n">
        <v>17.1</v>
      </c>
      <c r="H991" t="n">
        <v>0</v>
      </c>
      <c r="I991" t="n">
        <v>0</v>
      </c>
      <c r="J991" t="n">
        <v>1</v>
      </c>
      <c r="K991" t="n">
        <v>0</v>
      </c>
      <c r="L991" t="n">
        <v>0</v>
      </c>
      <c r="M991" t="n">
        <v>0</v>
      </c>
      <c r="N991" t="n">
        <v>0</v>
      </c>
      <c r="O991" t="n">
        <v>1</v>
      </c>
      <c r="P991" t="n">
        <v>0</v>
      </c>
      <c r="Q991" t="n">
        <v>1</v>
      </c>
      <c r="R991" s="2" t="inlineStr">
        <is>
          <t>Blå taggsvamp</t>
        </is>
      </c>
      <c r="S991">
        <f>HYPERLINK("https://klasma.github.io/Logging_2510/artfynd/A 52994-2024 artfynd.xlsx", "A 52994-2024")</f>
        <v/>
      </c>
      <c r="T991">
        <f>HYPERLINK("https://klasma.github.io/Logging_2510/kartor/A 52994-2024 karta.png", "A 52994-2024")</f>
        <v/>
      </c>
      <c r="V991">
        <f>HYPERLINK("https://klasma.github.io/Logging_2510/klagomål/A 52994-2024 FSC-klagomål.docx", "A 52994-2024")</f>
        <v/>
      </c>
      <c r="W991">
        <f>HYPERLINK("https://klasma.github.io/Logging_2510/klagomålsmail/A 52994-2024 FSC-klagomål mail.docx", "A 52994-2024")</f>
        <v/>
      </c>
      <c r="X991">
        <f>HYPERLINK("https://klasma.github.io/Logging_2510/tillsyn/A 52994-2024 tillsynsbegäran.docx", "A 52994-2024")</f>
        <v/>
      </c>
      <c r="Y991">
        <f>HYPERLINK("https://klasma.github.io/Logging_2510/tillsynsmail/A 52994-2024 tillsynsbegäran mail.docx", "A 52994-2024")</f>
        <v/>
      </c>
    </row>
    <row r="992" ht="15" customHeight="1">
      <c r="A992" t="inlineStr">
        <is>
          <t>A 53651-2024</t>
        </is>
      </c>
      <c r="B992" s="1" t="n">
        <v>45615</v>
      </c>
      <c r="C992" s="1" t="n">
        <v>45798</v>
      </c>
      <c r="D992" t="inlineStr">
        <is>
          <t>NORRBOTTENS LÄN</t>
        </is>
      </c>
      <c r="E992" t="inlineStr">
        <is>
          <t>ARVIDSJAUR</t>
        </is>
      </c>
      <c r="F992" t="inlineStr">
        <is>
          <t>Sveaskog</t>
        </is>
      </c>
      <c r="G992" t="n">
        <v>2.7</v>
      </c>
      <c r="H992" t="n">
        <v>0</v>
      </c>
      <c r="I992" t="n">
        <v>1</v>
      </c>
      <c r="J992" t="n">
        <v>0</v>
      </c>
      <c r="K992" t="n">
        <v>0</v>
      </c>
      <c r="L992" t="n">
        <v>0</v>
      </c>
      <c r="M992" t="n">
        <v>0</v>
      </c>
      <c r="N992" t="n">
        <v>0</v>
      </c>
      <c r="O992" t="n">
        <v>0</v>
      </c>
      <c r="P992" t="n">
        <v>0</v>
      </c>
      <c r="Q992" t="n">
        <v>1</v>
      </c>
      <c r="R992" s="2" t="inlineStr">
        <is>
          <t>Dropptaggsvamp</t>
        </is>
      </c>
      <c r="S992">
        <f>HYPERLINK("https://klasma.github.io/Logging_2505/artfynd/A 53651-2024 artfynd.xlsx", "A 53651-2024")</f>
        <v/>
      </c>
      <c r="T992">
        <f>HYPERLINK("https://klasma.github.io/Logging_2505/kartor/A 53651-2024 karta.png", "A 53651-2024")</f>
        <v/>
      </c>
      <c r="V992">
        <f>HYPERLINK("https://klasma.github.io/Logging_2505/klagomål/A 53651-2024 FSC-klagomål.docx", "A 53651-2024")</f>
        <v/>
      </c>
      <c r="W992">
        <f>HYPERLINK("https://klasma.github.io/Logging_2505/klagomålsmail/A 53651-2024 FSC-klagomål mail.docx", "A 53651-2024")</f>
        <v/>
      </c>
      <c r="X992">
        <f>HYPERLINK("https://klasma.github.io/Logging_2505/tillsyn/A 53651-2024 tillsynsbegäran.docx", "A 53651-2024")</f>
        <v/>
      </c>
      <c r="Y992">
        <f>HYPERLINK("https://klasma.github.io/Logging_2505/tillsynsmail/A 53651-2024 tillsynsbegäran mail.docx", "A 53651-2024")</f>
        <v/>
      </c>
    </row>
    <row r="993" ht="15" customHeight="1">
      <c r="A993" t="inlineStr">
        <is>
          <t>A 53801-2024</t>
        </is>
      </c>
      <c r="B993" s="1" t="n">
        <v>45615</v>
      </c>
      <c r="C993" s="1" t="n">
        <v>45798</v>
      </c>
      <c r="D993" t="inlineStr">
        <is>
          <t>NORRBOTTENS LÄN</t>
        </is>
      </c>
      <c r="E993" t="inlineStr">
        <is>
          <t>GÄLLIVARE</t>
        </is>
      </c>
      <c r="G993" t="n">
        <v>3.1</v>
      </c>
      <c r="H993" t="n">
        <v>1</v>
      </c>
      <c r="I993" t="n">
        <v>0</v>
      </c>
      <c r="J993" t="n">
        <v>0</v>
      </c>
      <c r="K993" t="n">
        <v>0</v>
      </c>
      <c r="L993" t="n">
        <v>0</v>
      </c>
      <c r="M993" t="n">
        <v>0</v>
      </c>
      <c r="N993" t="n">
        <v>0</v>
      </c>
      <c r="O993" t="n">
        <v>0</v>
      </c>
      <c r="P993" t="n">
        <v>0</v>
      </c>
      <c r="Q993" t="n">
        <v>1</v>
      </c>
      <c r="R993" s="2" t="inlineStr">
        <is>
          <t>Revlummer</t>
        </is>
      </c>
      <c r="S993">
        <f>HYPERLINK("https://klasma.github.io/Logging_2523/artfynd/A 53801-2024 artfynd.xlsx", "A 53801-2024")</f>
        <v/>
      </c>
      <c r="T993">
        <f>HYPERLINK("https://klasma.github.io/Logging_2523/kartor/A 53801-2024 karta.png", "A 53801-2024")</f>
        <v/>
      </c>
      <c r="V993">
        <f>HYPERLINK("https://klasma.github.io/Logging_2523/klagomål/A 53801-2024 FSC-klagomål.docx", "A 53801-2024")</f>
        <v/>
      </c>
      <c r="W993">
        <f>HYPERLINK("https://klasma.github.io/Logging_2523/klagomålsmail/A 53801-2024 FSC-klagomål mail.docx", "A 53801-2024")</f>
        <v/>
      </c>
      <c r="X993">
        <f>HYPERLINK("https://klasma.github.io/Logging_2523/tillsyn/A 53801-2024 tillsynsbegäran.docx", "A 53801-2024")</f>
        <v/>
      </c>
      <c r="Y993">
        <f>HYPERLINK("https://klasma.github.io/Logging_2523/tillsynsmail/A 53801-2024 tillsynsbegäran mail.docx", "A 53801-2024")</f>
        <v/>
      </c>
    </row>
    <row r="994" ht="15" customHeight="1">
      <c r="A994" t="inlineStr">
        <is>
          <t>A 54539-2024</t>
        </is>
      </c>
      <c r="B994" s="1" t="n">
        <v>45617</v>
      </c>
      <c r="C994" s="1" t="n">
        <v>45798</v>
      </c>
      <c r="D994" t="inlineStr">
        <is>
          <t>NORRBOTTENS LÄN</t>
        </is>
      </c>
      <c r="E994" t="inlineStr">
        <is>
          <t>ARVIDSJAUR</t>
        </is>
      </c>
      <c r="F994" t="inlineStr">
        <is>
          <t>Sveaskog</t>
        </is>
      </c>
      <c r="G994" t="n">
        <v>22.1</v>
      </c>
      <c r="H994" t="n">
        <v>0</v>
      </c>
      <c r="I994" t="n">
        <v>0</v>
      </c>
      <c r="J994" t="n">
        <v>1</v>
      </c>
      <c r="K994" t="n">
        <v>0</v>
      </c>
      <c r="L994" t="n">
        <v>0</v>
      </c>
      <c r="M994" t="n">
        <v>0</v>
      </c>
      <c r="N994" t="n">
        <v>0</v>
      </c>
      <c r="O994" t="n">
        <v>1</v>
      </c>
      <c r="P994" t="n">
        <v>0</v>
      </c>
      <c r="Q994" t="n">
        <v>1</v>
      </c>
      <c r="R994" s="2" t="inlineStr">
        <is>
          <t>Vaddporing</t>
        </is>
      </c>
      <c r="S994">
        <f>HYPERLINK("https://klasma.github.io/Logging_2505/artfynd/A 54539-2024 artfynd.xlsx", "A 54539-2024")</f>
        <v/>
      </c>
      <c r="T994">
        <f>HYPERLINK("https://klasma.github.io/Logging_2505/kartor/A 54539-2024 karta.png", "A 54539-2024")</f>
        <v/>
      </c>
      <c r="V994">
        <f>HYPERLINK("https://klasma.github.io/Logging_2505/klagomål/A 54539-2024 FSC-klagomål.docx", "A 54539-2024")</f>
        <v/>
      </c>
      <c r="W994">
        <f>HYPERLINK("https://klasma.github.io/Logging_2505/klagomålsmail/A 54539-2024 FSC-klagomål mail.docx", "A 54539-2024")</f>
        <v/>
      </c>
      <c r="X994">
        <f>HYPERLINK("https://klasma.github.io/Logging_2505/tillsyn/A 54539-2024 tillsynsbegäran.docx", "A 54539-2024")</f>
        <v/>
      </c>
      <c r="Y994">
        <f>HYPERLINK("https://klasma.github.io/Logging_2505/tillsynsmail/A 54539-2024 tillsynsbegäran mail.docx", "A 54539-2024")</f>
        <v/>
      </c>
    </row>
    <row r="995" ht="15" customHeight="1">
      <c r="A995" t="inlineStr">
        <is>
          <t>A 55419-2024</t>
        </is>
      </c>
      <c r="B995" s="1" t="n">
        <v>45622</v>
      </c>
      <c r="C995" s="1" t="n">
        <v>45798</v>
      </c>
      <c r="D995" t="inlineStr">
        <is>
          <t>NORRBOTTENS LÄN</t>
        </is>
      </c>
      <c r="E995" t="inlineStr">
        <is>
          <t>ÖVERKALIX</t>
        </is>
      </c>
      <c r="F995" t="inlineStr">
        <is>
          <t>Sveaskog</t>
        </is>
      </c>
      <c r="G995" t="n">
        <v>15.8</v>
      </c>
      <c r="H995" t="n">
        <v>0</v>
      </c>
      <c r="I995" t="n">
        <v>0</v>
      </c>
      <c r="J995" t="n">
        <v>1</v>
      </c>
      <c r="K995" t="n">
        <v>0</v>
      </c>
      <c r="L995" t="n">
        <v>0</v>
      </c>
      <c r="M995" t="n">
        <v>0</v>
      </c>
      <c r="N995" t="n">
        <v>0</v>
      </c>
      <c r="O995" t="n">
        <v>1</v>
      </c>
      <c r="P995" t="n">
        <v>0</v>
      </c>
      <c r="Q995" t="n">
        <v>1</v>
      </c>
      <c r="R995" s="2" t="inlineStr">
        <is>
          <t>Lunglav</t>
        </is>
      </c>
      <c r="S995">
        <f>HYPERLINK("https://klasma.github.io/Logging_2513/artfynd/A 55419-2024 artfynd.xlsx", "A 55419-2024")</f>
        <v/>
      </c>
      <c r="T995">
        <f>HYPERLINK("https://klasma.github.io/Logging_2513/kartor/A 55419-2024 karta.png", "A 55419-2024")</f>
        <v/>
      </c>
      <c r="V995">
        <f>HYPERLINK("https://klasma.github.io/Logging_2513/klagomål/A 55419-2024 FSC-klagomål.docx", "A 55419-2024")</f>
        <v/>
      </c>
      <c r="W995">
        <f>HYPERLINK("https://klasma.github.io/Logging_2513/klagomålsmail/A 55419-2024 FSC-klagomål mail.docx", "A 55419-2024")</f>
        <v/>
      </c>
      <c r="X995">
        <f>HYPERLINK("https://klasma.github.io/Logging_2513/tillsyn/A 55419-2024 tillsynsbegäran.docx", "A 55419-2024")</f>
        <v/>
      </c>
      <c r="Y995">
        <f>HYPERLINK("https://klasma.github.io/Logging_2513/tillsynsmail/A 55419-2024 tillsynsbegäran mail.docx", "A 55419-2024")</f>
        <v/>
      </c>
    </row>
    <row r="996" ht="15" customHeight="1">
      <c r="A996" t="inlineStr">
        <is>
          <t>A 55788-2024</t>
        </is>
      </c>
      <c r="B996" s="1" t="n">
        <v>45623</v>
      </c>
      <c r="C996" s="1" t="n">
        <v>45798</v>
      </c>
      <c r="D996" t="inlineStr">
        <is>
          <t>NORRBOTTENS LÄN</t>
        </is>
      </c>
      <c r="E996" t="inlineStr">
        <is>
          <t>ÄLVSBYN</t>
        </is>
      </c>
      <c r="F996" t="inlineStr">
        <is>
          <t>Sveaskog</t>
        </is>
      </c>
      <c r="G996" t="n">
        <v>1.7</v>
      </c>
      <c r="H996" t="n">
        <v>0</v>
      </c>
      <c r="I996" t="n">
        <v>0</v>
      </c>
      <c r="J996" t="n">
        <v>1</v>
      </c>
      <c r="K996" t="n">
        <v>0</v>
      </c>
      <c r="L996" t="n">
        <v>0</v>
      </c>
      <c r="M996" t="n">
        <v>0</v>
      </c>
      <c r="N996" t="n">
        <v>0</v>
      </c>
      <c r="O996" t="n">
        <v>1</v>
      </c>
      <c r="P996" t="n">
        <v>0</v>
      </c>
      <c r="Q996" t="n">
        <v>1</v>
      </c>
      <c r="R996" s="2" t="inlineStr">
        <is>
          <t>Orange taggsvamp</t>
        </is>
      </c>
      <c r="S996">
        <f>HYPERLINK("https://klasma.github.io/Logging_2560/artfynd/A 55788-2024 artfynd.xlsx", "A 55788-2024")</f>
        <v/>
      </c>
      <c r="T996">
        <f>HYPERLINK("https://klasma.github.io/Logging_2560/kartor/A 55788-2024 karta.png", "A 55788-2024")</f>
        <v/>
      </c>
      <c r="V996">
        <f>HYPERLINK("https://klasma.github.io/Logging_2560/klagomål/A 55788-2024 FSC-klagomål.docx", "A 55788-2024")</f>
        <v/>
      </c>
      <c r="W996">
        <f>HYPERLINK("https://klasma.github.io/Logging_2560/klagomålsmail/A 55788-2024 FSC-klagomål mail.docx", "A 55788-2024")</f>
        <v/>
      </c>
      <c r="X996">
        <f>HYPERLINK("https://klasma.github.io/Logging_2560/tillsyn/A 55788-2024 tillsynsbegäran.docx", "A 55788-2024")</f>
        <v/>
      </c>
      <c r="Y996">
        <f>HYPERLINK("https://klasma.github.io/Logging_2560/tillsynsmail/A 55788-2024 tillsynsbegäran mail.docx", "A 55788-2024")</f>
        <v/>
      </c>
    </row>
    <row r="997" ht="15" customHeight="1">
      <c r="A997" t="inlineStr">
        <is>
          <t>A 56518-2024</t>
        </is>
      </c>
      <c r="B997" s="1" t="n">
        <v>45625</v>
      </c>
      <c r="C997" s="1" t="n">
        <v>45798</v>
      </c>
      <c r="D997" t="inlineStr">
        <is>
          <t>NORRBOTTENS LÄN</t>
        </is>
      </c>
      <c r="E997" t="inlineStr">
        <is>
          <t>PITEÅ</t>
        </is>
      </c>
      <c r="G997" t="n">
        <v>2.6</v>
      </c>
      <c r="H997" t="n">
        <v>1</v>
      </c>
      <c r="I997" t="n">
        <v>0</v>
      </c>
      <c r="J997" t="n">
        <v>0</v>
      </c>
      <c r="K997" t="n">
        <v>0</v>
      </c>
      <c r="L997" t="n">
        <v>0</v>
      </c>
      <c r="M997" t="n">
        <v>0</v>
      </c>
      <c r="N997" t="n">
        <v>0</v>
      </c>
      <c r="O997" t="n">
        <v>0</v>
      </c>
      <c r="P997" t="n">
        <v>0</v>
      </c>
      <c r="Q997" t="n">
        <v>1</v>
      </c>
      <c r="R997" s="2" t="inlineStr">
        <is>
          <t>Nattviol</t>
        </is>
      </c>
      <c r="S997">
        <f>HYPERLINK("https://klasma.github.io/Logging_2581/artfynd/A 56518-2024 artfynd.xlsx", "A 56518-2024")</f>
        <v/>
      </c>
      <c r="T997">
        <f>HYPERLINK("https://klasma.github.io/Logging_2581/kartor/A 56518-2024 karta.png", "A 56518-2024")</f>
        <v/>
      </c>
      <c r="V997">
        <f>HYPERLINK("https://klasma.github.io/Logging_2581/klagomål/A 56518-2024 FSC-klagomål.docx", "A 56518-2024")</f>
        <v/>
      </c>
      <c r="W997">
        <f>HYPERLINK("https://klasma.github.io/Logging_2581/klagomålsmail/A 56518-2024 FSC-klagomål mail.docx", "A 56518-2024")</f>
        <v/>
      </c>
      <c r="X997">
        <f>HYPERLINK("https://klasma.github.io/Logging_2581/tillsyn/A 56518-2024 tillsynsbegäran.docx", "A 56518-2024")</f>
        <v/>
      </c>
      <c r="Y997">
        <f>HYPERLINK("https://klasma.github.io/Logging_2581/tillsynsmail/A 56518-2024 tillsynsbegäran mail.docx", "A 56518-2024")</f>
        <v/>
      </c>
    </row>
    <row r="998" ht="15" customHeight="1">
      <c r="A998" t="inlineStr">
        <is>
          <t>A 56551-2024</t>
        </is>
      </c>
      <c r="B998" s="1" t="n">
        <v>45625</v>
      </c>
      <c r="C998" s="1" t="n">
        <v>45798</v>
      </c>
      <c r="D998" t="inlineStr">
        <is>
          <t>NORRBOTTENS LÄN</t>
        </is>
      </c>
      <c r="E998" t="inlineStr">
        <is>
          <t>ÄLVSBYN</t>
        </is>
      </c>
      <c r="F998" t="inlineStr">
        <is>
          <t>Sveaskog</t>
        </is>
      </c>
      <c r="G998" t="n">
        <v>4.3</v>
      </c>
      <c r="H998" t="n">
        <v>0</v>
      </c>
      <c r="I998" t="n">
        <v>1</v>
      </c>
      <c r="J998" t="n">
        <v>0</v>
      </c>
      <c r="K998" t="n">
        <v>0</v>
      </c>
      <c r="L998" t="n">
        <v>0</v>
      </c>
      <c r="M998" t="n">
        <v>0</v>
      </c>
      <c r="N998" t="n">
        <v>0</v>
      </c>
      <c r="O998" t="n">
        <v>0</v>
      </c>
      <c r="P998" t="n">
        <v>0</v>
      </c>
      <c r="Q998" t="n">
        <v>1</v>
      </c>
      <c r="R998" s="2" t="inlineStr">
        <is>
          <t>Dropptaggsvamp</t>
        </is>
      </c>
      <c r="S998">
        <f>HYPERLINK("https://klasma.github.io/Logging_2560/artfynd/A 56551-2024 artfynd.xlsx", "A 56551-2024")</f>
        <v/>
      </c>
      <c r="T998">
        <f>HYPERLINK("https://klasma.github.io/Logging_2560/kartor/A 56551-2024 karta.png", "A 56551-2024")</f>
        <v/>
      </c>
      <c r="V998">
        <f>HYPERLINK("https://klasma.github.io/Logging_2560/klagomål/A 56551-2024 FSC-klagomål.docx", "A 56551-2024")</f>
        <v/>
      </c>
      <c r="W998">
        <f>HYPERLINK("https://klasma.github.io/Logging_2560/klagomålsmail/A 56551-2024 FSC-klagomål mail.docx", "A 56551-2024")</f>
        <v/>
      </c>
      <c r="X998">
        <f>HYPERLINK("https://klasma.github.io/Logging_2560/tillsyn/A 56551-2024 tillsynsbegäran.docx", "A 56551-2024")</f>
        <v/>
      </c>
      <c r="Y998">
        <f>HYPERLINK("https://klasma.github.io/Logging_2560/tillsynsmail/A 56551-2024 tillsynsbegäran mail.docx", "A 56551-2024")</f>
        <v/>
      </c>
    </row>
    <row r="999" ht="15" customHeight="1">
      <c r="A999" t="inlineStr">
        <is>
          <t>A 57140-2024</t>
        </is>
      </c>
      <c r="B999" s="1" t="n">
        <v>45629</v>
      </c>
      <c r="C999" s="1" t="n">
        <v>45798</v>
      </c>
      <c r="D999" t="inlineStr">
        <is>
          <t>NORRBOTTENS LÄN</t>
        </is>
      </c>
      <c r="E999" t="inlineStr">
        <is>
          <t>ÄLVSBYN</t>
        </is>
      </c>
      <c r="G999" t="n">
        <v>2.6</v>
      </c>
      <c r="H999" t="n">
        <v>1</v>
      </c>
      <c r="I999" t="n">
        <v>0</v>
      </c>
      <c r="J999" t="n">
        <v>0</v>
      </c>
      <c r="K999" t="n">
        <v>0</v>
      </c>
      <c r="L999" t="n">
        <v>0</v>
      </c>
      <c r="M999" t="n">
        <v>0</v>
      </c>
      <c r="N999" t="n">
        <v>0</v>
      </c>
      <c r="O999" t="n">
        <v>0</v>
      </c>
      <c r="P999" t="n">
        <v>0</v>
      </c>
      <c r="Q999" t="n">
        <v>1</v>
      </c>
      <c r="R999" s="2" t="inlineStr">
        <is>
          <t>Fläcknycklar</t>
        </is>
      </c>
      <c r="S999">
        <f>HYPERLINK("https://klasma.github.io/Logging_2560/artfynd/A 57140-2024 artfynd.xlsx", "A 57140-2024")</f>
        <v/>
      </c>
      <c r="T999">
        <f>HYPERLINK("https://klasma.github.io/Logging_2560/kartor/A 57140-2024 karta.png", "A 57140-2024")</f>
        <v/>
      </c>
      <c r="V999">
        <f>HYPERLINK("https://klasma.github.io/Logging_2560/klagomål/A 57140-2024 FSC-klagomål.docx", "A 57140-2024")</f>
        <v/>
      </c>
      <c r="W999">
        <f>HYPERLINK("https://klasma.github.io/Logging_2560/klagomålsmail/A 57140-2024 FSC-klagomål mail.docx", "A 57140-2024")</f>
        <v/>
      </c>
      <c r="X999">
        <f>HYPERLINK("https://klasma.github.io/Logging_2560/tillsyn/A 57140-2024 tillsynsbegäran.docx", "A 57140-2024")</f>
        <v/>
      </c>
      <c r="Y999">
        <f>HYPERLINK("https://klasma.github.io/Logging_2560/tillsynsmail/A 57140-2024 tillsynsbegäran mail.docx", "A 57140-2024")</f>
        <v/>
      </c>
    </row>
    <row r="1000" ht="15" customHeight="1">
      <c r="A1000" t="inlineStr">
        <is>
          <t>A 57043-2024</t>
        </is>
      </c>
      <c r="B1000" s="1" t="n">
        <v>45629</v>
      </c>
      <c r="C1000" s="1" t="n">
        <v>45798</v>
      </c>
      <c r="D1000" t="inlineStr">
        <is>
          <t>NORRBOTTENS LÄN</t>
        </is>
      </c>
      <c r="E1000" t="inlineStr">
        <is>
          <t>ARVIDSJAUR</t>
        </is>
      </c>
      <c r="F1000" t="inlineStr">
        <is>
          <t>Sveaskog</t>
        </is>
      </c>
      <c r="G1000" t="n">
        <v>2.6</v>
      </c>
      <c r="H1000" t="n">
        <v>0</v>
      </c>
      <c r="I1000" t="n">
        <v>0</v>
      </c>
      <c r="J1000" t="n">
        <v>1</v>
      </c>
      <c r="K1000" t="n">
        <v>0</v>
      </c>
      <c r="L1000" t="n">
        <v>0</v>
      </c>
      <c r="M1000" t="n">
        <v>0</v>
      </c>
      <c r="N1000" t="n">
        <v>0</v>
      </c>
      <c r="O1000" t="n">
        <v>1</v>
      </c>
      <c r="P1000" t="n">
        <v>0</v>
      </c>
      <c r="Q1000" t="n">
        <v>1</v>
      </c>
      <c r="R1000" s="2" t="inlineStr">
        <is>
          <t>Granticka</t>
        </is>
      </c>
      <c r="S1000">
        <f>HYPERLINK("https://klasma.github.io/Logging_2505/artfynd/A 57043-2024 artfynd.xlsx", "A 57043-2024")</f>
        <v/>
      </c>
      <c r="T1000">
        <f>HYPERLINK("https://klasma.github.io/Logging_2505/kartor/A 57043-2024 karta.png", "A 57043-2024")</f>
        <v/>
      </c>
      <c r="V1000">
        <f>HYPERLINK("https://klasma.github.io/Logging_2505/klagomål/A 57043-2024 FSC-klagomål.docx", "A 57043-2024")</f>
        <v/>
      </c>
      <c r="W1000">
        <f>HYPERLINK("https://klasma.github.io/Logging_2505/klagomålsmail/A 57043-2024 FSC-klagomål mail.docx", "A 57043-2024")</f>
        <v/>
      </c>
      <c r="X1000">
        <f>HYPERLINK("https://klasma.github.io/Logging_2505/tillsyn/A 57043-2024 tillsynsbegäran.docx", "A 57043-2024")</f>
        <v/>
      </c>
      <c r="Y1000">
        <f>HYPERLINK("https://klasma.github.io/Logging_2505/tillsynsmail/A 57043-2024 tillsynsbegäran mail.docx", "A 57043-2024")</f>
        <v/>
      </c>
    </row>
    <row r="1001" ht="15" customHeight="1">
      <c r="A1001" t="inlineStr">
        <is>
          <t>A 57659-2024</t>
        </is>
      </c>
      <c r="B1001" s="1" t="n">
        <v>45630</v>
      </c>
      <c r="C1001" s="1" t="n">
        <v>45798</v>
      </c>
      <c r="D1001" t="inlineStr">
        <is>
          <t>NORRBOTTENS LÄN</t>
        </is>
      </c>
      <c r="E1001" t="inlineStr">
        <is>
          <t>PITEÅ</t>
        </is>
      </c>
      <c r="G1001" t="n">
        <v>1.5</v>
      </c>
      <c r="H1001" t="n">
        <v>0</v>
      </c>
      <c r="I1001" t="n">
        <v>0</v>
      </c>
      <c r="J1001" t="n">
        <v>1</v>
      </c>
      <c r="K1001" t="n">
        <v>0</v>
      </c>
      <c r="L1001" t="n">
        <v>0</v>
      </c>
      <c r="M1001" t="n">
        <v>0</v>
      </c>
      <c r="N1001" t="n">
        <v>0</v>
      </c>
      <c r="O1001" t="n">
        <v>1</v>
      </c>
      <c r="P1001" t="n">
        <v>0</v>
      </c>
      <c r="Q1001" t="n">
        <v>1</v>
      </c>
      <c r="R1001" s="2" t="inlineStr">
        <is>
          <t>Lunglav</t>
        </is>
      </c>
      <c r="S1001">
        <f>HYPERLINK("https://klasma.github.io/Logging_2581/artfynd/A 57659-2024 artfynd.xlsx", "A 57659-2024")</f>
        <v/>
      </c>
      <c r="T1001">
        <f>HYPERLINK("https://klasma.github.io/Logging_2581/kartor/A 57659-2024 karta.png", "A 57659-2024")</f>
        <v/>
      </c>
      <c r="V1001">
        <f>HYPERLINK("https://klasma.github.io/Logging_2581/klagomål/A 57659-2024 FSC-klagomål.docx", "A 57659-2024")</f>
        <v/>
      </c>
      <c r="W1001">
        <f>HYPERLINK("https://klasma.github.io/Logging_2581/klagomålsmail/A 57659-2024 FSC-klagomål mail.docx", "A 57659-2024")</f>
        <v/>
      </c>
      <c r="X1001">
        <f>HYPERLINK("https://klasma.github.io/Logging_2581/tillsyn/A 57659-2024 tillsynsbegäran.docx", "A 57659-2024")</f>
        <v/>
      </c>
      <c r="Y1001">
        <f>HYPERLINK("https://klasma.github.io/Logging_2581/tillsynsmail/A 57659-2024 tillsynsbegäran mail.docx", "A 57659-2024")</f>
        <v/>
      </c>
    </row>
    <row r="1002" ht="15" customHeight="1">
      <c r="A1002" t="inlineStr">
        <is>
          <t>A 58032-2024</t>
        </is>
      </c>
      <c r="B1002" s="1" t="n">
        <v>45631</v>
      </c>
      <c r="C1002" s="1" t="n">
        <v>45798</v>
      </c>
      <c r="D1002" t="inlineStr">
        <is>
          <t>NORRBOTTENS LÄN</t>
        </is>
      </c>
      <c r="E1002" t="inlineStr">
        <is>
          <t>PITEÅ</t>
        </is>
      </c>
      <c r="G1002" t="n">
        <v>1.2</v>
      </c>
      <c r="H1002" t="n">
        <v>0</v>
      </c>
      <c r="I1002" t="n">
        <v>0</v>
      </c>
      <c r="J1002" t="n">
        <v>1</v>
      </c>
      <c r="K1002" t="n">
        <v>0</v>
      </c>
      <c r="L1002" t="n">
        <v>0</v>
      </c>
      <c r="M1002" t="n">
        <v>0</v>
      </c>
      <c r="N1002" t="n">
        <v>0</v>
      </c>
      <c r="O1002" t="n">
        <v>1</v>
      </c>
      <c r="P1002" t="n">
        <v>0</v>
      </c>
      <c r="Q1002" t="n">
        <v>1</v>
      </c>
      <c r="R1002" s="2" t="inlineStr">
        <is>
          <t>Granticka</t>
        </is>
      </c>
      <c r="S1002">
        <f>HYPERLINK("https://klasma.github.io/Logging_2581/artfynd/A 58032-2024 artfynd.xlsx", "A 58032-2024")</f>
        <v/>
      </c>
      <c r="T1002">
        <f>HYPERLINK("https://klasma.github.io/Logging_2581/kartor/A 58032-2024 karta.png", "A 58032-2024")</f>
        <v/>
      </c>
      <c r="V1002">
        <f>HYPERLINK("https://klasma.github.io/Logging_2581/klagomål/A 58032-2024 FSC-klagomål.docx", "A 58032-2024")</f>
        <v/>
      </c>
      <c r="W1002">
        <f>HYPERLINK("https://klasma.github.io/Logging_2581/klagomålsmail/A 58032-2024 FSC-klagomål mail.docx", "A 58032-2024")</f>
        <v/>
      </c>
      <c r="X1002">
        <f>HYPERLINK("https://klasma.github.io/Logging_2581/tillsyn/A 58032-2024 tillsynsbegäran.docx", "A 58032-2024")</f>
        <v/>
      </c>
      <c r="Y1002">
        <f>HYPERLINK("https://klasma.github.io/Logging_2581/tillsynsmail/A 58032-2024 tillsynsbegäran mail.docx", "A 58032-2024")</f>
        <v/>
      </c>
    </row>
    <row r="1003" ht="15" customHeight="1">
      <c r="A1003" t="inlineStr">
        <is>
          <t>A 59395-2024</t>
        </is>
      </c>
      <c r="B1003" s="1" t="n">
        <v>45638</v>
      </c>
      <c r="C1003" s="1" t="n">
        <v>45798</v>
      </c>
      <c r="D1003" t="inlineStr">
        <is>
          <t>NORRBOTTENS LÄN</t>
        </is>
      </c>
      <c r="E1003" t="inlineStr">
        <is>
          <t>LULEÅ</t>
        </is>
      </c>
      <c r="F1003" t="inlineStr">
        <is>
          <t>Sveaskog</t>
        </is>
      </c>
      <c r="G1003" t="n">
        <v>18.3</v>
      </c>
      <c r="H1003" t="n">
        <v>0</v>
      </c>
      <c r="I1003" t="n">
        <v>1</v>
      </c>
      <c r="J1003" t="n">
        <v>0</v>
      </c>
      <c r="K1003" t="n">
        <v>0</v>
      </c>
      <c r="L1003" t="n">
        <v>0</v>
      </c>
      <c r="M1003" t="n">
        <v>0</v>
      </c>
      <c r="N1003" t="n">
        <v>0</v>
      </c>
      <c r="O1003" t="n">
        <v>0</v>
      </c>
      <c r="P1003" t="n">
        <v>0</v>
      </c>
      <c r="Q1003" t="n">
        <v>1</v>
      </c>
      <c r="R1003" s="2" t="inlineStr">
        <is>
          <t>Stuplav</t>
        </is>
      </c>
      <c r="S1003">
        <f>HYPERLINK("https://klasma.github.io/Logging_2580/artfynd/A 59395-2024 artfynd.xlsx", "A 59395-2024")</f>
        <v/>
      </c>
      <c r="T1003">
        <f>HYPERLINK("https://klasma.github.io/Logging_2580/kartor/A 59395-2024 karta.png", "A 59395-2024")</f>
        <v/>
      </c>
      <c r="V1003">
        <f>HYPERLINK("https://klasma.github.io/Logging_2580/klagomål/A 59395-2024 FSC-klagomål.docx", "A 59395-2024")</f>
        <v/>
      </c>
      <c r="W1003">
        <f>HYPERLINK("https://klasma.github.io/Logging_2580/klagomålsmail/A 59395-2024 FSC-klagomål mail.docx", "A 59395-2024")</f>
        <v/>
      </c>
      <c r="X1003">
        <f>HYPERLINK("https://klasma.github.io/Logging_2580/tillsyn/A 59395-2024 tillsynsbegäran.docx", "A 59395-2024")</f>
        <v/>
      </c>
      <c r="Y1003">
        <f>HYPERLINK("https://klasma.github.io/Logging_2580/tillsynsmail/A 59395-2024 tillsynsbegäran mail.docx", "A 59395-2024")</f>
        <v/>
      </c>
    </row>
    <row r="1004" ht="15" customHeight="1">
      <c r="A1004" t="inlineStr">
        <is>
          <t>A 59861-2024</t>
        </is>
      </c>
      <c r="B1004" s="1" t="n">
        <v>45638</v>
      </c>
      <c r="C1004" s="1" t="n">
        <v>45798</v>
      </c>
      <c r="D1004" t="inlineStr">
        <is>
          <t>NORRBOTTENS LÄN</t>
        </is>
      </c>
      <c r="E1004" t="inlineStr">
        <is>
          <t>BODEN</t>
        </is>
      </c>
      <c r="G1004" t="n">
        <v>2.1</v>
      </c>
      <c r="H1004" t="n">
        <v>0</v>
      </c>
      <c r="I1004" t="n">
        <v>0</v>
      </c>
      <c r="J1004" t="n">
        <v>1</v>
      </c>
      <c r="K1004" t="n">
        <v>0</v>
      </c>
      <c r="L1004" t="n">
        <v>0</v>
      </c>
      <c r="M1004" t="n">
        <v>0</v>
      </c>
      <c r="N1004" t="n">
        <v>0</v>
      </c>
      <c r="O1004" t="n">
        <v>1</v>
      </c>
      <c r="P1004" t="n">
        <v>0</v>
      </c>
      <c r="Q1004" t="n">
        <v>1</v>
      </c>
      <c r="R1004" s="2" t="inlineStr">
        <is>
          <t>Kolflarnlav</t>
        </is>
      </c>
      <c r="S1004">
        <f>HYPERLINK("https://klasma.github.io/Logging_2582/artfynd/A 59861-2024 artfynd.xlsx", "A 59861-2024")</f>
        <v/>
      </c>
      <c r="T1004">
        <f>HYPERLINK("https://klasma.github.io/Logging_2582/kartor/A 59861-2024 karta.png", "A 59861-2024")</f>
        <v/>
      </c>
      <c r="V1004">
        <f>HYPERLINK("https://klasma.github.io/Logging_2582/klagomål/A 59861-2024 FSC-klagomål.docx", "A 59861-2024")</f>
        <v/>
      </c>
      <c r="W1004">
        <f>HYPERLINK("https://klasma.github.io/Logging_2582/klagomålsmail/A 59861-2024 FSC-klagomål mail.docx", "A 59861-2024")</f>
        <v/>
      </c>
      <c r="X1004">
        <f>HYPERLINK("https://klasma.github.io/Logging_2582/tillsyn/A 59861-2024 tillsynsbegäran.docx", "A 59861-2024")</f>
        <v/>
      </c>
      <c r="Y1004">
        <f>HYPERLINK("https://klasma.github.io/Logging_2582/tillsynsmail/A 59861-2024 tillsynsbegäran mail.docx", "A 59861-2024")</f>
        <v/>
      </c>
    </row>
    <row r="1005" ht="15" customHeight="1">
      <c r="A1005" t="inlineStr">
        <is>
          <t>A 59847-2024</t>
        </is>
      </c>
      <c r="B1005" s="1" t="n">
        <v>45639</v>
      </c>
      <c r="C1005" s="1" t="n">
        <v>45798</v>
      </c>
      <c r="D1005" t="inlineStr">
        <is>
          <t>NORRBOTTENS LÄN</t>
        </is>
      </c>
      <c r="E1005" t="inlineStr">
        <is>
          <t>HAPARANDA</t>
        </is>
      </c>
      <c r="G1005" t="n">
        <v>10.3</v>
      </c>
      <c r="H1005" t="n">
        <v>0</v>
      </c>
      <c r="I1005" t="n">
        <v>1</v>
      </c>
      <c r="J1005" t="n">
        <v>0</v>
      </c>
      <c r="K1005" t="n">
        <v>0</v>
      </c>
      <c r="L1005" t="n">
        <v>0</v>
      </c>
      <c r="M1005" t="n">
        <v>0</v>
      </c>
      <c r="N1005" t="n">
        <v>0</v>
      </c>
      <c r="O1005" t="n">
        <v>0</v>
      </c>
      <c r="P1005" t="n">
        <v>0</v>
      </c>
      <c r="Q1005" t="n">
        <v>1</v>
      </c>
      <c r="R1005" s="2" t="inlineStr">
        <is>
          <t>Ögonpyrola</t>
        </is>
      </c>
      <c r="S1005">
        <f>HYPERLINK("https://klasma.github.io/Logging_2583/artfynd/A 59847-2024 artfynd.xlsx", "A 59847-2024")</f>
        <v/>
      </c>
      <c r="T1005">
        <f>HYPERLINK("https://klasma.github.io/Logging_2583/kartor/A 59847-2024 karta.png", "A 59847-2024")</f>
        <v/>
      </c>
      <c r="V1005">
        <f>HYPERLINK("https://klasma.github.io/Logging_2583/klagomål/A 59847-2024 FSC-klagomål.docx", "A 59847-2024")</f>
        <v/>
      </c>
      <c r="W1005">
        <f>HYPERLINK("https://klasma.github.io/Logging_2583/klagomålsmail/A 59847-2024 FSC-klagomål mail.docx", "A 59847-2024")</f>
        <v/>
      </c>
      <c r="X1005">
        <f>HYPERLINK("https://klasma.github.io/Logging_2583/tillsyn/A 59847-2024 tillsynsbegäran.docx", "A 59847-2024")</f>
        <v/>
      </c>
      <c r="Y1005">
        <f>HYPERLINK("https://klasma.github.io/Logging_2583/tillsynsmail/A 59847-2024 tillsynsbegäran mail.docx", "A 59847-2024")</f>
        <v/>
      </c>
    </row>
    <row r="1006" ht="15" customHeight="1">
      <c r="A1006" t="inlineStr">
        <is>
          <t>A 60002-2024</t>
        </is>
      </c>
      <c r="B1006" s="1" t="n">
        <v>45642</v>
      </c>
      <c r="C1006" s="1" t="n">
        <v>45798</v>
      </c>
      <c r="D1006" t="inlineStr">
        <is>
          <t>NORRBOTTENS LÄN</t>
        </is>
      </c>
      <c r="E1006" t="inlineStr">
        <is>
          <t>LULEÅ</t>
        </is>
      </c>
      <c r="G1006" t="n">
        <v>5</v>
      </c>
      <c r="H1006" t="n">
        <v>1</v>
      </c>
      <c r="I1006" t="n">
        <v>0</v>
      </c>
      <c r="J1006" t="n">
        <v>0</v>
      </c>
      <c r="K1006" t="n">
        <v>0</v>
      </c>
      <c r="L1006" t="n">
        <v>0</v>
      </c>
      <c r="M1006" t="n">
        <v>0</v>
      </c>
      <c r="N1006" t="n">
        <v>0</v>
      </c>
      <c r="O1006" t="n">
        <v>0</v>
      </c>
      <c r="P1006" t="n">
        <v>0</v>
      </c>
      <c r="Q1006" t="n">
        <v>1</v>
      </c>
      <c r="R1006" s="2" t="inlineStr">
        <is>
          <t>Fläcknycklar</t>
        </is>
      </c>
      <c r="S1006">
        <f>HYPERLINK("https://klasma.github.io/Logging_2580/artfynd/A 60002-2024 artfynd.xlsx", "A 60002-2024")</f>
        <v/>
      </c>
      <c r="T1006">
        <f>HYPERLINK("https://klasma.github.io/Logging_2580/kartor/A 60002-2024 karta.png", "A 60002-2024")</f>
        <v/>
      </c>
      <c r="V1006">
        <f>HYPERLINK("https://klasma.github.io/Logging_2580/klagomål/A 60002-2024 FSC-klagomål.docx", "A 60002-2024")</f>
        <v/>
      </c>
      <c r="W1006">
        <f>HYPERLINK("https://klasma.github.io/Logging_2580/klagomålsmail/A 60002-2024 FSC-klagomål mail.docx", "A 60002-2024")</f>
        <v/>
      </c>
      <c r="X1006">
        <f>HYPERLINK("https://klasma.github.io/Logging_2580/tillsyn/A 60002-2024 tillsynsbegäran.docx", "A 60002-2024")</f>
        <v/>
      </c>
      <c r="Y1006">
        <f>HYPERLINK("https://klasma.github.io/Logging_2580/tillsynsmail/A 60002-2024 tillsynsbegäran mail.docx", "A 60002-2024")</f>
        <v/>
      </c>
    </row>
    <row r="1007" ht="15" customHeight="1">
      <c r="A1007" t="inlineStr">
        <is>
          <t>A 60408-2024</t>
        </is>
      </c>
      <c r="B1007" s="1" t="n">
        <v>45643</v>
      </c>
      <c r="C1007" s="1" t="n">
        <v>45798</v>
      </c>
      <c r="D1007" t="inlineStr">
        <is>
          <t>NORRBOTTENS LÄN</t>
        </is>
      </c>
      <c r="E1007" t="inlineStr">
        <is>
          <t>PAJALA</t>
        </is>
      </c>
      <c r="G1007" t="n">
        <v>20</v>
      </c>
      <c r="H1007" t="n">
        <v>1</v>
      </c>
      <c r="I1007" t="n">
        <v>0</v>
      </c>
      <c r="J1007" t="n">
        <v>1</v>
      </c>
      <c r="K1007" t="n">
        <v>0</v>
      </c>
      <c r="L1007" t="n">
        <v>0</v>
      </c>
      <c r="M1007" t="n">
        <v>0</v>
      </c>
      <c r="N1007" t="n">
        <v>0</v>
      </c>
      <c r="O1007" t="n">
        <v>1</v>
      </c>
      <c r="P1007" t="n">
        <v>0</v>
      </c>
      <c r="Q1007" t="n">
        <v>1</v>
      </c>
      <c r="R1007" s="2" t="inlineStr">
        <is>
          <t>Järpe</t>
        </is>
      </c>
      <c r="S1007">
        <f>HYPERLINK("https://klasma.github.io/Logging_2521/artfynd/A 60408-2024 artfynd.xlsx", "A 60408-2024")</f>
        <v/>
      </c>
      <c r="T1007">
        <f>HYPERLINK("https://klasma.github.io/Logging_2521/kartor/A 60408-2024 karta.png", "A 60408-2024")</f>
        <v/>
      </c>
      <c r="V1007">
        <f>HYPERLINK("https://klasma.github.io/Logging_2521/klagomål/A 60408-2024 FSC-klagomål.docx", "A 60408-2024")</f>
        <v/>
      </c>
      <c r="W1007">
        <f>HYPERLINK("https://klasma.github.io/Logging_2521/klagomålsmail/A 60408-2024 FSC-klagomål mail.docx", "A 60408-2024")</f>
        <v/>
      </c>
      <c r="X1007">
        <f>HYPERLINK("https://klasma.github.io/Logging_2521/tillsyn/A 60408-2024 tillsynsbegäran.docx", "A 60408-2024")</f>
        <v/>
      </c>
      <c r="Y1007">
        <f>HYPERLINK("https://klasma.github.io/Logging_2521/tillsynsmail/A 60408-2024 tillsynsbegäran mail.docx", "A 60408-2024")</f>
        <v/>
      </c>
      <c r="Z1007">
        <f>HYPERLINK("https://klasma.github.io/Logging_2521/fåglar/A 60408-2024 prioriterade fågelarter.docx", "A 60408-2024")</f>
        <v/>
      </c>
    </row>
    <row r="1008" ht="15" customHeight="1">
      <c r="A1008" t="inlineStr">
        <is>
          <t>A 60686-2024</t>
        </is>
      </c>
      <c r="B1008" s="1" t="n">
        <v>45644</v>
      </c>
      <c r="C1008" s="1" t="n">
        <v>45798</v>
      </c>
      <c r="D1008" t="inlineStr">
        <is>
          <t>NORRBOTTENS LÄN</t>
        </is>
      </c>
      <c r="E1008" t="inlineStr">
        <is>
          <t>PITEÅ</t>
        </is>
      </c>
      <c r="G1008" t="n">
        <v>1.3</v>
      </c>
      <c r="H1008" t="n">
        <v>0</v>
      </c>
      <c r="I1008" t="n">
        <v>1</v>
      </c>
      <c r="J1008" t="n">
        <v>0</v>
      </c>
      <c r="K1008" t="n">
        <v>0</v>
      </c>
      <c r="L1008" t="n">
        <v>0</v>
      </c>
      <c r="M1008" t="n">
        <v>0</v>
      </c>
      <c r="N1008" t="n">
        <v>0</v>
      </c>
      <c r="O1008" t="n">
        <v>0</v>
      </c>
      <c r="P1008" t="n">
        <v>0</v>
      </c>
      <c r="Q1008" t="n">
        <v>1</v>
      </c>
      <c r="R1008" s="2" t="inlineStr">
        <is>
          <t>Norrlandslav</t>
        </is>
      </c>
      <c r="S1008">
        <f>HYPERLINK("https://klasma.github.io/Logging_2581/artfynd/A 60686-2024 artfynd.xlsx", "A 60686-2024")</f>
        <v/>
      </c>
      <c r="T1008">
        <f>HYPERLINK("https://klasma.github.io/Logging_2581/kartor/A 60686-2024 karta.png", "A 60686-2024")</f>
        <v/>
      </c>
      <c r="V1008">
        <f>HYPERLINK("https://klasma.github.io/Logging_2581/klagomål/A 60686-2024 FSC-klagomål.docx", "A 60686-2024")</f>
        <v/>
      </c>
      <c r="W1008">
        <f>HYPERLINK("https://klasma.github.io/Logging_2581/klagomålsmail/A 60686-2024 FSC-klagomål mail.docx", "A 60686-2024")</f>
        <v/>
      </c>
      <c r="X1008">
        <f>HYPERLINK("https://klasma.github.io/Logging_2581/tillsyn/A 60686-2024 tillsynsbegäran.docx", "A 60686-2024")</f>
        <v/>
      </c>
      <c r="Y1008">
        <f>HYPERLINK("https://klasma.github.io/Logging_2581/tillsynsmail/A 60686-2024 tillsynsbegäran mail.docx", "A 60686-2024")</f>
        <v/>
      </c>
    </row>
    <row r="1009" ht="15" customHeight="1">
      <c r="A1009" t="inlineStr">
        <is>
          <t>A 61219-2024</t>
        </is>
      </c>
      <c r="B1009" s="1" t="n">
        <v>45645</v>
      </c>
      <c r="C1009" s="1" t="n">
        <v>45798</v>
      </c>
      <c r="D1009" t="inlineStr">
        <is>
          <t>NORRBOTTENS LÄN</t>
        </is>
      </c>
      <c r="E1009" t="inlineStr">
        <is>
          <t>BODEN</t>
        </is>
      </c>
      <c r="F1009" t="inlineStr">
        <is>
          <t>Sveaskog</t>
        </is>
      </c>
      <c r="G1009" t="n">
        <v>1.5</v>
      </c>
      <c r="H1009" t="n">
        <v>0</v>
      </c>
      <c r="I1009" t="n">
        <v>0</v>
      </c>
      <c r="J1009" t="n">
        <v>1</v>
      </c>
      <c r="K1009" t="n">
        <v>0</v>
      </c>
      <c r="L1009" t="n">
        <v>0</v>
      </c>
      <c r="M1009" t="n">
        <v>0</v>
      </c>
      <c r="N1009" t="n">
        <v>0</v>
      </c>
      <c r="O1009" t="n">
        <v>1</v>
      </c>
      <c r="P1009" t="n">
        <v>0</v>
      </c>
      <c r="Q1009" t="n">
        <v>1</v>
      </c>
      <c r="R1009" s="2" t="inlineStr">
        <is>
          <t>Tallticka</t>
        </is>
      </c>
      <c r="S1009">
        <f>HYPERLINK("https://klasma.github.io/Logging_2582/artfynd/A 61219-2024 artfynd.xlsx", "A 61219-2024")</f>
        <v/>
      </c>
      <c r="T1009">
        <f>HYPERLINK("https://klasma.github.io/Logging_2582/kartor/A 61219-2024 karta.png", "A 61219-2024")</f>
        <v/>
      </c>
      <c r="V1009">
        <f>HYPERLINK("https://klasma.github.io/Logging_2582/klagomål/A 61219-2024 FSC-klagomål.docx", "A 61219-2024")</f>
        <v/>
      </c>
      <c r="W1009">
        <f>HYPERLINK("https://klasma.github.io/Logging_2582/klagomålsmail/A 61219-2024 FSC-klagomål mail.docx", "A 61219-2024")</f>
        <v/>
      </c>
      <c r="X1009">
        <f>HYPERLINK("https://klasma.github.io/Logging_2582/tillsyn/A 61219-2024 tillsynsbegäran.docx", "A 61219-2024")</f>
        <v/>
      </c>
      <c r="Y1009">
        <f>HYPERLINK("https://klasma.github.io/Logging_2582/tillsynsmail/A 61219-2024 tillsynsbegäran mail.docx", "A 61219-2024")</f>
        <v/>
      </c>
    </row>
    <row r="1010" ht="15" customHeight="1">
      <c r="A1010" t="inlineStr">
        <is>
          <t>A 739-2025</t>
        </is>
      </c>
      <c r="B1010" s="1" t="n">
        <v>45664</v>
      </c>
      <c r="C1010" s="1" t="n">
        <v>45798</v>
      </c>
      <c r="D1010" t="inlineStr">
        <is>
          <t>NORRBOTTENS LÄN</t>
        </is>
      </c>
      <c r="E1010" t="inlineStr">
        <is>
          <t>LULEÅ</t>
        </is>
      </c>
      <c r="G1010" t="n">
        <v>1.8</v>
      </c>
      <c r="H1010" t="n">
        <v>0</v>
      </c>
      <c r="I1010" t="n">
        <v>0</v>
      </c>
      <c r="J1010" t="n">
        <v>1</v>
      </c>
      <c r="K1010" t="n">
        <v>0</v>
      </c>
      <c r="L1010" t="n">
        <v>0</v>
      </c>
      <c r="M1010" t="n">
        <v>0</v>
      </c>
      <c r="N1010" t="n">
        <v>0</v>
      </c>
      <c r="O1010" t="n">
        <v>1</v>
      </c>
      <c r="P1010" t="n">
        <v>0</v>
      </c>
      <c r="Q1010" t="n">
        <v>1</v>
      </c>
      <c r="R1010" s="2" t="inlineStr">
        <is>
          <t>Garnlav</t>
        </is>
      </c>
      <c r="S1010">
        <f>HYPERLINK("https://klasma.github.io/Logging_2580/artfynd/A 739-2025 artfynd.xlsx", "A 739-2025")</f>
        <v/>
      </c>
      <c r="T1010">
        <f>HYPERLINK("https://klasma.github.io/Logging_2580/kartor/A 739-2025 karta.png", "A 739-2025")</f>
        <v/>
      </c>
      <c r="U1010">
        <f>HYPERLINK("https://klasma.github.io/Logging_2580/knärot/A 739-2025 karta knärot.png", "A 739-2025")</f>
        <v/>
      </c>
      <c r="V1010">
        <f>HYPERLINK("https://klasma.github.io/Logging_2580/klagomål/A 739-2025 FSC-klagomål.docx", "A 739-2025")</f>
        <v/>
      </c>
      <c r="W1010">
        <f>HYPERLINK("https://klasma.github.io/Logging_2580/klagomålsmail/A 739-2025 FSC-klagomål mail.docx", "A 739-2025")</f>
        <v/>
      </c>
      <c r="X1010">
        <f>HYPERLINK("https://klasma.github.io/Logging_2580/tillsyn/A 739-2025 tillsynsbegäran.docx", "A 739-2025")</f>
        <v/>
      </c>
      <c r="Y1010">
        <f>HYPERLINK("https://klasma.github.io/Logging_2580/tillsynsmail/A 739-2025 tillsynsbegäran mail.docx", "A 739-2025")</f>
        <v/>
      </c>
    </row>
    <row r="1011" ht="15" customHeight="1">
      <c r="A1011" t="inlineStr">
        <is>
          <t>A 733-2025</t>
        </is>
      </c>
      <c r="B1011" s="1" t="n">
        <v>45664</v>
      </c>
      <c r="C1011" s="1" t="n">
        <v>45798</v>
      </c>
      <c r="D1011" t="inlineStr">
        <is>
          <t>NORRBOTTENS LÄN</t>
        </is>
      </c>
      <c r="E1011" t="inlineStr">
        <is>
          <t>LULEÅ</t>
        </is>
      </c>
      <c r="G1011" t="n">
        <v>0.8</v>
      </c>
      <c r="H1011" t="n">
        <v>0</v>
      </c>
      <c r="I1011" t="n">
        <v>0</v>
      </c>
      <c r="J1011" t="n">
        <v>1</v>
      </c>
      <c r="K1011" t="n">
        <v>0</v>
      </c>
      <c r="L1011" t="n">
        <v>0</v>
      </c>
      <c r="M1011" t="n">
        <v>0</v>
      </c>
      <c r="N1011" t="n">
        <v>0</v>
      </c>
      <c r="O1011" t="n">
        <v>1</v>
      </c>
      <c r="P1011" t="n">
        <v>0</v>
      </c>
      <c r="Q1011" t="n">
        <v>1</v>
      </c>
      <c r="R1011" s="2" t="inlineStr">
        <is>
          <t>Gränsticka</t>
        </is>
      </c>
      <c r="S1011">
        <f>HYPERLINK("https://klasma.github.io/Logging_2580/artfynd/A 733-2025 artfynd.xlsx", "A 733-2025")</f>
        <v/>
      </c>
      <c r="T1011">
        <f>HYPERLINK("https://klasma.github.io/Logging_2580/kartor/A 733-2025 karta.png", "A 733-2025")</f>
        <v/>
      </c>
      <c r="V1011">
        <f>HYPERLINK("https://klasma.github.io/Logging_2580/klagomål/A 733-2025 FSC-klagomål.docx", "A 733-2025")</f>
        <v/>
      </c>
      <c r="W1011">
        <f>HYPERLINK("https://klasma.github.io/Logging_2580/klagomålsmail/A 733-2025 FSC-klagomål mail.docx", "A 733-2025")</f>
        <v/>
      </c>
      <c r="X1011">
        <f>HYPERLINK("https://klasma.github.io/Logging_2580/tillsyn/A 733-2025 tillsynsbegäran.docx", "A 733-2025")</f>
        <v/>
      </c>
      <c r="Y1011">
        <f>HYPERLINK("https://klasma.github.io/Logging_2580/tillsynsmail/A 733-2025 tillsynsbegäran mail.docx", "A 733-2025")</f>
        <v/>
      </c>
    </row>
    <row r="1012" ht="15" customHeight="1">
      <c r="A1012" t="inlineStr">
        <is>
          <t>A 2559-2025</t>
        </is>
      </c>
      <c r="B1012" s="1" t="n">
        <v>45673</v>
      </c>
      <c r="C1012" s="1" t="n">
        <v>45798</v>
      </c>
      <c r="D1012" t="inlineStr">
        <is>
          <t>NORRBOTTENS LÄN</t>
        </is>
      </c>
      <c r="E1012" t="inlineStr">
        <is>
          <t>ARJEPLOG</t>
        </is>
      </c>
      <c r="G1012" t="n">
        <v>12.4</v>
      </c>
      <c r="H1012" t="n">
        <v>0</v>
      </c>
      <c r="I1012" t="n">
        <v>0</v>
      </c>
      <c r="J1012" t="n">
        <v>0</v>
      </c>
      <c r="K1012" t="n">
        <v>1</v>
      </c>
      <c r="L1012" t="n">
        <v>0</v>
      </c>
      <c r="M1012" t="n">
        <v>0</v>
      </c>
      <c r="N1012" t="n">
        <v>0</v>
      </c>
      <c r="O1012" t="n">
        <v>1</v>
      </c>
      <c r="P1012" t="n">
        <v>1</v>
      </c>
      <c r="Q1012" t="n">
        <v>1</v>
      </c>
      <c r="R1012" s="2" t="inlineStr">
        <is>
          <t>Gräddporing</t>
        </is>
      </c>
      <c r="S1012">
        <f>HYPERLINK("https://klasma.github.io/Logging_2506/artfynd/A 2559-2025 artfynd.xlsx", "A 2559-2025")</f>
        <v/>
      </c>
      <c r="T1012">
        <f>HYPERLINK("https://klasma.github.io/Logging_2506/kartor/A 2559-2025 karta.png", "A 2559-2025")</f>
        <v/>
      </c>
      <c r="V1012">
        <f>HYPERLINK("https://klasma.github.io/Logging_2506/klagomål/A 2559-2025 FSC-klagomål.docx", "A 2559-2025")</f>
        <v/>
      </c>
      <c r="W1012">
        <f>HYPERLINK("https://klasma.github.io/Logging_2506/klagomålsmail/A 2559-2025 FSC-klagomål mail.docx", "A 2559-2025")</f>
        <v/>
      </c>
      <c r="X1012">
        <f>HYPERLINK("https://klasma.github.io/Logging_2506/tillsyn/A 2559-2025 tillsynsbegäran.docx", "A 2559-2025")</f>
        <v/>
      </c>
      <c r="Y1012">
        <f>HYPERLINK("https://klasma.github.io/Logging_2506/tillsynsmail/A 2559-2025 tillsynsbegäran mail.docx", "A 2559-2025")</f>
        <v/>
      </c>
    </row>
    <row r="1013" ht="15" customHeight="1">
      <c r="A1013" t="inlineStr">
        <is>
          <t>A 3578-2025</t>
        </is>
      </c>
      <c r="B1013" s="1" t="n">
        <v>45680</v>
      </c>
      <c r="C1013" s="1" t="n">
        <v>45798</v>
      </c>
      <c r="D1013" t="inlineStr">
        <is>
          <t>NORRBOTTENS LÄN</t>
        </is>
      </c>
      <c r="E1013" t="inlineStr">
        <is>
          <t>LULEÅ</t>
        </is>
      </c>
      <c r="G1013" t="n">
        <v>3.7</v>
      </c>
      <c r="H1013" t="n">
        <v>1</v>
      </c>
      <c r="I1013" t="n">
        <v>0</v>
      </c>
      <c r="J1013" t="n">
        <v>1</v>
      </c>
      <c r="K1013" t="n">
        <v>0</v>
      </c>
      <c r="L1013" t="n">
        <v>0</v>
      </c>
      <c r="M1013" t="n">
        <v>0</v>
      </c>
      <c r="N1013" t="n">
        <v>0</v>
      </c>
      <c r="O1013" t="n">
        <v>1</v>
      </c>
      <c r="P1013" t="n">
        <v>0</v>
      </c>
      <c r="Q1013" t="n">
        <v>1</v>
      </c>
      <c r="R1013" s="2" t="inlineStr">
        <is>
          <t>Spillkråka</t>
        </is>
      </c>
      <c r="S1013">
        <f>HYPERLINK("https://klasma.github.io/Logging_2580/artfynd/A 3578-2025 artfynd.xlsx", "A 3578-2025")</f>
        <v/>
      </c>
      <c r="T1013">
        <f>HYPERLINK("https://klasma.github.io/Logging_2580/kartor/A 3578-2025 karta.png", "A 3578-2025")</f>
        <v/>
      </c>
      <c r="V1013">
        <f>HYPERLINK("https://klasma.github.io/Logging_2580/klagomål/A 3578-2025 FSC-klagomål.docx", "A 3578-2025")</f>
        <v/>
      </c>
      <c r="W1013">
        <f>HYPERLINK("https://klasma.github.io/Logging_2580/klagomålsmail/A 3578-2025 FSC-klagomål mail.docx", "A 3578-2025")</f>
        <v/>
      </c>
      <c r="X1013">
        <f>HYPERLINK("https://klasma.github.io/Logging_2580/tillsyn/A 3578-2025 tillsynsbegäran.docx", "A 3578-2025")</f>
        <v/>
      </c>
      <c r="Y1013">
        <f>HYPERLINK("https://klasma.github.io/Logging_2580/tillsynsmail/A 3578-2025 tillsynsbegäran mail.docx", "A 3578-2025")</f>
        <v/>
      </c>
      <c r="Z1013">
        <f>HYPERLINK("https://klasma.github.io/Logging_2580/fåglar/A 3578-2025 prioriterade fågelarter.docx", "A 3578-2025")</f>
        <v/>
      </c>
    </row>
    <row r="1014" ht="15" customHeight="1">
      <c r="A1014" t="inlineStr">
        <is>
          <t>A 4346-2025</t>
        </is>
      </c>
      <c r="B1014" s="1" t="n">
        <v>45685</v>
      </c>
      <c r="C1014" s="1" t="n">
        <v>45798</v>
      </c>
      <c r="D1014" t="inlineStr">
        <is>
          <t>NORRBOTTENS LÄN</t>
        </is>
      </c>
      <c r="E1014" t="inlineStr">
        <is>
          <t>LULEÅ</t>
        </is>
      </c>
      <c r="G1014" t="n">
        <v>12.3</v>
      </c>
      <c r="H1014" t="n">
        <v>0</v>
      </c>
      <c r="I1014" t="n">
        <v>0</v>
      </c>
      <c r="J1014" t="n">
        <v>1</v>
      </c>
      <c r="K1014" t="n">
        <v>0</v>
      </c>
      <c r="L1014" t="n">
        <v>0</v>
      </c>
      <c r="M1014" t="n">
        <v>0</v>
      </c>
      <c r="N1014" t="n">
        <v>0</v>
      </c>
      <c r="O1014" t="n">
        <v>1</v>
      </c>
      <c r="P1014" t="n">
        <v>0</v>
      </c>
      <c r="Q1014" t="n">
        <v>1</v>
      </c>
      <c r="R1014" s="2" t="inlineStr">
        <is>
          <t>Garnlav</t>
        </is>
      </c>
      <c r="S1014">
        <f>HYPERLINK("https://klasma.github.io/Logging_2580/artfynd/A 4346-2025 artfynd.xlsx", "A 4346-2025")</f>
        <v/>
      </c>
      <c r="T1014">
        <f>HYPERLINK("https://klasma.github.io/Logging_2580/kartor/A 4346-2025 karta.png", "A 4346-2025")</f>
        <v/>
      </c>
      <c r="V1014">
        <f>HYPERLINK("https://klasma.github.io/Logging_2580/klagomål/A 4346-2025 FSC-klagomål.docx", "A 4346-2025")</f>
        <v/>
      </c>
      <c r="W1014">
        <f>HYPERLINK("https://klasma.github.io/Logging_2580/klagomålsmail/A 4346-2025 FSC-klagomål mail.docx", "A 4346-2025")</f>
        <v/>
      </c>
      <c r="X1014">
        <f>HYPERLINK("https://klasma.github.io/Logging_2580/tillsyn/A 4346-2025 tillsynsbegäran.docx", "A 4346-2025")</f>
        <v/>
      </c>
      <c r="Y1014">
        <f>HYPERLINK("https://klasma.github.io/Logging_2580/tillsynsmail/A 4346-2025 tillsynsbegäran mail.docx", "A 4346-2025")</f>
        <v/>
      </c>
    </row>
    <row r="1015" ht="15" customHeight="1">
      <c r="A1015" t="inlineStr">
        <is>
          <t>A 4908-2025</t>
        </is>
      </c>
      <c r="B1015" s="1" t="n">
        <v>45688</v>
      </c>
      <c r="C1015" s="1" t="n">
        <v>45798</v>
      </c>
      <c r="D1015" t="inlineStr">
        <is>
          <t>NORRBOTTENS LÄN</t>
        </is>
      </c>
      <c r="E1015" t="inlineStr">
        <is>
          <t>GÄLLIVARE</t>
        </is>
      </c>
      <c r="F1015" t="inlineStr">
        <is>
          <t>SCA</t>
        </is>
      </c>
      <c r="G1015" t="n">
        <v>6.4</v>
      </c>
      <c r="H1015" t="n">
        <v>1</v>
      </c>
      <c r="I1015" t="n">
        <v>0</v>
      </c>
      <c r="J1015" t="n">
        <v>1</v>
      </c>
      <c r="K1015" t="n">
        <v>0</v>
      </c>
      <c r="L1015" t="n">
        <v>0</v>
      </c>
      <c r="M1015" t="n">
        <v>0</v>
      </c>
      <c r="N1015" t="n">
        <v>0</v>
      </c>
      <c r="O1015" t="n">
        <v>1</v>
      </c>
      <c r="P1015" t="n">
        <v>0</v>
      </c>
      <c r="Q1015" t="n">
        <v>1</v>
      </c>
      <c r="R1015" s="2" t="inlineStr">
        <is>
          <t>Utter</t>
        </is>
      </c>
      <c r="S1015">
        <f>HYPERLINK("https://klasma.github.io/Logging_2523/artfynd/A 4908-2025 artfynd.xlsx", "A 4908-2025")</f>
        <v/>
      </c>
      <c r="T1015">
        <f>HYPERLINK("https://klasma.github.io/Logging_2523/kartor/A 4908-2025 karta.png", "A 4908-2025")</f>
        <v/>
      </c>
      <c r="V1015">
        <f>HYPERLINK("https://klasma.github.io/Logging_2523/klagomål/A 4908-2025 FSC-klagomål.docx", "A 4908-2025")</f>
        <v/>
      </c>
      <c r="W1015">
        <f>HYPERLINK("https://klasma.github.io/Logging_2523/klagomålsmail/A 4908-2025 FSC-klagomål mail.docx", "A 4908-2025")</f>
        <v/>
      </c>
      <c r="X1015">
        <f>HYPERLINK("https://klasma.github.io/Logging_2523/tillsyn/A 4908-2025 tillsynsbegäran.docx", "A 4908-2025")</f>
        <v/>
      </c>
      <c r="Y1015">
        <f>HYPERLINK("https://klasma.github.io/Logging_2523/tillsynsmail/A 4908-2025 tillsynsbegäran mail.docx", "A 4908-2025")</f>
        <v/>
      </c>
    </row>
    <row r="1016" ht="15" customHeight="1">
      <c r="A1016" t="inlineStr">
        <is>
          <t>A 6923-2025</t>
        </is>
      </c>
      <c r="B1016" s="1" t="n">
        <v>45701</v>
      </c>
      <c r="C1016" s="1" t="n">
        <v>45798</v>
      </c>
      <c r="D1016" t="inlineStr">
        <is>
          <t>NORRBOTTENS LÄN</t>
        </is>
      </c>
      <c r="E1016" t="inlineStr">
        <is>
          <t>LULEÅ</t>
        </is>
      </c>
      <c r="F1016" t="inlineStr">
        <is>
          <t>SCA</t>
        </is>
      </c>
      <c r="G1016" t="n">
        <v>5.2</v>
      </c>
      <c r="H1016" t="n">
        <v>0</v>
      </c>
      <c r="I1016" t="n">
        <v>0</v>
      </c>
      <c r="J1016" t="n">
        <v>1</v>
      </c>
      <c r="K1016" t="n">
        <v>0</v>
      </c>
      <c r="L1016" t="n">
        <v>0</v>
      </c>
      <c r="M1016" t="n">
        <v>0</v>
      </c>
      <c r="N1016" t="n">
        <v>0</v>
      </c>
      <c r="O1016" t="n">
        <v>1</v>
      </c>
      <c r="P1016" t="n">
        <v>0</v>
      </c>
      <c r="Q1016" t="n">
        <v>1</v>
      </c>
      <c r="R1016" s="2" t="inlineStr">
        <is>
          <t>Tallticka</t>
        </is>
      </c>
      <c r="S1016">
        <f>HYPERLINK("https://klasma.github.io/Logging_2580/artfynd/A 6923-2025 artfynd.xlsx", "A 6923-2025")</f>
        <v/>
      </c>
      <c r="T1016">
        <f>HYPERLINK("https://klasma.github.io/Logging_2580/kartor/A 6923-2025 karta.png", "A 6923-2025")</f>
        <v/>
      </c>
      <c r="V1016">
        <f>HYPERLINK("https://klasma.github.io/Logging_2580/klagomål/A 6923-2025 FSC-klagomål.docx", "A 6923-2025")</f>
        <v/>
      </c>
      <c r="W1016">
        <f>HYPERLINK("https://klasma.github.io/Logging_2580/klagomålsmail/A 6923-2025 FSC-klagomål mail.docx", "A 6923-2025")</f>
        <v/>
      </c>
      <c r="X1016">
        <f>HYPERLINK("https://klasma.github.io/Logging_2580/tillsyn/A 6923-2025 tillsynsbegäran.docx", "A 6923-2025")</f>
        <v/>
      </c>
      <c r="Y1016">
        <f>HYPERLINK("https://klasma.github.io/Logging_2580/tillsynsmail/A 6923-2025 tillsynsbegäran mail.docx", "A 6923-2025")</f>
        <v/>
      </c>
    </row>
    <row r="1017" ht="15" customHeight="1">
      <c r="A1017" t="inlineStr">
        <is>
          <t>A 10949-2025</t>
        </is>
      </c>
      <c r="B1017" s="1" t="n">
        <v>45723</v>
      </c>
      <c r="C1017" s="1" t="n">
        <v>45798</v>
      </c>
      <c r="D1017" t="inlineStr">
        <is>
          <t>NORRBOTTENS LÄN</t>
        </is>
      </c>
      <c r="E1017" t="inlineStr">
        <is>
          <t>GÄLLIVARE</t>
        </is>
      </c>
      <c r="F1017" t="inlineStr">
        <is>
          <t>SCA</t>
        </is>
      </c>
      <c r="G1017" t="n">
        <v>9.6</v>
      </c>
      <c r="H1017" t="n">
        <v>1</v>
      </c>
      <c r="I1017" t="n">
        <v>0</v>
      </c>
      <c r="J1017" t="n">
        <v>1</v>
      </c>
      <c r="K1017" t="n">
        <v>0</v>
      </c>
      <c r="L1017" t="n">
        <v>0</v>
      </c>
      <c r="M1017" t="n">
        <v>0</v>
      </c>
      <c r="N1017" t="n">
        <v>0</v>
      </c>
      <c r="O1017" t="n">
        <v>1</v>
      </c>
      <c r="P1017" t="n">
        <v>0</v>
      </c>
      <c r="Q1017" t="n">
        <v>1</v>
      </c>
      <c r="R1017" s="2" t="inlineStr">
        <is>
          <t>Utter</t>
        </is>
      </c>
      <c r="S1017">
        <f>HYPERLINK("https://klasma.github.io/Logging_252523/artfynd/A 10949-2025 artfynd.xlsx", "A 10949-2025")</f>
        <v/>
      </c>
      <c r="T1017">
        <f>HYPERLINK("https://klasma.github.io/Logging_252523/kartor/A 10949-2025 karta.png", "A 10949-2025")</f>
        <v/>
      </c>
      <c r="V1017">
        <f>HYPERLINK("https://klasma.github.io/Logging_252523/klagomål/A 10949-2025 FSC-klagomål.docx", "A 10949-2025")</f>
        <v/>
      </c>
      <c r="W1017">
        <f>HYPERLINK("https://klasma.github.io/Logging_252523/klagomålsmail/A 10949-2025 FSC-klagomål mail.docx", "A 10949-2025")</f>
        <v/>
      </c>
      <c r="X1017">
        <f>HYPERLINK("https://klasma.github.io/Logging_252523/tillsyn/A 10949-2025 tillsynsbegäran.docx", "A 10949-2025")</f>
        <v/>
      </c>
      <c r="Y1017">
        <f>HYPERLINK("https://klasma.github.io/Logging_252523/tillsynsmail/A 10949-2025 tillsynsbegäran mail.docx", "A 10949-2025")</f>
        <v/>
      </c>
    </row>
    <row r="1018" ht="15" customHeight="1">
      <c r="A1018" t="inlineStr">
        <is>
          <t>A 12403-2025</t>
        </is>
      </c>
      <c r="B1018" s="1" t="n">
        <v>45730</v>
      </c>
      <c r="C1018" s="1" t="n">
        <v>45798</v>
      </c>
      <c r="D1018" t="inlineStr">
        <is>
          <t>NORRBOTTENS LÄN</t>
        </is>
      </c>
      <c r="E1018" t="inlineStr">
        <is>
          <t>ARJEPLOG</t>
        </is>
      </c>
      <c r="G1018" t="n">
        <v>10.1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HYPERLINK("https://klasma.github.io/Logging_252506/artfynd/A 12403-2025 artfynd.xlsx", "A 12403-2025")</f>
        <v/>
      </c>
      <c r="T1018">
        <f>HYPERLINK("https://klasma.github.io/Logging_252506/kartor/A 12403-2025 karta.png", "A 12403-2025")</f>
        <v/>
      </c>
      <c r="V1018">
        <f>HYPERLINK("https://klasma.github.io/Logging_252506/klagomål/A 12403-2025 FSC-klagomål.docx", "A 12403-2025")</f>
        <v/>
      </c>
      <c r="W1018">
        <f>HYPERLINK("https://klasma.github.io/Logging_252506/klagomålsmail/A 12403-2025 FSC-klagomål mail.docx", "A 12403-2025")</f>
        <v/>
      </c>
      <c r="X1018">
        <f>HYPERLINK("https://klasma.github.io/Logging_252506/tillsyn/A 12403-2025 tillsynsbegäran.docx", "A 12403-2025")</f>
        <v/>
      </c>
      <c r="Y1018">
        <f>HYPERLINK("https://klasma.github.io/Logging_252506/tillsynsmail/A 12403-2025 tillsynsbegäran mail.docx", "A 12403-2025")</f>
        <v/>
      </c>
      <c r="Z1018">
        <f>HYPERLINK("https://klasma.github.io/Logging_252506/fåglar/A 12403-2025 prioriterade fågelarter.docx", "A 12403-2025")</f>
        <v/>
      </c>
    </row>
    <row r="1019" ht="15" customHeight="1">
      <c r="A1019" t="inlineStr">
        <is>
          <t>A 17891-2025</t>
        </is>
      </c>
      <c r="B1019" s="1" t="n">
        <v>45758</v>
      </c>
      <c r="C1019" s="1" t="n">
        <v>45798</v>
      </c>
      <c r="D1019" t="inlineStr">
        <is>
          <t>NORRBOTTENS LÄN</t>
        </is>
      </c>
      <c r="E1019" t="inlineStr">
        <is>
          <t>KIRUNA</t>
        </is>
      </c>
      <c r="G1019" t="n">
        <v>19.9</v>
      </c>
      <c r="H1019" t="n">
        <v>1</v>
      </c>
      <c r="I1019" t="n">
        <v>0</v>
      </c>
      <c r="J1019" t="n">
        <v>1</v>
      </c>
      <c r="K1019" t="n">
        <v>0</v>
      </c>
      <c r="L1019" t="n">
        <v>0</v>
      </c>
      <c r="M1019" t="n">
        <v>0</v>
      </c>
      <c r="N1019" t="n">
        <v>0</v>
      </c>
      <c r="O1019" t="n">
        <v>1</v>
      </c>
      <c r="P1019" t="n">
        <v>0</v>
      </c>
      <c r="Q1019" t="n">
        <v>1</v>
      </c>
      <c r="R1019" s="2" t="inlineStr">
        <is>
          <t>Talltita</t>
        </is>
      </c>
      <c r="S1019">
        <f>HYPERLINK("https://klasma.github.io/Logging_252584/artfynd/A 17891-2025 artfynd.xlsx", "A 17891-2025")</f>
        <v/>
      </c>
      <c r="T1019">
        <f>HYPERLINK("https://klasma.github.io/Logging_252584/kartor/A 17891-2025 karta.png", "A 17891-2025")</f>
        <v/>
      </c>
      <c r="V1019">
        <f>HYPERLINK("https://klasma.github.io/Logging_252584/klagomål/A 17891-2025 FSC-klagomål.docx", "A 17891-2025")</f>
        <v/>
      </c>
      <c r="W1019">
        <f>HYPERLINK("https://klasma.github.io/Logging_252584/klagomålsmail/A 17891-2025 FSC-klagomål mail.docx", "A 17891-2025")</f>
        <v/>
      </c>
      <c r="X1019">
        <f>HYPERLINK("https://klasma.github.io/Logging_252584/tillsyn/A 17891-2025 tillsynsbegäran.docx", "A 17891-2025")</f>
        <v/>
      </c>
      <c r="Y1019">
        <f>HYPERLINK("https://klasma.github.io/Logging_252584/tillsynsmail/A 17891-2025 tillsynsbegäran mail.docx", "A 17891-2025")</f>
        <v/>
      </c>
      <c r="Z1019">
        <f>HYPERLINK("https://klasma.github.io/Logging_252584/fåglar/A 17891-2025 prioriterade fågelarter.docx", "A 17891-2025")</f>
        <v/>
      </c>
    </row>
    <row r="1020" ht="15" customHeight="1">
      <c r="A1020" t="inlineStr">
        <is>
          <t>A 18052-2025</t>
        </is>
      </c>
      <c r="B1020" s="1" t="n">
        <v>45761</v>
      </c>
      <c r="C1020" s="1" t="n">
        <v>45798</v>
      </c>
      <c r="D1020" t="inlineStr">
        <is>
          <t>NORRBOTTENS LÄN</t>
        </is>
      </c>
      <c r="E1020" t="inlineStr">
        <is>
          <t>PITEÅ</t>
        </is>
      </c>
      <c r="G1020" t="n">
        <v>2.3</v>
      </c>
      <c r="H1020" t="n">
        <v>0</v>
      </c>
      <c r="I1020" t="n">
        <v>0</v>
      </c>
      <c r="J1020" t="n">
        <v>1</v>
      </c>
      <c r="K1020" t="n">
        <v>0</v>
      </c>
      <c r="L1020" t="n">
        <v>0</v>
      </c>
      <c r="M1020" t="n">
        <v>0</v>
      </c>
      <c r="N1020" t="n">
        <v>0</v>
      </c>
      <c r="O1020" t="n">
        <v>1</v>
      </c>
      <c r="P1020" t="n">
        <v>0</v>
      </c>
      <c r="Q1020" t="n">
        <v>1</v>
      </c>
      <c r="R1020" s="2" t="inlineStr">
        <is>
          <t>Tallticka</t>
        </is>
      </c>
      <c r="S1020">
        <f>HYPERLINK("https://klasma.github.io/Logging_252581/artfynd/A 18052-2025 artfynd.xlsx", "A 18052-2025")</f>
        <v/>
      </c>
      <c r="T1020">
        <f>HYPERLINK("https://klasma.github.io/Logging_252581/kartor/A 18052-2025 karta.png", "A 18052-2025")</f>
        <v/>
      </c>
      <c r="V1020">
        <f>HYPERLINK("https://klasma.github.io/Logging_252581/klagomål/A 18052-2025 FSC-klagomål.docx", "A 18052-2025")</f>
        <v/>
      </c>
      <c r="W1020">
        <f>HYPERLINK("https://klasma.github.io/Logging_252581/klagomålsmail/A 18052-2025 FSC-klagomål mail.docx", "A 18052-2025")</f>
        <v/>
      </c>
      <c r="X1020">
        <f>HYPERLINK("https://klasma.github.io/Logging_252581/tillsyn/A 18052-2025 tillsynsbegäran.docx", "A 18052-2025")</f>
        <v/>
      </c>
      <c r="Y1020">
        <f>HYPERLINK("https://klasma.github.io/Logging_252581/tillsynsmail/A 18052-2025 tillsynsbegäran mail.docx", "A 18052-2025")</f>
        <v/>
      </c>
    </row>
    <row r="1021" ht="15" customHeight="1">
      <c r="A1021" t="inlineStr">
        <is>
          <t>A 18678-2025</t>
        </is>
      </c>
      <c r="B1021" s="1" t="n">
        <v>45763</v>
      </c>
      <c r="C1021" s="1" t="n">
        <v>45798</v>
      </c>
      <c r="D1021" t="inlineStr">
        <is>
          <t>NORRBOTTENS LÄN</t>
        </is>
      </c>
      <c r="E1021" t="inlineStr">
        <is>
          <t>BODEN</t>
        </is>
      </c>
      <c r="G1021" t="n">
        <v>1.6</v>
      </c>
      <c r="H1021" t="n">
        <v>0</v>
      </c>
      <c r="I1021" t="n">
        <v>0</v>
      </c>
      <c r="J1021" t="n">
        <v>1</v>
      </c>
      <c r="K1021" t="n">
        <v>0</v>
      </c>
      <c r="L1021" t="n">
        <v>0</v>
      </c>
      <c r="M1021" t="n">
        <v>0</v>
      </c>
      <c r="N1021" t="n">
        <v>0</v>
      </c>
      <c r="O1021" t="n">
        <v>1</v>
      </c>
      <c r="P1021" t="n">
        <v>0</v>
      </c>
      <c r="Q1021" t="n">
        <v>1</v>
      </c>
      <c r="R1021" s="2" t="inlineStr">
        <is>
          <t>Garnlav</t>
        </is>
      </c>
      <c r="S1021">
        <f>HYPERLINK("https://klasma.github.io/Logging_252582/artfynd/A 18678-2025 artfynd.xlsx", "A 18678-2025")</f>
        <v/>
      </c>
      <c r="T1021">
        <f>HYPERLINK("https://klasma.github.io/Logging_252582/kartor/A 18678-2025 karta.png", "A 18678-2025")</f>
        <v/>
      </c>
      <c r="V1021">
        <f>HYPERLINK("https://klasma.github.io/Logging_252582/klagomål/A 18678-2025 FSC-klagomål.docx", "A 18678-2025")</f>
        <v/>
      </c>
      <c r="W1021">
        <f>HYPERLINK("https://klasma.github.io/Logging_252582/klagomålsmail/A 18678-2025 FSC-klagomål mail.docx", "A 18678-2025")</f>
        <v/>
      </c>
      <c r="X1021">
        <f>HYPERLINK("https://klasma.github.io/Logging_252582/tillsyn/A 18678-2025 tillsynsbegäran.docx", "A 18678-2025")</f>
        <v/>
      </c>
      <c r="Y1021">
        <f>HYPERLINK("https://klasma.github.io/Logging_252582/tillsynsmail/A 18678-2025 tillsynsbegäran mail.docx", "A 18678-2025")</f>
        <v/>
      </c>
    </row>
    <row r="1022" ht="15" customHeight="1">
      <c r="A1022" t="inlineStr">
        <is>
          <t>A 18921-2025</t>
        </is>
      </c>
      <c r="B1022" s="1" t="n">
        <v>45764</v>
      </c>
      <c r="C1022" s="1" t="n">
        <v>45798</v>
      </c>
      <c r="D1022" t="inlineStr">
        <is>
          <t>NORRBOTTENS LÄN</t>
        </is>
      </c>
      <c r="E1022" t="inlineStr">
        <is>
          <t>ARJEPLOG</t>
        </is>
      </c>
      <c r="F1022" t="inlineStr">
        <is>
          <t>Sveaskog</t>
        </is>
      </c>
      <c r="G1022" t="n">
        <v>12.5</v>
      </c>
      <c r="H1022" t="n">
        <v>0</v>
      </c>
      <c r="I1022" t="n">
        <v>0</v>
      </c>
      <c r="J1022" t="n">
        <v>1</v>
      </c>
      <c r="K1022" t="n">
        <v>0</v>
      </c>
      <c r="L1022" t="n">
        <v>0</v>
      </c>
      <c r="M1022" t="n">
        <v>0</v>
      </c>
      <c r="N1022" t="n">
        <v>0</v>
      </c>
      <c r="O1022" t="n">
        <v>1</v>
      </c>
      <c r="P1022" t="n">
        <v>0</v>
      </c>
      <c r="Q1022" t="n">
        <v>1</v>
      </c>
      <c r="R1022" s="2" t="inlineStr">
        <is>
          <t>Granticka</t>
        </is>
      </c>
      <c r="S1022">
        <f>HYPERLINK("https://klasma.github.io/Logging_252506/artfynd/A 18921-2025 artfynd.xlsx", "A 18921-2025")</f>
        <v/>
      </c>
      <c r="T1022">
        <f>HYPERLINK("https://klasma.github.io/Logging_252506/kartor/A 18921-2025 karta.png", "A 18921-2025")</f>
        <v/>
      </c>
      <c r="V1022">
        <f>HYPERLINK("https://klasma.github.io/Logging_252506/klagomål/A 18921-2025 FSC-klagomål.docx", "A 18921-2025")</f>
        <v/>
      </c>
      <c r="W1022">
        <f>HYPERLINK("https://klasma.github.io/Logging_252506/klagomålsmail/A 18921-2025 FSC-klagomål mail.docx", "A 18921-2025")</f>
        <v/>
      </c>
      <c r="X1022">
        <f>HYPERLINK("https://klasma.github.io/Logging_252506/tillsyn/A 18921-2025 tillsynsbegäran.docx", "A 18921-2025")</f>
        <v/>
      </c>
      <c r="Y1022">
        <f>HYPERLINK("https://klasma.github.io/Logging_252506/tillsynsmail/A 18921-2025 tillsynsbegäran mail.docx", "A 18921-2025")</f>
        <v/>
      </c>
    </row>
    <row r="1023" ht="15" customHeight="1">
      <c r="A1023" t="inlineStr">
        <is>
          <t>A 20260-2025</t>
        </is>
      </c>
      <c r="B1023" s="1" t="n">
        <v>45773</v>
      </c>
      <c r="C1023" s="1" t="n">
        <v>45798</v>
      </c>
      <c r="D1023" t="inlineStr">
        <is>
          <t>NORRBOTTENS LÄN</t>
        </is>
      </c>
      <c r="E1023" t="inlineStr">
        <is>
          <t>BODEN</t>
        </is>
      </c>
      <c r="F1023" t="inlineStr">
        <is>
          <t>SCA</t>
        </is>
      </c>
      <c r="G1023" t="n">
        <v>3.3</v>
      </c>
      <c r="H1023" t="n">
        <v>1</v>
      </c>
      <c r="I1023" t="n">
        <v>0</v>
      </c>
      <c r="J1023" t="n">
        <v>0</v>
      </c>
      <c r="K1023" t="n">
        <v>0</v>
      </c>
      <c r="L1023" t="n">
        <v>0</v>
      </c>
      <c r="M1023" t="n">
        <v>0</v>
      </c>
      <c r="N1023" t="n">
        <v>0</v>
      </c>
      <c r="O1023" t="n">
        <v>0</v>
      </c>
      <c r="P1023" t="n">
        <v>0</v>
      </c>
      <c r="Q1023" t="n">
        <v>1</v>
      </c>
      <c r="R1023" s="2" t="inlineStr">
        <is>
          <t>Grön flodtrollslända</t>
        </is>
      </c>
      <c r="S1023">
        <f>HYPERLINK("https://klasma.github.io/Logging_252582/artfynd/A 20260-2025 artfynd.xlsx", "A 20260-2025")</f>
        <v/>
      </c>
      <c r="T1023">
        <f>HYPERLINK("https://klasma.github.io/Logging_252582/kartor/A 20260-2025 karta.png", "A 20260-2025")</f>
        <v/>
      </c>
      <c r="V1023">
        <f>HYPERLINK("https://klasma.github.io/Logging_252582/klagomål/A 20260-2025 FSC-klagomål.docx", "A 20260-2025")</f>
        <v/>
      </c>
      <c r="W1023">
        <f>HYPERLINK("https://klasma.github.io/Logging_252582/klagomålsmail/A 20260-2025 FSC-klagomål mail.docx", "A 20260-2025")</f>
        <v/>
      </c>
      <c r="X1023">
        <f>HYPERLINK("https://klasma.github.io/Logging_252582/tillsyn/A 20260-2025 tillsynsbegäran.docx", "A 20260-2025")</f>
        <v/>
      </c>
      <c r="Y1023">
        <f>HYPERLINK("https://klasma.github.io/Logging_252582/tillsynsmail/A 20260-2025 tillsynsbegäran mail.docx", "A 20260-2025")</f>
        <v/>
      </c>
    </row>
    <row r="1024" ht="15" customHeight="1">
      <c r="A1024" t="inlineStr">
        <is>
          <t>A 20562-2025</t>
        </is>
      </c>
      <c r="B1024" s="1" t="n">
        <v>45775</v>
      </c>
      <c r="C1024" s="1" t="n">
        <v>45798</v>
      </c>
      <c r="D1024" t="inlineStr">
        <is>
          <t>NORRBOTTENS LÄN</t>
        </is>
      </c>
      <c r="E1024" t="inlineStr">
        <is>
          <t>PITEÅ</t>
        </is>
      </c>
      <c r="F1024" t="inlineStr">
        <is>
          <t>Sveaskog</t>
        </is>
      </c>
      <c r="G1024" t="n">
        <v>3.2</v>
      </c>
      <c r="H1024" t="n">
        <v>0</v>
      </c>
      <c r="I1024" t="n">
        <v>0</v>
      </c>
      <c r="J1024" t="n">
        <v>1</v>
      </c>
      <c r="K1024" t="n">
        <v>0</v>
      </c>
      <c r="L1024" t="n">
        <v>0</v>
      </c>
      <c r="M1024" t="n">
        <v>0</v>
      </c>
      <c r="N1024" t="n">
        <v>0</v>
      </c>
      <c r="O1024" t="n">
        <v>1</v>
      </c>
      <c r="P1024" t="n">
        <v>0</v>
      </c>
      <c r="Q1024" t="n">
        <v>1</v>
      </c>
      <c r="R1024" s="2" t="inlineStr">
        <is>
          <t>Violmussling</t>
        </is>
      </c>
      <c r="S1024">
        <f>HYPERLINK("https://klasma.github.io/Logging_252581/artfynd/A 20562-2025 artfynd.xlsx", "A 20562-2025")</f>
        <v/>
      </c>
      <c r="T1024">
        <f>HYPERLINK("https://klasma.github.io/Logging_252581/kartor/A 20562-2025 karta.png", "A 20562-2025")</f>
        <v/>
      </c>
      <c r="V1024">
        <f>HYPERLINK("https://klasma.github.io/Logging_252581/klagomål/A 20562-2025 FSC-klagomål.docx", "A 20562-2025")</f>
        <v/>
      </c>
      <c r="W1024">
        <f>HYPERLINK("https://klasma.github.io/Logging_252581/klagomålsmail/A 20562-2025 FSC-klagomål mail.docx", "A 20562-2025")</f>
        <v/>
      </c>
      <c r="X1024">
        <f>HYPERLINK("https://klasma.github.io/Logging_252581/tillsyn/A 20562-2025 tillsynsbegäran.docx", "A 20562-2025")</f>
        <v/>
      </c>
      <c r="Y1024">
        <f>HYPERLINK("https://klasma.github.io/Logging_252581/tillsynsmail/A 20562-2025 tillsynsbegäran mail.docx", "A 20562-2025")</f>
        <v/>
      </c>
    </row>
    <row r="1025" ht="15" customHeight="1">
      <c r="A1025" t="inlineStr">
        <is>
          <t>A 20466-2025</t>
        </is>
      </c>
      <c r="B1025" s="1" t="n">
        <v>45775</v>
      </c>
      <c r="C1025" s="1" t="n">
        <v>45798</v>
      </c>
      <c r="D1025" t="inlineStr">
        <is>
          <t>NORRBOTTENS LÄN</t>
        </is>
      </c>
      <c r="E1025" t="inlineStr">
        <is>
          <t>ÄLVSBYN</t>
        </is>
      </c>
      <c r="G1025" t="n">
        <v>1.6</v>
      </c>
      <c r="H1025" t="n">
        <v>0</v>
      </c>
      <c r="I1025" t="n">
        <v>0</v>
      </c>
      <c r="J1025" t="n">
        <v>1</v>
      </c>
      <c r="K1025" t="n">
        <v>0</v>
      </c>
      <c r="L1025" t="n">
        <v>0</v>
      </c>
      <c r="M1025" t="n">
        <v>0</v>
      </c>
      <c r="N1025" t="n">
        <v>0</v>
      </c>
      <c r="O1025" t="n">
        <v>1</v>
      </c>
      <c r="P1025" t="n">
        <v>0</v>
      </c>
      <c r="Q1025" t="n">
        <v>1</v>
      </c>
      <c r="R1025" s="2" t="inlineStr">
        <is>
          <t>Kolflarnlav</t>
        </is>
      </c>
      <c r="S1025">
        <f>HYPERLINK("https://klasma.github.io/Logging_252560/artfynd/A 20466-2025 artfynd.xlsx", "A 20466-2025")</f>
        <v/>
      </c>
      <c r="T1025">
        <f>HYPERLINK("https://klasma.github.io/Logging_252560/kartor/A 20466-2025 karta.png", "A 20466-2025")</f>
        <v/>
      </c>
      <c r="V1025">
        <f>HYPERLINK("https://klasma.github.io/Logging_252560/klagomål/A 20466-2025 FSC-klagomål.docx", "A 20466-2025")</f>
        <v/>
      </c>
      <c r="W1025">
        <f>HYPERLINK("https://klasma.github.io/Logging_252560/klagomålsmail/A 20466-2025 FSC-klagomål mail.docx", "A 20466-2025")</f>
        <v/>
      </c>
      <c r="X1025">
        <f>HYPERLINK("https://klasma.github.io/Logging_252560/tillsyn/A 20466-2025 tillsynsbegäran.docx", "A 20466-2025")</f>
        <v/>
      </c>
      <c r="Y1025">
        <f>HYPERLINK("https://klasma.github.io/Logging_252560/tillsynsmail/A 20466-2025 tillsynsbegäran mail.docx", "A 20466-2025")</f>
        <v/>
      </c>
    </row>
    <row r="1026" ht="15" customHeight="1">
      <c r="A1026" t="inlineStr">
        <is>
          <t>A 21136-2025</t>
        </is>
      </c>
      <c r="B1026" s="1" t="n">
        <v>45778</v>
      </c>
      <c r="C1026" s="1" t="n">
        <v>45798</v>
      </c>
      <c r="D1026" t="inlineStr">
        <is>
          <t>NORRBOTTENS LÄN</t>
        </is>
      </c>
      <c r="E1026" t="inlineStr">
        <is>
          <t>ARVIDSJAUR</t>
        </is>
      </c>
      <c r="F1026" t="inlineStr">
        <is>
          <t>Sveaskog</t>
        </is>
      </c>
      <c r="G1026" t="n">
        <v>43.1</v>
      </c>
      <c r="H1026" t="n">
        <v>0</v>
      </c>
      <c r="I1026" t="n">
        <v>0</v>
      </c>
      <c r="J1026" t="n">
        <v>1</v>
      </c>
      <c r="K1026" t="n">
        <v>0</v>
      </c>
      <c r="L1026" t="n">
        <v>0</v>
      </c>
      <c r="M1026" t="n">
        <v>0</v>
      </c>
      <c r="N1026" t="n">
        <v>0</v>
      </c>
      <c r="O1026" t="n">
        <v>1</v>
      </c>
      <c r="P1026" t="n">
        <v>0</v>
      </c>
      <c r="Q1026" t="n">
        <v>1</v>
      </c>
      <c r="R1026" s="2" t="inlineStr">
        <is>
          <t>Lunglav</t>
        </is>
      </c>
      <c r="S1026">
        <f>HYPERLINK("https://klasma.github.io/Logging_252505/artfynd/A 21136-2025 artfynd.xlsx", "A 21136-2025")</f>
        <v/>
      </c>
      <c r="T1026">
        <f>HYPERLINK("https://klasma.github.io/Logging_252505/kartor/A 21136-2025 karta.png", "A 21136-2025")</f>
        <v/>
      </c>
      <c r="V1026">
        <f>HYPERLINK("https://klasma.github.io/Logging_252505/klagomål/A 21136-2025 FSC-klagomål.docx", "A 21136-2025")</f>
        <v/>
      </c>
      <c r="W1026">
        <f>HYPERLINK("https://klasma.github.io/Logging_252505/klagomålsmail/A 21136-2025 FSC-klagomål mail.docx", "A 21136-2025")</f>
        <v/>
      </c>
      <c r="X1026">
        <f>HYPERLINK("https://klasma.github.io/Logging_252505/tillsyn/A 21136-2025 tillsynsbegäran.docx", "A 21136-2025")</f>
        <v/>
      </c>
      <c r="Y1026">
        <f>HYPERLINK("https://klasma.github.io/Logging_252505/tillsynsmail/A 21136-2025 tillsynsbegäran mail.docx", "A 21136-2025")</f>
        <v/>
      </c>
    </row>
    <row r="1027" ht="15" customHeight="1">
      <c r="A1027" t="inlineStr">
        <is>
          <t>A 21183-2025</t>
        </is>
      </c>
      <c r="B1027" s="1" t="n">
        <v>45779</v>
      </c>
      <c r="C1027" s="1" t="n">
        <v>45798</v>
      </c>
      <c r="D1027" t="inlineStr">
        <is>
          <t>NORRBOTTENS LÄN</t>
        </is>
      </c>
      <c r="E1027" t="inlineStr">
        <is>
          <t>KIRUNA</t>
        </is>
      </c>
      <c r="G1027" t="n">
        <v>31.9</v>
      </c>
      <c r="H1027" t="n">
        <v>1</v>
      </c>
      <c r="I1027" t="n">
        <v>0</v>
      </c>
      <c r="J1027" t="n">
        <v>1</v>
      </c>
      <c r="K1027" t="n">
        <v>0</v>
      </c>
      <c r="L1027" t="n">
        <v>0</v>
      </c>
      <c r="M1027" t="n">
        <v>0</v>
      </c>
      <c r="N1027" t="n">
        <v>0</v>
      </c>
      <c r="O1027" t="n">
        <v>1</v>
      </c>
      <c r="P1027" t="n">
        <v>0</v>
      </c>
      <c r="Q1027" t="n">
        <v>1</v>
      </c>
      <c r="R1027" s="2" t="inlineStr">
        <is>
          <t>Venhavre</t>
        </is>
      </c>
      <c r="S1027">
        <f>HYPERLINK("https://klasma.github.io/Logging_252584/artfynd/A 21183-2025 artfynd.xlsx", "A 21183-2025")</f>
        <v/>
      </c>
      <c r="T1027">
        <f>HYPERLINK("https://klasma.github.io/Logging_252584/kartor/A 21183-2025 karta.png", "A 21183-2025")</f>
        <v/>
      </c>
      <c r="V1027">
        <f>HYPERLINK("https://klasma.github.io/Logging_252584/klagomål/A 21183-2025 FSC-klagomål.docx", "A 21183-2025")</f>
        <v/>
      </c>
      <c r="W1027">
        <f>HYPERLINK("https://klasma.github.io/Logging_252584/klagomålsmail/A 21183-2025 FSC-klagomål mail.docx", "A 21183-2025")</f>
        <v/>
      </c>
      <c r="X1027">
        <f>HYPERLINK("https://klasma.github.io/Logging_252584/tillsyn/A 21183-2025 tillsynsbegäran.docx", "A 21183-2025")</f>
        <v/>
      </c>
      <c r="Y1027">
        <f>HYPERLINK("https://klasma.github.io/Logging_252584/tillsynsmail/A 21183-2025 tillsynsbegäran mail.docx", "A 21183-2025")</f>
        <v/>
      </c>
    </row>
    <row r="1028" ht="15" customHeight="1">
      <c r="A1028" t="inlineStr">
        <is>
          <t>A 22520-2025</t>
        </is>
      </c>
      <c r="B1028" s="1" t="n">
        <v>45786</v>
      </c>
      <c r="C1028" s="1" t="n">
        <v>45798</v>
      </c>
      <c r="D1028" t="inlineStr">
        <is>
          <t>NORRBOTTENS LÄN</t>
        </is>
      </c>
      <c r="E1028" t="inlineStr">
        <is>
          <t>PAJALA</t>
        </is>
      </c>
      <c r="F1028" t="inlineStr">
        <is>
          <t>SCA</t>
        </is>
      </c>
      <c r="G1028" t="n">
        <v>17.3</v>
      </c>
      <c r="H1028" t="n">
        <v>1</v>
      </c>
      <c r="I1028" t="n">
        <v>0</v>
      </c>
      <c r="J1028" t="n">
        <v>1</v>
      </c>
      <c r="K1028" t="n">
        <v>0</v>
      </c>
      <c r="L1028" t="n">
        <v>0</v>
      </c>
      <c r="M1028" t="n">
        <v>0</v>
      </c>
      <c r="N1028" t="n">
        <v>0</v>
      </c>
      <c r="O1028" t="n">
        <v>1</v>
      </c>
      <c r="P1028" t="n">
        <v>0</v>
      </c>
      <c r="Q1028" t="n">
        <v>1</v>
      </c>
      <c r="R1028" s="2" t="inlineStr">
        <is>
          <t>Spillkråka</t>
        </is>
      </c>
      <c r="S1028">
        <f>HYPERLINK("https://klasma.github.io/Logging_252521/artfynd/A 22520-2025 artfynd.xlsx", "A 22520-2025")</f>
        <v/>
      </c>
      <c r="T1028">
        <f>HYPERLINK("https://klasma.github.io/Logging_252521/kartor/A 22520-2025 karta.png", "A 22520-2025")</f>
        <v/>
      </c>
      <c r="V1028">
        <f>HYPERLINK("https://klasma.github.io/Logging_252521/klagomål/A 22520-2025 FSC-klagomål.docx", "A 22520-2025")</f>
        <v/>
      </c>
      <c r="W1028">
        <f>HYPERLINK("https://klasma.github.io/Logging_252521/klagomålsmail/A 22520-2025 FSC-klagomål mail.docx", "A 22520-2025")</f>
        <v/>
      </c>
      <c r="X1028">
        <f>HYPERLINK("https://klasma.github.io/Logging_252521/tillsyn/A 22520-2025 tillsynsbegäran.docx", "A 22520-2025")</f>
        <v/>
      </c>
      <c r="Y1028">
        <f>HYPERLINK("https://klasma.github.io/Logging_252521/tillsynsmail/A 22520-2025 tillsynsbegäran mail.docx", "A 22520-2025")</f>
        <v/>
      </c>
      <c r="Z1028">
        <f>HYPERLINK("https://klasma.github.io/Logging_252521/fåglar/A 22520-2025 prioriterade fågelarter.docx", "A 22520-2025")</f>
        <v/>
      </c>
    </row>
    <row r="1029" ht="15" customHeight="1">
      <c r="A1029" t="inlineStr">
        <is>
          <t>A 23578-2025</t>
        </is>
      </c>
      <c r="B1029" s="1" t="n">
        <v>45792</v>
      </c>
      <c r="C1029" s="1" t="n">
        <v>45798</v>
      </c>
      <c r="D1029" t="inlineStr">
        <is>
          <t>NORRBOTTENS LÄN</t>
        </is>
      </c>
      <c r="E1029" t="inlineStr">
        <is>
          <t>GÄLLIVARE</t>
        </is>
      </c>
      <c r="F1029" t="inlineStr">
        <is>
          <t>Allmännings- och besparingsskogar</t>
        </is>
      </c>
      <c r="G1029" t="n">
        <v>51.6</v>
      </c>
      <c r="H1029" t="n">
        <v>0</v>
      </c>
      <c r="I1029" t="n">
        <v>0</v>
      </c>
      <c r="J1029" t="n">
        <v>1</v>
      </c>
      <c r="K1029" t="n">
        <v>0</v>
      </c>
      <c r="L1029" t="n">
        <v>0</v>
      </c>
      <c r="M1029" t="n">
        <v>0</v>
      </c>
      <c r="N1029" t="n">
        <v>0</v>
      </c>
      <c r="O1029" t="n">
        <v>1</v>
      </c>
      <c r="P1029" t="n">
        <v>0</v>
      </c>
      <c r="Q1029" t="n">
        <v>1</v>
      </c>
      <c r="R1029" s="2" t="inlineStr">
        <is>
          <t>Garnlav</t>
        </is>
      </c>
      <c r="S1029">
        <f>HYPERLINK("https://klasma.github.io/Logging_252523/artfynd/A 23578-2025 artfynd.xlsx", "A 23578-2025")</f>
        <v/>
      </c>
      <c r="T1029">
        <f>HYPERLINK("https://klasma.github.io/Logging_252523/kartor/A 23578-2025 karta.png", "A 23578-2025")</f>
        <v/>
      </c>
      <c r="V1029">
        <f>HYPERLINK("https://klasma.github.io/Logging_252523/klagomål/A 23578-2025 FSC-klagomål.docx", "A 23578-2025")</f>
        <v/>
      </c>
      <c r="W1029">
        <f>HYPERLINK("https://klasma.github.io/Logging_252523/klagomålsmail/A 23578-2025 FSC-klagomål mail.docx", "A 23578-2025")</f>
        <v/>
      </c>
      <c r="X1029">
        <f>HYPERLINK("https://klasma.github.io/Logging_252523/tillsyn/A 23578-2025 tillsynsbegäran.docx", "A 23578-2025")</f>
        <v/>
      </c>
      <c r="Y1029">
        <f>HYPERLINK("https://klasma.github.io/Logging_252523/tillsynsmail/A 23578-2025 tillsynsbegäran mail.docx", "A 23578-2025")</f>
        <v/>
      </c>
    </row>
    <row r="1030" ht="15" customHeight="1">
      <c r="A1030" t="inlineStr">
        <is>
          <t>A 23790-2025</t>
        </is>
      </c>
      <c r="B1030" s="1" t="n">
        <v>45793</v>
      </c>
      <c r="C1030" s="1" t="n">
        <v>45798</v>
      </c>
      <c r="D1030" t="inlineStr">
        <is>
          <t>NORRBOTTENS LÄN</t>
        </is>
      </c>
      <c r="E1030" t="inlineStr">
        <is>
          <t>ÄLVSBYN</t>
        </is>
      </c>
      <c r="F1030" t="inlineStr">
        <is>
          <t>Sveaskog</t>
        </is>
      </c>
      <c r="G1030" t="n">
        <v>10.8</v>
      </c>
      <c r="H1030" t="n">
        <v>0</v>
      </c>
      <c r="I1030" t="n">
        <v>0</v>
      </c>
      <c r="J1030" t="n">
        <v>1</v>
      </c>
      <c r="K1030" t="n">
        <v>0</v>
      </c>
      <c r="L1030" t="n">
        <v>0</v>
      </c>
      <c r="M1030" t="n">
        <v>0</v>
      </c>
      <c r="N1030" t="n">
        <v>0</v>
      </c>
      <c r="O1030" t="n">
        <v>1</v>
      </c>
      <c r="P1030" t="n">
        <v>0</v>
      </c>
      <c r="Q1030" t="n">
        <v>1</v>
      </c>
      <c r="R1030" s="2" t="inlineStr">
        <is>
          <t>Vedflamlav</t>
        </is>
      </c>
      <c r="S1030">
        <f>HYPERLINK("https://klasma.github.io/Logging_252560/artfynd/A 23790-2025 artfynd.xlsx", "A 23790-2025")</f>
        <v/>
      </c>
      <c r="T1030">
        <f>HYPERLINK("https://klasma.github.io/Logging_252560/kartor/A 23790-2025 karta.png", "A 23790-2025")</f>
        <v/>
      </c>
      <c r="V1030">
        <f>HYPERLINK("https://klasma.github.io/Logging_252560/klagomål/A 23790-2025 FSC-klagomål.docx", "A 23790-2025")</f>
        <v/>
      </c>
      <c r="W1030">
        <f>HYPERLINK("https://klasma.github.io/Logging_252560/klagomålsmail/A 23790-2025 FSC-klagomål mail.docx", "A 23790-2025")</f>
        <v/>
      </c>
      <c r="X1030">
        <f>HYPERLINK("https://klasma.github.io/Logging_252560/tillsyn/A 23790-2025 tillsynsbegäran.docx", "A 23790-2025")</f>
        <v/>
      </c>
      <c r="Y1030">
        <f>HYPERLINK("https://klasma.github.io/Logging_252560/tillsynsmail/A 23790-2025 tillsynsbegäran mail.docx", "A 23790-2025")</f>
        <v/>
      </c>
    </row>
    <row r="1031" ht="15" customHeight="1">
      <c r="A1031" t="inlineStr">
        <is>
          <t>A 23849-2025</t>
        </is>
      </c>
      <c r="B1031" s="1" t="n">
        <v>45793</v>
      </c>
      <c r="C1031" s="1" t="n">
        <v>45798</v>
      </c>
      <c r="D1031" t="inlineStr">
        <is>
          <t>NORRBOTTENS LÄN</t>
        </is>
      </c>
      <c r="E1031" t="inlineStr">
        <is>
          <t>BODEN</t>
        </is>
      </c>
      <c r="F1031" t="inlineStr">
        <is>
          <t>Sveaskog</t>
        </is>
      </c>
      <c r="G1031" t="n">
        <v>2.9</v>
      </c>
      <c r="H1031" t="n">
        <v>0</v>
      </c>
      <c r="I1031" t="n">
        <v>0</v>
      </c>
      <c r="J1031" t="n">
        <v>1</v>
      </c>
      <c r="K1031" t="n">
        <v>0</v>
      </c>
      <c r="L1031" t="n">
        <v>0</v>
      </c>
      <c r="M1031" t="n">
        <v>0</v>
      </c>
      <c r="N1031" t="n">
        <v>0</v>
      </c>
      <c r="O1031" t="n">
        <v>1</v>
      </c>
      <c r="P1031" t="n">
        <v>0</v>
      </c>
      <c r="Q1031" t="n">
        <v>1</v>
      </c>
      <c r="R1031" s="2" t="inlineStr">
        <is>
          <t>Kolflarnlav</t>
        </is>
      </c>
      <c r="S1031">
        <f>HYPERLINK("https://klasma.github.io/Logging_252582/artfynd/A 23849-2025 artfynd.xlsx", "A 23849-2025")</f>
        <v/>
      </c>
      <c r="T1031">
        <f>HYPERLINK("https://klasma.github.io/Logging_252582/kartor/A 23849-2025 karta.png", "A 23849-2025")</f>
        <v/>
      </c>
      <c r="V1031">
        <f>HYPERLINK("https://klasma.github.io/Logging_252582/klagomål/A 23849-2025 FSC-klagomål.docx", "A 23849-2025")</f>
        <v/>
      </c>
      <c r="W1031">
        <f>HYPERLINK("https://klasma.github.io/Logging_252582/klagomålsmail/A 23849-2025 FSC-klagomål mail.docx", "A 23849-2025")</f>
        <v/>
      </c>
      <c r="X1031">
        <f>HYPERLINK("https://klasma.github.io/Logging_252582/tillsyn/A 23849-2025 tillsynsbegäran.docx", "A 23849-2025")</f>
        <v/>
      </c>
      <c r="Y1031">
        <f>HYPERLINK("https://klasma.github.io/Logging_252582/tillsynsmail/A 23849-2025 tillsynsbegäran mail.docx", "A 23849-2025")</f>
        <v/>
      </c>
    </row>
    <row r="1032" ht="15" customHeight="1">
      <c r="A1032" t="inlineStr">
        <is>
          <t>A 17849-2019</t>
        </is>
      </c>
      <c r="B1032" s="1" t="n">
        <v>43556</v>
      </c>
      <c r="C1032" s="1" t="n">
        <v>45798</v>
      </c>
      <c r="D1032" t="inlineStr">
        <is>
          <t>NORRBOTTENS LÄN</t>
        </is>
      </c>
      <c r="E1032" t="inlineStr">
        <is>
          <t>LULEÅ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17850-2019</t>
        </is>
      </c>
      <c r="B1033" s="1" t="n">
        <v>43556</v>
      </c>
      <c r="C1033" s="1" t="n">
        <v>45798</v>
      </c>
      <c r="D1033" t="inlineStr">
        <is>
          <t>NORRBOTTENS LÄN</t>
        </is>
      </c>
      <c r="E1033" t="inlineStr">
        <is>
          <t>LULEÅ</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18134-2019</t>
        </is>
      </c>
      <c r="B1034" s="1" t="n">
        <v>43556</v>
      </c>
      <c r="C1034" s="1" t="n">
        <v>45798</v>
      </c>
      <c r="D1034" t="inlineStr">
        <is>
          <t>NORRBOTTENS LÄN</t>
        </is>
      </c>
      <c r="E1034" t="inlineStr">
        <is>
          <t>PITEÅ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17848-2019</t>
        </is>
      </c>
      <c r="B1035" s="1" t="n">
        <v>43556</v>
      </c>
      <c r="C1035" s="1" t="n">
        <v>45798</v>
      </c>
      <c r="D1035" t="inlineStr">
        <is>
          <t>NORRBOTTENS LÄN</t>
        </is>
      </c>
      <c r="E1035" t="inlineStr">
        <is>
          <t>LULEÅ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17810-2019</t>
        </is>
      </c>
      <c r="B1036" s="1" t="n">
        <v>43556</v>
      </c>
      <c r="C1036" s="1" t="n">
        <v>45798</v>
      </c>
      <c r="D1036" t="inlineStr">
        <is>
          <t>NORRBOTTENS LÄN</t>
        </is>
      </c>
      <c r="E1036" t="inlineStr">
        <is>
          <t>LULEÅ</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17983-2019</t>
        </is>
      </c>
      <c r="B1037" s="1" t="n">
        <v>43557</v>
      </c>
      <c r="C1037" s="1" t="n">
        <v>45798</v>
      </c>
      <c r="D1037" t="inlineStr">
        <is>
          <t>NORRBOTTENS LÄN</t>
        </is>
      </c>
      <c r="E1037" t="inlineStr">
        <is>
          <t>ÖVERTORNEÅ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18075-2019</t>
        </is>
      </c>
      <c r="B1038" s="1" t="n">
        <v>43557</v>
      </c>
      <c r="C1038" s="1" t="n">
        <v>45798</v>
      </c>
      <c r="D1038" t="inlineStr">
        <is>
          <t>NORRBOTTENS LÄN</t>
        </is>
      </c>
      <c r="E1038" t="inlineStr">
        <is>
          <t>PITEÅ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18061-2019</t>
        </is>
      </c>
      <c r="B1039" s="1" t="n">
        <v>43557</v>
      </c>
      <c r="C1039" s="1" t="n">
        <v>45798</v>
      </c>
      <c r="D1039" t="inlineStr">
        <is>
          <t>NORRBOTTENS LÄN</t>
        </is>
      </c>
      <c r="E1039" t="inlineStr">
        <is>
          <t>PITEÅ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18038-2019</t>
        </is>
      </c>
      <c r="B1040" s="1" t="n">
        <v>43557</v>
      </c>
      <c r="C1040" s="1" t="n">
        <v>45798</v>
      </c>
      <c r="D1040" t="inlineStr">
        <is>
          <t>NORRBOTTENS LÄN</t>
        </is>
      </c>
      <c r="E1040" t="inlineStr">
        <is>
          <t>ÖVERTORNEÅ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18045-2019</t>
        </is>
      </c>
      <c r="B1041" s="1" t="n">
        <v>43557</v>
      </c>
      <c r="C1041" s="1" t="n">
        <v>45798</v>
      </c>
      <c r="D1041" t="inlineStr">
        <is>
          <t>NORRBOTTENS LÄN</t>
        </is>
      </c>
      <c r="E1041" t="inlineStr">
        <is>
          <t>PITEÅ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18065-2019</t>
        </is>
      </c>
      <c r="B1042" s="1" t="n">
        <v>43557</v>
      </c>
      <c r="C1042" s="1" t="n">
        <v>45798</v>
      </c>
      <c r="D1042" t="inlineStr">
        <is>
          <t>NORRBOTTENS LÄN</t>
        </is>
      </c>
      <c r="E1042" t="inlineStr">
        <is>
          <t>PITEÅ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18074-2019</t>
        </is>
      </c>
      <c r="B1043" s="1" t="n">
        <v>43557</v>
      </c>
      <c r="C1043" s="1" t="n">
        <v>45798</v>
      </c>
      <c r="D1043" t="inlineStr">
        <is>
          <t>NORRBOTTENS LÄN</t>
        </is>
      </c>
      <c r="E1043" t="inlineStr">
        <is>
          <t>PITEÅ</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18173-2019</t>
        </is>
      </c>
      <c r="B1044" s="1" t="n">
        <v>43558</v>
      </c>
      <c r="C1044" s="1" t="n">
        <v>45798</v>
      </c>
      <c r="D1044" t="inlineStr">
        <is>
          <t>NORRBOTTENS LÄN</t>
        </is>
      </c>
      <c r="E1044" t="inlineStr">
        <is>
          <t>ÖVERKALIX</t>
        </is>
      </c>
      <c r="F1044" t="inlineStr">
        <is>
          <t>Sveaskog</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18176-2019</t>
        </is>
      </c>
      <c r="B1045" s="1" t="n">
        <v>43558</v>
      </c>
      <c r="C1045" s="1" t="n">
        <v>45798</v>
      </c>
      <c r="D1045" t="inlineStr">
        <is>
          <t>NORRBOTTENS LÄN</t>
        </is>
      </c>
      <c r="E1045" t="inlineStr">
        <is>
          <t>BODEN</t>
        </is>
      </c>
      <c r="F1045" t="inlineStr">
        <is>
          <t>Sveaskog</t>
        </is>
      </c>
      <c r="G1045" t="n">
        <v>27.5</v>
      </c>
      <c r="H1045" t="n">
        <v>0</v>
      </c>
      <c r="I1045" t="n">
        <v>0</v>
      </c>
      <c r="J1045" t="n">
        <v>0</v>
      </c>
      <c r="K1045" t="n">
        <v>0</v>
      </c>
      <c r="L1045" t="n">
        <v>0</v>
      </c>
      <c r="M1045" t="n">
        <v>0</v>
      </c>
      <c r="N1045" t="n">
        <v>0</v>
      </c>
      <c r="O1045" t="n">
        <v>0</v>
      </c>
      <c r="P1045" t="n">
        <v>0</v>
      </c>
      <c r="Q1045" t="n">
        <v>0</v>
      </c>
      <c r="R1045" s="2" t="inlineStr"/>
    </row>
    <row r="1046" ht="15" customHeight="1">
      <c r="A1046" t="inlineStr">
        <is>
          <t>A 18258-2019</t>
        </is>
      </c>
      <c r="B1046" s="1" t="n">
        <v>43558</v>
      </c>
      <c r="C1046" s="1" t="n">
        <v>45798</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18282-2019</t>
        </is>
      </c>
      <c r="B1047" s="1" t="n">
        <v>43558</v>
      </c>
      <c r="C1047" s="1" t="n">
        <v>45798</v>
      </c>
      <c r="D1047" t="inlineStr">
        <is>
          <t>NORRBOTTENS LÄN</t>
        </is>
      </c>
      <c r="E1047" t="inlineStr">
        <is>
          <t>JOKKMOKK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18939-2019</t>
        </is>
      </c>
      <c r="B1048" s="1" t="n">
        <v>43563</v>
      </c>
      <c r="C1048" s="1" t="n">
        <v>45798</v>
      </c>
      <c r="D1048" t="inlineStr">
        <is>
          <t>NORRBOTTENS LÄN</t>
        </is>
      </c>
      <c r="E1048" t="inlineStr">
        <is>
          <t>BODEN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19262-2019</t>
        </is>
      </c>
      <c r="B1049" s="1" t="n">
        <v>43564</v>
      </c>
      <c r="C1049" s="1" t="n">
        <v>45798</v>
      </c>
      <c r="D1049" t="inlineStr">
        <is>
          <t>NORRBOTTENS LÄN</t>
        </is>
      </c>
      <c r="E1049" t="inlineStr">
        <is>
          <t>LULEÅ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19290-2019</t>
        </is>
      </c>
      <c r="B1050" s="1" t="n">
        <v>43564</v>
      </c>
      <c r="C1050" s="1" t="n">
        <v>45798</v>
      </c>
      <c r="D1050" t="inlineStr">
        <is>
          <t>NORRBOTTENS LÄN</t>
        </is>
      </c>
      <c r="E1050" t="inlineStr">
        <is>
          <t>PITEÅ</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19328-2019</t>
        </is>
      </c>
      <c r="B1051" s="1" t="n">
        <v>43564</v>
      </c>
      <c r="C1051" s="1" t="n">
        <v>45798</v>
      </c>
      <c r="D1051" t="inlineStr">
        <is>
          <t>NORRBOTTENS LÄN</t>
        </is>
      </c>
      <c r="E1051" t="inlineStr">
        <is>
          <t>PITEÅ</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19558-2019</t>
        </is>
      </c>
      <c r="B1052" s="1" t="n">
        <v>43565</v>
      </c>
      <c r="C1052" s="1" t="n">
        <v>45798</v>
      </c>
      <c r="D1052" t="inlineStr">
        <is>
          <t>NORRBOTTENS LÄN</t>
        </is>
      </c>
      <c r="E1052" t="inlineStr">
        <is>
          <t>BODEN</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19599-2019</t>
        </is>
      </c>
      <c r="B1053" s="1" t="n">
        <v>43566</v>
      </c>
      <c r="C1053" s="1" t="n">
        <v>45798</v>
      </c>
      <c r="D1053" t="inlineStr">
        <is>
          <t>NORRBOTTENS LÄN</t>
        </is>
      </c>
      <c r="E1053" t="inlineStr">
        <is>
          <t>KALIX</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20148-2019</t>
        </is>
      </c>
      <c r="B1054" s="1" t="n">
        <v>43567</v>
      </c>
      <c r="C1054" s="1" t="n">
        <v>45798</v>
      </c>
      <c r="D1054" t="inlineStr">
        <is>
          <t>NORRBOTTENS LÄN</t>
        </is>
      </c>
      <c r="E1054" t="inlineStr">
        <is>
          <t>PAJALA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20295-2019</t>
        </is>
      </c>
      <c r="B1055" s="1" t="n">
        <v>43567</v>
      </c>
      <c r="C1055" s="1" t="n">
        <v>45798</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19831-2019</t>
        </is>
      </c>
      <c r="B1056" s="1" t="n">
        <v>43567</v>
      </c>
      <c r="C1056" s="1" t="n">
        <v>45798</v>
      </c>
      <c r="D1056" t="inlineStr">
        <is>
          <t>NORRBOTTENS LÄN</t>
        </is>
      </c>
      <c r="E1056" t="inlineStr">
        <is>
          <t>KALIX</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20234-2019</t>
        </is>
      </c>
      <c r="B1057" s="1" t="n">
        <v>43567</v>
      </c>
      <c r="C1057" s="1" t="n">
        <v>45798</v>
      </c>
      <c r="D1057" t="inlineStr">
        <is>
          <t>NORRBOTTENS LÄN</t>
        </is>
      </c>
      <c r="E1057" t="inlineStr">
        <is>
          <t>PITEÅ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19827-2019</t>
        </is>
      </c>
      <c r="B1058" s="1" t="n">
        <v>43567</v>
      </c>
      <c r="C1058" s="1" t="n">
        <v>45798</v>
      </c>
      <c r="D1058" t="inlineStr">
        <is>
          <t>NORRBOTTENS LÄN</t>
        </is>
      </c>
      <c r="E1058" t="inlineStr">
        <is>
          <t>KALIX</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19954-2019</t>
        </is>
      </c>
      <c r="B1059" s="1" t="n">
        <v>43569</v>
      </c>
      <c r="C1059" s="1" t="n">
        <v>45798</v>
      </c>
      <c r="D1059" t="inlineStr">
        <is>
          <t>NORRBOTTENS LÄN</t>
        </is>
      </c>
      <c r="E1059" t="inlineStr">
        <is>
          <t>GÄLLIVARE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20053-2019</t>
        </is>
      </c>
      <c r="B1060" s="1" t="n">
        <v>43570</v>
      </c>
      <c r="C1060" s="1" t="n">
        <v>45798</v>
      </c>
      <c r="D1060" t="inlineStr">
        <is>
          <t>NORRBOTTENS LÄN</t>
        </is>
      </c>
      <c r="E1060" t="inlineStr">
        <is>
          <t>PAJALA</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20349-2019</t>
        </is>
      </c>
      <c r="B1061" s="1" t="n">
        <v>43570</v>
      </c>
      <c r="C1061" s="1" t="n">
        <v>45798</v>
      </c>
      <c r="D1061" t="inlineStr">
        <is>
          <t>NORRBOTTENS LÄN</t>
        </is>
      </c>
      <c r="E1061" t="inlineStr">
        <is>
          <t>PAJALA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20350-2019</t>
        </is>
      </c>
      <c r="B1062" s="1" t="n">
        <v>43570</v>
      </c>
      <c r="C1062" s="1" t="n">
        <v>45798</v>
      </c>
      <c r="D1062" t="inlineStr">
        <is>
          <t>NORRBOTTENS LÄN</t>
        </is>
      </c>
      <c r="E1062" t="inlineStr">
        <is>
          <t>PITEÅ</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20310-2019</t>
        </is>
      </c>
      <c r="B1063" s="1" t="n">
        <v>43570</v>
      </c>
      <c r="C1063" s="1" t="n">
        <v>45798</v>
      </c>
      <c r="D1063" t="inlineStr">
        <is>
          <t>NORRBOTTENS LÄN</t>
        </is>
      </c>
      <c r="E1063" t="inlineStr">
        <is>
          <t>ÖVERKALIX</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20345-2019</t>
        </is>
      </c>
      <c r="B1064" s="1" t="n">
        <v>43570</v>
      </c>
      <c r="C1064" s="1" t="n">
        <v>45798</v>
      </c>
      <c r="D1064" t="inlineStr">
        <is>
          <t>NORRBOTTENS LÄN</t>
        </is>
      </c>
      <c r="E1064" t="inlineStr">
        <is>
          <t>PITEÅ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20354-2019</t>
        </is>
      </c>
      <c r="B1065" s="1" t="n">
        <v>43570</v>
      </c>
      <c r="C1065" s="1" t="n">
        <v>45798</v>
      </c>
      <c r="D1065" t="inlineStr">
        <is>
          <t>NORRBOTTENS LÄN</t>
        </is>
      </c>
      <c r="E1065" t="inlineStr">
        <is>
          <t>PITEÅ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20382-2019</t>
        </is>
      </c>
      <c r="B1066" s="1" t="n">
        <v>43571</v>
      </c>
      <c r="C1066" s="1" t="n">
        <v>45798</v>
      </c>
      <c r="D1066" t="inlineStr">
        <is>
          <t>NORRBOTTENS LÄN</t>
        </is>
      </c>
      <c r="E1066" t="inlineStr">
        <is>
          <t>PAJALA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20410-2019</t>
        </is>
      </c>
      <c r="B1067" s="1" t="n">
        <v>43571</v>
      </c>
      <c r="C1067" s="1" t="n">
        <v>45798</v>
      </c>
      <c r="D1067" t="inlineStr">
        <is>
          <t>NORRBOTTENS LÄN</t>
        </is>
      </c>
      <c r="E1067" t="inlineStr">
        <is>
          <t>PAJALA</t>
        </is>
      </c>
      <c r="F1067" t="inlineStr">
        <is>
          <t>Kyrkan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20537-2019</t>
        </is>
      </c>
      <c r="B1068" s="1" t="n">
        <v>43572</v>
      </c>
      <c r="C1068" s="1" t="n">
        <v>45798</v>
      </c>
      <c r="D1068" t="inlineStr">
        <is>
          <t>NORRBOTTENS LÄN</t>
        </is>
      </c>
      <c r="E1068" t="inlineStr">
        <is>
          <t>PAJALA</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20581-2019</t>
        </is>
      </c>
      <c r="B1069" s="1" t="n">
        <v>43572</v>
      </c>
      <c r="C1069" s="1" t="n">
        <v>45798</v>
      </c>
      <c r="D1069" t="inlineStr">
        <is>
          <t>NORRBOTTENS LÄN</t>
        </is>
      </c>
      <c r="E1069" t="inlineStr">
        <is>
          <t>ARVIDSJAUR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20903-2019</t>
        </is>
      </c>
      <c r="B1070" s="1" t="n">
        <v>43573</v>
      </c>
      <c r="C1070" s="1" t="n">
        <v>45798</v>
      </c>
      <c r="D1070" t="inlineStr">
        <is>
          <t>NORRBOTTENS LÄN</t>
        </is>
      </c>
      <c r="E1070" t="inlineStr">
        <is>
          <t>BODEN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20916-2019</t>
        </is>
      </c>
      <c r="B1071" s="1" t="n">
        <v>43573</v>
      </c>
      <c r="C1071" s="1" t="n">
        <v>45798</v>
      </c>
      <c r="D1071" t="inlineStr">
        <is>
          <t>NORRBOTTENS LÄN</t>
        </is>
      </c>
      <c r="E1071" t="inlineStr">
        <is>
          <t>BODEN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21088-2019</t>
        </is>
      </c>
      <c r="B1072" s="1" t="n">
        <v>43574</v>
      </c>
      <c r="C1072" s="1" t="n">
        <v>45798</v>
      </c>
      <c r="D1072" t="inlineStr">
        <is>
          <t>NORRBOTTENS LÄN</t>
        </is>
      </c>
      <c r="E1072" t="inlineStr">
        <is>
          <t>PAJALA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21079-2019</t>
        </is>
      </c>
      <c r="B1073" s="1" t="n">
        <v>43578</v>
      </c>
      <c r="C1073" s="1" t="n">
        <v>45798</v>
      </c>
      <c r="D1073" t="inlineStr">
        <is>
          <t>NORRBOTTENS LÄN</t>
        </is>
      </c>
      <c r="E1073" t="inlineStr">
        <is>
          <t>LULEÅ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21118-2019</t>
        </is>
      </c>
      <c r="B1074" s="1" t="n">
        <v>43578</v>
      </c>
      <c r="C1074" s="1" t="n">
        <v>45798</v>
      </c>
      <c r="D1074" t="inlineStr">
        <is>
          <t>NORRBOTTENS LÄN</t>
        </is>
      </c>
      <c r="E1074" t="inlineStr">
        <is>
          <t>GÄLLIVARE</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21129-2019</t>
        </is>
      </c>
      <c r="B1075" s="1" t="n">
        <v>43579</v>
      </c>
      <c r="C1075" s="1" t="n">
        <v>45798</v>
      </c>
      <c r="D1075" t="inlineStr">
        <is>
          <t>NORRBOTTENS LÄN</t>
        </is>
      </c>
      <c r="E1075" t="inlineStr">
        <is>
          <t>BODEN</t>
        </is>
      </c>
      <c r="F1075" t="inlineStr">
        <is>
          <t>Sveaskog</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21344-2019</t>
        </is>
      </c>
      <c r="B1076" s="1" t="n">
        <v>43579</v>
      </c>
      <c r="C1076" s="1" t="n">
        <v>45798</v>
      </c>
      <c r="D1076" t="inlineStr">
        <is>
          <t>NORRBOTTENS LÄN</t>
        </is>
      </c>
      <c r="E1076" t="inlineStr">
        <is>
          <t>ARJEPLOG</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21556-2019</t>
        </is>
      </c>
      <c r="B1077" s="1" t="n">
        <v>43579</v>
      </c>
      <c r="C1077" s="1" t="n">
        <v>45798</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21547-2019</t>
        </is>
      </c>
      <c r="B1078" s="1" t="n">
        <v>43580</v>
      </c>
      <c r="C1078" s="1" t="n">
        <v>45798</v>
      </c>
      <c r="D1078" t="inlineStr">
        <is>
          <t>NORRBOTTENS LÄN</t>
        </is>
      </c>
      <c r="E1078" t="inlineStr">
        <is>
          <t>LULEÅ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21548-2019</t>
        </is>
      </c>
      <c r="B1079" s="1" t="n">
        <v>43580</v>
      </c>
      <c r="C1079" s="1" t="n">
        <v>45798</v>
      </c>
      <c r="D1079" t="inlineStr">
        <is>
          <t>NORRBOTTENS LÄN</t>
        </is>
      </c>
      <c r="E1079" t="inlineStr">
        <is>
          <t>LULEÅ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21435-2019</t>
        </is>
      </c>
      <c r="B1080" s="1" t="n">
        <v>43580</v>
      </c>
      <c r="C1080" s="1" t="n">
        <v>45798</v>
      </c>
      <c r="D1080" t="inlineStr">
        <is>
          <t>NORRBOTTENS LÄN</t>
        </is>
      </c>
      <c r="E1080" t="inlineStr">
        <is>
          <t>KALIX</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21546-2019</t>
        </is>
      </c>
      <c r="B1081" s="1" t="n">
        <v>43580</v>
      </c>
      <c r="C1081" s="1" t="n">
        <v>45798</v>
      </c>
      <c r="D1081" t="inlineStr">
        <is>
          <t>NORRBOTTENS LÄN</t>
        </is>
      </c>
      <c r="E1081" t="inlineStr">
        <is>
          <t>LULEÅ</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21550-2019</t>
        </is>
      </c>
      <c r="B1082" s="1" t="n">
        <v>43580</v>
      </c>
      <c r="C1082" s="1" t="n">
        <v>45798</v>
      </c>
      <c r="D1082" t="inlineStr">
        <is>
          <t>NORRBOTTENS LÄN</t>
        </is>
      </c>
      <c r="E1082" t="inlineStr">
        <is>
          <t>LULEÅ</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21517-2019</t>
        </is>
      </c>
      <c r="B1083" s="1" t="n">
        <v>43580</v>
      </c>
      <c r="C1083" s="1" t="n">
        <v>45798</v>
      </c>
      <c r="D1083" t="inlineStr">
        <is>
          <t>NORRBOTTENS LÄN</t>
        </is>
      </c>
      <c r="E1083" t="inlineStr">
        <is>
          <t>PAJALA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21510-2019</t>
        </is>
      </c>
      <c r="B1084" s="1" t="n">
        <v>43580</v>
      </c>
      <c r="C1084" s="1" t="n">
        <v>45798</v>
      </c>
      <c r="D1084" t="inlineStr">
        <is>
          <t>NORRBOTTENS LÄN</t>
        </is>
      </c>
      <c r="E1084" t="inlineStr">
        <is>
          <t>PAJALA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21953-2019</t>
        </is>
      </c>
      <c r="B1085" s="1" t="n">
        <v>43584</v>
      </c>
      <c r="C1085" s="1" t="n">
        <v>45798</v>
      </c>
      <c r="D1085" t="inlineStr">
        <is>
          <t>NORRBOTTENS LÄN</t>
        </is>
      </c>
      <c r="E1085" t="inlineStr">
        <is>
          <t>BODEN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21916-2019</t>
        </is>
      </c>
      <c r="B1086" s="1" t="n">
        <v>43584</v>
      </c>
      <c r="C1086" s="1" t="n">
        <v>45798</v>
      </c>
      <c r="D1086" t="inlineStr">
        <is>
          <t>NORRBOTTENS LÄN</t>
        </is>
      </c>
      <c r="E1086" t="inlineStr">
        <is>
          <t>LULEÅ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22021-2019</t>
        </is>
      </c>
      <c r="B1087" s="1" t="n">
        <v>43584</v>
      </c>
      <c r="C1087" s="1" t="n">
        <v>45798</v>
      </c>
      <c r="D1087" t="inlineStr">
        <is>
          <t>NORRBOTTENS LÄN</t>
        </is>
      </c>
      <c r="E1087" t="inlineStr">
        <is>
          <t>PITEÅ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22098-2019</t>
        </is>
      </c>
      <c r="B1088" s="1" t="n">
        <v>43584</v>
      </c>
      <c r="C1088" s="1" t="n">
        <v>45798</v>
      </c>
      <c r="D1088" t="inlineStr">
        <is>
          <t>NORRBOTTENS LÄN</t>
        </is>
      </c>
      <c r="E1088" t="inlineStr">
        <is>
          <t>LULEÅ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22294-2019</t>
        </is>
      </c>
      <c r="B1089" s="1" t="n">
        <v>43585</v>
      </c>
      <c r="C1089" s="1" t="n">
        <v>45798</v>
      </c>
      <c r="D1089" t="inlineStr">
        <is>
          <t>NORRBOTTENS LÄN</t>
        </is>
      </c>
      <c r="E1089" t="inlineStr">
        <is>
          <t>ÖVERTORNEÅ</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22330-2019</t>
        </is>
      </c>
      <c r="B1090" s="1" t="n">
        <v>43586</v>
      </c>
      <c r="C1090" s="1" t="n">
        <v>45798</v>
      </c>
      <c r="D1090" t="inlineStr">
        <is>
          <t>NORRBOTTENS LÄN</t>
        </is>
      </c>
      <c r="E1090" t="inlineStr">
        <is>
          <t>BODEN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22311-2019</t>
        </is>
      </c>
      <c r="B1091" s="1" t="n">
        <v>43586</v>
      </c>
      <c r="C1091" s="1" t="n">
        <v>45798</v>
      </c>
      <c r="D1091" t="inlineStr">
        <is>
          <t>NORRBOTTENS LÄN</t>
        </is>
      </c>
      <c r="E1091" t="inlineStr">
        <is>
          <t>KALIX</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22481-2019</t>
        </is>
      </c>
      <c r="B1092" s="1" t="n">
        <v>43587</v>
      </c>
      <c r="C1092" s="1" t="n">
        <v>45798</v>
      </c>
      <c r="D1092" t="inlineStr">
        <is>
          <t>NORRBOTTENS LÄN</t>
        </is>
      </c>
      <c r="E1092" t="inlineStr">
        <is>
          <t>GÄLLIVARE</t>
        </is>
      </c>
      <c r="F1092" t="inlineStr">
        <is>
          <t>Sveaskog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22655-2019</t>
        </is>
      </c>
      <c r="B1093" s="1" t="n">
        <v>43587</v>
      </c>
      <c r="C1093" s="1" t="n">
        <v>45798</v>
      </c>
      <c r="D1093" t="inlineStr">
        <is>
          <t>NORRBOTTENS LÄN</t>
        </is>
      </c>
      <c r="E1093" t="inlineStr">
        <is>
          <t>KALIX</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22900-2019</t>
        </is>
      </c>
      <c r="B1094" s="1" t="n">
        <v>43587</v>
      </c>
      <c r="C1094" s="1" t="n">
        <v>45798</v>
      </c>
      <c r="D1094" t="inlineStr">
        <is>
          <t>NORRBOTTENS LÄN</t>
        </is>
      </c>
      <c r="E1094" t="inlineStr">
        <is>
          <t>ÖVERTORNEÅ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22564-2019</t>
        </is>
      </c>
      <c r="B1095" s="1" t="n">
        <v>43587</v>
      </c>
      <c r="C1095" s="1" t="n">
        <v>45798</v>
      </c>
      <c r="D1095" t="inlineStr">
        <is>
          <t>NORRBOTTENS LÄN</t>
        </is>
      </c>
      <c r="E1095" t="inlineStr">
        <is>
          <t>PAJALA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22861-2019</t>
        </is>
      </c>
      <c r="B1096" s="1" t="n">
        <v>43591</v>
      </c>
      <c r="C1096" s="1" t="n">
        <v>45798</v>
      </c>
      <c r="D1096" t="inlineStr">
        <is>
          <t>NORRBOTTENS LÄN</t>
        </is>
      </c>
      <c r="E1096" t="inlineStr">
        <is>
          <t>PAJALA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22886-2019</t>
        </is>
      </c>
      <c r="B1097" s="1" t="n">
        <v>43591</v>
      </c>
      <c r="C1097" s="1" t="n">
        <v>45798</v>
      </c>
      <c r="D1097" t="inlineStr">
        <is>
          <t>NORRBOTTENS LÄN</t>
        </is>
      </c>
      <c r="E1097" t="inlineStr">
        <is>
          <t>KALIX</t>
        </is>
      </c>
      <c r="F1097" t="inlineStr">
        <is>
          <t>Sveaskog</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22891-2019</t>
        </is>
      </c>
      <c r="B1098" s="1" t="n">
        <v>43591</v>
      </c>
      <c r="C1098" s="1" t="n">
        <v>45798</v>
      </c>
      <c r="D1098" t="inlineStr">
        <is>
          <t>NORRBOTTENS LÄN</t>
        </is>
      </c>
      <c r="E1098" t="inlineStr">
        <is>
          <t>KALIX</t>
        </is>
      </c>
      <c r="F1098" t="inlineStr">
        <is>
          <t>Sveaskog</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22844-2019</t>
        </is>
      </c>
      <c r="B1099" s="1" t="n">
        <v>43591</v>
      </c>
      <c r="C1099" s="1" t="n">
        <v>45798</v>
      </c>
      <c r="D1099" t="inlineStr">
        <is>
          <t>NORRBOTTENS LÄN</t>
        </is>
      </c>
      <c r="E1099" t="inlineStr">
        <is>
          <t>HAPARANDA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22885-2019</t>
        </is>
      </c>
      <c r="B1100" s="1" t="n">
        <v>43591</v>
      </c>
      <c r="C1100" s="1" t="n">
        <v>45798</v>
      </c>
      <c r="D1100" t="inlineStr">
        <is>
          <t>NORRBOTTENS LÄN</t>
        </is>
      </c>
      <c r="E1100" t="inlineStr">
        <is>
          <t>KALIX</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22907-2019</t>
        </is>
      </c>
      <c r="B1101" s="1" t="n">
        <v>43591</v>
      </c>
      <c r="C1101" s="1" t="n">
        <v>45798</v>
      </c>
      <c r="D1101" t="inlineStr">
        <is>
          <t>NORRBOTTENS LÄN</t>
        </is>
      </c>
      <c r="E1101" t="inlineStr">
        <is>
          <t>BODEN</t>
        </is>
      </c>
      <c r="F1101" t="inlineStr">
        <is>
          <t>Övriga Aktiebolag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22859-2019</t>
        </is>
      </c>
      <c r="B1102" s="1" t="n">
        <v>43591</v>
      </c>
      <c r="C1102" s="1" t="n">
        <v>45798</v>
      </c>
      <c r="D1102" t="inlineStr">
        <is>
          <t>NORRBOTTENS LÄN</t>
        </is>
      </c>
      <c r="E1102" t="inlineStr">
        <is>
          <t>PAJALA</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22889-2019</t>
        </is>
      </c>
      <c r="B1103" s="1" t="n">
        <v>43591</v>
      </c>
      <c r="C1103" s="1" t="n">
        <v>45798</v>
      </c>
      <c r="D1103" t="inlineStr">
        <is>
          <t>NORRBOTTENS LÄN</t>
        </is>
      </c>
      <c r="E1103" t="inlineStr">
        <is>
          <t>KALIX</t>
        </is>
      </c>
      <c r="F1103" t="inlineStr">
        <is>
          <t>Sveaskog</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23083-2019</t>
        </is>
      </c>
      <c r="B1104" s="1" t="n">
        <v>43591</v>
      </c>
      <c r="C1104" s="1" t="n">
        <v>45798</v>
      </c>
      <c r="D1104" t="inlineStr">
        <is>
          <t>NORRBOTTENS LÄN</t>
        </is>
      </c>
      <c r="E1104" t="inlineStr">
        <is>
          <t>KALIX</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22890-2019</t>
        </is>
      </c>
      <c r="B1105" s="1" t="n">
        <v>43591</v>
      </c>
      <c r="C1105" s="1" t="n">
        <v>45798</v>
      </c>
      <c r="D1105" t="inlineStr">
        <is>
          <t>NORRBOTTENS LÄN</t>
        </is>
      </c>
      <c r="E1105" t="inlineStr">
        <is>
          <t>KALIX</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23082-2019</t>
        </is>
      </c>
      <c r="B1106" s="1" t="n">
        <v>43591</v>
      </c>
      <c r="C1106" s="1" t="n">
        <v>45798</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22883-2019</t>
        </is>
      </c>
      <c r="B1107" s="1" t="n">
        <v>43591</v>
      </c>
      <c r="C1107" s="1" t="n">
        <v>45798</v>
      </c>
      <c r="D1107" t="inlineStr">
        <is>
          <t>NORRBOTTENS LÄN</t>
        </is>
      </c>
      <c r="E1107" t="inlineStr">
        <is>
          <t>KALIX</t>
        </is>
      </c>
      <c r="F1107" t="inlineStr">
        <is>
          <t>Sveaskog</t>
        </is>
      </c>
      <c r="G1107" t="n">
        <v>28.9</v>
      </c>
      <c r="H1107" t="n">
        <v>0</v>
      </c>
      <c r="I1107" t="n">
        <v>0</v>
      </c>
      <c r="J1107" t="n">
        <v>0</v>
      </c>
      <c r="K1107" t="n">
        <v>0</v>
      </c>
      <c r="L1107" t="n">
        <v>0</v>
      </c>
      <c r="M1107" t="n">
        <v>0</v>
      </c>
      <c r="N1107" t="n">
        <v>0</v>
      </c>
      <c r="O1107" t="n">
        <v>0</v>
      </c>
      <c r="P1107" t="n">
        <v>0</v>
      </c>
      <c r="Q1107" t="n">
        <v>0</v>
      </c>
      <c r="R1107" s="2" t="inlineStr"/>
    </row>
    <row r="1108" ht="15" customHeight="1">
      <c r="A1108" t="inlineStr">
        <is>
          <t>A 23152-2019</t>
        </is>
      </c>
      <c r="B1108" s="1" t="n">
        <v>43591</v>
      </c>
      <c r="C1108" s="1" t="n">
        <v>45798</v>
      </c>
      <c r="D1108" t="inlineStr">
        <is>
          <t>NORRBOTTENS LÄN</t>
        </is>
      </c>
      <c r="E1108" t="inlineStr">
        <is>
          <t>BODEN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22887-2019</t>
        </is>
      </c>
      <c r="B1109" s="1" t="n">
        <v>43591</v>
      </c>
      <c r="C1109" s="1" t="n">
        <v>45798</v>
      </c>
      <c r="D1109" t="inlineStr">
        <is>
          <t>NORRBOTTENS LÄN</t>
        </is>
      </c>
      <c r="E1109" t="inlineStr">
        <is>
          <t>KALIX</t>
        </is>
      </c>
      <c r="F1109" t="inlineStr">
        <is>
          <t>Sveaskog</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22850-2019</t>
        </is>
      </c>
      <c r="B1110" s="1" t="n">
        <v>43591</v>
      </c>
      <c r="C1110" s="1" t="n">
        <v>45798</v>
      </c>
      <c r="D1110" t="inlineStr">
        <is>
          <t>NORRBOTTENS LÄN</t>
        </is>
      </c>
      <c r="E1110" t="inlineStr">
        <is>
          <t>HAPARANDA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23382-2019</t>
        </is>
      </c>
      <c r="B1111" s="1" t="n">
        <v>43592</v>
      </c>
      <c r="C1111" s="1" t="n">
        <v>45798</v>
      </c>
      <c r="D1111" t="inlineStr">
        <is>
          <t>NORRBOTTENS LÄN</t>
        </is>
      </c>
      <c r="E1111" t="inlineStr">
        <is>
          <t>HAPARANDA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23162-2019</t>
        </is>
      </c>
      <c r="B1112" s="1" t="n">
        <v>43592</v>
      </c>
      <c r="C1112" s="1" t="n">
        <v>45798</v>
      </c>
      <c r="D1112" t="inlineStr">
        <is>
          <t>NORRBOTTENS LÄN</t>
        </is>
      </c>
      <c r="E1112" t="inlineStr">
        <is>
          <t>KALIX</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23334-2019</t>
        </is>
      </c>
      <c r="B1113" s="1" t="n">
        <v>43592</v>
      </c>
      <c r="C1113" s="1" t="n">
        <v>45798</v>
      </c>
      <c r="D1113" t="inlineStr">
        <is>
          <t>NORRBOTTENS LÄN</t>
        </is>
      </c>
      <c r="E1113" t="inlineStr">
        <is>
          <t>HAPARANDA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23356-2019</t>
        </is>
      </c>
      <c r="B1114" s="1" t="n">
        <v>43592</v>
      </c>
      <c r="C1114" s="1" t="n">
        <v>45798</v>
      </c>
      <c r="D1114" t="inlineStr">
        <is>
          <t>NORRBOTTENS LÄN</t>
        </is>
      </c>
      <c r="E1114" t="inlineStr">
        <is>
          <t>HAPARANDA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23449-2019</t>
        </is>
      </c>
      <c r="B1115" s="1" t="n">
        <v>43593</v>
      </c>
      <c r="C1115" s="1" t="n">
        <v>45798</v>
      </c>
      <c r="D1115" t="inlineStr">
        <is>
          <t>NORRBOTTENS LÄN</t>
        </is>
      </c>
      <c r="E1115" t="inlineStr">
        <is>
          <t>ÖVERTORNEÅ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23312-2019</t>
        </is>
      </c>
      <c r="B1116" s="1" t="n">
        <v>43593</v>
      </c>
      <c r="C1116" s="1" t="n">
        <v>45798</v>
      </c>
      <c r="D1116" t="inlineStr">
        <is>
          <t>NORRBOTTENS LÄN</t>
        </is>
      </c>
      <c r="E1116" t="inlineStr">
        <is>
          <t>BODEN</t>
        </is>
      </c>
      <c r="F1116" t="inlineStr">
        <is>
          <t>Övriga Aktiebolag</t>
        </is>
      </c>
      <c r="G1116" t="n">
        <v>2.7</v>
      </c>
      <c r="H1116" t="n">
        <v>0</v>
      </c>
      <c r="I1116" t="n">
        <v>0</v>
      </c>
      <c r="J1116" t="n">
        <v>0</v>
      </c>
      <c r="K1116" t="n">
        <v>0</v>
      </c>
      <c r="L1116" t="n">
        <v>0</v>
      </c>
      <c r="M1116" t="n">
        <v>0</v>
      </c>
      <c r="N1116" t="n">
        <v>0</v>
      </c>
      <c r="O1116" t="n">
        <v>0</v>
      </c>
      <c r="P1116" t="n">
        <v>0</v>
      </c>
      <c r="Q1116" t="n">
        <v>0</v>
      </c>
      <c r="R1116" s="2" t="inlineStr"/>
      <c r="U1116">
        <f>HYPERLINK("https://klasma.github.io/Logging_2582/knärot/A 23312-2019 karta knärot.png", "A 23312-2019")</f>
        <v/>
      </c>
      <c r="V1116">
        <f>HYPERLINK("https://klasma.github.io/Logging_2582/klagomål/A 23312-2019 FSC-klagomål.docx", "A 23312-2019")</f>
        <v/>
      </c>
      <c r="W1116">
        <f>HYPERLINK("https://klasma.github.io/Logging_2582/klagomålsmail/A 23312-2019 FSC-klagomål mail.docx", "A 23312-2019")</f>
        <v/>
      </c>
      <c r="X1116">
        <f>HYPERLINK("https://klasma.github.io/Logging_2582/tillsyn/A 23312-2019 tillsynsbegäran.docx", "A 23312-2019")</f>
        <v/>
      </c>
      <c r="Y1116">
        <f>HYPERLINK("https://klasma.github.io/Logging_2582/tillsynsmail/A 23312-2019 tillsynsbegäran mail.docx", "A 23312-2019")</f>
        <v/>
      </c>
    </row>
    <row r="1117" ht="15" customHeight="1">
      <c r="A1117" t="inlineStr">
        <is>
          <t>A 23610-2019</t>
        </is>
      </c>
      <c r="B1117" s="1" t="n">
        <v>43594</v>
      </c>
      <c r="C1117" s="1" t="n">
        <v>45798</v>
      </c>
      <c r="D1117" t="inlineStr">
        <is>
          <t>NORRBOTTENS LÄN</t>
        </is>
      </c>
      <c r="E1117" t="inlineStr">
        <is>
          <t>ÄLVSBYN</t>
        </is>
      </c>
      <c r="F1117" t="inlineStr">
        <is>
          <t>Kommuner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23647-2019</t>
        </is>
      </c>
      <c r="B1118" s="1" t="n">
        <v>43594</v>
      </c>
      <c r="C1118" s="1" t="n">
        <v>45798</v>
      </c>
      <c r="D1118" t="inlineStr">
        <is>
          <t>NORRBOTTENS LÄN</t>
        </is>
      </c>
      <c r="E1118" t="inlineStr">
        <is>
          <t>ÄLVSBYN</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23628-2019</t>
        </is>
      </c>
      <c r="B1119" s="1" t="n">
        <v>43594</v>
      </c>
      <c r="C1119" s="1" t="n">
        <v>45798</v>
      </c>
      <c r="D1119" t="inlineStr">
        <is>
          <t>NORRBOTTENS LÄN</t>
        </is>
      </c>
      <c r="E1119" t="inlineStr">
        <is>
          <t>PAJALA</t>
        </is>
      </c>
      <c r="G1119" t="n">
        <v>55.9</v>
      </c>
      <c r="H1119" t="n">
        <v>0</v>
      </c>
      <c r="I1119" t="n">
        <v>0</v>
      </c>
      <c r="J1119" t="n">
        <v>0</v>
      </c>
      <c r="K1119" t="n">
        <v>0</v>
      </c>
      <c r="L1119" t="n">
        <v>0</v>
      </c>
      <c r="M1119" t="n">
        <v>0</v>
      </c>
      <c r="N1119" t="n">
        <v>0</v>
      </c>
      <c r="O1119" t="n">
        <v>0</v>
      </c>
      <c r="P1119" t="n">
        <v>0</v>
      </c>
      <c r="Q1119" t="n">
        <v>0</v>
      </c>
      <c r="R1119" s="2" t="inlineStr"/>
    </row>
    <row r="1120" ht="15" customHeight="1">
      <c r="A1120" t="inlineStr">
        <is>
          <t>A 23642-2019</t>
        </is>
      </c>
      <c r="B1120" s="1" t="n">
        <v>43594</v>
      </c>
      <c r="C1120" s="1" t="n">
        <v>45798</v>
      </c>
      <c r="D1120" t="inlineStr">
        <is>
          <t>NORRBOTTENS LÄN</t>
        </is>
      </c>
      <c r="E1120" t="inlineStr">
        <is>
          <t>ÄLVSBYN</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23806-2019</t>
        </is>
      </c>
      <c r="B1121" s="1" t="n">
        <v>43595</v>
      </c>
      <c r="C1121" s="1" t="n">
        <v>45798</v>
      </c>
      <c r="D1121" t="inlineStr">
        <is>
          <t>NORRBOTTENS LÄN</t>
        </is>
      </c>
      <c r="E1121" t="inlineStr">
        <is>
          <t>GÄLLIVARE</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23812-2019</t>
        </is>
      </c>
      <c r="B1122" s="1" t="n">
        <v>43595</v>
      </c>
      <c r="C1122" s="1" t="n">
        <v>45798</v>
      </c>
      <c r="D1122" t="inlineStr">
        <is>
          <t>NORRBOTTENS LÄN</t>
        </is>
      </c>
      <c r="E1122" t="inlineStr">
        <is>
          <t>GÄLLIVARE</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23880-2019</t>
        </is>
      </c>
      <c r="B1123" s="1" t="n">
        <v>43595</v>
      </c>
      <c r="C1123" s="1" t="n">
        <v>45798</v>
      </c>
      <c r="D1123" t="inlineStr">
        <is>
          <t>NORRBOTTENS LÄN</t>
        </is>
      </c>
      <c r="E1123" t="inlineStr">
        <is>
          <t>GÄLLIVARE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24255-2019</t>
        </is>
      </c>
      <c r="B1124" s="1" t="n">
        <v>43597</v>
      </c>
      <c r="C1124" s="1" t="n">
        <v>45798</v>
      </c>
      <c r="D1124" t="inlineStr">
        <is>
          <t>NORRBOTTENS LÄN</t>
        </is>
      </c>
      <c r="E1124" t="inlineStr">
        <is>
          <t>ARVIDSJAUR</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24129-2019</t>
        </is>
      </c>
      <c r="B1125" s="1" t="n">
        <v>43598</v>
      </c>
      <c r="C1125" s="1" t="n">
        <v>45798</v>
      </c>
      <c r="D1125" t="inlineStr">
        <is>
          <t>NORRBOTTENS LÄN</t>
        </is>
      </c>
      <c r="E1125" t="inlineStr">
        <is>
          <t>ÄLVSBYN</t>
        </is>
      </c>
      <c r="F1125" t="inlineStr">
        <is>
          <t>Sveaskog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24156-2019</t>
        </is>
      </c>
      <c r="B1126" s="1" t="n">
        <v>43598</v>
      </c>
      <c r="C1126" s="1" t="n">
        <v>45798</v>
      </c>
      <c r="D1126" t="inlineStr">
        <is>
          <t>NORRBOTTENS LÄN</t>
        </is>
      </c>
      <c r="E1126" t="inlineStr">
        <is>
          <t>BODEN</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24062-2019</t>
        </is>
      </c>
      <c r="B1127" s="1" t="n">
        <v>43598</v>
      </c>
      <c r="C1127" s="1" t="n">
        <v>45798</v>
      </c>
      <c r="D1127" t="inlineStr">
        <is>
          <t>NORRBOTTENS LÄN</t>
        </is>
      </c>
      <c r="E1127" t="inlineStr">
        <is>
          <t>KALIX</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24885-2019</t>
        </is>
      </c>
      <c r="B1128" s="1" t="n">
        <v>43599</v>
      </c>
      <c r="C1128" s="1" t="n">
        <v>45798</v>
      </c>
      <c r="D1128" t="inlineStr">
        <is>
          <t>NORRBOTTENS LÄN</t>
        </is>
      </c>
      <c r="E1128" t="inlineStr">
        <is>
          <t>LULEÅ</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24847-2019</t>
        </is>
      </c>
      <c r="B1129" s="1" t="n">
        <v>43599</v>
      </c>
      <c r="C1129" s="1" t="n">
        <v>45798</v>
      </c>
      <c r="D1129" t="inlineStr">
        <is>
          <t>NORRBOTTENS LÄN</t>
        </is>
      </c>
      <c r="E1129" t="inlineStr">
        <is>
          <t>PAJALA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24474-2019</t>
        </is>
      </c>
      <c r="B1130" s="1" t="n">
        <v>43600</v>
      </c>
      <c r="C1130" s="1" t="n">
        <v>45798</v>
      </c>
      <c r="D1130" t="inlineStr">
        <is>
          <t>NORRBOTTENS LÄN</t>
        </is>
      </c>
      <c r="E1130" t="inlineStr">
        <is>
          <t>ÖVERTORNEÅ</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24564-2019</t>
        </is>
      </c>
      <c r="B1131" s="1" t="n">
        <v>43600</v>
      </c>
      <c r="C1131" s="1" t="n">
        <v>45798</v>
      </c>
      <c r="D1131" t="inlineStr">
        <is>
          <t>NORRBOTTENS LÄN</t>
        </is>
      </c>
      <c r="E1131" t="inlineStr">
        <is>
          <t>BODEN</t>
        </is>
      </c>
      <c r="F1131" t="inlineStr">
        <is>
          <t>Sveaskog</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24996-2019</t>
        </is>
      </c>
      <c r="B1132" s="1" t="n">
        <v>43600</v>
      </c>
      <c r="C1132" s="1" t="n">
        <v>45798</v>
      </c>
      <c r="D1132" t="inlineStr">
        <is>
          <t>NORRBOTTENS LÄN</t>
        </is>
      </c>
      <c r="E1132" t="inlineStr">
        <is>
          <t>GÄLLIVARE</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25214-2019</t>
        </is>
      </c>
      <c r="B1133" s="1" t="n">
        <v>43600</v>
      </c>
      <c r="C1133" s="1" t="n">
        <v>45798</v>
      </c>
      <c r="D1133" t="inlineStr">
        <is>
          <t>NORRBOTTENS LÄN</t>
        </is>
      </c>
      <c r="E1133" t="inlineStr">
        <is>
          <t>ÄLVSBYN</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25107-2019</t>
        </is>
      </c>
      <c r="B1134" s="1" t="n">
        <v>43600</v>
      </c>
      <c r="C1134" s="1" t="n">
        <v>45798</v>
      </c>
      <c r="D1134" t="inlineStr">
        <is>
          <t>NORRBOTTENS LÄN</t>
        </is>
      </c>
      <c r="E1134" t="inlineStr">
        <is>
          <t>ARJEPLOG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25217-2019</t>
        </is>
      </c>
      <c r="B1135" s="1" t="n">
        <v>43601</v>
      </c>
      <c r="C1135" s="1" t="n">
        <v>45798</v>
      </c>
      <c r="D1135" t="inlineStr">
        <is>
          <t>NORRBOTTENS LÄN</t>
        </is>
      </c>
      <c r="E1135" t="inlineStr">
        <is>
          <t>ARVIDSJAUR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25240-2019</t>
        </is>
      </c>
      <c r="B1136" s="1" t="n">
        <v>43601</v>
      </c>
      <c r="C1136" s="1" t="n">
        <v>45798</v>
      </c>
      <c r="D1136" t="inlineStr">
        <is>
          <t>NORRBOTTENS LÄN</t>
        </is>
      </c>
      <c r="E1136" t="inlineStr">
        <is>
          <t>HAPARANDA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25269-2019</t>
        </is>
      </c>
      <c r="B1137" s="1" t="n">
        <v>43601</v>
      </c>
      <c r="C1137" s="1" t="n">
        <v>45798</v>
      </c>
      <c r="D1137" t="inlineStr">
        <is>
          <t>NORRBOTTENS LÄN</t>
        </is>
      </c>
      <c r="E1137" t="inlineStr">
        <is>
          <t>HAPARANDA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25264-2019</t>
        </is>
      </c>
      <c r="B1138" s="1" t="n">
        <v>43601</v>
      </c>
      <c r="C1138" s="1" t="n">
        <v>45798</v>
      </c>
      <c r="D1138" t="inlineStr">
        <is>
          <t>NORRBOTTENS LÄN</t>
        </is>
      </c>
      <c r="E1138" t="inlineStr">
        <is>
          <t>HAPARANDA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25244-2019</t>
        </is>
      </c>
      <c r="B1139" s="1" t="n">
        <v>43601</v>
      </c>
      <c r="C1139" s="1" t="n">
        <v>45798</v>
      </c>
      <c r="D1139" t="inlineStr">
        <is>
          <t>NORRBOTTENS LÄN</t>
        </is>
      </c>
      <c r="E1139" t="inlineStr">
        <is>
          <t>HAPARANDA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24920-2019</t>
        </is>
      </c>
      <c r="B1140" s="1" t="n">
        <v>43602</v>
      </c>
      <c r="C1140" s="1" t="n">
        <v>45798</v>
      </c>
      <c r="D1140" t="inlineStr">
        <is>
          <t>NORRBOTTENS LÄN</t>
        </is>
      </c>
      <c r="E1140" t="inlineStr">
        <is>
          <t>ARVIDSJAUR</t>
        </is>
      </c>
      <c r="F1140" t="inlineStr">
        <is>
          <t>Sveaskog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25606-2019</t>
        </is>
      </c>
      <c r="B1141" s="1" t="n">
        <v>43602</v>
      </c>
      <c r="C1141" s="1" t="n">
        <v>45798</v>
      </c>
      <c r="D1141" t="inlineStr">
        <is>
          <t>NORRBOTTENS LÄN</t>
        </is>
      </c>
      <c r="E1141" t="inlineStr">
        <is>
          <t>JOKKMOKK</t>
        </is>
      </c>
      <c r="F1141" t="inlineStr">
        <is>
          <t>Allmännings- och besparingsskogar</t>
        </is>
      </c>
      <c r="G1141" t="n">
        <v>17.9</v>
      </c>
      <c r="H1141" t="n">
        <v>0</v>
      </c>
      <c r="I1141" t="n">
        <v>0</v>
      </c>
      <c r="J1141" t="n">
        <v>0</v>
      </c>
      <c r="K1141" t="n">
        <v>0</v>
      </c>
      <c r="L1141" t="n">
        <v>0</v>
      </c>
      <c r="M1141" t="n">
        <v>0</v>
      </c>
      <c r="N1141" t="n">
        <v>0</v>
      </c>
      <c r="O1141" t="n">
        <v>0</v>
      </c>
      <c r="P1141" t="n">
        <v>0</v>
      </c>
      <c r="Q1141" t="n">
        <v>0</v>
      </c>
      <c r="R1141" s="2" t="inlineStr"/>
    </row>
    <row r="1142" ht="15" customHeight="1">
      <c r="A1142" t="inlineStr">
        <is>
          <t>A 24865-2019</t>
        </is>
      </c>
      <c r="B1142" s="1" t="n">
        <v>43602</v>
      </c>
      <c r="C1142" s="1" t="n">
        <v>45798</v>
      </c>
      <c r="D1142" t="inlineStr">
        <is>
          <t>NORRBOTTENS LÄN</t>
        </is>
      </c>
      <c r="E1142" t="inlineStr">
        <is>
          <t>ARVIDSJAUR</t>
        </is>
      </c>
      <c r="F1142" t="inlineStr">
        <is>
          <t>Sveaskog</t>
        </is>
      </c>
      <c r="G1142" t="n">
        <v>21.2</v>
      </c>
      <c r="H1142" t="n">
        <v>0</v>
      </c>
      <c r="I1142" t="n">
        <v>0</v>
      </c>
      <c r="J1142" t="n">
        <v>0</v>
      </c>
      <c r="K1142" t="n">
        <v>0</v>
      </c>
      <c r="L1142" t="n">
        <v>0</v>
      </c>
      <c r="M1142" t="n">
        <v>0</v>
      </c>
      <c r="N1142" t="n">
        <v>0</v>
      </c>
      <c r="O1142" t="n">
        <v>0</v>
      </c>
      <c r="P1142" t="n">
        <v>0</v>
      </c>
      <c r="Q1142" t="n">
        <v>0</v>
      </c>
      <c r="R1142" s="2" t="inlineStr"/>
    </row>
    <row r="1143" ht="15" customHeight="1">
      <c r="A1143" t="inlineStr">
        <is>
          <t>A 24943-2019</t>
        </is>
      </c>
      <c r="B1143" s="1" t="n">
        <v>43602</v>
      </c>
      <c r="C1143" s="1" t="n">
        <v>45798</v>
      </c>
      <c r="D1143" t="inlineStr">
        <is>
          <t>NORRBOTTENS LÄN</t>
        </is>
      </c>
      <c r="E1143" t="inlineStr">
        <is>
          <t>ARJEPLOG</t>
        </is>
      </c>
      <c r="F1143" t="inlineStr">
        <is>
          <t>Sveaskog</t>
        </is>
      </c>
      <c r="G1143" t="n">
        <v>19.5</v>
      </c>
      <c r="H1143" t="n">
        <v>0</v>
      </c>
      <c r="I1143" t="n">
        <v>0</v>
      </c>
      <c r="J1143" t="n">
        <v>0</v>
      </c>
      <c r="K1143" t="n">
        <v>0</v>
      </c>
      <c r="L1143" t="n">
        <v>0</v>
      </c>
      <c r="M1143" t="n">
        <v>0</v>
      </c>
      <c r="N1143" t="n">
        <v>0</v>
      </c>
      <c r="O1143" t="n">
        <v>0</v>
      </c>
      <c r="P1143" t="n">
        <v>0</v>
      </c>
      <c r="Q1143" t="n">
        <v>0</v>
      </c>
      <c r="R1143" s="2" t="inlineStr"/>
    </row>
    <row r="1144" ht="15" customHeight="1">
      <c r="A1144" t="inlineStr">
        <is>
          <t>A 24999-2019</t>
        </is>
      </c>
      <c r="B1144" s="1" t="n">
        <v>43602</v>
      </c>
      <c r="C1144" s="1" t="n">
        <v>45798</v>
      </c>
      <c r="D1144" t="inlineStr">
        <is>
          <t>NORRBOTTENS LÄN</t>
        </is>
      </c>
      <c r="E1144" t="inlineStr">
        <is>
          <t>ARVIDSJAUR</t>
        </is>
      </c>
      <c r="F1144" t="inlineStr">
        <is>
          <t>Sveaskog</t>
        </is>
      </c>
      <c r="G1144" t="n">
        <v>68.09999999999999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24945-2019</t>
        </is>
      </c>
      <c r="B1145" s="1" t="n">
        <v>43602</v>
      </c>
      <c r="C1145" s="1" t="n">
        <v>45798</v>
      </c>
      <c r="D1145" t="inlineStr">
        <is>
          <t>NORRBOTTENS LÄN</t>
        </is>
      </c>
      <c r="E1145" t="inlineStr">
        <is>
          <t>ARVIDSJAUR</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24901-2019</t>
        </is>
      </c>
      <c r="B1146" s="1" t="n">
        <v>43602</v>
      </c>
      <c r="C1146" s="1" t="n">
        <v>45798</v>
      </c>
      <c r="D1146" t="inlineStr">
        <is>
          <t>NORRBOTTENS LÄN</t>
        </is>
      </c>
      <c r="E1146" t="inlineStr">
        <is>
          <t>PAJALA</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24870-2019</t>
        </is>
      </c>
      <c r="B1147" s="1" t="n">
        <v>43602</v>
      </c>
      <c r="C1147" s="1" t="n">
        <v>45798</v>
      </c>
      <c r="D1147" t="inlineStr">
        <is>
          <t>NORRBOTTENS LÄN</t>
        </is>
      </c>
      <c r="E1147" t="inlineStr">
        <is>
          <t>ARVIDSJAUR</t>
        </is>
      </c>
      <c r="F1147" t="inlineStr">
        <is>
          <t>Sveaskog</t>
        </is>
      </c>
      <c r="G1147" t="n">
        <v>85.2</v>
      </c>
      <c r="H1147" t="n">
        <v>0</v>
      </c>
      <c r="I1147" t="n">
        <v>0</v>
      </c>
      <c r="J1147" t="n">
        <v>0</v>
      </c>
      <c r="K1147" t="n">
        <v>0</v>
      </c>
      <c r="L1147" t="n">
        <v>0</v>
      </c>
      <c r="M1147" t="n">
        <v>0</v>
      </c>
      <c r="N1147" t="n">
        <v>0</v>
      </c>
      <c r="O1147" t="n">
        <v>0</v>
      </c>
      <c r="P1147" t="n">
        <v>0</v>
      </c>
      <c r="Q1147" t="n">
        <v>0</v>
      </c>
      <c r="R1147" s="2" t="inlineStr"/>
    </row>
    <row r="1148" ht="15" customHeight="1">
      <c r="A1148" t="inlineStr">
        <is>
          <t>A 24837-2019</t>
        </is>
      </c>
      <c r="B1148" s="1" t="n">
        <v>43602</v>
      </c>
      <c r="C1148" s="1" t="n">
        <v>45798</v>
      </c>
      <c r="D1148" t="inlineStr">
        <is>
          <t>NORRBOTTENS LÄN</t>
        </is>
      </c>
      <c r="E1148" t="inlineStr">
        <is>
          <t>BODEN</t>
        </is>
      </c>
      <c r="F1148" t="inlineStr">
        <is>
          <t>Övriga Aktiebolag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24838-2019</t>
        </is>
      </c>
      <c r="B1149" s="1" t="n">
        <v>43602</v>
      </c>
      <c r="C1149" s="1" t="n">
        <v>45798</v>
      </c>
      <c r="D1149" t="inlineStr">
        <is>
          <t>NORRBOTTENS LÄN</t>
        </is>
      </c>
      <c r="E1149" t="inlineStr">
        <is>
          <t>BODEN</t>
        </is>
      </c>
      <c r="F1149" t="inlineStr">
        <is>
          <t>Sveaskog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25208-2019</t>
        </is>
      </c>
      <c r="B1150" s="1" t="n">
        <v>43605</v>
      </c>
      <c r="C1150" s="1" t="n">
        <v>45798</v>
      </c>
      <c r="D1150" t="inlineStr">
        <is>
          <t>NORRBOTTENS LÄN</t>
        </is>
      </c>
      <c r="E1150" t="inlineStr">
        <is>
          <t>LULEÅ</t>
        </is>
      </c>
      <c r="G1150" t="n">
        <v>25.8</v>
      </c>
      <c r="H1150" t="n">
        <v>0</v>
      </c>
      <c r="I1150" t="n">
        <v>0</v>
      </c>
      <c r="J1150" t="n">
        <v>0</v>
      </c>
      <c r="K1150" t="n">
        <v>0</v>
      </c>
      <c r="L1150" t="n">
        <v>0</v>
      </c>
      <c r="M1150" t="n">
        <v>0</v>
      </c>
      <c r="N1150" t="n">
        <v>0</v>
      </c>
      <c r="O1150" t="n">
        <v>0</v>
      </c>
      <c r="P1150" t="n">
        <v>0</v>
      </c>
      <c r="Q1150" t="n">
        <v>0</v>
      </c>
      <c r="R1150" s="2" t="inlineStr"/>
    </row>
    <row r="1151" ht="15" customHeight="1">
      <c r="A1151" t="inlineStr">
        <is>
          <t>A 25212-2019</t>
        </is>
      </c>
      <c r="B1151" s="1" t="n">
        <v>43605</v>
      </c>
      <c r="C1151" s="1" t="n">
        <v>45798</v>
      </c>
      <c r="D1151" t="inlineStr">
        <is>
          <t>NORRBOTTENS LÄN</t>
        </is>
      </c>
      <c r="E1151" t="inlineStr">
        <is>
          <t>LULEÅ</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25253-2019</t>
        </is>
      </c>
      <c r="B1152" s="1" t="n">
        <v>43605</v>
      </c>
      <c r="C1152" s="1" t="n">
        <v>45798</v>
      </c>
      <c r="D1152" t="inlineStr">
        <is>
          <t>NORRBOTTENS LÄN</t>
        </is>
      </c>
      <c r="E1152" t="inlineStr">
        <is>
          <t>ARVIDSJAUR</t>
        </is>
      </c>
      <c r="F1152" t="inlineStr">
        <is>
          <t>Sveaskog</t>
        </is>
      </c>
      <c r="G1152" t="n">
        <v>43.2</v>
      </c>
      <c r="H1152" t="n">
        <v>0</v>
      </c>
      <c r="I1152" t="n">
        <v>0</v>
      </c>
      <c r="J1152" t="n">
        <v>0</v>
      </c>
      <c r="K1152" t="n">
        <v>0</v>
      </c>
      <c r="L1152" t="n">
        <v>0</v>
      </c>
      <c r="M1152" t="n">
        <v>0</v>
      </c>
      <c r="N1152" t="n">
        <v>0</v>
      </c>
      <c r="O1152" t="n">
        <v>0</v>
      </c>
      <c r="P1152" t="n">
        <v>0</v>
      </c>
      <c r="Q1152" t="n">
        <v>0</v>
      </c>
      <c r="R1152" s="2" t="inlineStr"/>
    </row>
    <row r="1153" ht="15" customHeight="1">
      <c r="A1153" t="inlineStr">
        <is>
          <t>A 26099-2019</t>
        </is>
      </c>
      <c r="B1153" s="1" t="n">
        <v>43605</v>
      </c>
      <c r="C1153" s="1" t="n">
        <v>45798</v>
      </c>
      <c r="D1153" t="inlineStr">
        <is>
          <t>NORRBOTTENS LÄN</t>
        </is>
      </c>
      <c r="E1153" t="inlineStr">
        <is>
          <t>ARJEPLOG</t>
        </is>
      </c>
      <c r="F1153" t="inlineStr">
        <is>
          <t>Övriga statliga verk och myndigheter</t>
        </is>
      </c>
      <c r="G1153" t="n">
        <v>40.2</v>
      </c>
      <c r="H1153" t="n">
        <v>0</v>
      </c>
      <c r="I1153" t="n">
        <v>0</v>
      </c>
      <c r="J1153" t="n">
        <v>0</v>
      </c>
      <c r="K1153" t="n">
        <v>0</v>
      </c>
      <c r="L1153" t="n">
        <v>0</v>
      </c>
      <c r="M1153" t="n">
        <v>0</v>
      </c>
      <c r="N1153" t="n">
        <v>0</v>
      </c>
      <c r="O1153" t="n">
        <v>0</v>
      </c>
      <c r="P1153" t="n">
        <v>0</v>
      </c>
      <c r="Q1153" t="n">
        <v>0</v>
      </c>
      <c r="R1153" s="2" t="inlineStr"/>
    </row>
    <row r="1154" ht="15" customHeight="1">
      <c r="A1154" t="inlineStr">
        <is>
          <t>A 25274-2019</t>
        </is>
      </c>
      <c r="B1154" s="1" t="n">
        <v>43605</v>
      </c>
      <c r="C1154" s="1" t="n">
        <v>45798</v>
      </c>
      <c r="D1154" t="inlineStr">
        <is>
          <t>NORRBOTTENS LÄN</t>
        </is>
      </c>
      <c r="E1154" t="inlineStr">
        <is>
          <t>ARVIDSJAUR</t>
        </is>
      </c>
      <c r="F1154" t="inlineStr">
        <is>
          <t>Sveaskog</t>
        </is>
      </c>
      <c r="G1154" t="n">
        <v>35.4</v>
      </c>
      <c r="H1154" t="n">
        <v>0</v>
      </c>
      <c r="I1154" t="n">
        <v>0</v>
      </c>
      <c r="J1154" t="n">
        <v>0</v>
      </c>
      <c r="K1154" t="n">
        <v>0</v>
      </c>
      <c r="L1154" t="n">
        <v>0</v>
      </c>
      <c r="M1154" t="n">
        <v>0</v>
      </c>
      <c r="N1154" t="n">
        <v>0</v>
      </c>
      <c r="O1154" t="n">
        <v>0</v>
      </c>
      <c r="P1154" t="n">
        <v>0</v>
      </c>
      <c r="Q1154" t="n">
        <v>0</v>
      </c>
      <c r="R1154" s="2" t="inlineStr"/>
    </row>
    <row r="1155" ht="15" customHeight="1">
      <c r="A1155" t="inlineStr">
        <is>
          <t>A 26101-2019</t>
        </is>
      </c>
      <c r="B1155" s="1" t="n">
        <v>43605</v>
      </c>
      <c r="C1155" s="1" t="n">
        <v>45798</v>
      </c>
      <c r="D1155" t="inlineStr">
        <is>
          <t>NORRBOTTENS LÄN</t>
        </is>
      </c>
      <c r="E1155" t="inlineStr">
        <is>
          <t>ÖVERTORNEÅ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25437-2019</t>
        </is>
      </c>
      <c r="B1156" s="1" t="n">
        <v>43605</v>
      </c>
      <c r="C1156" s="1" t="n">
        <v>45798</v>
      </c>
      <c r="D1156" t="inlineStr">
        <is>
          <t>NORRBOTTENS LÄN</t>
        </is>
      </c>
      <c r="E1156" t="inlineStr">
        <is>
          <t>ARVIDSJAUR</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25887-2019</t>
        </is>
      </c>
      <c r="B1157" s="1" t="n">
        <v>43605</v>
      </c>
      <c r="C1157" s="1" t="n">
        <v>45798</v>
      </c>
      <c r="D1157" t="inlineStr">
        <is>
          <t>NORRBOTTENS LÄN</t>
        </is>
      </c>
      <c r="E1157" t="inlineStr">
        <is>
          <t>PITEÅ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25351-2019</t>
        </is>
      </c>
      <c r="B1158" s="1" t="n">
        <v>43606</v>
      </c>
      <c r="C1158" s="1" t="n">
        <v>45798</v>
      </c>
      <c r="D1158" t="inlineStr">
        <is>
          <t>NORRBOTTENS LÄN</t>
        </is>
      </c>
      <c r="E1158" t="inlineStr">
        <is>
          <t>JOKKMOKK</t>
        </is>
      </c>
      <c r="F1158" t="inlineStr">
        <is>
          <t>Sveaskog</t>
        </is>
      </c>
      <c r="G1158" t="n">
        <v>47.8</v>
      </c>
      <c r="H1158" t="n">
        <v>0</v>
      </c>
      <c r="I1158" t="n">
        <v>0</v>
      </c>
      <c r="J1158" t="n">
        <v>0</v>
      </c>
      <c r="K1158" t="n">
        <v>0</v>
      </c>
      <c r="L1158" t="n">
        <v>0</v>
      </c>
      <c r="M1158" t="n">
        <v>0</v>
      </c>
      <c r="N1158" t="n">
        <v>0</v>
      </c>
      <c r="O1158" t="n">
        <v>0</v>
      </c>
      <c r="P1158" t="n">
        <v>0</v>
      </c>
      <c r="Q1158" t="n">
        <v>0</v>
      </c>
      <c r="R1158" s="2" t="inlineStr"/>
    </row>
    <row r="1159" ht="15" customHeight="1">
      <c r="A1159" t="inlineStr">
        <is>
          <t>A 25352-2019</t>
        </is>
      </c>
      <c r="B1159" s="1" t="n">
        <v>43606</v>
      </c>
      <c r="C1159" s="1" t="n">
        <v>45798</v>
      </c>
      <c r="D1159" t="inlineStr">
        <is>
          <t>NORRBOTTENS LÄN</t>
        </is>
      </c>
      <c r="E1159" t="inlineStr">
        <is>
          <t>JOKKMOKK</t>
        </is>
      </c>
      <c r="F1159" t="inlineStr">
        <is>
          <t>Sveaskog</t>
        </is>
      </c>
      <c r="G1159" t="n">
        <v>60.5</v>
      </c>
      <c r="H1159" t="n">
        <v>0</v>
      </c>
      <c r="I1159" t="n">
        <v>0</v>
      </c>
      <c r="J1159" t="n">
        <v>0</v>
      </c>
      <c r="K1159" t="n">
        <v>0</v>
      </c>
      <c r="L1159" t="n">
        <v>0</v>
      </c>
      <c r="M1159" t="n">
        <v>0</v>
      </c>
      <c r="N1159" t="n">
        <v>0</v>
      </c>
      <c r="O1159" t="n">
        <v>0</v>
      </c>
      <c r="P1159" t="n">
        <v>0</v>
      </c>
      <c r="Q1159" t="n">
        <v>0</v>
      </c>
      <c r="R1159" s="2" t="inlineStr"/>
    </row>
    <row r="1160" ht="15" customHeight="1">
      <c r="A1160" t="inlineStr">
        <is>
          <t>A 25660-2019</t>
        </is>
      </c>
      <c r="B1160" s="1" t="n">
        <v>43607</v>
      </c>
      <c r="C1160" s="1" t="n">
        <v>45798</v>
      </c>
      <c r="D1160" t="inlineStr">
        <is>
          <t>NORRBOTTENS LÄN</t>
        </is>
      </c>
      <c r="E1160" t="inlineStr">
        <is>
          <t>ÖVERTORNEÅ</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26818-2019</t>
        </is>
      </c>
      <c r="B1161" s="1" t="n">
        <v>43607</v>
      </c>
      <c r="C1161" s="1" t="n">
        <v>45798</v>
      </c>
      <c r="D1161" t="inlineStr">
        <is>
          <t>NORRBOTTENS LÄN</t>
        </is>
      </c>
      <c r="E1161" t="inlineStr">
        <is>
          <t>ÄLVSBYN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26865-2019</t>
        </is>
      </c>
      <c r="B1162" s="1" t="n">
        <v>43608</v>
      </c>
      <c r="C1162" s="1" t="n">
        <v>45798</v>
      </c>
      <c r="D1162" t="inlineStr">
        <is>
          <t>NORRBOTTENS LÄN</t>
        </is>
      </c>
      <c r="E1162" t="inlineStr">
        <is>
          <t>ÖVERTORNEÅ</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26745-2019</t>
        </is>
      </c>
      <c r="B1163" s="1" t="n">
        <v>43608</v>
      </c>
      <c r="C1163" s="1" t="n">
        <v>45798</v>
      </c>
      <c r="D1163" t="inlineStr">
        <is>
          <t>NORRBOTTENS LÄN</t>
        </is>
      </c>
      <c r="E1163" t="inlineStr">
        <is>
          <t>PITEÅ</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27123-2019</t>
        </is>
      </c>
      <c r="B1164" s="1" t="n">
        <v>43608</v>
      </c>
      <c r="C1164" s="1" t="n">
        <v>45798</v>
      </c>
      <c r="D1164" t="inlineStr">
        <is>
          <t>NORRBOTTENS LÄN</t>
        </is>
      </c>
      <c r="E1164" t="inlineStr">
        <is>
          <t>KALIX</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25981-2019</t>
        </is>
      </c>
      <c r="B1165" s="1" t="n">
        <v>43608</v>
      </c>
      <c r="C1165" s="1" t="n">
        <v>45798</v>
      </c>
      <c r="D1165" t="inlineStr">
        <is>
          <t>NORRBOTTENS LÄN</t>
        </is>
      </c>
      <c r="E1165" t="inlineStr">
        <is>
          <t>JOKKMOKK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27131-2019</t>
        </is>
      </c>
      <c r="B1166" s="1" t="n">
        <v>43608</v>
      </c>
      <c r="C1166" s="1" t="n">
        <v>45798</v>
      </c>
      <c r="D1166" t="inlineStr">
        <is>
          <t>NORRBOTTENS LÄN</t>
        </is>
      </c>
      <c r="E1166" t="inlineStr">
        <is>
          <t>KALIX</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25834-2019</t>
        </is>
      </c>
      <c r="B1167" s="1" t="n">
        <v>43608</v>
      </c>
      <c r="C1167" s="1" t="n">
        <v>45798</v>
      </c>
      <c r="D1167" t="inlineStr">
        <is>
          <t>NORRBOTTENS LÄN</t>
        </is>
      </c>
      <c r="E1167" t="inlineStr">
        <is>
          <t>PAJALA</t>
        </is>
      </c>
      <c r="F1167" t="inlineStr">
        <is>
          <t>Sveaskog</t>
        </is>
      </c>
      <c r="G1167" t="n">
        <v>31.2</v>
      </c>
      <c r="H1167" t="n">
        <v>0</v>
      </c>
      <c r="I1167" t="n">
        <v>0</v>
      </c>
      <c r="J1167" t="n">
        <v>0</v>
      </c>
      <c r="K1167" t="n">
        <v>0</v>
      </c>
      <c r="L1167" t="n">
        <v>0</v>
      </c>
      <c r="M1167" t="n">
        <v>0</v>
      </c>
      <c r="N1167" t="n">
        <v>0</v>
      </c>
      <c r="O1167" t="n">
        <v>0</v>
      </c>
      <c r="P1167" t="n">
        <v>0</v>
      </c>
      <c r="Q1167" t="n">
        <v>0</v>
      </c>
      <c r="R1167" s="2" t="inlineStr"/>
    </row>
    <row r="1168" ht="15" customHeight="1">
      <c r="A1168" t="inlineStr">
        <is>
          <t>A 26056-2019</t>
        </is>
      </c>
      <c r="B1168" s="1" t="n">
        <v>43609</v>
      </c>
      <c r="C1168" s="1" t="n">
        <v>45798</v>
      </c>
      <c r="D1168" t="inlineStr">
        <is>
          <t>NORRBOTTENS LÄN</t>
        </is>
      </c>
      <c r="E1168" t="inlineStr">
        <is>
          <t>PAJALA</t>
        </is>
      </c>
      <c r="F1168" t="inlineStr">
        <is>
          <t>Sveaskog</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26137-2019</t>
        </is>
      </c>
      <c r="B1169" s="1" t="n">
        <v>43609</v>
      </c>
      <c r="C1169" s="1" t="n">
        <v>45798</v>
      </c>
      <c r="D1169" t="inlineStr">
        <is>
          <t>NORRBOTTENS LÄN</t>
        </is>
      </c>
      <c r="E1169" t="inlineStr">
        <is>
          <t>BODEN</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26139-2019</t>
        </is>
      </c>
      <c r="B1170" s="1" t="n">
        <v>43609</v>
      </c>
      <c r="C1170" s="1" t="n">
        <v>45798</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26869-2019</t>
        </is>
      </c>
      <c r="B1171" s="1" t="n">
        <v>43609</v>
      </c>
      <c r="C1171" s="1" t="n">
        <v>45798</v>
      </c>
      <c r="D1171" t="inlineStr">
        <is>
          <t>NORRBOTTENS LÄN</t>
        </is>
      </c>
      <c r="E1171" t="inlineStr">
        <is>
          <t>PAJALA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26209-2019</t>
        </is>
      </c>
      <c r="B1172" s="1" t="n">
        <v>43609</v>
      </c>
      <c r="C1172" s="1" t="n">
        <v>45798</v>
      </c>
      <c r="D1172" t="inlineStr">
        <is>
          <t>NORRBOTTENS LÄN</t>
        </is>
      </c>
      <c r="E1172" t="inlineStr">
        <is>
          <t>BODEN</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26256-2019</t>
        </is>
      </c>
      <c r="B1173" s="1" t="n">
        <v>43610</v>
      </c>
      <c r="C1173" s="1" t="n">
        <v>45798</v>
      </c>
      <c r="D1173" t="inlineStr">
        <is>
          <t>NORRBOTTENS LÄN</t>
        </is>
      </c>
      <c r="E1173" t="inlineStr">
        <is>
          <t>ÖVERTORNEÅ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27498-2019</t>
        </is>
      </c>
      <c r="B1174" s="1" t="n">
        <v>43612</v>
      </c>
      <c r="C1174" s="1" t="n">
        <v>45798</v>
      </c>
      <c r="D1174" t="inlineStr">
        <is>
          <t>NORRBOTTENS LÄN</t>
        </is>
      </c>
      <c r="E1174" t="inlineStr">
        <is>
          <t>GÄLLIVARE</t>
        </is>
      </c>
      <c r="F1174" t="inlineStr">
        <is>
          <t>Allmännings- och besparingsskogar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26948-2019</t>
        </is>
      </c>
      <c r="B1175" s="1" t="n">
        <v>43613</v>
      </c>
      <c r="C1175" s="1" t="n">
        <v>45798</v>
      </c>
      <c r="D1175" t="inlineStr">
        <is>
          <t>NORRBOTTENS LÄN</t>
        </is>
      </c>
      <c r="E1175" t="inlineStr">
        <is>
          <t>GÄLLIVARE</t>
        </is>
      </c>
      <c r="F1175" t="inlineStr">
        <is>
          <t>SCA</t>
        </is>
      </c>
      <c r="G1175" t="n">
        <v>32.6</v>
      </c>
      <c r="H1175" t="n">
        <v>0</v>
      </c>
      <c r="I1175" t="n">
        <v>0</v>
      </c>
      <c r="J1175" t="n">
        <v>0</v>
      </c>
      <c r="K1175" t="n">
        <v>0</v>
      </c>
      <c r="L1175" t="n">
        <v>0</v>
      </c>
      <c r="M1175" t="n">
        <v>0</v>
      </c>
      <c r="N1175" t="n">
        <v>0</v>
      </c>
      <c r="O1175" t="n">
        <v>0</v>
      </c>
      <c r="P1175" t="n">
        <v>0</v>
      </c>
      <c r="Q1175" t="n">
        <v>0</v>
      </c>
      <c r="R1175" s="2" t="inlineStr"/>
    </row>
    <row r="1176" ht="15" customHeight="1">
      <c r="A1176" t="inlineStr">
        <is>
          <t>A 26743-2019</t>
        </is>
      </c>
      <c r="B1176" s="1" t="n">
        <v>43613</v>
      </c>
      <c r="C1176" s="1" t="n">
        <v>45798</v>
      </c>
      <c r="D1176" t="inlineStr">
        <is>
          <t>NORRBOTTENS LÄN</t>
        </is>
      </c>
      <c r="E1176" t="inlineStr">
        <is>
          <t>GÄLLIVARE</t>
        </is>
      </c>
      <c r="F1176" t="inlineStr">
        <is>
          <t>Sveaskog</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26986-2019</t>
        </is>
      </c>
      <c r="B1177" s="1" t="n">
        <v>43614</v>
      </c>
      <c r="C1177" s="1" t="n">
        <v>45798</v>
      </c>
      <c r="D1177" t="inlineStr">
        <is>
          <t>NORRBOTTENS LÄN</t>
        </is>
      </c>
      <c r="E1177" t="inlineStr">
        <is>
          <t>HAPARANDA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27043-2019</t>
        </is>
      </c>
      <c r="B1178" s="1" t="n">
        <v>43614</v>
      </c>
      <c r="C1178" s="1" t="n">
        <v>45798</v>
      </c>
      <c r="D1178" t="inlineStr">
        <is>
          <t>NORRBOTTENS LÄN</t>
        </is>
      </c>
      <c r="E1178" t="inlineStr">
        <is>
          <t>GÄLLIVARE</t>
        </is>
      </c>
      <c r="F1178" t="inlineStr">
        <is>
          <t>Sveaskog</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27000-2019</t>
        </is>
      </c>
      <c r="B1179" s="1" t="n">
        <v>43614</v>
      </c>
      <c r="C1179" s="1" t="n">
        <v>45798</v>
      </c>
      <c r="D1179" t="inlineStr">
        <is>
          <t>NORRBOTTENS LÄN</t>
        </is>
      </c>
      <c r="E1179" t="inlineStr">
        <is>
          <t>ARVIDSJAUR</t>
        </is>
      </c>
      <c r="F1179" t="inlineStr">
        <is>
          <t>Sveaskog</t>
        </is>
      </c>
      <c r="G1179" t="n">
        <v>57.7</v>
      </c>
      <c r="H1179" t="n">
        <v>0</v>
      </c>
      <c r="I1179" t="n">
        <v>0</v>
      </c>
      <c r="J1179" t="n">
        <v>0</v>
      </c>
      <c r="K1179" t="n">
        <v>0</v>
      </c>
      <c r="L1179" t="n">
        <v>0</v>
      </c>
      <c r="M1179" t="n">
        <v>0</v>
      </c>
      <c r="N1179" t="n">
        <v>0</v>
      </c>
      <c r="O1179" t="n">
        <v>0</v>
      </c>
      <c r="P1179" t="n">
        <v>0</v>
      </c>
      <c r="Q1179" t="n">
        <v>0</v>
      </c>
      <c r="R1179" s="2" t="inlineStr"/>
    </row>
    <row r="1180" ht="15" customHeight="1">
      <c r="A1180" t="inlineStr">
        <is>
          <t>A 27245-2019</t>
        </is>
      </c>
      <c r="B1180" s="1" t="n">
        <v>43614</v>
      </c>
      <c r="C1180" s="1" t="n">
        <v>45798</v>
      </c>
      <c r="D1180" t="inlineStr">
        <is>
          <t>NORRBOTTENS LÄN</t>
        </is>
      </c>
      <c r="E1180" t="inlineStr">
        <is>
          <t>GÄLLIVARE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27174-2019</t>
        </is>
      </c>
      <c r="B1181" s="1" t="n">
        <v>43614</v>
      </c>
      <c r="C1181" s="1" t="n">
        <v>45798</v>
      </c>
      <c r="D1181" t="inlineStr">
        <is>
          <t>NORRBOTTENS LÄN</t>
        </is>
      </c>
      <c r="E1181" t="inlineStr">
        <is>
          <t>HAPARANDA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27257-2019</t>
        </is>
      </c>
      <c r="B1182" s="1" t="n">
        <v>43614</v>
      </c>
      <c r="C1182" s="1" t="n">
        <v>45798</v>
      </c>
      <c r="D1182" t="inlineStr">
        <is>
          <t>NORRBOTTENS LÄN</t>
        </is>
      </c>
      <c r="E1182" t="inlineStr">
        <is>
          <t>KALIX</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27243-2019</t>
        </is>
      </c>
      <c r="B1183" s="1" t="n">
        <v>43614</v>
      </c>
      <c r="C1183" s="1" t="n">
        <v>45798</v>
      </c>
      <c r="D1183" t="inlineStr">
        <is>
          <t>NORRBOTTENS LÄN</t>
        </is>
      </c>
      <c r="E1183" t="inlineStr">
        <is>
          <t>GÄLLIVARE</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28674-2019</t>
        </is>
      </c>
      <c r="B1184" s="1" t="n">
        <v>43614</v>
      </c>
      <c r="C1184" s="1" t="n">
        <v>45798</v>
      </c>
      <c r="D1184" t="inlineStr">
        <is>
          <t>NORRBOTTENS LÄN</t>
        </is>
      </c>
      <c r="E1184" t="inlineStr">
        <is>
          <t>ÖVERTORNEÅ</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27240-2019</t>
        </is>
      </c>
      <c r="B1185" s="1" t="n">
        <v>43614</v>
      </c>
      <c r="C1185" s="1" t="n">
        <v>45798</v>
      </c>
      <c r="D1185" t="inlineStr">
        <is>
          <t>NORRBOTTENS LÄN</t>
        </is>
      </c>
      <c r="E1185" t="inlineStr">
        <is>
          <t>PITEÅ</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28698-2019</t>
        </is>
      </c>
      <c r="B1186" s="1" t="n">
        <v>43614</v>
      </c>
      <c r="C1186" s="1" t="n">
        <v>45798</v>
      </c>
      <c r="D1186" t="inlineStr">
        <is>
          <t>NORRBOTTENS LÄN</t>
        </is>
      </c>
      <c r="E1186" t="inlineStr">
        <is>
          <t>BODEN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27247-2019</t>
        </is>
      </c>
      <c r="B1187" s="1" t="n">
        <v>43614</v>
      </c>
      <c r="C1187" s="1" t="n">
        <v>45798</v>
      </c>
      <c r="D1187" t="inlineStr">
        <is>
          <t>NORRBOTTENS LÄN</t>
        </is>
      </c>
      <c r="E1187" t="inlineStr">
        <is>
          <t>GÄLLIVARE</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27233-2019</t>
        </is>
      </c>
      <c r="B1188" s="1" t="n">
        <v>43614</v>
      </c>
      <c r="C1188" s="1" t="n">
        <v>45798</v>
      </c>
      <c r="D1188" t="inlineStr">
        <is>
          <t>NORRBOTTENS LÄN</t>
        </is>
      </c>
      <c r="E1188" t="inlineStr">
        <is>
          <t>ÄLVSBYN</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27041-2019</t>
        </is>
      </c>
      <c r="B1189" s="1" t="n">
        <v>43614</v>
      </c>
      <c r="C1189" s="1" t="n">
        <v>45798</v>
      </c>
      <c r="D1189" t="inlineStr">
        <is>
          <t>NORRBOTTENS LÄN</t>
        </is>
      </c>
      <c r="E1189" t="inlineStr">
        <is>
          <t>JOKKMOKK</t>
        </is>
      </c>
      <c r="F1189" t="inlineStr">
        <is>
          <t>Sveaskog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27361-2019</t>
        </is>
      </c>
      <c r="B1190" s="1" t="n">
        <v>43616</v>
      </c>
      <c r="C1190" s="1" t="n">
        <v>45798</v>
      </c>
      <c r="D1190" t="inlineStr">
        <is>
          <t>NORRBOTTENS LÄN</t>
        </is>
      </c>
      <c r="E1190" t="inlineStr">
        <is>
          <t>ARVIDSJAUR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28768-2019</t>
        </is>
      </c>
      <c r="B1191" s="1" t="n">
        <v>43616</v>
      </c>
      <c r="C1191" s="1" t="n">
        <v>45798</v>
      </c>
      <c r="D1191" t="inlineStr">
        <is>
          <t>NORRBOTTENS LÄN</t>
        </is>
      </c>
      <c r="E1191" t="inlineStr">
        <is>
          <t>ÖVERKALIX</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27389-2019</t>
        </is>
      </c>
      <c r="B1192" s="1" t="n">
        <v>43616</v>
      </c>
      <c r="C1192" s="1" t="n">
        <v>45798</v>
      </c>
      <c r="D1192" t="inlineStr">
        <is>
          <t>NORRBOTTENS LÄN</t>
        </is>
      </c>
      <c r="E1192" t="inlineStr">
        <is>
          <t>BODEN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27422-2019</t>
        </is>
      </c>
      <c r="B1193" s="1" t="n">
        <v>43616</v>
      </c>
      <c r="C1193" s="1" t="n">
        <v>45798</v>
      </c>
      <c r="D1193" t="inlineStr">
        <is>
          <t>NORRBOTTENS LÄN</t>
        </is>
      </c>
      <c r="E1193" t="inlineStr">
        <is>
          <t>PITEÅ</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28878-2019</t>
        </is>
      </c>
      <c r="B1194" s="1" t="n">
        <v>43616</v>
      </c>
      <c r="C1194" s="1" t="n">
        <v>45798</v>
      </c>
      <c r="D1194" t="inlineStr">
        <is>
          <t>NORRBOTTENS LÄN</t>
        </is>
      </c>
      <c r="E1194" t="inlineStr">
        <is>
          <t>HAPARANDA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27423-2019</t>
        </is>
      </c>
      <c r="B1195" s="1" t="n">
        <v>43616</v>
      </c>
      <c r="C1195" s="1" t="n">
        <v>45798</v>
      </c>
      <c r="D1195" t="inlineStr">
        <is>
          <t>NORRBOTTENS LÄN</t>
        </is>
      </c>
      <c r="E1195" t="inlineStr">
        <is>
          <t>PITEÅ</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28881-2019</t>
        </is>
      </c>
      <c r="B1196" s="1" t="n">
        <v>43616</v>
      </c>
      <c r="C1196" s="1" t="n">
        <v>45798</v>
      </c>
      <c r="D1196" t="inlineStr">
        <is>
          <t>NORRBOTTENS LÄN</t>
        </is>
      </c>
      <c r="E1196" t="inlineStr">
        <is>
          <t>BODEN</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28886-2019</t>
        </is>
      </c>
      <c r="B1197" s="1" t="n">
        <v>43616</v>
      </c>
      <c r="C1197" s="1" t="n">
        <v>45798</v>
      </c>
      <c r="D1197" t="inlineStr">
        <is>
          <t>NORRBOTTENS LÄN</t>
        </is>
      </c>
      <c r="E1197" t="inlineStr">
        <is>
          <t>BODEN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28869-2019</t>
        </is>
      </c>
      <c r="B1198" s="1" t="n">
        <v>43616</v>
      </c>
      <c r="C1198" s="1" t="n">
        <v>45798</v>
      </c>
      <c r="D1198" t="inlineStr">
        <is>
          <t>NORRBOTTENS LÄN</t>
        </is>
      </c>
      <c r="E1198" t="inlineStr">
        <is>
          <t>ARJEPLOG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28929-2019</t>
        </is>
      </c>
      <c r="B1199" s="1" t="n">
        <v>43619</v>
      </c>
      <c r="C1199" s="1" t="n">
        <v>45798</v>
      </c>
      <c r="D1199" t="inlineStr">
        <is>
          <t>NORRBOTTENS LÄN</t>
        </is>
      </c>
      <c r="E1199" t="inlineStr">
        <is>
          <t>KALIX</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28894-2019</t>
        </is>
      </c>
      <c r="B1200" s="1" t="n">
        <v>43619</v>
      </c>
      <c r="C1200" s="1" t="n">
        <v>45798</v>
      </c>
      <c r="D1200" t="inlineStr">
        <is>
          <t>NORRBOTTENS LÄN</t>
        </is>
      </c>
      <c r="E1200" t="inlineStr">
        <is>
          <t>KIRUNA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29037-2019</t>
        </is>
      </c>
      <c r="B1201" s="1" t="n">
        <v>43620</v>
      </c>
      <c r="C1201" s="1" t="n">
        <v>45798</v>
      </c>
      <c r="D1201" t="inlineStr">
        <is>
          <t>NORRBOTTENS LÄN</t>
        </is>
      </c>
      <c r="E1201" t="inlineStr">
        <is>
          <t>LULEÅ</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28635-2019</t>
        </is>
      </c>
      <c r="B1202" s="1" t="n">
        <v>43621</v>
      </c>
      <c r="C1202" s="1" t="n">
        <v>45798</v>
      </c>
      <c r="D1202" t="inlineStr">
        <is>
          <t>NORRBOTTENS LÄN</t>
        </is>
      </c>
      <c r="E1202" t="inlineStr">
        <is>
          <t>GÄLLIVARE</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28223-2019</t>
        </is>
      </c>
      <c r="B1203" s="1" t="n">
        <v>43621</v>
      </c>
      <c r="C1203" s="1" t="n">
        <v>45798</v>
      </c>
      <c r="D1203" t="inlineStr">
        <is>
          <t>NORRBOTTENS LÄN</t>
        </is>
      </c>
      <c r="E1203" t="inlineStr">
        <is>
          <t>BODEN</t>
        </is>
      </c>
      <c r="F1203" t="inlineStr">
        <is>
          <t>SCA</t>
        </is>
      </c>
      <c r="G1203" t="n">
        <v>38.1</v>
      </c>
      <c r="H1203" t="n">
        <v>0</v>
      </c>
      <c r="I1203" t="n">
        <v>0</v>
      </c>
      <c r="J1203" t="n">
        <v>0</v>
      </c>
      <c r="K1203" t="n">
        <v>0</v>
      </c>
      <c r="L1203" t="n">
        <v>0</v>
      </c>
      <c r="M1203" t="n">
        <v>0</v>
      </c>
      <c r="N1203" t="n">
        <v>0</v>
      </c>
      <c r="O1203" t="n">
        <v>0</v>
      </c>
      <c r="P1203" t="n">
        <v>0</v>
      </c>
      <c r="Q1203" t="n">
        <v>0</v>
      </c>
      <c r="R1203" s="2" t="inlineStr"/>
      <c r="U1203">
        <f>HYPERLINK("https://klasma.github.io/Logging_2582/knärot/A 28223-2019 karta knärot.png", "A 28223-2019")</f>
        <v/>
      </c>
      <c r="V1203">
        <f>HYPERLINK("https://klasma.github.io/Logging_2582/klagomål/A 28223-2019 FSC-klagomål.docx", "A 28223-2019")</f>
        <v/>
      </c>
      <c r="W1203">
        <f>HYPERLINK("https://klasma.github.io/Logging_2582/klagomålsmail/A 28223-2019 FSC-klagomål mail.docx", "A 28223-2019")</f>
        <v/>
      </c>
      <c r="X1203">
        <f>HYPERLINK("https://klasma.github.io/Logging_2582/tillsyn/A 28223-2019 tillsynsbegäran.docx", "A 28223-2019")</f>
        <v/>
      </c>
      <c r="Y1203">
        <f>HYPERLINK("https://klasma.github.io/Logging_2582/tillsynsmail/A 28223-2019 tillsynsbegäran mail.docx", "A 28223-2019")</f>
        <v/>
      </c>
    </row>
    <row r="1204" ht="15" customHeight="1">
      <c r="A1204" t="inlineStr">
        <is>
          <t>A 28224-2019</t>
        </is>
      </c>
      <c r="B1204" s="1" t="n">
        <v>43621</v>
      </c>
      <c r="C1204" s="1" t="n">
        <v>45798</v>
      </c>
      <c r="D1204" t="inlineStr">
        <is>
          <t>NORRBOTTENS LÄN</t>
        </is>
      </c>
      <c r="E1204" t="inlineStr">
        <is>
          <t>BODEN</t>
        </is>
      </c>
      <c r="F1204" t="inlineStr">
        <is>
          <t>SCA</t>
        </is>
      </c>
      <c r="G1204" t="n">
        <v>42.7</v>
      </c>
      <c r="H1204" t="n">
        <v>0</v>
      </c>
      <c r="I1204" t="n">
        <v>0</v>
      </c>
      <c r="J1204" t="n">
        <v>0</v>
      </c>
      <c r="K1204" t="n">
        <v>0</v>
      </c>
      <c r="L1204" t="n">
        <v>0</v>
      </c>
      <c r="M1204" t="n">
        <v>0</v>
      </c>
      <c r="N1204" t="n">
        <v>0</v>
      </c>
      <c r="O1204" t="n">
        <v>0</v>
      </c>
      <c r="P1204" t="n">
        <v>0</v>
      </c>
      <c r="Q1204" t="n">
        <v>0</v>
      </c>
      <c r="R1204" s="2" t="inlineStr"/>
    </row>
    <row r="1205" ht="15" customHeight="1">
      <c r="A1205" t="inlineStr">
        <is>
          <t>A 28632-2019</t>
        </is>
      </c>
      <c r="B1205" s="1" t="n">
        <v>43621</v>
      </c>
      <c r="C1205" s="1" t="n">
        <v>45798</v>
      </c>
      <c r="D1205" t="inlineStr">
        <is>
          <t>NORRBOTTENS LÄN</t>
        </is>
      </c>
      <c r="E1205" t="inlineStr">
        <is>
          <t>BODEN</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28031-2019</t>
        </is>
      </c>
      <c r="B1206" s="1" t="n">
        <v>43621</v>
      </c>
      <c r="C1206" s="1" t="n">
        <v>45798</v>
      </c>
      <c r="D1206" t="inlineStr">
        <is>
          <t>NORRBOTTENS LÄN</t>
        </is>
      </c>
      <c r="E1206" t="inlineStr">
        <is>
          <t>KALIX</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28634-2019</t>
        </is>
      </c>
      <c r="B1207" s="1" t="n">
        <v>43621</v>
      </c>
      <c r="C1207" s="1" t="n">
        <v>45798</v>
      </c>
      <c r="D1207" t="inlineStr">
        <is>
          <t>NORRBOTTENS LÄN</t>
        </is>
      </c>
      <c r="E1207" t="inlineStr">
        <is>
          <t>GÄLLIVARE</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28633-2019</t>
        </is>
      </c>
      <c r="B1208" s="1" t="n">
        <v>43621</v>
      </c>
      <c r="C1208" s="1" t="n">
        <v>45798</v>
      </c>
      <c r="D1208" t="inlineStr">
        <is>
          <t>NORRBOTTENS LÄN</t>
        </is>
      </c>
      <c r="E1208" t="inlineStr">
        <is>
          <t>GÄLLIVARE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28286-2019</t>
        </is>
      </c>
      <c r="B1209" s="1" t="n">
        <v>43623</v>
      </c>
      <c r="C1209" s="1" t="n">
        <v>45798</v>
      </c>
      <c r="D1209" t="inlineStr">
        <is>
          <t>NORRBOTTENS LÄN</t>
        </is>
      </c>
      <c r="E1209" t="inlineStr">
        <is>
          <t>LULEÅ</t>
        </is>
      </c>
      <c r="F1209" t="inlineStr">
        <is>
          <t>Kyrkan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28292-2019</t>
        </is>
      </c>
      <c r="B1210" s="1" t="n">
        <v>43623</v>
      </c>
      <c r="C1210" s="1" t="n">
        <v>45798</v>
      </c>
      <c r="D1210" t="inlineStr">
        <is>
          <t>NORRBOTTENS LÄN</t>
        </is>
      </c>
      <c r="E1210" t="inlineStr">
        <is>
          <t>LULEÅ</t>
        </is>
      </c>
      <c r="F1210" t="inlineStr">
        <is>
          <t>Kyrkan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28379-2019</t>
        </is>
      </c>
      <c r="B1211" s="1" t="n">
        <v>43626</v>
      </c>
      <c r="C1211" s="1" t="n">
        <v>45798</v>
      </c>
      <c r="D1211" t="inlineStr">
        <is>
          <t>NORRBOTTENS LÄN</t>
        </is>
      </c>
      <c r="E1211" t="inlineStr">
        <is>
          <t>JOKKMOKK</t>
        </is>
      </c>
      <c r="F1211" t="inlineStr">
        <is>
          <t>Sveaskog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28579-2019</t>
        </is>
      </c>
      <c r="B1212" s="1" t="n">
        <v>43626</v>
      </c>
      <c r="C1212" s="1" t="n">
        <v>45798</v>
      </c>
      <c r="D1212" t="inlineStr">
        <is>
          <t>NORRBOTTENS LÄN</t>
        </is>
      </c>
      <c r="E1212" t="inlineStr">
        <is>
          <t>PAJALA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29447-2019</t>
        </is>
      </c>
      <c r="B1213" s="1" t="n">
        <v>43626</v>
      </c>
      <c r="C1213" s="1" t="n">
        <v>45798</v>
      </c>
      <c r="D1213" t="inlineStr">
        <is>
          <t>NORRBOTTENS LÄN</t>
        </is>
      </c>
      <c r="E1213" t="inlineStr">
        <is>
          <t>JOKKMOKK</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28581-2019</t>
        </is>
      </c>
      <c r="B1214" s="1" t="n">
        <v>43626</v>
      </c>
      <c r="C1214" s="1" t="n">
        <v>45798</v>
      </c>
      <c r="D1214" t="inlineStr">
        <is>
          <t>NORRBOTTENS LÄN</t>
        </is>
      </c>
      <c r="E1214" t="inlineStr">
        <is>
          <t>PAJALA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28476-2019</t>
        </is>
      </c>
      <c r="B1215" s="1" t="n">
        <v>43626</v>
      </c>
      <c r="C1215" s="1" t="n">
        <v>45798</v>
      </c>
      <c r="D1215" t="inlineStr">
        <is>
          <t>NORRBOTTENS LÄN</t>
        </is>
      </c>
      <c r="E1215" t="inlineStr">
        <is>
          <t>GÄLLIVARE</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28582-2019</t>
        </is>
      </c>
      <c r="B1216" s="1" t="n">
        <v>43626</v>
      </c>
      <c r="C1216" s="1" t="n">
        <v>45798</v>
      </c>
      <c r="D1216" t="inlineStr">
        <is>
          <t>NORRBOTTENS LÄN</t>
        </is>
      </c>
      <c r="E1216" t="inlineStr">
        <is>
          <t>PAJALA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29278-2019</t>
        </is>
      </c>
      <c r="B1217" s="1" t="n">
        <v>43626</v>
      </c>
      <c r="C1217" s="1" t="n">
        <v>45798</v>
      </c>
      <c r="D1217" t="inlineStr">
        <is>
          <t>NORRBOTTENS LÄN</t>
        </is>
      </c>
      <c r="E1217" t="inlineStr">
        <is>
          <t>HAPARANDA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28827-2019</t>
        </is>
      </c>
      <c r="B1218" s="1" t="n">
        <v>43627</v>
      </c>
      <c r="C1218" s="1" t="n">
        <v>45798</v>
      </c>
      <c r="D1218" t="inlineStr">
        <is>
          <t>NORRBOTTENS LÄN</t>
        </is>
      </c>
      <c r="E1218" t="inlineStr">
        <is>
          <t>BODEN</t>
        </is>
      </c>
      <c r="F1218" t="inlineStr">
        <is>
          <t>Sveaskog</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29502-2019</t>
        </is>
      </c>
      <c r="B1219" s="1" t="n">
        <v>43627</v>
      </c>
      <c r="C1219" s="1" t="n">
        <v>45798</v>
      </c>
      <c r="D1219" t="inlineStr">
        <is>
          <t>NORRBOTTENS LÄN</t>
        </is>
      </c>
      <c r="E1219" t="inlineStr">
        <is>
          <t>ARJEPLOG</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29148-2019</t>
        </is>
      </c>
      <c r="B1220" s="1" t="n">
        <v>43628</v>
      </c>
      <c r="C1220" s="1" t="n">
        <v>45798</v>
      </c>
      <c r="D1220" t="inlineStr">
        <is>
          <t>NORRBOTTENS LÄN</t>
        </is>
      </c>
      <c r="E1220" t="inlineStr">
        <is>
          <t>GÄLLIVARE</t>
        </is>
      </c>
      <c r="F1220" t="inlineStr">
        <is>
          <t>SCA</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29606-2019</t>
        </is>
      </c>
      <c r="B1221" s="1" t="n">
        <v>43628</v>
      </c>
      <c r="C1221" s="1" t="n">
        <v>45798</v>
      </c>
      <c r="D1221" t="inlineStr">
        <is>
          <t>NORRBOTTENS LÄN</t>
        </is>
      </c>
      <c r="E1221" t="inlineStr">
        <is>
          <t>BODEN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29600-2019</t>
        </is>
      </c>
      <c r="B1222" s="1" t="n">
        <v>43628</v>
      </c>
      <c r="C1222" s="1" t="n">
        <v>45798</v>
      </c>
      <c r="D1222" t="inlineStr">
        <is>
          <t>NORRBOTTENS LÄN</t>
        </is>
      </c>
      <c r="E1222" t="inlineStr">
        <is>
          <t>BODEN</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29149-2019</t>
        </is>
      </c>
      <c r="B1223" s="1" t="n">
        <v>43628</v>
      </c>
      <c r="C1223" s="1" t="n">
        <v>45798</v>
      </c>
      <c r="D1223" t="inlineStr">
        <is>
          <t>NORRBOTTENS LÄN</t>
        </is>
      </c>
      <c r="E1223" t="inlineStr">
        <is>
          <t>GÄLLIVARE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29384-2019</t>
        </is>
      </c>
      <c r="B1224" s="1" t="n">
        <v>43629</v>
      </c>
      <c r="C1224" s="1" t="n">
        <v>45798</v>
      </c>
      <c r="D1224" t="inlineStr">
        <is>
          <t>NORRBOTTENS LÄN</t>
        </is>
      </c>
      <c r="E1224" t="inlineStr">
        <is>
          <t>ÖVERTORNEÅ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29279-2019</t>
        </is>
      </c>
      <c r="B1225" s="1" t="n">
        <v>43629</v>
      </c>
      <c r="C1225" s="1" t="n">
        <v>45798</v>
      </c>
      <c r="D1225" t="inlineStr">
        <is>
          <t>NORRBOTTENS LÄN</t>
        </is>
      </c>
      <c r="E1225" t="inlineStr">
        <is>
          <t>PITEÅ</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29489-2019</t>
        </is>
      </c>
      <c r="B1226" s="1" t="n">
        <v>43629</v>
      </c>
      <c r="C1226" s="1" t="n">
        <v>45798</v>
      </c>
      <c r="D1226" t="inlineStr">
        <is>
          <t>NORRBOTTENS LÄN</t>
        </is>
      </c>
      <c r="E1226" t="inlineStr">
        <is>
          <t>PITEÅ</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29552-2019</t>
        </is>
      </c>
      <c r="B1227" s="1" t="n">
        <v>43630</v>
      </c>
      <c r="C1227" s="1" t="n">
        <v>45798</v>
      </c>
      <c r="D1227" t="inlineStr">
        <is>
          <t>NORRBOTTENS LÄN</t>
        </is>
      </c>
      <c r="E1227" t="inlineStr">
        <is>
          <t>GÄLLIVARE</t>
        </is>
      </c>
      <c r="F1227" t="inlineStr">
        <is>
          <t>Sveaskog</t>
        </is>
      </c>
      <c r="G1227" t="n">
        <v>73.09999999999999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29586-2019</t>
        </is>
      </c>
      <c r="B1228" s="1" t="n">
        <v>43630</v>
      </c>
      <c r="C1228" s="1" t="n">
        <v>45798</v>
      </c>
      <c r="D1228" t="inlineStr">
        <is>
          <t>NORRBOTTENS LÄN</t>
        </is>
      </c>
      <c r="E1228" t="inlineStr">
        <is>
          <t>BODEN</t>
        </is>
      </c>
      <c r="F1228" t="inlineStr">
        <is>
          <t>Sveaskog</t>
        </is>
      </c>
      <c r="G1228" t="n">
        <v>18.6</v>
      </c>
      <c r="H1228" t="n">
        <v>0</v>
      </c>
      <c r="I1228" t="n">
        <v>0</v>
      </c>
      <c r="J1228" t="n">
        <v>0</v>
      </c>
      <c r="K1228" t="n">
        <v>0</v>
      </c>
      <c r="L1228" t="n">
        <v>0</v>
      </c>
      <c r="M1228" t="n">
        <v>0</v>
      </c>
      <c r="N1228" t="n">
        <v>0</v>
      </c>
      <c r="O1228" t="n">
        <v>0</v>
      </c>
      <c r="P1228" t="n">
        <v>0</v>
      </c>
      <c r="Q1228" t="n">
        <v>0</v>
      </c>
      <c r="R1228" s="2" t="inlineStr"/>
    </row>
    <row r="1229" ht="15" customHeight="1">
      <c r="A1229" t="inlineStr">
        <is>
          <t>A 30042-2019</t>
        </is>
      </c>
      <c r="B1229" s="1" t="n">
        <v>43633</v>
      </c>
      <c r="C1229" s="1" t="n">
        <v>45798</v>
      </c>
      <c r="D1229" t="inlineStr">
        <is>
          <t>NORRBOTTENS LÄN</t>
        </is>
      </c>
      <c r="E1229" t="inlineStr">
        <is>
          <t>JOKKMOKK</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30264-2019</t>
        </is>
      </c>
      <c r="B1230" s="1" t="n">
        <v>43633</v>
      </c>
      <c r="C1230" s="1" t="n">
        <v>45798</v>
      </c>
      <c r="D1230" t="inlineStr">
        <is>
          <t>NORRBOTTENS LÄN</t>
        </is>
      </c>
      <c r="E1230" t="inlineStr">
        <is>
          <t>JOKKMOKK</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30418-2019</t>
        </is>
      </c>
      <c r="B1231" s="1" t="n">
        <v>43633</v>
      </c>
      <c r="C1231" s="1" t="n">
        <v>45798</v>
      </c>
      <c r="D1231" t="inlineStr">
        <is>
          <t>NORRBOTTENS LÄN</t>
        </is>
      </c>
      <c r="E1231" t="inlineStr">
        <is>
          <t>PITEÅ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30409-2019</t>
        </is>
      </c>
      <c r="B1232" s="1" t="n">
        <v>43633</v>
      </c>
      <c r="C1232" s="1" t="n">
        <v>45798</v>
      </c>
      <c r="D1232" t="inlineStr">
        <is>
          <t>NORRBOTTENS LÄN</t>
        </is>
      </c>
      <c r="E1232" t="inlineStr">
        <is>
          <t>PITEÅ</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30106-2019</t>
        </is>
      </c>
      <c r="B1233" s="1" t="n">
        <v>43634</v>
      </c>
      <c r="C1233" s="1" t="n">
        <v>45798</v>
      </c>
      <c r="D1233" t="inlineStr">
        <is>
          <t>NORRBOTTENS LÄN</t>
        </is>
      </c>
      <c r="E1233" t="inlineStr">
        <is>
          <t>ÖVERTORNEÅ</t>
        </is>
      </c>
      <c r="F1233" t="inlineStr">
        <is>
          <t>Sveaskog</t>
        </is>
      </c>
      <c r="G1233" t="n">
        <v>18.5</v>
      </c>
      <c r="H1233" t="n">
        <v>0</v>
      </c>
      <c r="I1233" t="n">
        <v>0</v>
      </c>
      <c r="J1233" t="n">
        <v>0</v>
      </c>
      <c r="K1233" t="n">
        <v>0</v>
      </c>
      <c r="L1233" t="n">
        <v>0</v>
      </c>
      <c r="M1233" t="n">
        <v>0</v>
      </c>
      <c r="N1233" t="n">
        <v>0</v>
      </c>
      <c r="O1233" t="n">
        <v>0</v>
      </c>
      <c r="P1233" t="n">
        <v>0</v>
      </c>
      <c r="Q1233" t="n">
        <v>0</v>
      </c>
      <c r="R1233" s="2" t="inlineStr"/>
    </row>
    <row r="1234" ht="15" customHeight="1">
      <c r="A1234" t="inlineStr">
        <is>
          <t>A 30501-2019</t>
        </is>
      </c>
      <c r="B1234" s="1" t="n">
        <v>43634</v>
      </c>
      <c r="C1234" s="1" t="n">
        <v>45798</v>
      </c>
      <c r="D1234" t="inlineStr">
        <is>
          <t>NORRBOTTENS LÄN</t>
        </is>
      </c>
      <c r="E1234" t="inlineStr">
        <is>
          <t>GÄLLIVARE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30202-2019</t>
        </is>
      </c>
      <c r="B1235" s="1" t="n">
        <v>43634</v>
      </c>
      <c r="C1235" s="1" t="n">
        <v>45798</v>
      </c>
      <c r="D1235" t="inlineStr">
        <is>
          <t>NORRBOTTENS LÄN</t>
        </is>
      </c>
      <c r="E1235" t="inlineStr">
        <is>
          <t>LULEÅ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30410-2019</t>
        </is>
      </c>
      <c r="B1236" s="1" t="n">
        <v>43635</v>
      </c>
      <c r="C1236" s="1" t="n">
        <v>45798</v>
      </c>
      <c r="D1236" t="inlineStr">
        <is>
          <t>NORRBOTTENS LÄN</t>
        </is>
      </c>
      <c r="E1236" t="inlineStr">
        <is>
          <t>ARVIDSJAUR</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30543-2019</t>
        </is>
      </c>
      <c r="B1237" s="1" t="n">
        <v>43635</v>
      </c>
      <c r="C1237" s="1" t="n">
        <v>45798</v>
      </c>
      <c r="D1237" t="inlineStr">
        <is>
          <t>NORRBOTTENS LÄN</t>
        </is>
      </c>
      <c r="E1237" t="inlineStr">
        <is>
          <t>LULEÅ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30645-2019</t>
        </is>
      </c>
      <c r="B1238" s="1" t="n">
        <v>43635</v>
      </c>
      <c r="C1238" s="1" t="n">
        <v>45798</v>
      </c>
      <c r="D1238" t="inlineStr">
        <is>
          <t>NORRBOTTENS LÄN</t>
        </is>
      </c>
      <c r="E1238" t="inlineStr">
        <is>
          <t>PAJALA</t>
        </is>
      </c>
      <c r="G1238" t="n">
        <v>58.7</v>
      </c>
      <c r="H1238" t="n">
        <v>0</v>
      </c>
      <c r="I1238" t="n">
        <v>0</v>
      </c>
      <c r="J1238" t="n">
        <v>0</v>
      </c>
      <c r="K1238" t="n">
        <v>0</v>
      </c>
      <c r="L1238" t="n">
        <v>0</v>
      </c>
      <c r="M1238" t="n">
        <v>0</v>
      </c>
      <c r="N1238" t="n">
        <v>0</v>
      </c>
      <c r="O1238" t="n">
        <v>0</v>
      </c>
      <c r="P1238" t="n">
        <v>0</v>
      </c>
      <c r="Q1238" t="n">
        <v>0</v>
      </c>
      <c r="R1238" s="2" t="inlineStr"/>
    </row>
    <row r="1239" ht="15" customHeight="1">
      <c r="A1239" t="inlineStr">
        <is>
          <t>A 30652-2019</t>
        </is>
      </c>
      <c r="B1239" s="1" t="n">
        <v>43636</v>
      </c>
      <c r="C1239" s="1" t="n">
        <v>45798</v>
      </c>
      <c r="D1239" t="inlineStr">
        <is>
          <t>NORRBOTTENS LÄN</t>
        </is>
      </c>
      <c r="E1239" t="inlineStr">
        <is>
          <t>GÄLLIVARE</t>
        </is>
      </c>
      <c r="F1239" t="inlineStr">
        <is>
          <t>Sveaskog</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30736-2019</t>
        </is>
      </c>
      <c r="B1240" s="1" t="n">
        <v>43636</v>
      </c>
      <c r="C1240" s="1" t="n">
        <v>45798</v>
      </c>
      <c r="D1240" t="inlineStr">
        <is>
          <t>NORRBOTTENS LÄN</t>
        </is>
      </c>
      <c r="E1240" t="inlineStr">
        <is>
          <t>BODEN</t>
        </is>
      </c>
      <c r="F1240" t="inlineStr">
        <is>
          <t>Sveaskog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30794-2019</t>
        </is>
      </c>
      <c r="B1241" s="1" t="n">
        <v>43636</v>
      </c>
      <c r="C1241" s="1" t="n">
        <v>45798</v>
      </c>
      <c r="D1241" t="inlineStr">
        <is>
          <t>NORRBOTTENS LÄN</t>
        </is>
      </c>
      <c r="E1241" t="inlineStr">
        <is>
          <t>BODEN</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30801-2019</t>
        </is>
      </c>
      <c r="B1242" s="1" t="n">
        <v>43636</v>
      </c>
      <c r="C1242" s="1" t="n">
        <v>45798</v>
      </c>
      <c r="D1242" t="inlineStr">
        <is>
          <t>NORRBOTTENS LÄN</t>
        </is>
      </c>
      <c r="E1242" t="inlineStr">
        <is>
          <t>BODEN</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31427-2019</t>
        </is>
      </c>
      <c r="B1243" s="1" t="n">
        <v>43636</v>
      </c>
      <c r="C1243" s="1" t="n">
        <v>45798</v>
      </c>
      <c r="D1243" t="inlineStr">
        <is>
          <t>NORRBOTTENS LÄN</t>
        </is>
      </c>
      <c r="E1243" t="inlineStr">
        <is>
          <t>ÖVERKALIX</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30957-2019</t>
        </is>
      </c>
      <c r="B1244" s="1" t="n">
        <v>43639</v>
      </c>
      <c r="C1244" s="1" t="n">
        <v>45798</v>
      </c>
      <c r="D1244" t="inlineStr">
        <is>
          <t>NORRBOTTENS LÄN</t>
        </is>
      </c>
      <c r="E1244" t="inlineStr">
        <is>
          <t>BODEN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31860-2019</t>
        </is>
      </c>
      <c r="B1245" s="1" t="n">
        <v>43640</v>
      </c>
      <c r="C1245" s="1" t="n">
        <v>45798</v>
      </c>
      <c r="D1245" t="inlineStr">
        <is>
          <t>NORRBOTTENS LÄN</t>
        </is>
      </c>
      <c r="E1245" t="inlineStr">
        <is>
          <t>PITEÅ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31645-2019</t>
        </is>
      </c>
      <c r="B1246" s="1" t="n">
        <v>43640</v>
      </c>
      <c r="C1246" s="1" t="n">
        <v>45798</v>
      </c>
      <c r="D1246" t="inlineStr">
        <is>
          <t>NORRBOTTENS LÄN</t>
        </is>
      </c>
      <c r="E1246" t="inlineStr">
        <is>
          <t>KALIX</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31852-2019</t>
        </is>
      </c>
      <c r="B1247" s="1" t="n">
        <v>43640</v>
      </c>
      <c r="C1247" s="1" t="n">
        <v>45798</v>
      </c>
      <c r="D1247" t="inlineStr">
        <is>
          <t>NORRBOTTENS LÄN</t>
        </is>
      </c>
      <c r="E1247" t="inlineStr">
        <is>
          <t>PITEÅ</t>
        </is>
      </c>
      <c r="G1247" t="n">
        <v>11.2</v>
      </c>
      <c r="H1247" t="n">
        <v>0</v>
      </c>
      <c r="I1247" t="n">
        <v>0</v>
      </c>
      <c r="J1247" t="n">
        <v>0</v>
      </c>
      <c r="K1247" t="n">
        <v>0</v>
      </c>
      <c r="L1247" t="n">
        <v>0</v>
      </c>
      <c r="M1247" t="n">
        <v>0</v>
      </c>
      <c r="N1247" t="n">
        <v>0</v>
      </c>
      <c r="O1247" t="n">
        <v>0</v>
      </c>
      <c r="P1247" t="n">
        <v>0</v>
      </c>
      <c r="Q1247" t="n">
        <v>0</v>
      </c>
      <c r="R1247" s="2" t="inlineStr"/>
    </row>
    <row r="1248" ht="15" customHeight="1">
      <c r="A1248" t="inlineStr">
        <is>
          <t>A 31453-2019</t>
        </is>
      </c>
      <c r="B1248" s="1" t="n">
        <v>43640</v>
      </c>
      <c r="C1248" s="1" t="n">
        <v>45798</v>
      </c>
      <c r="D1248" t="inlineStr">
        <is>
          <t>NORRBOTTENS LÄN</t>
        </is>
      </c>
      <c r="E1248" t="inlineStr">
        <is>
          <t>GÄLLIVARE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31295-2019</t>
        </is>
      </c>
      <c r="B1249" s="1" t="n">
        <v>43640</v>
      </c>
      <c r="C1249" s="1" t="n">
        <v>45798</v>
      </c>
      <c r="D1249" t="inlineStr">
        <is>
          <t>NORRBOTTENS LÄN</t>
        </is>
      </c>
      <c r="E1249" t="inlineStr">
        <is>
          <t>BODEN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31768-2019</t>
        </is>
      </c>
      <c r="B1250" s="1" t="n">
        <v>43640</v>
      </c>
      <c r="C1250" s="1" t="n">
        <v>45798</v>
      </c>
      <c r="D1250" t="inlineStr">
        <is>
          <t>NORRBOTTENS LÄN</t>
        </is>
      </c>
      <c r="E1250" t="inlineStr">
        <is>
          <t>HAPARANDA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31525-2019</t>
        </is>
      </c>
      <c r="B1251" s="1" t="n">
        <v>43641</v>
      </c>
      <c r="C1251" s="1" t="n">
        <v>45798</v>
      </c>
      <c r="D1251" t="inlineStr">
        <is>
          <t>NORRBOTTENS LÄN</t>
        </is>
      </c>
      <c r="E1251" t="inlineStr">
        <is>
          <t>GÄLLIVARE</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31864-2019</t>
        </is>
      </c>
      <c r="B1252" s="1" t="n">
        <v>43641</v>
      </c>
      <c r="C1252" s="1" t="n">
        <v>45798</v>
      </c>
      <c r="D1252" t="inlineStr">
        <is>
          <t>NORRBOTTENS LÄN</t>
        </is>
      </c>
      <c r="E1252" t="inlineStr">
        <is>
          <t>BODEN</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31515-2019</t>
        </is>
      </c>
      <c r="B1253" s="1" t="n">
        <v>43641</v>
      </c>
      <c r="C1253" s="1" t="n">
        <v>45798</v>
      </c>
      <c r="D1253" t="inlineStr">
        <is>
          <t>NORRBOTTENS LÄN</t>
        </is>
      </c>
      <c r="E1253" t="inlineStr">
        <is>
          <t>GÄLLIVARE</t>
        </is>
      </c>
      <c r="F1253" t="inlineStr">
        <is>
          <t>Sveaskog</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32003-2019</t>
        </is>
      </c>
      <c r="B1254" s="1" t="n">
        <v>43642</v>
      </c>
      <c r="C1254" s="1" t="n">
        <v>45798</v>
      </c>
      <c r="D1254" t="inlineStr">
        <is>
          <t>NORRBOTTENS LÄN</t>
        </is>
      </c>
      <c r="E1254" t="inlineStr">
        <is>
          <t>ARVIDSJAUR</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31895-2019</t>
        </is>
      </c>
      <c r="B1255" s="1" t="n">
        <v>43642</v>
      </c>
      <c r="C1255" s="1" t="n">
        <v>45798</v>
      </c>
      <c r="D1255" t="inlineStr">
        <is>
          <t>NORRBOTTENS LÄN</t>
        </is>
      </c>
      <c r="E1255" t="inlineStr">
        <is>
          <t>JOKKMOKK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31896-2019</t>
        </is>
      </c>
      <c r="B1256" s="1" t="n">
        <v>43642</v>
      </c>
      <c r="C1256" s="1" t="n">
        <v>45798</v>
      </c>
      <c r="D1256" t="inlineStr">
        <is>
          <t>NORRBOTTENS LÄN</t>
        </is>
      </c>
      <c r="E1256" t="inlineStr">
        <is>
          <t>JOKKMOKK</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32897-2019</t>
        </is>
      </c>
      <c r="B1257" s="1" t="n">
        <v>43643</v>
      </c>
      <c r="C1257" s="1" t="n">
        <v>45798</v>
      </c>
      <c r="D1257" t="inlineStr">
        <is>
          <t>NORRBOTTENS LÄN</t>
        </is>
      </c>
      <c r="E1257" t="inlineStr">
        <is>
          <t>ÖVERTORNEÅ</t>
        </is>
      </c>
      <c r="G1257" t="n">
        <v>17.1</v>
      </c>
      <c r="H1257" t="n">
        <v>0</v>
      </c>
      <c r="I1257" t="n">
        <v>0</v>
      </c>
      <c r="J1257" t="n">
        <v>0</v>
      </c>
      <c r="K1257" t="n">
        <v>0</v>
      </c>
      <c r="L1257" t="n">
        <v>0</v>
      </c>
      <c r="M1257" t="n">
        <v>0</v>
      </c>
      <c r="N1257" t="n">
        <v>0</v>
      </c>
      <c r="O1257" t="n">
        <v>0</v>
      </c>
      <c r="P1257" t="n">
        <v>0</v>
      </c>
      <c r="Q1257" t="n">
        <v>0</v>
      </c>
      <c r="R1257" s="2" t="inlineStr"/>
    </row>
    <row r="1258" ht="15" customHeight="1">
      <c r="A1258" t="inlineStr">
        <is>
          <t>A 32161-2019</t>
        </is>
      </c>
      <c r="B1258" s="1" t="n">
        <v>43643</v>
      </c>
      <c r="C1258" s="1" t="n">
        <v>45798</v>
      </c>
      <c r="D1258" t="inlineStr">
        <is>
          <t>NORRBOTTENS LÄN</t>
        </is>
      </c>
      <c r="E1258" t="inlineStr">
        <is>
          <t>BODEN</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32894-2019</t>
        </is>
      </c>
      <c r="B1259" s="1" t="n">
        <v>43643</v>
      </c>
      <c r="C1259" s="1" t="n">
        <v>45798</v>
      </c>
      <c r="D1259" t="inlineStr">
        <is>
          <t>NORRBOTTENS LÄN</t>
        </is>
      </c>
      <c r="E1259" t="inlineStr">
        <is>
          <t>ÖVERTORNEÅ</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32371-2019</t>
        </is>
      </c>
      <c r="B1260" s="1" t="n">
        <v>43644</v>
      </c>
      <c r="C1260" s="1" t="n">
        <v>45798</v>
      </c>
      <c r="D1260" t="inlineStr">
        <is>
          <t>NORRBOTTENS LÄN</t>
        </is>
      </c>
      <c r="E1260" t="inlineStr">
        <is>
          <t>KALIX</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32476-2019</t>
        </is>
      </c>
      <c r="B1261" s="1" t="n">
        <v>43644</v>
      </c>
      <c r="C1261" s="1" t="n">
        <v>45798</v>
      </c>
      <c r="D1261" t="inlineStr">
        <is>
          <t>NORRBOTTENS LÄN</t>
        </is>
      </c>
      <c r="E1261" t="inlineStr">
        <is>
          <t>JOKKMOKK</t>
        </is>
      </c>
      <c r="F1261" t="inlineStr">
        <is>
          <t>Naturvårdsverket</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33707-2019</t>
        </is>
      </c>
      <c r="B1262" s="1" t="n">
        <v>43644</v>
      </c>
      <c r="C1262" s="1" t="n">
        <v>45798</v>
      </c>
      <c r="D1262" t="inlineStr">
        <is>
          <t>NORRBOTTENS LÄN</t>
        </is>
      </c>
      <c r="E1262" t="inlineStr">
        <is>
          <t>BODEN</t>
        </is>
      </c>
      <c r="F1262" t="inlineStr">
        <is>
          <t>Kommuner</t>
        </is>
      </c>
      <c r="G1262" t="n">
        <v>21.2</v>
      </c>
      <c r="H1262" t="n">
        <v>0</v>
      </c>
      <c r="I1262" t="n">
        <v>0</v>
      </c>
      <c r="J1262" t="n">
        <v>0</v>
      </c>
      <c r="K1262" t="n">
        <v>0</v>
      </c>
      <c r="L1262" t="n">
        <v>0</v>
      </c>
      <c r="M1262" t="n">
        <v>0</v>
      </c>
      <c r="N1262" t="n">
        <v>0</v>
      </c>
      <c r="O1262" t="n">
        <v>0</v>
      </c>
      <c r="P1262" t="n">
        <v>0</v>
      </c>
      <c r="Q1262" t="n">
        <v>0</v>
      </c>
      <c r="R1262" s="2" t="inlineStr"/>
    </row>
    <row r="1263" ht="15" customHeight="1">
      <c r="A1263" t="inlineStr">
        <is>
          <t>A 32493-2019</t>
        </is>
      </c>
      <c r="B1263" s="1" t="n">
        <v>43644</v>
      </c>
      <c r="C1263" s="1" t="n">
        <v>45798</v>
      </c>
      <c r="D1263" t="inlineStr">
        <is>
          <t>NORRBOTTENS LÄN</t>
        </is>
      </c>
      <c r="E1263" t="inlineStr">
        <is>
          <t>ARJEPLOG</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32634-2019</t>
        </is>
      </c>
      <c r="B1264" s="1" t="n">
        <v>43647</v>
      </c>
      <c r="C1264" s="1" t="n">
        <v>45798</v>
      </c>
      <c r="D1264" t="inlineStr">
        <is>
          <t>NORRBOTTENS LÄN</t>
        </is>
      </c>
      <c r="E1264" t="inlineStr">
        <is>
          <t>PITEÅ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32671-2019</t>
        </is>
      </c>
      <c r="B1265" s="1" t="n">
        <v>43647</v>
      </c>
      <c r="C1265" s="1" t="n">
        <v>45798</v>
      </c>
      <c r="D1265" t="inlineStr">
        <is>
          <t>NORRBOTTENS LÄN</t>
        </is>
      </c>
      <c r="E1265" t="inlineStr">
        <is>
          <t>GÄLLIVARE</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32549-2019</t>
        </is>
      </c>
      <c r="B1266" s="1" t="n">
        <v>43647</v>
      </c>
      <c r="C1266" s="1" t="n">
        <v>45798</v>
      </c>
      <c r="D1266" t="inlineStr">
        <is>
          <t>NORRBOTTENS LÄN</t>
        </is>
      </c>
      <c r="E1266" t="inlineStr">
        <is>
          <t>GÄLLIVARE</t>
        </is>
      </c>
      <c r="F1266" t="inlineStr">
        <is>
          <t>Sveaskog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32644-2019</t>
        </is>
      </c>
      <c r="B1267" s="1" t="n">
        <v>43647</v>
      </c>
      <c r="C1267" s="1" t="n">
        <v>45798</v>
      </c>
      <c r="D1267" t="inlineStr">
        <is>
          <t>NORRBOTTENS LÄN</t>
        </is>
      </c>
      <c r="E1267" t="inlineStr">
        <is>
          <t>PITEÅ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32747-2019</t>
        </is>
      </c>
      <c r="B1268" s="1" t="n">
        <v>43647</v>
      </c>
      <c r="C1268" s="1" t="n">
        <v>45798</v>
      </c>
      <c r="D1268" t="inlineStr">
        <is>
          <t>NORRBOTTENS LÄN</t>
        </is>
      </c>
      <c r="E1268" t="inlineStr">
        <is>
          <t>PAJALA</t>
        </is>
      </c>
      <c r="F1268" t="inlineStr">
        <is>
          <t>SCA</t>
        </is>
      </c>
      <c r="G1268" t="n">
        <v>20.8</v>
      </c>
      <c r="H1268" t="n">
        <v>0</v>
      </c>
      <c r="I1268" t="n">
        <v>0</v>
      </c>
      <c r="J1268" t="n">
        <v>0</v>
      </c>
      <c r="K1268" t="n">
        <v>0</v>
      </c>
      <c r="L1268" t="n">
        <v>0</v>
      </c>
      <c r="M1268" t="n">
        <v>0</v>
      </c>
      <c r="N1268" t="n">
        <v>0</v>
      </c>
      <c r="O1268" t="n">
        <v>0</v>
      </c>
      <c r="P1268" t="n">
        <v>0</v>
      </c>
      <c r="Q1268" t="n">
        <v>0</v>
      </c>
      <c r="R1268" s="2" t="inlineStr"/>
    </row>
    <row r="1269" ht="15" customHeight="1">
      <c r="A1269" t="inlineStr">
        <is>
          <t>A 34375-2019</t>
        </is>
      </c>
      <c r="B1269" s="1" t="n">
        <v>43647</v>
      </c>
      <c r="C1269" s="1" t="n">
        <v>45798</v>
      </c>
      <c r="D1269" t="inlineStr">
        <is>
          <t>NORRBOTTENS LÄN</t>
        </is>
      </c>
      <c r="E1269" t="inlineStr">
        <is>
          <t>BODEN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32869-2019</t>
        </is>
      </c>
      <c r="B1270" s="1" t="n">
        <v>43648</v>
      </c>
      <c r="C1270" s="1" t="n">
        <v>45798</v>
      </c>
      <c r="D1270" t="inlineStr">
        <is>
          <t>NORRBOTTENS LÄN</t>
        </is>
      </c>
      <c r="E1270" t="inlineStr">
        <is>
          <t>GÄLLIVARE</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33212-2019</t>
        </is>
      </c>
      <c r="B1271" s="1" t="n">
        <v>43649</v>
      </c>
      <c r="C1271" s="1" t="n">
        <v>45798</v>
      </c>
      <c r="D1271" t="inlineStr">
        <is>
          <t>NORRBOTTENS LÄN</t>
        </is>
      </c>
      <c r="E1271" t="inlineStr">
        <is>
          <t>JOKKMOKK</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33211-2019</t>
        </is>
      </c>
      <c r="B1272" s="1" t="n">
        <v>43649</v>
      </c>
      <c r="C1272" s="1" t="n">
        <v>45798</v>
      </c>
      <c r="D1272" t="inlineStr">
        <is>
          <t>NORRBOTTENS LÄN</t>
        </is>
      </c>
      <c r="E1272" t="inlineStr">
        <is>
          <t>JOKKMOKK</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33038-2019</t>
        </is>
      </c>
      <c r="B1273" s="1" t="n">
        <v>43649</v>
      </c>
      <c r="C1273" s="1" t="n">
        <v>45798</v>
      </c>
      <c r="D1273" t="inlineStr">
        <is>
          <t>NORRBOTTENS LÄN</t>
        </is>
      </c>
      <c r="E1273" t="inlineStr">
        <is>
          <t>ARVIDSJAUR</t>
        </is>
      </c>
      <c r="F1273" t="inlineStr">
        <is>
          <t>Sveaskog</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33452-2019</t>
        </is>
      </c>
      <c r="B1274" s="1" t="n">
        <v>43650</v>
      </c>
      <c r="C1274" s="1" t="n">
        <v>45798</v>
      </c>
      <c r="D1274" t="inlineStr">
        <is>
          <t>NORRBOTTENS LÄN</t>
        </is>
      </c>
      <c r="E1274" t="inlineStr">
        <is>
          <t>LULEÅ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33259-2019</t>
        </is>
      </c>
      <c r="B1275" s="1" t="n">
        <v>43650</v>
      </c>
      <c r="C1275" s="1" t="n">
        <v>45798</v>
      </c>
      <c r="D1275" t="inlineStr">
        <is>
          <t>NORRBOTTENS LÄN</t>
        </is>
      </c>
      <c r="E1275" t="inlineStr">
        <is>
          <t>PAJALA</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33447-2019</t>
        </is>
      </c>
      <c r="B1276" s="1" t="n">
        <v>43650</v>
      </c>
      <c r="C1276" s="1" t="n">
        <v>45798</v>
      </c>
      <c r="D1276" t="inlineStr">
        <is>
          <t>NORRBOTTENS LÄN</t>
        </is>
      </c>
      <c r="E1276" t="inlineStr">
        <is>
          <t>BODEN</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33330-2019</t>
        </is>
      </c>
      <c r="B1277" s="1" t="n">
        <v>43650</v>
      </c>
      <c r="C1277" s="1" t="n">
        <v>45798</v>
      </c>
      <c r="D1277" t="inlineStr">
        <is>
          <t>NORRBOTTENS LÄN</t>
        </is>
      </c>
      <c r="E1277" t="inlineStr">
        <is>
          <t>PAJALA</t>
        </is>
      </c>
      <c r="F1277" t="inlineStr">
        <is>
          <t>Sveaskog</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33278-2019</t>
        </is>
      </c>
      <c r="B1278" s="1" t="n">
        <v>43650</v>
      </c>
      <c r="C1278" s="1" t="n">
        <v>45798</v>
      </c>
      <c r="D1278" t="inlineStr">
        <is>
          <t>NORRBOTTENS LÄN</t>
        </is>
      </c>
      <c r="E1278" t="inlineStr">
        <is>
          <t>BODEN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35119-2019</t>
        </is>
      </c>
      <c r="B1279" s="1" t="n">
        <v>43650</v>
      </c>
      <c r="C1279" s="1" t="n">
        <v>45798</v>
      </c>
      <c r="D1279" t="inlineStr">
        <is>
          <t>NORRBOTTENS LÄN</t>
        </is>
      </c>
      <c r="E1279" t="inlineStr">
        <is>
          <t>PITEÅ</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33756-2019</t>
        </is>
      </c>
      <c r="B1280" s="1" t="n">
        <v>43651</v>
      </c>
      <c r="C1280" s="1" t="n">
        <v>45798</v>
      </c>
      <c r="D1280" t="inlineStr">
        <is>
          <t>NORRBOTTENS LÄN</t>
        </is>
      </c>
      <c r="E1280" t="inlineStr">
        <is>
          <t>JOKKMOKK</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33821-2019</t>
        </is>
      </c>
      <c r="B1281" s="1" t="n">
        <v>43651</v>
      </c>
      <c r="C1281" s="1" t="n">
        <v>45798</v>
      </c>
      <c r="D1281" t="inlineStr">
        <is>
          <t>NORRBOTTENS LÄN</t>
        </is>
      </c>
      <c r="E1281" t="inlineStr">
        <is>
          <t>JOKKMOKK</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35471-2019</t>
        </is>
      </c>
      <c r="B1282" s="1" t="n">
        <v>43651</v>
      </c>
      <c r="C1282" s="1" t="n">
        <v>45798</v>
      </c>
      <c r="D1282" t="inlineStr">
        <is>
          <t>NORRBOTTENS LÄN</t>
        </is>
      </c>
      <c r="E1282" t="inlineStr">
        <is>
          <t>KALIX</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35403-2019</t>
        </is>
      </c>
      <c r="B1283" s="1" t="n">
        <v>43651</v>
      </c>
      <c r="C1283" s="1" t="n">
        <v>45798</v>
      </c>
      <c r="D1283" t="inlineStr">
        <is>
          <t>NORRBOTTENS LÄN</t>
        </is>
      </c>
      <c r="E1283" t="inlineStr">
        <is>
          <t>KALIX</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33871-2019</t>
        </is>
      </c>
      <c r="B1284" s="1" t="n">
        <v>43652</v>
      </c>
      <c r="C1284" s="1" t="n">
        <v>45798</v>
      </c>
      <c r="D1284" t="inlineStr">
        <is>
          <t>NORRBOTTENS LÄN</t>
        </is>
      </c>
      <c r="E1284" t="inlineStr">
        <is>
          <t>PITEÅ</t>
        </is>
      </c>
      <c r="F1284" t="inlineStr">
        <is>
          <t>SCA</t>
        </is>
      </c>
      <c r="G1284" t="n">
        <v>9.800000000000001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33868-2019</t>
        </is>
      </c>
      <c r="B1285" s="1" t="n">
        <v>43652</v>
      </c>
      <c r="C1285" s="1" t="n">
        <v>45798</v>
      </c>
      <c r="D1285" t="inlineStr">
        <is>
          <t>NORRBOTTENS LÄN</t>
        </is>
      </c>
      <c r="E1285" t="inlineStr">
        <is>
          <t>HAPARANDA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34015-2019</t>
        </is>
      </c>
      <c r="B1286" s="1" t="n">
        <v>43654</v>
      </c>
      <c r="C1286" s="1" t="n">
        <v>45798</v>
      </c>
      <c r="D1286" t="inlineStr">
        <is>
          <t>NORRBOTTENS LÄN</t>
        </is>
      </c>
      <c r="E1286" t="inlineStr">
        <is>
          <t>BODEN</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34053-2019</t>
        </is>
      </c>
      <c r="B1287" s="1" t="n">
        <v>43654</v>
      </c>
      <c r="C1287" s="1" t="n">
        <v>45798</v>
      </c>
      <c r="D1287" t="inlineStr">
        <is>
          <t>NORRBOTTENS LÄN</t>
        </is>
      </c>
      <c r="E1287" t="inlineStr">
        <is>
          <t>GÄLLIVARE</t>
        </is>
      </c>
      <c r="F1287" t="inlineStr">
        <is>
          <t>Sveaskog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34049-2019</t>
        </is>
      </c>
      <c r="B1288" s="1" t="n">
        <v>43654</v>
      </c>
      <c r="C1288" s="1" t="n">
        <v>45798</v>
      </c>
      <c r="D1288" t="inlineStr">
        <is>
          <t>NORRBOTTENS LÄN</t>
        </is>
      </c>
      <c r="E1288" t="inlineStr">
        <is>
          <t>GÄLLIVARE</t>
        </is>
      </c>
      <c r="F1288" t="inlineStr">
        <is>
          <t>Sveaskog</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34046-2019</t>
        </is>
      </c>
      <c r="B1289" s="1" t="n">
        <v>43654</v>
      </c>
      <c r="C1289" s="1" t="n">
        <v>45798</v>
      </c>
      <c r="D1289" t="inlineStr">
        <is>
          <t>NORRBOTTENS LÄN</t>
        </is>
      </c>
      <c r="E1289" t="inlineStr">
        <is>
          <t>JOKKMOKK</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34174-2019</t>
        </is>
      </c>
      <c r="B1290" s="1" t="n">
        <v>43655</v>
      </c>
      <c r="C1290" s="1" t="n">
        <v>45798</v>
      </c>
      <c r="D1290" t="inlineStr">
        <is>
          <t>NORRBOTTENS LÄN</t>
        </is>
      </c>
      <c r="E1290" t="inlineStr">
        <is>
          <t>ÖVERTORNEÅ</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34222-2019</t>
        </is>
      </c>
      <c r="B1291" s="1" t="n">
        <v>43655</v>
      </c>
      <c r="C1291" s="1" t="n">
        <v>45798</v>
      </c>
      <c r="D1291" t="inlineStr">
        <is>
          <t>NORRBOTTENS LÄN</t>
        </is>
      </c>
      <c r="E1291" t="inlineStr">
        <is>
          <t>ARVIDSJAUR</t>
        </is>
      </c>
      <c r="F1291" t="inlineStr">
        <is>
          <t>Sveaskog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34153-2019</t>
        </is>
      </c>
      <c r="B1292" s="1" t="n">
        <v>43655</v>
      </c>
      <c r="C1292" s="1" t="n">
        <v>45798</v>
      </c>
      <c r="D1292" t="inlineStr">
        <is>
          <t>NORRBOTTENS LÄN</t>
        </is>
      </c>
      <c r="E1292" t="inlineStr">
        <is>
          <t>PAJALA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34264-2019</t>
        </is>
      </c>
      <c r="B1293" s="1" t="n">
        <v>43655</v>
      </c>
      <c r="C1293" s="1" t="n">
        <v>45798</v>
      </c>
      <c r="D1293" t="inlineStr">
        <is>
          <t>NORRBOTTENS LÄN</t>
        </is>
      </c>
      <c r="E1293" t="inlineStr">
        <is>
          <t>BODEN</t>
        </is>
      </c>
      <c r="F1293" t="inlineStr">
        <is>
          <t>Sveaskog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34255-2019</t>
        </is>
      </c>
      <c r="B1294" s="1" t="n">
        <v>43655</v>
      </c>
      <c r="C1294" s="1" t="n">
        <v>45798</v>
      </c>
      <c r="D1294" t="inlineStr">
        <is>
          <t>NORRBOTTENS LÄN</t>
        </is>
      </c>
      <c r="E1294" t="inlineStr">
        <is>
          <t>GÄLLIVARE</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35698-2019</t>
        </is>
      </c>
      <c r="B1295" s="1" t="n">
        <v>43655</v>
      </c>
      <c r="C1295" s="1" t="n">
        <v>45798</v>
      </c>
      <c r="D1295" t="inlineStr">
        <is>
          <t>NORRBOTTENS LÄN</t>
        </is>
      </c>
      <c r="E1295" t="inlineStr">
        <is>
          <t>PAJALA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35700-2019</t>
        </is>
      </c>
      <c r="B1296" s="1" t="n">
        <v>43655</v>
      </c>
      <c r="C1296" s="1" t="n">
        <v>45798</v>
      </c>
      <c r="D1296" t="inlineStr">
        <is>
          <t>NORRBOTTENS LÄN</t>
        </is>
      </c>
      <c r="E1296" t="inlineStr">
        <is>
          <t>PAJALA</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34165-2019</t>
        </is>
      </c>
      <c r="B1297" s="1" t="n">
        <v>43655</v>
      </c>
      <c r="C1297" s="1" t="n">
        <v>45798</v>
      </c>
      <c r="D1297" t="inlineStr">
        <is>
          <t>NORRBOTTENS LÄN</t>
        </is>
      </c>
      <c r="E1297" t="inlineStr">
        <is>
          <t>ÄLVSBYN</t>
        </is>
      </c>
      <c r="F1297" t="inlineStr">
        <is>
          <t>Sveaskog</t>
        </is>
      </c>
      <c r="G1297" t="n">
        <v>11.2</v>
      </c>
      <c r="H1297" t="n">
        <v>0</v>
      </c>
      <c r="I1297" t="n">
        <v>0</v>
      </c>
      <c r="J1297" t="n">
        <v>0</v>
      </c>
      <c r="K1297" t="n">
        <v>0</v>
      </c>
      <c r="L1297" t="n">
        <v>0</v>
      </c>
      <c r="M1297" t="n">
        <v>0</v>
      </c>
      <c r="N1297" t="n">
        <v>0</v>
      </c>
      <c r="O1297" t="n">
        <v>0</v>
      </c>
      <c r="P1297" t="n">
        <v>0</v>
      </c>
      <c r="Q1297" t="n">
        <v>0</v>
      </c>
      <c r="R1297" s="2" t="inlineStr"/>
    </row>
    <row r="1298" ht="15" customHeight="1">
      <c r="A1298" t="inlineStr">
        <is>
          <t>A 34586-2019</t>
        </is>
      </c>
      <c r="B1298" s="1" t="n">
        <v>43657</v>
      </c>
      <c r="C1298" s="1" t="n">
        <v>45798</v>
      </c>
      <c r="D1298" t="inlineStr">
        <is>
          <t>NORRBOTTENS LÄN</t>
        </is>
      </c>
      <c r="E1298" t="inlineStr">
        <is>
          <t>JOKKMOKK</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34571-2019</t>
        </is>
      </c>
      <c r="B1299" s="1" t="n">
        <v>43657</v>
      </c>
      <c r="C1299" s="1" t="n">
        <v>45798</v>
      </c>
      <c r="D1299" t="inlineStr">
        <is>
          <t>NORRBOTTENS LÄN</t>
        </is>
      </c>
      <c r="E1299" t="inlineStr">
        <is>
          <t>JOKKMOKK</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34590-2019</t>
        </is>
      </c>
      <c r="B1300" s="1" t="n">
        <v>43657</v>
      </c>
      <c r="C1300" s="1" t="n">
        <v>45798</v>
      </c>
      <c r="D1300" t="inlineStr">
        <is>
          <t>NORRBOTTENS LÄN</t>
        </is>
      </c>
      <c r="E1300" t="inlineStr">
        <is>
          <t>JOKKMOKK</t>
        </is>
      </c>
      <c r="F1300" t="inlineStr">
        <is>
          <t>Sveaskog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36050-2019</t>
        </is>
      </c>
      <c r="B1301" s="1" t="n">
        <v>43657</v>
      </c>
      <c r="C1301" s="1" t="n">
        <v>45798</v>
      </c>
      <c r="D1301" t="inlineStr">
        <is>
          <t>NORRBOTTENS LÄN</t>
        </is>
      </c>
      <c r="E1301" t="inlineStr">
        <is>
          <t>BODEN</t>
        </is>
      </c>
      <c r="G1301" t="n">
        <v>32.3</v>
      </c>
      <c r="H1301" t="n">
        <v>0</v>
      </c>
      <c r="I1301" t="n">
        <v>0</v>
      </c>
      <c r="J1301" t="n">
        <v>0</v>
      </c>
      <c r="K1301" t="n">
        <v>0</v>
      </c>
      <c r="L1301" t="n">
        <v>0</v>
      </c>
      <c r="M1301" t="n">
        <v>0</v>
      </c>
      <c r="N1301" t="n">
        <v>0</v>
      </c>
      <c r="O1301" t="n">
        <v>0</v>
      </c>
      <c r="P1301" t="n">
        <v>0</v>
      </c>
      <c r="Q1301" t="n">
        <v>0</v>
      </c>
      <c r="R1301" s="2" t="inlineStr"/>
    </row>
    <row r="1302" ht="15" customHeight="1">
      <c r="A1302" t="inlineStr">
        <is>
          <t>A 36052-2019</t>
        </is>
      </c>
      <c r="B1302" s="1" t="n">
        <v>43657</v>
      </c>
      <c r="C1302" s="1" t="n">
        <v>45798</v>
      </c>
      <c r="D1302" t="inlineStr">
        <is>
          <t>NORRBOTTENS LÄN</t>
        </is>
      </c>
      <c r="E1302" t="inlineStr">
        <is>
          <t>BODEN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37160-2019</t>
        </is>
      </c>
      <c r="B1303" s="1" t="n">
        <v>43658</v>
      </c>
      <c r="C1303" s="1" t="n">
        <v>45798</v>
      </c>
      <c r="D1303" t="inlineStr">
        <is>
          <t>NORRBOTTENS LÄN</t>
        </is>
      </c>
      <c r="E1303" t="inlineStr">
        <is>
          <t>ÖVERTORNEÅ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37151-2019</t>
        </is>
      </c>
      <c r="B1304" s="1" t="n">
        <v>43658</v>
      </c>
      <c r="C1304" s="1" t="n">
        <v>45798</v>
      </c>
      <c r="D1304" t="inlineStr">
        <is>
          <t>NORRBOTTENS LÄN</t>
        </is>
      </c>
      <c r="E1304" t="inlineStr">
        <is>
          <t>ÖVERTORNEÅ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36114-2019</t>
        </is>
      </c>
      <c r="B1305" s="1" t="n">
        <v>43658</v>
      </c>
      <c r="C1305" s="1" t="n">
        <v>45798</v>
      </c>
      <c r="D1305" t="inlineStr">
        <is>
          <t>NORRBOTTENS LÄN</t>
        </is>
      </c>
      <c r="E1305" t="inlineStr">
        <is>
          <t>ÖVERTORNEÅ</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37159-2019</t>
        </is>
      </c>
      <c r="B1306" s="1" t="n">
        <v>43658</v>
      </c>
      <c r="C1306" s="1" t="n">
        <v>45798</v>
      </c>
      <c r="D1306" t="inlineStr">
        <is>
          <t>NORRBOTTENS LÄN</t>
        </is>
      </c>
      <c r="E1306" t="inlineStr">
        <is>
          <t>ÖVERTORNEÅ</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37148-2019</t>
        </is>
      </c>
      <c r="B1307" s="1" t="n">
        <v>43658</v>
      </c>
      <c r="C1307" s="1" t="n">
        <v>45798</v>
      </c>
      <c r="D1307" t="inlineStr">
        <is>
          <t>NORRBOTTENS LÄN</t>
        </is>
      </c>
      <c r="E1307" t="inlineStr">
        <is>
          <t>ÖVERTORNEÅ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37146-2019</t>
        </is>
      </c>
      <c r="B1308" s="1" t="n">
        <v>43658</v>
      </c>
      <c r="C1308" s="1" t="n">
        <v>45798</v>
      </c>
      <c r="D1308" t="inlineStr">
        <is>
          <t>NORRBOTTENS LÄN</t>
        </is>
      </c>
      <c r="E1308" t="inlineStr">
        <is>
          <t>ÖVERTORNEÅ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37155-2019</t>
        </is>
      </c>
      <c r="B1309" s="1" t="n">
        <v>43658</v>
      </c>
      <c r="C1309" s="1" t="n">
        <v>45798</v>
      </c>
      <c r="D1309" t="inlineStr">
        <is>
          <t>NORRBOTTENS LÄN</t>
        </is>
      </c>
      <c r="E1309" t="inlineStr">
        <is>
          <t>ÖVERTORNEÅ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37152-2019</t>
        </is>
      </c>
      <c r="B1310" s="1" t="n">
        <v>43658</v>
      </c>
      <c r="C1310" s="1" t="n">
        <v>45798</v>
      </c>
      <c r="D1310" t="inlineStr">
        <is>
          <t>NORRBOTTENS LÄN</t>
        </is>
      </c>
      <c r="E1310" t="inlineStr">
        <is>
          <t>ÖVERTORNEÅ</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35101-2019</t>
        </is>
      </c>
      <c r="B1311" s="1" t="n">
        <v>43661</v>
      </c>
      <c r="C1311" s="1" t="n">
        <v>45798</v>
      </c>
      <c r="D1311" t="inlineStr">
        <is>
          <t>NORRBOTTENS LÄN</t>
        </is>
      </c>
      <c r="E1311" t="inlineStr">
        <is>
          <t>PAJALA</t>
        </is>
      </c>
      <c r="F1311" t="inlineStr">
        <is>
          <t>Sveaskog</t>
        </is>
      </c>
      <c r="G1311" t="n">
        <v>35.1</v>
      </c>
      <c r="H1311" t="n">
        <v>0</v>
      </c>
      <c r="I1311" t="n">
        <v>0</v>
      </c>
      <c r="J1311" t="n">
        <v>0</v>
      </c>
      <c r="K1311" t="n">
        <v>0</v>
      </c>
      <c r="L1311" t="n">
        <v>0</v>
      </c>
      <c r="M1311" t="n">
        <v>0</v>
      </c>
      <c r="N1311" t="n">
        <v>0</v>
      </c>
      <c r="O1311" t="n">
        <v>0</v>
      </c>
      <c r="P1311" t="n">
        <v>0</v>
      </c>
      <c r="Q1311" t="n">
        <v>0</v>
      </c>
      <c r="R1311" s="2" t="inlineStr"/>
    </row>
    <row r="1312" ht="15" customHeight="1">
      <c r="A1312" t="inlineStr">
        <is>
          <t>A 35103-2019</t>
        </is>
      </c>
      <c r="B1312" s="1" t="n">
        <v>43661</v>
      </c>
      <c r="C1312" s="1" t="n">
        <v>45798</v>
      </c>
      <c r="D1312" t="inlineStr">
        <is>
          <t>NORRBOTTENS LÄN</t>
        </is>
      </c>
      <c r="E1312" t="inlineStr">
        <is>
          <t>BODEN</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35113-2019</t>
        </is>
      </c>
      <c r="B1313" s="1" t="n">
        <v>43661</v>
      </c>
      <c r="C1313" s="1" t="n">
        <v>45798</v>
      </c>
      <c r="D1313" t="inlineStr">
        <is>
          <t>NORRBOTTENS LÄN</t>
        </is>
      </c>
      <c r="E1313" t="inlineStr">
        <is>
          <t>PAJALA</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35100-2019</t>
        </is>
      </c>
      <c r="B1314" s="1" t="n">
        <v>43661</v>
      </c>
      <c r="C1314" s="1" t="n">
        <v>45798</v>
      </c>
      <c r="D1314" t="inlineStr">
        <is>
          <t>NORRBOTTENS LÄN</t>
        </is>
      </c>
      <c r="E1314" t="inlineStr">
        <is>
          <t>BODEN</t>
        </is>
      </c>
      <c r="F1314" t="inlineStr">
        <is>
          <t>Sveaskog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35336-2019</t>
        </is>
      </c>
      <c r="B1315" s="1" t="n">
        <v>43663</v>
      </c>
      <c r="C1315" s="1" t="n">
        <v>45798</v>
      </c>
      <c r="D1315" t="inlineStr">
        <is>
          <t>NORRBOTTENS LÄN</t>
        </is>
      </c>
      <c r="E1315" t="inlineStr">
        <is>
          <t>BODEN</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35338-2019</t>
        </is>
      </c>
      <c r="B1316" s="1" t="n">
        <v>43663</v>
      </c>
      <c r="C1316" s="1" t="n">
        <v>45798</v>
      </c>
      <c r="D1316" t="inlineStr">
        <is>
          <t>NORRBOTTENS LÄN</t>
        </is>
      </c>
      <c r="E1316" t="inlineStr">
        <is>
          <t>BODEN</t>
        </is>
      </c>
      <c r="F1316" t="inlineStr">
        <is>
          <t>Sveaskog</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37523-2019</t>
        </is>
      </c>
      <c r="B1317" s="1" t="n">
        <v>43663</v>
      </c>
      <c r="C1317" s="1" t="n">
        <v>45798</v>
      </c>
      <c r="D1317" t="inlineStr">
        <is>
          <t>NORRBOTTENS LÄN</t>
        </is>
      </c>
      <c r="E1317" t="inlineStr">
        <is>
          <t>ARVIDSJAUR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36399-2019</t>
        </is>
      </c>
      <c r="B1318" s="1" t="n">
        <v>43663</v>
      </c>
      <c r="C1318" s="1" t="n">
        <v>45798</v>
      </c>
      <c r="D1318" t="inlineStr">
        <is>
          <t>NORRBOTTENS LÄN</t>
        </is>
      </c>
      <c r="E1318" t="inlineStr">
        <is>
          <t>BODEN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36404-2019</t>
        </is>
      </c>
      <c r="B1319" s="1" t="n">
        <v>43663</v>
      </c>
      <c r="C1319" s="1" t="n">
        <v>45798</v>
      </c>
      <c r="D1319" t="inlineStr">
        <is>
          <t>NORRBOTTENS LÄN</t>
        </is>
      </c>
      <c r="E1319" t="inlineStr">
        <is>
          <t>ARVIDSJAUR</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35692-2019</t>
        </is>
      </c>
      <c r="B1320" s="1" t="n">
        <v>43664</v>
      </c>
      <c r="C1320" s="1" t="n">
        <v>45798</v>
      </c>
      <c r="D1320" t="inlineStr">
        <is>
          <t>NORRBOTTENS LÄN</t>
        </is>
      </c>
      <c r="E1320" t="inlineStr">
        <is>
          <t>BODEN</t>
        </is>
      </c>
      <c r="F1320" t="inlineStr">
        <is>
          <t>Sveaskog</t>
        </is>
      </c>
      <c r="G1320" t="n">
        <v>16.6</v>
      </c>
      <c r="H1320" t="n">
        <v>0</v>
      </c>
      <c r="I1320" t="n">
        <v>0</v>
      </c>
      <c r="J1320" t="n">
        <v>0</v>
      </c>
      <c r="K1320" t="n">
        <v>0</v>
      </c>
      <c r="L1320" t="n">
        <v>0</v>
      </c>
      <c r="M1320" t="n">
        <v>0</v>
      </c>
      <c r="N1320" t="n">
        <v>0</v>
      </c>
      <c r="O1320" t="n">
        <v>0</v>
      </c>
      <c r="P1320" t="n">
        <v>0</v>
      </c>
      <c r="Q1320" t="n">
        <v>0</v>
      </c>
      <c r="R1320" s="2" t="inlineStr"/>
    </row>
    <row r="1321" ht="15" customHeight="1">
      <c r="A1321" t="inlineStr">
        <is>
          <t>A 35797-2019</t>
        </is>
      </c>
      <c r="B1321" s="1" t="n">
        <v>43665</v>
      </c>
      <c r="C1321" s="1" t="n">
        <v>45798</v>
      </c>
      <c r="D1321" t="inlineStr">
        <is>
          <t>NORRBOTTENS LÄN</t>
        </is>
      </c>
      <c r="E1321" t="inlineStr">
        <is>
          <t>PAJALA</t>
        </is>
      </c>
      <c r="F1321" t="inlineStr">
        <is>
          <t>Allmännings- och besparingsskogar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35842-2019</t>
        </is>
      </c>
      <c r="B1322" s="1" t="n">
        <v>43665</v>
      </c>
      <c r="C1322" s="1" t="n">
        <v>45798</v>
      </c>
      <c r="D1322" t="inlineStr">
        <is>
          <t>NORRBOTTENS LÄN</t>
        </is>
      </c>
      <c r="E1322" t="inlineStr">
        <is>
          <t>ARJEPLOG</t>
        </is>
      </c>
      <c r="G1322" t="n">
        <v>13.3</v>
      </c>
      <c r="H1322" t="n">
        <v>0</v>
      </c>
      <c r="I1322" t="n">
        <v>0</v>
      </c>
      <c r="J1322" t="n">
        <v>0</v>
      </c>
      <c r="K1322" t="n">
        <v>0</v>
      </c>
      <c r="L1322" t="n">
        <v>0</v>
      </c>
      <c r="M1322" t="n">
        <v>0</v>
      </c>
      <c r="N1322" t="n">
        <v>0</v>
      </c>
      <c r="O1322" t="n">
        <v>0</v>
      </c>
      <c r="P1322" t="n">
        <v>0</v>
      </c>
      <c r="Q1322" t="n">
        <v>0</v>
      </c>
      <c r="R1322" s="2" t="inlineStr"/>
    </row>
    <row r="1323" ht="15" customHeight="1">
      <c r="A1323" t="inlineStr">
        <is>
          <t>A 36515-2019</t>
        </is>
      </c>
      <c r="B1323" s="1" t="n">
        <v>43668</v>
      </c>
      <c r="C1323" s="1" t="n">
        <v>45798</v>
      </c>
      <c r="D1323" t="inlineStr">
        <is>
          <t>NORRBOTTENS LÄN</t>
        </is>
      </c>
      <c r="E1323" t="inlineStr">
        <is>
          <t>KALIX</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36514-2019</t>
        </is>
      </c>
      <c r="B1324" s="1" t="n">
        <v>43668</v>
      </c>
      <c r="C1324" s="1" t="n">
        <v>45798</v>
      </c>
      <c r="D1324" t="inlineStr">
        <is>
          <t>NORRBOTTENS LÄN</t>
        </is>
      </c>
      <c r="E1324" t="inlineStr">
        <is>
          <t>KALIX</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36046-2019</t>
        </is>
      </c>
      <c r="B1325" s="1" t="n">
        <v>43668</v>
      </c>
      <c r="C1325" s="1" t="n">
        <v>45798</v>
      </c>
      <c r="D1325" t="inlineStr">
        <is>
          <t>NORRBOTTENS LÄN</t>
        </is>
      </c>
      <c r="E1325" t="inlineStr">
        <is>
          <t>GÄLLIVARE</t>
        </is>
      </c>
      <c r="F1325" t="inlineStr">
        <is>
          <t>Sveaskog</t>
        </is>
      </c>
      <c r="G1325" t="n">
        <v>14.9</v>
      </c>
      <c r="H1325" t="n">
        <v>0</v>
      </c>
      <c r="I1325" t="n">
        <v>0</v>
      </c>
      <c r="J1325" t="n">
        <v>0</v>
      </c>
      <c r="K1325" t="n">
        <v>0</v>
      </c>
      <c r="L1325" t="n">
        <v>0</v>
      </c>
      <c r="M1325" t="n">
        <v>0</v>
      </c>
      <c r="N1325" t="n">
        <v>0</v>
      </c>
      <c r="O1325" t="n">
        <v>0</v>
      </c>
      <c r="P1325" t="n">
        <v>0</v>
      </c>
      <c r="Q1325" t="n">
        <v>0</v>
      </c>
      <c r="R1325" s="2" t="inlineStr"/>
    </row>
    <row r="1326" ht="15" customHeight="1">
      <c r="A1326" t="inlineStr">
        <is>
          <t>A 36509-2019</t>
        </is>
      </c>
      <c r="B1326" s="1" t="n">
        <v>43668</v>
      </c>
      <c r="C1326" s="1" t="n">
        <v>45798</v>
      </c>
      <c r="D1326" t="inlineStr">
        <is>
          <t>NORRBOTTENS LÄN</t>
        </is>
      </c>
      <c r="E1326" t="inlineStr">
        <is>
          <t>HAPARANDA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36511-2019</t>
        </is>
      </c>
      <c r="B1327" s="1" t="n">
        <v>43668</v>
      </c>
      <c r="C1327" s="1" t="n">
        <v>45798</v>
      </c>
      <c r="D1327" t="inlineStr">
        <is>
          <t>NORRBOTTENS LÄN</t>
        </is>
      </c>
      <c r="E1327" t="inlineStr">
        <is>
          <t>HAPARANDA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36526-2019</t>
        </is>
      </c>
      <c r="B1328" s="1" t="n">
        <v>43668</v>
      </c>
      <c r="C1328" s="1" t="n">
        <v>45798</v>
      </c>
      <c r="D1328" t="inlineStr">
        <is>
          <t>NORRBOTTENS LÄN</t>
        </is>
      </c>
      <c r="E1328" t="inlineStr">
        <is>
          <t>ARVIDSJAUR</t>
        </is>
      </c>
      <c r="F1328" t="inlineStr">
        <is>
          <t>Allmännings- och besparingsskogar</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36487-2019</t>
        </is>
      </c>
      <c r="B1329" s="1" t="n">
        <v>43668</v>
      </c>
      <c r="C1329" s="1" t="n">
        <v>45798</v>
      </c>
      <c r="D1329" t="inlineStr">
        <is>
          <t>NORRBOTTENS LÄN</t>
        </is>
      </c>
      <c r="E1329" t="inlineStr">
        <is>
          <t>HAPARANDA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36491-2019</t>
        </is>
      </c>
      <c r="B1330" s="1" t="n">
        <v>43668</v>
      </c>
      <c r="C1330" s="1" t="n">
        <v>45798</v>
      </c>
      <c r="D1330" t="inlineStr">
        <is>
          <t>NORRBOTTENS LÄN</t>
        </is>
      </c>
      <c r="E1330" t="inlineStr">
        <is>
          <t>HAPARANDA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36621-2019</t>
        </is>
      </c>
      <c r="B1331" s="1" t="n">
        <v>43671</v>
      </c>
      <c r="C1331" s="1" t="n">
        <v>45798</v>
      </c>
      <c r="D1331" t="inlineStr">
        <is>
          <t>NORRBOTTENS LÄN</t>
        </is>
      </c>
      <c r="E1331" t="inlineStr">
        <is>
          <t>KIRUNA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36753-2019</t>
        </is>
      </c>
      <c r="B1332" s="1" t="n">
        <v>43672</v>
      </c>
      <c r="C1332" s="1" t="n">
        <v>45798</v>
      </c>
      <c r="D1332" t="inlineStr">
        <is>
          <t>NORRBOTTENS LÄN</t>
        </is>
      </c>
      <c r="E1332" t="inlineStr">
        <is>
          <t>PAJALA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36781-2019</t>
        </is>
      </c>
      <c r="B1333" s="1" t="n">
        <v>43672</v>
      </c>
      <c r="C1333" s="1" t="n">
        <v>45798</v>
      </c>
      <c r="D1333" t="inlineStr">
        <is>
          <t>NORRBOTTENS LÄN</t>
        </is>
      </c>
      <c r="E1333" t="inlineStr">
        <is>
          <t>ÄLVSBYN</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36821-2019</t>
        </is>
      </c>
      <c r="B1334" s="1" t="n">
        <v>43673</v>
      </c>
      <c r="C1334" s="1" t="n">
        <v>45798</v>
      </c>
      <c r="D1334" t="inlineStr">
        <is>
          <t>NORRBOTTENS LÄN</t>
        </is>
      </c>
      <c r="E1334" t="inlineStr">
        <is>
          <t>JOKKMOKK</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37123-2019</t>
        </is>
      </c>
      <c r="B1335" s="1" t="n">
        <v>43676</v>
      </c>
      <c r="C1335" s="1" t="n">
        <v>45798</v>
      </c>
      <c r="D1335" t="inlineStr">
        <is>
          <t>NORRBOTTENS LÄN</t>
        </is>
      </c>
      <c r="E1335" t="inlineStr">
        <is>
          <t>GÄLLIVARE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37122-2019</t>
        </is>
      </c>
      <c r="B1336" s="1" t="n">
        <v>43676</v>
      </c>
      <c r="C1336" s="1" t="n">
        <v>45798</v>
      </c>
      <c r="D1336" t="inlineStr">
        <is>
          <t>NORRBOTTENS LÄN</t>
        </is>
      </c>
      <c r="E1336" t="inlineStr">
        <is>
          <t>GÄLLIVARE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37315-2019</t>
        </is>
      </c>
      <c r="B1337" s="1" t="n">
        <v>43677</v>
      </c>
      <c r="C1337" s="1" t="n">
        <v>45798</v>
      </c>
      <c r="D1337" t="inlineStr">
        <is>
          <t>NORRBOTTENS LÄN</t>
        </is>
      </c>
      <c r="E1337" t="inlineStr">
        <is>
          <t>PITEÅ</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38093-2019</t>
        </is>
      </c>
      <c r="B1338" s="1" t="n">
        <v>43677</v>
      </c>
      <c r="C1338" s="1" t="n">
        <v>45798</v>
      </c>
      <c r="D1338" t="inlineStr">
        <is>
          <t>NORRBOTTENS LÄN</t>
        </is>
      </c>
      <c r="E1338" t="inlineStr">
        <is>
          <t>JOKKMOKK</t>
        </is>
      </c>
      <c r="F1338" t="inlineStr">
        <is>
          <t>Övriga Aktiebolag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37219-2019</t>
        </is>
      </c>
      <c r="B1339" s="1" t="n">
        <v>43677</v>
      </c>
      <c r="C1339" s="1" t="n">
        <v>45798</v>
      </c>
      <c r="D1339" t="inlineStr">
        <is>
          <t>NORRBOTTENS LÄN</t>
        </is>
      </c>
      <c r="E1339" t="inlineStr">
        <is>
          <t>ÖVERTORNEÅ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38089-2019</t>
        </is>
      </c>
      <c r="B1340" s="1" t="n">
        <v>43677</v>
      </c>
      <c r="C1340" s="1" t="n">
        <v>45798</v>
      </c>
      <c r="D1340" t="inlineStr">
        <is>
          <t>NORRBOTTENS LÄN</t>
        </is>
      </c>
      <c r="E1340" t="inlineStr">
        <is>
          <t>JOKKMOKK</t>
        </is>
      </c>
      <c r="F1340" t="inlineStr">
        <is>
          <t>Övriga Aktiebolag</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37311-2019</t>
        </is>
      </c>
      <c r="B1341" s="1" t="n">
        <v>43677</v>
      </c>
      <c r="C1341" s="1" t="n">
        <v>45798</v>
      </c>
      <c r="D1341" t="inlineStr">
        <is>
          <t>NORRBOTTENS LÄN</t>
        </is>
      </c>
      <c r="E1341" t="inlineStr">
        <is>
          <t>ÄLVSBYN</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37313-2019</t>
        </is>
      </c>
      <c r="B1342" s="1" t="n">
        <v>43677</v>
      </c>
      <c r="C1342" s="1" t="n">
        <v>45798</v>
      </c>
      <c r="D1342" t="inlineStr">
        <is>
          <t>NORRBOTTENS LÄN</t>
        </is>
      </c>
      <c r="E1342" t="inlineStr">
        <is>
          <t>ÄLVSBYN</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38092-2019</t>
        </is>
      </c>
      <c r="B1343" s="1" t="n">
        <v>43677</v>
      </c>
      <c r="C1343" s="1" t="n">
        <v>45798</v>
      </c>
      <c r="D1343" t="inlineStr">
        <is>
          <t>NORRBOTTENS LÄN</t>
        </is>
      </c>
      <c r="E1343" t="inlineStr">
        <is>
          <t>JOKKMOKK</t>
        </is>
      </c>
      <c r="F1343" t="inlineStr">
        <is>
          <t>Övriga Aktiebolag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37428-2019</t>
        </is>
      </c>
      <c r="B1344" s="1" t="n">
        <v>43678</v>
      </c>
      <c r="C1344" s="1" t="n">
        <v>45798</v>
      </c>
      <c r="D1344" t="inlineStr">
        <is>
          <t>NORRBOTTENS LÄN</t>
        </is>
      </c>
      <c r="E1344" t="inlineStr">
        <is>
          <t>BODEN</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37334-2019</t>
        </is>
      </c>
      <c r="B1345" s="1" t="n">
        <v>43678</v>
      </c>
      <c r="C1345" s="1" t="n">
        <v>45798</v>
      </c>
      <c r="D1345" t="inlineStr">
        <is>
          <t>NORRBOTTENS LÄN</t>
        </is>
      </c>
      <c r="E1345" t="inlineStr">
        <is>
          <t>PAJALA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37553-2019</t>
        </is>
      </c>
      <c r="B1346" s="1" t="n">
        <v>43678</v>
      </c>
      <c r="C1346" s="1" t="n">
        <v>45798</v>
      </c>
      <c r="D1346" t="inlineStr">
        <is>
          <t>NORRBOTTENS LÄN</t>
        </is>
      </c>
      <c r="E1346" t="inlineStr">
        <is>
          <t>PITEÅ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37637-2019</t>
        </is>
      </c>
      <c r="B1347" s="1" t="n">
        <v>43679</v>
      </c>
      <c r="C1347" s="1" t="n">
        <v>45798</v>
      </c>
      <c r="D1347" t="inlineStr">
        <is>
          <t>NORRBOTTENS LÄN</t>
        </is>
      </c>
      <c r="E1347" t="inlineStr">
        <is>
          <t>KALIX</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38085-2019</t>
        </is>
      </c>
      <c r="B1348" s="1" t="n">
        <v>43682</v>
      </c>
      <c r="C1348" s="1" t="n">
        <v>45798</v>
      </c>
      <c r="D1348" t="inlineStr">
        <is>
          <t>NORRBOTTENS LÄN</t>
        </is>
      </c>
      <c r="E1348" t="inlineStr">
        <is>
          <t>PITEÅ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38005-2019</t>
        </is>
      </c>
      <c r="B1349" s="1" t="n">
        <v>43683</v>
      </c>
      <c r="C1349" s="1" t="n">
        <v>45798</v>
      </c>
      <c r="D1349" t="inlineStr">
        <is>
          <t>NORRBOTTENS LÄN</t>
        </is>
      </c>
      <c r="E1349" t="inlineStr">
        <is>
          <t>JOKKMOKK</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38020-2019</t>
        </is>
      </c>
      <c r="B1350" s="1" t="n">
        <v>43683</v>
      </c>
      <c r="C1350" s="1" t="n">
        <v>45798</v>
      </c>
      <c r="D1350" t="inlineStr">
        <is>
          <t>NORRBOTTENS LÄN</t>
        </is>
      </c>
      <c r="E1350" t="inlineStr">
        <is>
          <t>ARVIDSJAUR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38006-2019</t>
        </is>
      </c>
      <c r="B1351" s="1" t="n">
        <v>43683</v>
      </c>
      <c r="C1351" s="1" t="n">
        <v>45798</v>
      </c>
      <c r="D1351" t="inlineStr">
        <is>
          <t>NORRBOTTENS LÄN</t>
        </is>
      </c>
      <c r="E1351" t="inlineStr">
        <is>
          <t>JOKKMOKK</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38704-2019</t>
        </is>
      </c>
      <c r="B1352" s="1" t="n">
        <v>43684</v>
      </c>
      <c r="C1352" s="1" t="n">
        <v>45798</v>
      </c>
      <c r="D1352" t="inlineStr">
        <is>
          <t>NORRBOTTENS LÄN</t>
        </is>
      </c>
      <c r="E1352" t="inlineStr">
        <is>
          <t>LULEÅ</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38659-2019</t>
        </is>
      </c>
      <c r="B1353" s="1" t="n">
        <v>43684</v>
      </c>
      <c r="C1353" s="1" t="n">
        <v>45798</v>
      </c>
      <c r="D1353" t="inlineStr">
        <is>
          <t>NORRBOTTENS LÄN</t>
        </is>
      </c>
      <c r="E1353" t="inlineStr">
        <is>
          <t>JOKKMOKK</t>
        </is>
      </c>
      <c r="F1353" t="inlineStr">
        <is>
          <t>Övriga Aktiebolag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38325-2019</t>
        </is>
      </c>
      <c r="B1354" s="1" t="n">
        <v>43684</v>
      </c>
      <c r="C1354" s="1" t="n">
        <v>45798</v>
      </c>
      <c r="D1354" t="inlineStr">
        <is>
          <t>NORRBOTTENS LÄN</t>
        </is>
      </c>
      <c r="E1354" t="inlineStr">
        <is>
          <t>ÖVERKALIX</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38326-2019</t>
        </is>
      </c>
      <c r="B1355" s="1" t="n">
        <v>43684</v>
      </c>
      <c r="C1355" s="1" t="n">
        <v>45798</v>
      </c>
      <c r="D1355" t="inlineStr">
        <is>
          <t>NORRBOTTENS LÄN</t>
        </is>
      </c>
      <c r="E1355" t="inlineStr">
        <is>
          <t>ÖVERKALIX</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38696-2019</t>
        </is>
      </c>
      <c r="B1356" s="1" t="n">
        <v>43684</v>
      </c>
      <c r="C1356" s="1" t="n">
        <v>45798</v>
      </c>
      <c r="D1356" t="inlineStr">
        <is>
          <t>NORRBOTTENS LÄN</t>
        </is>
      </c>
      <c r="E1356" t="inlineStr">
        <is>
          <t>PAJALA</t>
        </is>
      </c>
      <c r="G1356" t="n">
        <v>14.6</v>
      </c>
      <c r="H1356" t="n">
        <v>0</v>
      </c>
      <c r="I1356" t="n">
        <v>0</v>
      </c>
      <c r="J1356" t="n">
        <v>0</v>
      </c>
      <c r="K1356" t="n">
        <v>0</v>
      </c>
      <c r="L1356" t="n">
        <v>0</v>
      </c>
      <c r="M1356" t="n">
        <v>0</v>
      </c>
      <c r="N1356" t="n">
        <v>0</v>
      </c>
      <c r="O1356" t="n">
        <v>0</v>
      </c>
      <c r="P1356" t="n">
        <v>0</v>
      </c>
      <c r="Q1356" t="n">
        <v>0</v>
      </c>
      <c r="R1356" s="2" t="inlineStr"/>
    </row>
    <row r="1357" ht="15" customHeight="1">
      <c r="A1357" t="inlineStr">
        <is>
          <t>A 38692-2019</t>
        </is>
      </c>
      <c r="B1357" s="1" t="n">
        <v>43684</v>
      </c>
      <c r="C1357" s="1" t="n">
        <v>45798</v>
      </c>
      <c r="D1357" t="inlineStr">
        <is>
          <t>NORRBOTTENS LÄN</t>
        </is>
      </c>
      <c r="E1357" t="inlineStr">
        <is>
          <t>PAJALA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38322-2019</t>
        </is>
      </c>
      <c r="B1358" s="1" t="n">
        <v>43684</v>
      </c>
      <c r="C1358" s="1" t="n">
        <v>45798</v>
      </c>
      <c r="D1358" t="inlineStr">
        <is>
          <t>NORRBOTTENS LÄN</t>
        </is>
      </c>
      <c r="E1358" t="inlineStr">
        <is>
          <t>GÄLLIVARE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38433-2019</t>
        </is>
      </c>
      <c r="B1359" s="1" t="n">
        <v>43685</v>
      </c>
      <c r="C1359" s="1" t="n">
        <v>45798</v>
      </c>
      <c r="D1359" t="inlineStr">
        <is>
          <t>NORRBOTTENS LÄN</t>
        </is>
      </c>
      <c r="E1359" t="inlineStr">
        <is>
          <t>ÖVERKALIX</t>
        </is>
      </c>
      <c r="F1359" t="inlineStr">
        <is>
          <t>Sveaskog</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38529-2019</t>
        </is>
      </c>
      <c r="B1360" s="1" t="n">
        <v>43685</v>
      </c>
      <c r="C1360" s="1" t="n">
        <v>45798</v>
      </c>
      <c r="D1360" t="inlineStr">
        <is>
          <t>NORRBOTTENS LÄN</t>
        </is>
      </c>
      <c r="E1360" t="inlineStr">
        <is>
          <t>BODEN</t>
        </is>
      </c>
      <c r="F1360" t="inlineStr">
        <is>
          <t>Sveaskog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38549-2019</t>
        </is>
      </c>
      <c r="B1361" s="1" t="n">
        <v>43685</v>
      </c>
      <c r="C1361" s="1" t="n">
        <v>45798</v>
      </c>
      <c r="D1361" t="inlineStr">
        <is>
          <t>NORRBOTTENS LÄN</t>
        </is>
      </c>
      <c r="E1361" t="inlineStr">
        <is>
          <t>KALIX</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39601-2019</t>
        </is>
      </c>
      <c r="B1362" s="1" t="n">
        <v>43686</v>
      </c>
      <c r="C1362" s="1" t="n">
        <v>45798</v>
      </c>
      <c r="D1362" t="inlineStr">
        <is>
          <t>NORRBOTTENS LÄN</t>
        </is>
      </c>
      <c r="E1362" t="inlineStr">
        <is>
          <t>ÖVERTORNEÅ</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39530-2019</t>
        </is>
      </c>
      <c r="B1363" s="1" t="n">
        <v>43686</v>
      </c>
      <c r="C1363" s="1" t="n">
        <v>45798</v>
      </c>
      <c r="D1363" t="inlineStr">
        <is>
          <t>NORRBOTTENS LÄN</t>
        </is>
      </c>
      <c r="E1363" t="inlineStr">
        <is>
          <t>KALIX</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39604-2019</t>
        </is>
      </c>
      <c r="B1364" s="1" t="n">
        <v>43686</v>
      </c>
      <c r="C1364" s="1" t="n">
        <v>45798</v>
      </c>
      <c r="D1364" t="inlineStr">
        <is>
          <t>NORRBOTTENS LÄN</t>
        </is>
      </c>
      <c r="E1364" t="inlineStr">
        <is>
          <t>GÄLLIVARE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39532-2019</t>
        </is>
      </c>
      <c r="B1365" s="1" t="n">
        <v>43686</v>
      </c>
      <c r="C1365" s="1" t="n">
        <v>45798</v>
      </c>
      <c r="D1365" t="inlineStr">
        <is>
          <t>NORRBOTTENS LÄN</t>
        </is>
      </c>
      <c r="E1365" t="inlineStr">
        <is>
          <t>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43089-2019</t>
        </is>
      </c>
      <c r="B1366" s="1" t="n">
        <v>43686</v>
      </c>
      <c r="C1366" s="1" t="n">
        <v>45798</v>
      </c>
      <c r="D1366" t="inlineStr">
        <is>
          <t>NORRBOTTENS LÄN</t>
        </is>
      </c>
      <c r="E1366" t="inlineStr">
        <is>
          <t>ÖVERTORNEÅ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39580-2019</t>
        </is>
      </c>
      <c r="B1367" s="1" t="n">
        <v>43686</v>
      </c>
      <c r="C1367" s="1" t="n">
        <v>45798</v>
      </c>
      <c r="D1367" t="inlineStr">
        <is>
          <t>NORRBOTTENS LÄN</t>
        </is>
      </c>
      <c r="E1367" t="inlineStr">
        <is>
          <t>ÖVERTORNEÅ</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38638-2019</t>
        </is>
      </c>
      <c r="B1368" s="1" t="n">
        <v>43686</v>
      </c>
      <c r="C1368" s="1" t="n">
        <v>45798</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38974-2019</t>
        </is>
      </c>
      <c r="B1369" s="1" t="n">
        <v>43689</v>
      </c>
      <c r="C1369" s="1" t="n">
        <v>45798</v>
      </c>
      <c r="D1369" t="inlineStr">
        <is>
          <t>NORRBOTTENS LÄN</t>
        </is>
      </c>
      <c r="E1369" t="inlineStr">
        <is>
          <t>BODEN</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38980-2019</t>
        </is>
      </c>
      <c r="B1370" s="1" t="n">
        <v>43689</v>
      </c>
      <c r="C1370" s="1" t="n">
        <v>45798</v>
      </c>
      <c r="D1370" t="inlineStr">
        <is>
          <t>NORRBOTTENS LÄN</t>
        </is>
      </c>
      <c r="E1370" t="inlineStr">
        <is>
          <t>BODEN</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39008-2019</t>
        </is>
      </c>
      <c r="B1371" s="1" t="n">
        <v>43689</v>
      </c>
      <c r="C1371" s="1" t="n">
        <v>45798</v>
      </c>
      <c r="D1371" t="inlineStr">
        <is>
          <t>NORRBOTTENS LÄN</t>
        </is>
      </c>
      <c r="E1371" t="inlineStr">
        <is>
          <t>ÖVERKALIX</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39013-2019</t>
        </is>
      </c>
      <c r="B1372" s="1" t="n">
        <v>43689</v>
      </c>
      <c r="C1372" s="1" t="n">
        <v>45798</v>
      </c>
      <c r="D1372" t="inlineStr">
        <is>
          <t>NORRBOTTENS LÄN</t>
        </is>
      </c>
      <c r="E1372" t="inlineStr">
        <is>
          <t>ÖVERKALIX</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39007-2019</t>
        </is>
      </c>
      <c r="B1373" s="1" t="n">
        <v>43689</v>
      </c>
      <c r="C1373" s="1" t="n">
        <v>45798</v>
      </c>
      <c r="D1373" t="inlineStr">
        <is>
          <t>NORRBOTTENS LÄN</t>
        </is>
      </c>
      <c r="E1373" t="inlineStr">
        <is>
          <t>ÖVERKALIX</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39710-2019</t>
        </is>
      </c>
      <c r="B1374" s="1" t="n">
        <v>43689</v>
      </c>
      <c r="C1374" s="1" t="n">
        <v>45798</v>
      </c>
      <c r="D1374" t="inlineStr">
        <is>
          <t>NORRBOTTENS LÄN</t>
        </is>
      </c>
      <c r="E1374" t="inlineStr">
        <is>
          <t>JOKKMOKK</t>
        </is>
      </c>
      <c r="F1374" t="inlineStr">
        <is>
          <t>Allmännings- och besparingsskogar</t>
        </is>
      </c>
      <c r="G1374" t="n">
        <v>18.7</v>
      </c>
      <c r="H1374" t="n">
        <v>0</v>
      </c>
      <c r="I1374" t="n">
        <v>0</v>
      </c>
      <c r="J1374" t="n">
        <v>0</v>
      </c>
      <c r="K1374" t="n">
        <v>0</v>
      </c>
      <c r="L1374" t="n">
        <v>0</v>
      </c>
      <c r="M1374" t="n">
        <v>0</v>
      </c>
      <c r="N1374" t="n">
        <v>0</v>
      </c>
      <c r="O1374" t="n">
        <v>0</v>
      </c>
      <c r="P1374" t="n">
        <v>0</v>
      </c>
      <c r="Q1374" t="n">
        <v>0</v>
      </c>
      <c r="R1374" s="2" t="inlineStr"/>
    </row>
    <row r="1375" ht="15" customHeight="1">
      <c r="A1375" t="inlineStr">
        <is>
          <t>A 39893-2019</t>
        </is>
      </c>
      <c r="B1375" s="1" t="n">
        <v>43689</v>
      </c>
      <c r="C1375" s="1" t="n">
        <v>45798</v>
      </c>
      <c r="D1375" t="inlineStr">
        <is>
          <t>NORRBOTTENS LÄN</t>
        </is>
      </c>
      <c r="E1375" t="inlineStr">
        <is>
          <t>GÄLLIVARE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39907-2019</t>
        </is>
      </c>
      <c r="B1376" s="1" t="n">
        <v>43689</v>
      </c>
      <c r="C1376" s="1" t="n">
        <v>45798</v>
      </c>
      <c r="D1376" t="inlineStr">
        <is>
          <t>NORRBOTTENS LÄN</t>
        </is>
      </c>
      <c r="E1376" t="inlineStr">
        <is>
          <t>GÄLLIVARE</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39268-2019</t>
        </is>
      </c>
      <c r="B1377" s="1" t="n">
        <v>43690</v>
      </c>
      <c r="C1377" s="1" t="n">
        <v>45798</v>
      </c>
      <c r="D1377" t="inlineStr">
        <is>
          <t>NORRBOTTENS LÄN</t>
        </is>
      </c>
      <c r="E1377" t="inlineStr">
        <is>
          <t>PAJALA</t>
        </is>
      </c>
      <c r="F1377" t="inlineStr">
        <is>
          <t>Sveaskog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39398-2019</t>
        </is>
      </c>
      <c r="B1378" s="1" t="n">
        <v>43690</v>
      </c>
      <c r="C1378" s="1" t="n">
        <v>45798</v>
      </c>
      <c r="D1378" t="inlineStr">
        <is>
          <t>NORRBOTTENS LÄN</t>
        </is>
      </c>
      <c r="E1378" t="inlineStr">
        <is>
          <t>JOKKMOKK</t>
        </is>
      </c>
      <c r="F1378" t="inlineStr">
        <is>
          <t>SCA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39246-2019</t>
        </is>
      </c>
      <c r="B1379" s="1" t="n">
        <v>43690</v>
      </c>
      <c r="C1379" s="1" t="n">
        <v>45798</v>
      </c>
      <c r="D1379" t="inlineStr">
        <is>
          <t>NORRBOTTENS LÄN</t>
        </is>
      </c>
      <c r="E1379" t="inlineStr">
        <is>
          <t>PAJALA</t>
        </is>
      </c>
      <c r="F1379" t="inlineStr">
        <is>
          <t>Sveaskog</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39333-2019</t>
        </is>
      </c>
      <c r="B1380" s="1" t="n">
        <v>43690</v>
      </c>
      <c r="C1380" s="1" t="n">
        <v>45798</v>
      </c>
      <c r="D1380" t="inlineStr">
        <is>
          <t>NORRBOTTENS LÄN</t>
        </is>
      </c>
      <c r="E1380" t="inlineStr">
        <is>
          <t>ÄLVSBYN</t>
        </is>
      </c>
      <c r="F1380" t="inlineStr">
        <is>
          <t>Sveaskog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40435-2019</t>
        </is>
      </c>
      <c r="B1381" s="1" t="n">
        <v>43690</v>
      </c>
      <c r="C1381" s="1" t="n">
        <v>45798</v>
      </c>
      <c r="D1381" t="inlineStr">
        <is>
          <t>NORRBOTTENS LÄN</t>
        </is>
      </c>
      <c r="E1381" t="inlineStr">
        <is>
          <t>GÄLLIVARE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39560-2019</t>
        </is>
      </c>
      <c r="B1382" s="1" t="n">
        <v>43691</v>
      </c>
      <c r="C1382" s="1" t="n">
        <v>45798</v>
      </c>
      <c r="D1382" t="inlineStr">
        <is>
          <t>NORRBOTTENS LÄN</t>
        </is>
      </c>
      <c r="E1382" t="inlineStr">
        <is>
          <t>PITEÅ</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39558-2019</t>
        </is>
      </c>
      <c r="B1383" s="1" t="n">
        <v>43691</v>
      </c>
      <c r="C1383" s="1" t="n">
        <v>45798</v>
      </c>
      <c r="D1383" t="inlineStr">
        <is>
          <t>NORRBOTTENS LÄN</t>
        </is>
      </c>
      <c r="E1383" t="inlineStr">
        <is>
          <t>PITEÅ</t>
        </is>
      </c>
      <c r="F1383" t="inlineStr">
        <is>
          <t>Sveaskog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39670-2019</t>
        </is>
      </c>
      <c r="B1384" s="1" t="n">
        <v>43691</v>
      </c>
      <c r="C1384" s="1" t="n">
        <v>45798</v>
      </c>
      <c r="D1384" t="inlineStr">
        <is>
          <t>NORRBOTTENS LÄN</t>
        </is>
      </c>
      <c r="E1384" t="inlineStr">
        <is>
          <t>ÄLVSBYN</t>
        </is>
      </c>
      <c r="F1384" t="inlineStr">
        <is>
          <t>Sveaskog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39733-2019</t>
        </is>
      </c>
      <c r="B1385" s="1" t="n">
        <v>43691</v>
      </c>
      <c r="C1385" s="1" t="n">
        <v>45798</v>
      </c>
      <c r="D1385" t="inlineStr">
        <is>
          <t>NORRBOTTENS LÄN</t>
        </is>
      </c>
      <c r="E1385" t="inlineStr">
        <is>
          <t>GÄLLIVARE</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39859-2019</t>
        </is>
      </c>
      <c r="B1386" s="1" t="n">
        <v>43692</v>
      </c>
      <c r="C1386" s="1" t="n">
        <v>45798</v>
      </c>
      <c r="D1386" t="inlineStr">
        <is>
          <t>NORRBOTTENS LÄN</t>
        </is>
      </c>
      <c r="E1386" t="inlineStr">
        <is>
          <t>PAJALA</t>
        </is>
      </c>
      <c r="F1386" t="inlineStr">
        <is>
          <t>Sveaskog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39863-2019</t>
        </is>
      </c>
      <c r="B1387" s="1" t="n">
        <v>43692</v>
      </c>
      <c r="C1387" s="1" t="n">
        <v>45798</v>
      </c>
      <c r="D1387" t="inlineStr">
        <is>
          <t>NORRBOTTENS LÄN</t>
        </is>
      </c>
      <c r="E1387" t="inlineStr">
        <is>
          <t>PAJALA</t>
        </is>
      </c>
      <c r="F1387" t="inlineStr">
        <is>
          <t>Sveaskog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39892-2019</t>
        </is>
      </c>
      <c r="B1388" s="1" t="n">
        <v>43692</v>
      </c>
      <c r="C1388" s="1" t="n">
        <v>45798</v>
      </c>
      <c r="D1388" t="inlineStr">
        <is>
          <t>NORRBOTTENS LÄN</t>
        </is>
      </c>
      <c r="E1388" t="inlineStr">
        <is>
          <t>BODEN</t>
        </is>
      </c>
      <c r="G1388" t="n">
        <v>43.5</v>
      </c>
      <c r="H1388" t="n">
        <v>0</v>
      </c>
      <c r="I1388" t="n">
        <v>0</v>
      </c>
      <c r="J1388" t="n">
        <v>0</v>
      </c>
      <c r="K1388" t="n">
        <v>0</v>
      </c>
      <c r="L1388" t="n">
        <v>0</v>
      </c>
      <c r="M1388" t="n">
        <v>0</v>
      </c>
      <c r="N1388" t="n">
        <v>0</v>
      </c>
      <c r="O1388" t="n">
        <v>0</v>
      </c>
      <c r="P1388" t="n">
        <v>0</v>
      </c>
      <c r="Q1388" t="n">
        <v>0</v>
      </c>
      <c r="R1388" s="2" t="inlineStr"/>
    </row>
    <row r="1389" ht="15" customHeight="1">
      <c r="A1389" t="inlineStr">
        <is>
          <t>A 39947-2019</t>
        </is>
      </c>
      <c r="B1389" s="1" t="n">
        <v>43692</v>
      </c>
      <c r="C1389" s="1" t="n">
        <v>45798</v>
      </c>
      <c r="D1389" t="inlineStr">
        <is>
          <t>NORRBOTTENS LÄN</t>
        </is>
      </c>
      <c r="E1389" t="inlineStr">
        <is>
          <t>BODEN</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39966-2019</t>
        </is>
      </c>
      <c r="B1390" s="1" t="n">
        <v>43692</v>
      </c>
      <c r="C1390" s="1" t="n">
        <v>45798</v>
      </c>
      <c r="D1390" t="inlineStr">
        <is>
          <t>NORRBOTTENS LÄN</t>
        </is>
      </c>
      <c r="E1390" t="inlineStr">
        <is>
          <t>BODEN</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40803-2019</t>
        </is>
      </c>
      <c r="B1391" s="1" t="n">
        <v>43692</v>
      </c>
      <c r="C1391" s="1" t="n">
        <v>45798</v>
      </c>
      <c r="D1391" t="inlineStr">
        <is>
          <t>NORRBOTTENS LÄN</t>
        </is>
      </c>
      <c r="E1391" t="inlineStr">
        <is>
          <t>HAPARANDA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40146-2019</t>
        </is>
      </c>
      <c r="B1392" s="1" t="n">
        <v>43693</v>
      </c>
      <c r="C1392" s="1" t="n">
        <v>45798</v>
      </c>
      <c r="D1392" t="inlineStr">
        <is>
          <t>NORRBOTTENS LÄN</t>
        </is>
      </c>
      <c r="E1392" t="inlineStr">
        <is>
          <t>ÖVERKALIX</t>
        </is>
      </c>
      <c r="F1392" t="inlineStr">
        <is>
          <t>Sveaskog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40115-2019</t>
        </is>
      </c>
      <c r="B1393" s="1" t="n">
        <v>43693</v>
      </c>
      <c r="C1393" s="1" t="n">
        <v>45798</v>
      </c>
      <c r="D1393" t="inlineStr">
        <is>
          <t>NORRBOTTENS LÄN</t>
        </is>
      </c>
      <c r="E1393" t="inlineStr">
        <is>
          <t>ÖVERKALIX</t>
        </is>
      </c>
      <c r="F1393" t="inlineStr">
        <is>
          <t>Sveaskog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40147-2019</t>
        </is>
      </c>
      <c r="B1394" s="1" t="n">
        <v>43693</v>
      </c>
      <c r="C1394" s="1" t="n">
        <v>45798</v>
      </c>
      <c r="D1394" t="inlineStr">
        <is>
          <t>NORRBOTTENS LÄN</t>
        </is>
      </c>
      <c r="E1394" t="inlineStr">
        <is>
          <t>GÄLLIVARE</t>
        </is>
      </c>
      <c r="F1394" t="inlineStr">
        <is>
          <t>Sveaskog</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41091-2019</t>
        </is>
      </c>
      <c r="B1395" s="1" t="n">
        <v>43693</v>
      </c>
      <c r="C1395" s="1" t="n">
        <v>45798</v>
      </c>
      <c r="D1395" t="inlineStr">
        <is>
          <t>NORRBOTTENS LÄN</t>
        </is>
      </c>
      <c r="E1395" t="inlineStr">
        <is>
          <t>LULEÅ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40905-2019</t>
        </is>
      </c>
      <c r="B1396" s="1" t="n">
        <v>43693</v>
      </c>
      <c r="C1396" s="1" t="n">
        <v>45798</v>
      </c>
      <c r="D1396" t="inlineStr">
        <is>
          <t>NORRBOTTENS LÄN</t>
        </is>
      </c>
      <c r="E1396" t="inlineStr">
        <is>
          <t>KALIX</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40255-2019</t>
        </is>
      </c>
      <c r="B1397" s="1" t="n">
        <v>43695</v>
      </c>
      <c r="C1397" s="1" t="n">
        <v>45798</v>
      </c>
      <c r="D1397" t="inlineStr">
        <is>
          <t>NORRBOTTENS LÄN</t>
        </is>
      </c>
      <c r="E1397" t="inlineStr">
        <is>
          <t>ARJEPLOG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40418-2019</t>
        </is>
      </c>
      <c r="B1398" s="1" t="n">
        <v>43696</v>
      </c>
      <c r="C1398" s="1" t="n">
        <v>45798</v>
      </c>
      <c r="D1398" t="inlineStr">
        <is>
          <t>NORRBOTTENS LÄN</t>
        </is>
      </c>
      <c r="E1398" t="inlineStr">
        <is>
          <t>JOKKMOKK</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40676-2019</t>
        </is>
      </c>
      <c r="B1399" s="1" t="n">
        <v>43696</v>
      </c>
      <c r="C1399" s="1" t="n">
        <v>45798</v>
      </c>
      <c r="D1399" t="inlineStr">
        <is>
          <t>NORRBOTTENS LÄN</t>
        </is>
      </c>
      <c r="E1399" t="inlineStr">
        <is>
          <t>PITEÅ</t>
        </is>
      </c>
      <c r="F1399" t="inlineStr">
        <is>
          <t>SCA</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40631-2019</t>
        </is>
      </c>
      <c r="B1400" s="1" t="n">
        <v>43696</v>
      </c>
      <c r="C1400" s="1" t="n">
        <v>45798</v>
      </c>
      <c r="D1400" t="inlineStr">
        <is>
          <t>NORRBOTTENS LÄN</t>
        </is>
      </c>
      <c r="E1400" t="inlineStr">
        <is>
          <t>BODEN</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41315-2019</t>
        </is>
      </c>
      <c r="B1401" s="1" t="n">
        <v>43696</v>
      </c>
      <c r="C1401" s="1" t="n">
        <v>45798</v>
      </c>
      <c r="D1401" t="inlineStr">
        <is>
          <t>NORRBOTTENS LÄN</t>
        </is>
      </c>
      <c r="E1401" t="inlineStr">
        <is>
          <t>PAJALA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40726-2019</t>
        </is>
      </c>
      <c r="B1402" s="1" t="n">
        <v>43697</v>
      </c>
      <c r="C1402" s="1" t="n">
        <v>45798</v>
      </c>
      <c r="D1402" t="inlineStr">
        <is>
          <t>NORRBOTTENS LÄN</t>
        </is>
      </c>
      <c r="E1402" t="inlineStr">
        <is>
          <t>KALIX</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40946-2019</t>
        </is>
      </c>
      <c r="B1403" s="1" t="n">
        <v>43697</v>
      </c>
      <c r="C1403" s="1" t="n">
        <v>45798</v>
      </c>
      <c r="D1403" t="inlineStr">
        <is>
          <t>NORRBOTTENS LÄN</t>
        </is>
      </c>
      <c r="E1403" t="inlineStr">
        <is>
          <t>PITEÅ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41003-2019</t>
        </is>
      </c>
      <c r="B1404" s="1" t="n">
        <v>43697</v>
      </c>
      <c r="C1404" s="1" t="n">
        <v>45798</v>
      </c>
      <c r="D1404" t="inlineStr">
        <is>
          <t>NORRBOTTENS LÄN</t>
        </is>
      </c>
      <c r="E1404" t="inlineStr">
        <is>
          <t>ÖVERTORNEÅ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41004-2019</t>
        </is>
      </c>
      <c r="B1405" s="1" t="n">
        <v>43697</v>
      </c>
      <c r="C1405" s="1" t="n">
        <v>45798</v>
      </c>
      <c r="D1405" t="inlineStr">
        <is>
          <t>NORRBOTTENS LÄN</t>
        </is>
      </c>
      <c r="E1405" t="inlineStr">
        <is>
          <t>ÖVERTORNEÅ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40693-2019</t>
        </is>
      </c>
      <c r="B1406" s="1" t="n">
        <v>43697</v>
      </c>
      <c r="C1406" s="1" t="n">
        <v>45798</v>
      </c>
      <c r="D1406" t="inlineStr">
        <is>
          <t>NORRBOTTENS LÄN</t>
        </is>
      </c>
      <c r="E1406" t="inlineStr">
        <is>
          <t>ARVIDSJAUR</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41088-2019</t>
        </is>
      </c>
      <c r="B1407" s="1" t="n">
        <v>43698</v>
      </c>
      <c r="C1407" s="1" t="n">
        <v>45798</v>
      </c>
      <c r="D1407" t="inlineStr">
        <is>
          <t>NORRBOTTENS LÄN</t>
        </is>
      </c>
      <c r="E1407" t="inlineStr">
        <is>
          <t>PITEÅ</t>
        </is>
      </c>
      <c r="F1407" t="inlineStr">
        <is>
          <t>Sveaskog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41109-2019</t>
        </is>
      </c>
      <c r="B1408" s="1" t="n">
        <v>43698</v>
      </c>
      <c r="C1408" s="1" t="n">
        <v>45798</v>
      </c>
      <c r="D1408" t="inlineStr">
        <is>
          <t>NORRBOTTENS LÄN</t>
        </is>
      </c>
      <c r="E1408" t="inlineStr">
        <is>
          <t>PITEÅ</t>
        </is>
      </c>
      <c r="F1408" t="inlineStr">
        <is>
          <t>Sveaskog</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41424-2019</t>
        </is>
      </c>
      <c r="B1409" s="1" t="n">
        <v>43698</v>
      </c>
      <c r="C1409" s="1" t="n">
        <v>45798</v>
      </c>
      <c r="D1409" t="inlineStr">
        <is>
          <t>NORRBOTTENS LÄN</t>
        </is>
      </c>
      <c r="E1409" t="inlineStr">
        <is>
          <t>PAJALA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41426-2019</t>
        </is>
      </c>
      <c r="B1410" s="1" t="n">
        <v>43698</v>
      </c>
      <c r="C1410" s="1" t="n">
        <v>45798</v>
      </c>
      <c r="D1410" t="inlineStr">
        <is>
          <t>NORRBOTTENS LÄN</t>
        </is>
      </c>
      <c r="E1410" t="inlineStr">
        <is>
          <t>PAJALA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41351-2019</t>
        </is>
      </c>
      <c r="B1411" s="1" t="n">
        <v>43698</v>
      </c>
      <c r="C1411" s="1" t="n">
        <v>45798</v>
      </c>
      <c r="D1411" t="inlineStr">
        <is>
          <t>NORRBOTTENS LÄN</t>
        </is>
      </c>
      <c r="E1411" t="inlineStr">
        <is>
          <t>BODEN</t>
        </is>
      </c>
      <c r="F1411" t="inlineStr">
        <is>
          <t>Sveaskog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41427-2019</t>
        </is>
      </c>
      <c r="B1412" s="1" t="n">
        <v>43698</v>
      </c>
      <c r="C1412" s="1" t="n">
        <v>45798</v>
      </c>
      <c r="D1412" t="inlineStr">
        <is>
          <t>NORRBOTTENS LÄN</t>
        </is>
      </c>
      <c r="E1412" t="inlineStr">
        <is>
          <t>PAJALA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42199-2019</t>
        </is>
      </c>
      <c r="B1413" s="1" t="n">
        <v>43698</v>
      </c>
      <c r="C1413" s="1" t="n">
        <v>45798</v>
      </c>
      <c r="D1413" t="inlineStr">
        <is>
          <t>NORRBOTTENS LÄN</t>
        </is>
      </c>
      <c r="E1413" t="inlineStr">
        <is>
          <t>PAJALA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41772-2019</t>
        </is>
      </c>
      <c r="B1414" s="1" t="n">
        <v>43699</v>
      </c>
      <c r="C1414" s="1" t="n">
        <v>45798</v>
      </c>
      <c r="D1414" t="inlineStr">
        <is>
          <t>NORRBOTTENS LÄN</t>
        </is>
      </c>
      <c r="E1414" t="inlineStr">
        <is>
          <t>ARJEPLOG</t>
        </is>
      </c>
      <c r="F1414" t="inlineStr">
        <is>
          <t>SCA</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41791-2019</t>
        </is>
      </c>
      <c r="B1415" s="1" t="n">
        <v>43699</v>
      </c>
      <c r="C1415" s="1" t="n">
        <v>45798</v>
      </c>
      <c r="D1415" t="inlineStr">
        <is>
          <t>NORRBOTTENS LÄN</t>
        </is>
      </c>
      <c r="E1415" t="inlineStr">
        <is>
          <t>PAJALA</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41795-2019</t>
        </is>
      </c>
      <c r="B1416" s="1" t="n">
        <v>43699</v>
      </c>
      <c r="C1416" s="1" t="n">
        <v>45798</v>
      </c>
      <c r="D1416" t="inlineStr">
        <is>
          <t>NORRBOTTENS LÄN</t>
        </is>
      </c>
      <c r="E1416" t="inlineStr">
        <is>
          <t>PAJALA</t>
        </is>
      </c>
      <c r="F1416" t="inlineStr">
        <is>
          <t>SCA</t>
        </is>
      </c>
      <c r="G1416" t="n">
        <v>25.4</v>
      </c>
      <c r="H1416" t="n">
        <v>0</v>
      </c>
      <c r="I1416" t="n">
        <v>0</v>
      </c>
      <c r="J1416" t="n">
        <v>0</v>
      </c>
      <c r="K1416" t="n">
        <v>0</v>
      </c>
      <c r="L1416" t="n">
        <v>0</v>
      </c>
      <c r="M1416" t="n">
        <v>0</v>
      </c>
      <c r="N1416" t="n">
        <v>0</v>
      </c>
      <c r="O1416" t="n">
        <v>0</v>
      </c>
      <c r="P1416" t="n">
        <v>0</v>
      </c>
      <c r="Q1416" t="n">
        <v>0</v>
      </c>
      <c r="R1416" s="2" t="inlineStr"/>
    </row>
    <row r="1417" ht="15" customHeight="1">
      <c r="A1417" t="inlineStr">
        <is>
          <t>A 41774-2019</t>
        </is>
      </c>
      <c r="B1417" s="1" t="n">
        <v>43699</v>
      </c>
      <c r="C1417" s="1" t="n">
        <v>45798</v>
      </c>
      <c r="D1417" t="inlineStr">
        <is>
          <t>NORRBOTTENS LÄN</t>
        </is>
      </c>
      <c r="E1417" t="inlineStr">
        <is>
          <t>ARJEPLOG</t>
        </is>
      </c>
      <c r="F1417" t="inlineStr">
        <is>
          <t>SCA</t>
        </is>
      </c>
      <c r="G1417" t="n">
        <v>10.3</v>
      </c>
      <c r="H1417" t="n">
        <v>0</v>
      </c>
      <c r="I1417" t="n">
        <v>0</v>
      </c>
      <c r="J1417" t="n">
        <v>0</v>
      </c>
      <c r="K1417" t="n">
        <v>0</v>
      </c>
      <c r="L1417" t="n">
        <v>0</v>
      </c>
      <c r="M1417" t="n">
        <v>0</v>
      </c>
      <c r="N1417" t="n">
        <v>0</v>
      </c>
      <c r="O1417" t="n">
        <v>0</v>
      </c>
      <c r="P1417" t="n">
        <v>0</v>
      </c>
      <c r="Q1417" t="n">
        <v>0</v>
      </c>
      <c r="R1417" s="2" t="inlineStr"/>
    </row>
    <row r="1418" ht="15" customHeight="1">
      <c r="A1418" t="inlineStr">
        <is>
          <t>A 41794-2019</t>
        </is>
      </c>
      <c r="B1418" s="1" t="n">
        <v>43699</v>
      </c>
      <c r="C1418" s="1" t="n">
        <v>45798</v>
      </c>
      <c r="D1418" t="inlineStr">
        <is>
          <t>NORRBOTTENS LÄN</t>
        </is>
      </c>
      <c r="E1418" t="inlineStr">
        <is>
          <t>PAJALA</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42577-2019</t>
        </is>
      </c>
      <c r="B1419" s="1" t="n">
        <v>43699</v>
      </c>
      <c r="C1419" s="1" t="n">
        <v>45798</v>
      </c>
      <c r="D1419" t="inlineStr">
        <is>
          <t>NORRBOTTENS LÄN</t>
        </is>
      </c>
      <c r="E1419" t="inlineStr">
        <is>
          <t>ÖVERKALIX</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41792-2019</t>
        </is>
      </c>
      <c r="B1420" s="1" t="n">
        <v>43699</v>
      </c>
      <c r="C1420" s="1" t="n">
        <v>45798</v>
      </c>
      <c r="D1420" t="inlineStr">
        <is>
          <t>NORRBOTTENS LÄN</t>
        </is>
      </c>
      <c r="E1420" t="inlineStr">
        <is>
          <t>PAJALA</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42561-2019</t>
        </is>
      </c>
      <c r="B1421" s="1" t="n">
        <v>43699</v>
      </c>
      <c r="C1421" s="1" t="n">
        <v>45798</v>
      </c>
      <c r="D1421" t="inlineStr">
        <is>
          <t>NORRBOTTENS LÄN</t>
        </is>
      </c>
      <c r="E1421" t="inlineStr">
        <is>
          <t>ÖVERKALIX</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42591-2019</t>
        </is>
      </c>
      <c r="B1422" s="1" t="n">
        <v>43699</v>
      </c>
      <c r="C1422" s="1" t="n">
        <v>45798</v>
      </c>
      <c r="D1422" t="inlineStr">
        <is>
          <t>NORRBOTTENS LÄN</t>
        </is>
      </c>
      <c r="E1422" t="inlineStr">
        <is>
          <t>ÖVERKALIX</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42586-2019</t>
        </is>
      </c>
      <c r="B1423" s="1" t="n">
        <v>43699</v>
      </c>
      <c r="C1423" s="1" t="n">
        <v>45798</v>
      </c>
      <c r="D1423" t="inlineStr">
        <is>
          <t>NORRBOTTENS LÄN</t>
        </is>
      </c>
      <c r="E1423" t="inlineStr">
        <is>
          <t>ÖVERKALIX</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42538-2019</t>
        </is>
      </c>
      <c r="B1424" s="1" t="n">
        <v>43699</v>
      </c>
      <c r="C1424" s="1" t="n">
        <v>45798</v>
      </c>
      <c r="D1424" t="inlineStr">
        <is>
          <t>NORRBOTTENS LÄN</t>
        </is>
      </c>
      <c r="E1424" t="inlineStr">
        <is>
          <t>PAJALA</t>
        </is>
      </c>
      <c r="G1424" t="n">
        <v>37.9</v>
      </c>
      <c r="H1424" t="n">
        <v>0</v>
      </c>
      <c r="I1424" t="n">
        <v>0</v>
      </c>
      <c r="J1424" t="n">
        <v>0</v>
      </c>
      <c r="K1424" t="n">
        <v>0</v>
      </c>
      <c r="L1424" t="n">
        <v>0</v>
      </c>
      <c r="M1424" t="n">
        <v>0</v>
      </c>
      <c r="N1424" t="n">
        <v>0</v>
      </c>
      <c r="O1424" t="n">
        <v>0</v>
      </c>
      <c r="P1424" t="n">
        <v>0</v>
      </c>
      <c r="Q1424" t="n">
        <v>0</v>
      </c>
      <c r="R1424" s="2" t="inlineStr"/>
    </row>
    <row r="1425" ht="15" customHeight="1">
      <c r="A1425" t="inlineStr">
        <is>
          <t>A 42574-2019</t>
        </is>
      </c>
      <c r="B1425" s="1" t="n">
        <v>43699</v>
      </c>
      <c r="C1425" s="1" t="n">
        <v>45798</v>
      </c>
      <c r="D1425" t="inlineStr">
        <is>
          <t>NORRBOTTENS LÄN</t>
        </is>
      </c>
      <c r="E1425" t="inlineStr">
        <is>
          <t>ÖVERKALIX</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41793-2019</t>
        </is>
      </c>
      <c r="B1426" s="1" t="n">
        <v>43699</v>
      </c>
      <c r="C1426" s="1" t="n">
        <v>45798</v>
      </c>
      <c r="D1426" t="inlineStr">
        <is>
          <t>NORRBOTTENS LÄN</t>
        </is>
      </c>
      <c r="E1426" t="inlineStr">
        <is>
          <t>PAJALA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41974-2019</t>
        </is>
      </c>
      <c r="B1427" s="1" t="n">
        <v>43700</v>
      </c>
      <c r="C1427" s="1" t="n">
        <v>45798</v>
      </c>
      <c r="D1427" t="inlineStr">
        <is>
          <t>NORRBOTTENS LÄN</t>
        </is>
      </c>
      <c r="E1427" t="inlineStr">
        <is>
          <t>ÖVERTORNEÅ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42020-2019</t>
        </is>
      </c>
      <c r="B1428" s="1" t="n">
        <v>43700</v>
      </c>
      <c r="C1428" s="1" t="n">
        <v>45798</v>
      </c>
      <c r="D1428" t="inlineStr">
        <is>
          <t>NORRBOTTENS LÄN</t>
        </is>
      </c>
      <c r="E1428" t="inlineStr">
        <is>
          <t>JOKKMOKK</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42077-2019</t>
        </is>
      </c>
      <c r="B1429" s="1" t="n">
        <v>43700</v>
      </c>
      <c r="C1429" s="1" t="n">
        <v>45798</v>
      </c>
      <c r="D1429" t="inlineStr">
        <is>
          <t>NORRBOTTENS LÄN</t>
        </is>
      </c>
      <c r="E1429" t="inlineStr">
        <is>
          <t>ARJEPLOG</t>
        </is>
      </c>
      <c r="F1429" t="inlineStr">
        <is>
          <t>SCA</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42081-2019</t>
        </is>
      </c>
      <c r="B1430" s="1" t="n">
        <v>43700</v>
      </c>
      <c r="C1430" s="1" t="n">
        <v>45798</v>
      </c>
      <c r="D1430" t="inlineStr">
        <is>
          <t>NORRBOTTENS LÄN</t>
        </is>
      </c>
      <c r="E1430" t="inlineStr">
        <is>
          <t>GÄLLIVARE</t>
        </is>
      </c>
      <c r="F1430" t="inlineStr">
        <is>
          <t>SCA</t>
        </is>
      </c>
      <c r="G1430" t="n">
        <v>15.2</v>
      </c>
      <c r="H1430" t="n">
        <v>0</v>
      </c>
      <c r="I1430" t="n">
        <v>0</v>
      </c>
      <c r="J1430" t="n">
        <v>0</v>
      </c>
      <c r="K1430" t="n">
        <v>0</v>
      </c>
      <c r="L1430" t="n">
        <v>0</v>
      </c>
      <c r="M1430" t="n">
        <v>0</v>
      </c>
      <c r="N1430" t="n">
        <v>0</v>
      </c>
      <c r="O1430" t="n">
        <v>0</v>
      </c>
      <c r="P1430" t="n">
        <v>0</v>
      </c>
      <c r="Q1430" t="n">
        <v>0</v>
      </c>
      <c r="R1430" s="2" t="inlineStr"/>
    </row>
    <row r="1431" ht="15" customHeight="1">
      <c r="A1431" t="inlineStr">
        <is>
          <t>A 41976-2019</t>
        </is>
      </c>
      <c r="B1431" s="1" t="n">
        <v>43700</v>
      </c>
      <c r="C1431" s="1" t="n">
        <v>45798</v>
      </c>
      <c r="D1431" t="inlineStr">
        <is>
          <t>NORRBOTTENS LÄN</t>
        </is>
      </c>
      <c r="E1431" t="inlineStr">
        <is>
          <t>ÖVERTORNEÅ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42916-2019</t>
        </is>
      </c>
      <c r="B1432" s="1" t="n">
        <v>43700</v>
      </c>
      <c r="C1432" s="1" t="n">
        <v>45798</v>
      </c>
      <c r="D1432" t="inlineStr">
        <is>
          <t>NORRBOTTENS LÄN</t>
        </is>
      </c>
      <c r="E1432" t="inlineStr">
        <is>
          <t>ÖVERKALIX</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42300-2019</t>
        </is>
      </c>
      <c r="B1433" s="1" t="n">
        <v>43703</v>
      </c>
      <c r="C1433" s="1" t="n">
        <v>45798</v>
      </c>
      <c r="D1433" t="inlineStr">
        <is>
          <t>NORRBOTTENS LÄN</t>
        </is>
      </c>
      <c r="E1433" t="inlineStr">
        <is>
          <t>JOKKMOKK</t>
        </is>
      </c>
      <c r="F1433" t="inlineStr">
        <is>
          <t>Sveaskog</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42403-2019</t>
        </is>
      </c>
      <c r="B1434" s="1" t="n">
        <v>43703</v>
      </c>
      <c r="C1434" s="1" t="n">
        <v>45798</v>
      </c>
      <c r="D1434" t="inlineStr">
        <is>
          <t>NORRBOTTENS LÄN</t>
        </is>
      </c>
      <c r="E1434" t="inlineStr">
        <is>
          <t>BODEN</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42404-2019</t>
        </is>
      </c>
      <c r="B1435" s="1" t="n">
        <v>43703</v>
      </c>
      <c r="C1435" s="1" t="n">
        <v>45798</v>
      </c>
      <c r="D1435" t="inlineStr">
        <is>
          <t>NORRBOTTENS LÄN</t>
        </is>
      </c>
      <c r="E1435" t="inlineStr">
        <is>
          <t>BODEN</t>
        </is>
      </c>
      <c r="F1435" t="inlineStr">
        <is>
          <t>Sveaskog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43256-2019</t>
        </is>
      </c>
      <c r="B1436" s="1" t="n">
        <v>43703</v>
      </c>
      <c r="C1436" s="1" t="n">
        <v>45798</v>
      </c>
      <c r="D1436" t="inlineStr">
        <is>
          <t>NORRBOTTENS LÄN</t>
        </is>
      </c>
      <c r="E1436" t="inlineStr">
        <is>
          <t>GÄLLIVARE</t>
        </is>
      </c>
      <c r="F1436" t="inlineStr">
        <is>
          <t>Allmännings- och besparingsskogar</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42333-2019</t>
        </is>
      </c>
      <c r="B1437" s="1" t="n">
        <v>43703</v>
      </c>
      <c r="C1437" s="1" t="n">
        <v>45798</v>
      </c>
      <c r="D1437" t="inlineStr">
        <is>
          <t>NORRBOTTENS LÄN</t>
        </is>
      </c>
      <c r="E1437" t="inlineStr">
        <is>
          <t>ARJEPLOG</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42413-2019</t>
        </is>
      </c>
      <c r="B1438" s="1" t="n">
        <v>43703</v>
      </c>
      <c r="C1438" s="1" t="n">
        <v>45798</v>
      </c>
      <c r="D1438" t="inlineStr">
        <is>
          <t>NORRBOTTENS LÄN</t>
        </is>
      </c>
      <c r="E1438" t="inlineStr">
        <is>
          <t>JOKKMOKK</t>
        </is>
      </c>
      <c r="G1438" t="n">
        <v>17.5</v>
      </c>
      <c r="H1438" t="n">
        <v>0</v>
      </c>
      <c r="I1438" t="n">
        <v>0</v>
      </c>
      <c r="J1438" t="n">
        <v>0</v>
      </c>
      <c r="K1438" t="n">
        <v>0</v>
      </c>
      <c r="L1438" t="n">
        <v>0</v>
      </c>
      <c r="M1438" t="n">
        <v>0</v>
      </c>
      <c r="N1438" t="n">
        <v>0</v>
      </c>
      <c r="O1438" t="n">
        <v>0</v>
      </c>
      <c r="P1438" t="n">
        <v>0</v>
      </c>
      <c r="Q1438" t="n">
        <v>0</v>
      </c>
      <c r="R1438" s="2" t="inlineStr"/>
    </row>
    <row r="1439" ht="15" customHeight="1">
      <c r="A1439" t="inlineStr">
        <is>
          <t>A 42505-2019</t>
        </is>
      </c>
      <c r="B1439" s="1" t="n">
        <v>43704</v>
      </c>
      <c r="C1439" s="1" t="n">
        <v>45798</v>
      </c>
      <c r="D1439" t="inlineStr">
        <is>
          <t>NORRBOTTENS LÄN</t>
        </is>
      </c>
      <c r="E1439" t="inlineStr">
        <is>
          <t>GÄLLIVARE</t>
        </is>
      </c>
      <c r="F1439" t="inlineStr">
        <is>
          <t>Sveaskog</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42492-2019</t>
        </is>
      </c>
      <c r="B1440" s="1" t="n">
        <v>43704</v>
      </c>
      <c r="C1440" s="1" t="n">
        <v>45798</v>
      </c>
      <c r="D1440" t="inlineStr">
        <is>
          <t>NORRBOTTENS LÄN</t>
        </is>
      </c>
      <c r="E1440" t="inlineStr">
        <is>
          <t>BODEN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42513-2019</t>
        </is>
      </c>
      <c r="B1441" s="1" t="n">
        <v>43704</v>
      </c>
      <c r="C1441" s="1" t="n">
        <v>45798</v>
      </c>
      <c r="D1441" t="inlineStr">
        <is>
          <t>NORRBOTTENS LÄN</t>
        </is>
      </c>
      <c r="E1441" t="inlineStr">
        <is>
          <t>GÄLLIVARE</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42782-2019</t>
        </is>
      </c>
      <c r="B1442" s="1" t="n">
        <v>43704</v>
      </c>
      <c r="C1442" s="1" t="n">
        <v>45798</v>
      </c>
      <c r="D1442" t="inlineStr">
        <is>
          <t>NORRBOTTENS LÄN</t>
        </is>
      </c>
      <c r="E1442" t="inlineStr">
        <is>
          <t>LULEÅ</t>
        </is>
      </c>
      <c r="F1442" t="inlineStr">
        <is>
          <t>SCA</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44269-2019</t>
        </is>
      </c>
      <c r="B1443" s="1" t="n">
        <v>43704</v>
      </c>
      <c r="C1443" s="1" t="n">
        <v>45798</v>
      </c>
      <c r="D1443" t="inlineStr">
        <is>
          <t>NORRBOTTENS LÄN</t>
        </is>
      </c>
      <c r="E1443" t="inlineStr">
        <is>
          <t>JOKKMOKK</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44239-2019</t>
        </is>
      </c>
      <c r="B1444" s="1" t="n">
        <v>43704</v>
      </c>
      <c r="C1444" s="1" t="n">
        <v>45798</v>
      </c>
      <c r="D1444" t="inlineStr">
        <is>
          <t>NORRBOTTENS LÄN</t>
        </is>
      </c>
      <c r="E1444" t="inlineStr">
        <is>
          <t>GÄLLIVARE</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45655-2019</t>
        </is>
      </c>
      <c r="B1445" s="1" t="n">
        <v>43704</v>
      </c>
      <c r="C1445" s="1" t="n">
        <v>45798</v>
      </c>
      <c r="D1445" t="inlineStr">
        <is>
          <t>NORRBOTTENS LÄN</t>
        </is>
      </c>
      <c r="E1445" t="inlineStr">
        <is>
          <t>GÄLLIVARE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44263-2019</t>
        </is>
      </c>
      <c r="B1446" s="1" t="n">
        <v>43704</v>
      </c>
      <c r="C1446" s="1" t="n">
        <v>45798</v>
      </c>
      <c r="D1446" t="inlineStr">
        <is>
          <t>NORRBOTTENS LÄN</t>
        </is>
      </c>
      <c r="E1446" t="inlineStr">
        <is>
          <t>JOKKMOKK</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42780-2019</t>
        </is>
      </c>
      <c r="B1447" s="1" t="n">
        <v>43704</v>
      </c>
      <c r="C1447" s="1" t="n">
        <v>45798</v>
      </c>
      <c r="D1447" t="inlineStr">
        <is>
          <t>NORRBOTTENS LÄN</t>
        </is>
      </c>
      <c r="E1447" t="inlineStr">
        <is>
          <t>LULEÅ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45652-2019</t>
        </is>
      </c>
      <c r="B1448" s="1" t="n">
        <v>43704</v>
      </c>
      <c r="C1448" s="1" t="n">
        <v>45798</v>
      </c>
      <c r="D1448" t="inlineStr">
        <is>
          <t>NORRBOTTENS LÄN</t>
        </is>
      </c>
      <c r="E1448" t="inlineStr">
        <is>
          <t>GÄLLIVARE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42887-2019</t>
        </is>
      </c>
      <c r="B1449" s="1" t="n">
        <v>43705</v>
      </c>
      <c r="C1449" s="1" t="n">
        <v>45798</v>
      </c>
      <c r="D1449" t="inlineStr">
        <is>
          <t>NORRBOTTENS LÄN</t>
        </is>
      </c>
      <c r="E1449" t="inlineStr">
        <is>
          <t>ÄLVSBYN</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43505-2019</t>
        </is>
      </c>
      <c r="B1450" s="1" t="n">
        <v>43706</v>
      </c>
      <c r="C1450" s="1" t="n">
        <v>45798</v>
      </c>
      <c r="D1450" t="inlineStr">
        <is>
          <t>NORRBOTTENS LÄN</t>
        </is>
      </c>
      <c r="E1450" t="inlineStr">
        <is>
          <t>GÄLLIVARE</t>
        </is>
      </c>
      <c r="G1450" t="n">
        <v>60.2</v>
      </c>
      <c r="H1450" t="n">
        <v>0</v>
      </c>
      <c r="I1450" t="n">
        <v>0</v>
      </c>
      <c r="J1450" t="n">
        <v>0</v>
      </c>
      <c r="K1450" t="n">
        <v>0</v>
      </c>
      <c r="L1450" t="n">
        <v>0</v>
      </c>
      <c r="M1450" t="n">
        <v>0</v>
      </c>
      <c r="N1450" t="n">
        <v>0</v>
      </c>
      <c r="O1450" t="n">
        <v>0</v>
      </c>
      <c r="P1450" t="n">
        <v>0</v>
      </c>
      <c r="Q1450" t="n">
        <v>0</v>
      </c>
      <c r="R1450" s="2" t="inlineStr"/>
    </row>
    <row r="1451" ht="15" customHeight="1">
      <c r="A1451" t="inlineStr">
        <is>
          <t>A 43365-2019</t>
        </is>
      </c>
      <c r="B1451" s="1" t="n">
        <v>43706</v>
      </c>
      <c r="C1451" s="1" t="n">
        <v>45798</v>
      </c>
      <c r="D1451" t="inlineStr">
        <is>
          <t>NORRBOTTENS LÄN</t>
        </is>
      </c>
      <c r="E1451" t="inlineStr">
        <is>
          <t>ÖVERKALIX</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43597-2019</t>
        </is>
      </c>
      <c r="B1452" s="1" t="n">
        <v>43706</v>
      </c>
      <c r="C1452" s="1" t="n">
        <v>45798</v>
      </c>
      <c r="D1452" t="inlineStr">
        <is>
          <t>NORRBOTTENS LÄN</t>
        </is>
      </c>
      <c r="E1452" t="inlineStr">
        <is>
          <t>GÄLLIVARE</t>
        </is>
      </c>
      <c r="F1452" t="inlineStr">
        <is>
          <t>SCA</t>
        </is>
      </c>
      <c r="G1452" t="n">
        <v>17.7</v>
      </c>
      <c r="H1452" t="n">
        <v>0</v>
      </c>
      <c r="I1452" t="n">
        <v>0</v>
      </c>
      <c r="J1452" t="n">
        <v>0</v>
      </c>
      <c r="K1452" t="n">
        <v>0</v>
      </c>
      <c r="L1452" t="n">
        <v>0</v>
      </c>
      <c r="M1452" t="n">
        <v>0</v>
      </c>
      <c r="N1452" t="n">
        <v>0</v>
      </c>
      <c r="O1452" t="n">
        <v>0</v>
      </c>
      <c r="P1452" t="n">
        <v>0</v>
      </c>
      <c r="Q1452" t="n">
        <v>0</v>
      </c>
      <c r="R1452" s="2" t="inlineStr"/>
    </row>
    <row r="1453" ht="15" customHeight="1">
      <c r="A1453" t="inlineStr">
        <is>
          <t>A 44560-2019</t>
        </is>
      </c>
      <c r="B1453" s="1" t="n">
        <v>43706</v>
      </c>
      <c r="C1453" s="1" t="n">
        <v>45798</v>
      </c>
      <c r="D1453" t="inlineStr">
        <is>
          <t>NORRBOTTENS LÄN</t>
        </is>
      </c>
      <c r="E1453" t="inlineStr">
        <is>
          <t>ARVIDSJAUR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44572-2019</t>
        </is>
      </c>
      <c r="B1454" s="1" t="n">
        <v>43706</v>
      </c>
      <c r="C1454" s="1" t="n">
        <v>45798</v>
      </c>
      <c r="D1454" t="inlineStr">
        <is>
          <t>NORRBOTTENS LÄN</t>
        </is>
      </c>
      <c r="E1454" t="inlineStr">
        <is>
          <t>ARVIDSJAUR</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43596-2019</t>
        </is>
      </c>
      <c r="B1455" s="1" t="n">
        <v>43706</v>
      </c>
      <c r="C1455" s="1" t="n">
        <v>45798</v>
      </c>
      <c r="D1455" t="inlineStr">
        <is>
          <t>NORRBOTTENS LÄN</t>
        </is>
      </c>
      <c r="E1455" t="inlineStr">
        <is>
          <t>GÄLLIVARE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44459-2019</t>
        </is>
      </c>
      <c r="B1456" s="1" t="n">
        <v>43706</v>
      </c>
      <c r="C1456" s="1" t="n">
        <v>45798</v>
      </c>
      <c r="D1456" t="inlineStr">
        <is>
          <t>NORRBOTTENS LÄN</t>
        </is>
      </c>
      <c r="E1456" t="inlineStr">
        <is>
          <t>PITEÅ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44565-2019</t>
        </is>
      </c>
      <c r="B1457" s="1" t="n">
        <v>43706</v>
      </c>
      <c r="C1457" s="1" t="n">
        <v>45798</v>
      </c>
      <c r="D1457" t="inlineStr">
        <is>
          <t>NORRBOTTENS LÄN</t>
        </is>
      </c>
      <c r="E1457" t="inlineStr">
        <is>
          <t>ARVIDSJAUR</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43756-2019</t>
        </is>
      </c>
      <c r="B1458" s="1" t="n">
        <v>43707</v>
      </c>
      <c r="C1458" s="1" t="n">
        <v>45798</v>
      </c>
      <c r="D1458" t="inlineStr">
        <is>
          <t>NORRBOTTENS LÄN</t>
        </is>
      </c>
      <c r="E1458" t="inlineStr">
        <is>
          <t>ARVIDSJAUR</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43812-2019</t>
        </is>
      </c>
      <c r="B1459" s="1" t="n">
        <v>43707</v>
      </c>
      <c r="C1459" s="1" t="n">
        <v>45798</v>
      </c>
      <c r="D1459" t="inlineStr">
        <is>
          <t>NORRBOTTENS LÄN</t>
        </is>
      </c>
      <c r="E1459" t="inlineStr">
        <is>
          <t>ÖVERTORNEÅ</t>
        </is>
      </c>
      <c r="F1459" t="inlineStr">
        <is>
          <t>Sveaskog</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43937-2019</t>
        </is>
      </c>
      <c r="B1460" s="1" t="n">
        <v>43707</v>
      </c>
      <c r="C1460" s="1" t="n">
        <v>45798</v>
      </c>
      <c r="D1460" t="inlineStr">
        <is>
          <t>NORRBOTTENS LÄN</t>
        </is>
      </c>
      <c r="E1460" t="inlineStr">
        <is>
          <t>BODEN</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43949-2019</t>
        </is>
      </c>
      <c r="B1461" s="1" t="n">
        <v>43707</v>
      </c>
      <c r="C1461" s="1" t="n">
        <v>45798</v>
      </c>
      <c r="D1461" t="inlineStr">
        <is>
          <t>NORRBOTTENS LÄN</t>
        </is>
      </c>
      <c r="E1461" t="inlineStr">
        <is>
          <t>PITEÅ</t>
        </is>
      </c>
      <c r="F1461" t="inlineStr">
        <is>
          <t>Naturvårdsverket</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45058-2019</t>
        </is>
      </c>
      <c r="B1462" s="1" t="n">
        <v>43707</v>
      </c>
      <c r="C1462" s="1" t="n">
        <v>45798</v>
      </c>
      <c r="D1462" t="inlineStr">
        <is>
          <t>NORRBOTTENS LÄN</t>
        </is>
      </c>
      <c r="E1462" t="inlineStr">
        <is>
          <t>PAJALA</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44802-2019</t>
        </is>
      </c>
      <c r="B1463" s="1" t="n">
        <v>43707</v>
      </c>
      <c r="C1463" s="1" t="n">
        <v>45798</v>
      </c>
      <c r="D1463" t="inlineStr">
        <is>
          <t>NORRBOTTENS LÄN</t>
        </is>
      </c>
      <c r="E1463" t="inlineStr">
        <is>
          <t>PAJALA</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44171-2019</t>
        </is>
      </c>
      <c r="B1464" s="1" t="n">
        <v>43710</v>
      </c>
      <c r="C1464" s="1" t="n">
        <v>45798</v>
      </c>
      <c r="D1464" t="inlineStr">
        <is>
          <t>NORRBOTTENS LÄN</t>
        </is>
      </c>
      <c r="E1464" t="inlineStr">
        <is>
          <t>JOKKMOKK</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44186-2019</t>
        </is>
      </c>
      <c r="B1465" s="1" t="n">
        <v>43710</v>
      </c>
      <c r="C1465" s="1" t="n">
        <v>45798</v>
      </c>
      <c r="D1465" t="inlineStr">
        <is>
          <t>NORRBOTTENS LÄN</t>
        </is>
      </c>
      <c r="E1465" t="inlineStr">
        <is>
          <t>PAJALA</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44195-2019</t>
        </is>
      </c>
      <c r="B1466" s="1" t="n">
        <v>43710</v>
      </c>
      <c r="C1466" s="1" t="n">
        <v>45798</v>
      </c>
      <c r="D1466" t="inlineStr">
        <is>
          <t>NORRBOTTENS LÄN</t>
        </is>
      </c>
      <c r="E1466" t="inlineStr">
        <is>
          <t>PAJALA</t>
        </is>
      </c>
      <c r="F1466" t="inlineStr">
        <is>
          <t>Sveaskog</t>
        </is>
      </c>
      <c r="G1466" t="n">
        <v>28.9</v>
      </c>
      <c r="H1466" t="n">
        <v>0</v>
      </c>
      <c r="I1466" t="n">
        <v>0</v>
      </c>
      <c r="J1466" t="n">
        <v>0</v>
      </c>
      <c r="K1466" t="n">
        <v>0</v>
      </c>
      <c r="L1466" t="n">
        <v>0</v>
      </c>
      <c r="M1466" t="n">
        <v>0</v>
      </c>
      <c r="N1466" t="n">
        <v>0</v>
      </c>
      <c r="O1466" t="n">
        <v>0</v>
      </c>
      <c r="P1466" t="n">
        <v>0</v>
      </c>
      <c r="Q1466" t="n">
        <v>0</v>
      </c>
      <c r="R1466" s="2" t="inlineStr"/>
    </row>
    <row r="1467" ht="15" customHeight="1">
      <c r="A1467" t="inlineStr">
        <is>
          <t>A 45373-2019</t>
        </is>
      </c>
      <c r="B1467" s="1" t="n">
        <v>43710</v>
      </c>
      <c r="C1467" s="1" t="n">
        <v>45798</v>
      </c>
      <c r="D1467" t="inlineStr">
        <is>
          <t>NORRBOTTENS LÄN</t>
        </is>
      </c>
      <c r="E1467" t="inlineStr">
        <is>
          <t>KALIX</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45333-2019</t>
        </is>
      </c>
      <c r="B1468" s="1" t="n">
        <v>43710</v>
      </c>
      <c r="C1468" s="1" t="n">
        <v>45798</v>
      </c>
      <c r="D1468" t="inlineStr">
        <is>
          <t>NORRBOTTENS LÄN</t>
        </is>
      </c>
      <c r="E1468" t="inlineStr">
        <is>
          <t>KALIX</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45377-2019</t>
        </is>
      </c>
      <c r="B1469" s="1" t="n">
        <v>43710</v>
      </c>
      <c r="C1469" s="1" t="n">
        <v>45798</v>
      </c>
      <c r="D1469" t="inlineStr">
        <is>
          <t>NORRBOTTENS LÄN</t>
        </is>
      </c>
      <c r="E1469" t="inlineStr">
        <is>
          <t>KALIX</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45428-2019</t>
        </is>
      </c>
      <c r="B1470" s="1" t="n">
        <v>43710</v>
      </c>
      <c r="C1470" s="1" t="n">
        <v>45798</v>
      </c>
      <c r="D1470" t="inlineStr">
        <is>
          <t>NORRBOTTENS LÄN</t>
        </is>
      </c>
      <c r="E1470" t="inlineStr">
        <is>
          <t>ÄLVSBYN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45337-2019</t>
        </is>
      </c>
      <c r="B1471" s="1" t="n">
        <v>43710</v>
      </c>
      <c r="C1471" s="1" t="n">
        <v>45798</v>
      </c>
      <c r="D1471" t="inlineStr">
        <is>
          <t>NORRBOTTENS LÄN</t>
        </is>
      </c>
      <c r="E1471" t="inlineStr">
        <is>
          <t>ÄLVSBYN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44483-2019</t>
        </is>
      </c>
      <c r="B1472" s="1" t="n">
        <v>43711</v>
      </c>
      <c r="C1472" s="1" t="n">
        <v>45798</v>
      </c>
      <c r="D1472" t="inlineStr">
        <is>
          <t>NORRBOTTENS LÄN</t>
        </is>
      </c>
      <c r="E1472" t="inlineStr">
        <is>
          <t>PAJALA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44561-2019</t>
        </is>
      </c>
      <c r="B1473" s="1" t="n">
        <v>43711</v>
      </c>
      <c r="C1473" s="1" t="n">
        <v>45798</v>
      </c>
      <c r="D1473" t="inlineStr">
        <is>
          <t>NORRBOTTENS LÄN</t>
        </is>
      </c>
      <c r="E1473" t="inlineStr">
        <is>
          <t>PITEÅ</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44365-2019</t>
        </is>
      </c>
      <c r="B1474" s="1" t="n">
        <v>43711</v>
      </c>
      <c r="C1474" s="1" t="n">
        <v>45798</v>
      </c>
      <c r="D1474" t="inlineStr">
        <is>
          <t>NORRBOTTENS LÄN</t>
        </is>
      </c>
      <c r="E1474" t="inlineStr">
        <is>
          <t>LULEÅ</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44641-2019</t>
        </is>
      </c>
      <c r="B1475" s="1" t="n">
        <v>43712</v>
      </c>
      <c r="C1475" s="1" t="n">
        <v>45798</v>
      </c>
      <c r="D1475" t="inlineStr">
        <is>
          <t>NORRBOTTENS LÄN</t>
        </is>
      </c>
      <c r="E1475" t="inlineStr">
        <is>
          <t>ÄLVSBYN</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44894-2019</t>
        </is>
      </c>
      <c r="B1476" s="1" t="n">
        <v>43712</v>
      </c>
      <c r="C1476" s="1" t="n">
        <v>45798</v>
      </c>
      <c r="D1476" t="inlineStr">
        <is>
          <t>NORRBOTTENS LÄN</t>
        </is>
      </c>
      <c r="E1476" t="inlineStr">
        <is>
          <t>BODEN</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45857-2019</t>
        </is>
      </c>
      <c r="B1477" s="1" t="n">
        <v>43712</v>
      </c>
      <c r="C1477" s="1" t="n">
        <v>45798</v>
      </c>
      <c r="D1477" t="inlineStr">
        <is>
          <t>NORRBOTTENS LÄN</t>
        </is>
      </c>
      <c r="E1477" t="inlineStr">
        <is>
          <t>PAJALA</t>
        </is>
      </c>
      <c r="G1477" t="n">
        <v>14.5</v>
      </c>
      <c r="H1477" t="n">
        <v>0</v>
      </c>
      <c r="I1477" t="n">
        <v>0</v>
      </c>
      <c r="J1477" t="n">
        <v>0</v>
      </c>
      <c r="K1477" t="n">
        <v>0</v>
      </c>
      <c r="L1477" t="n">
        <v>0</v>
      </c>
      <c r="M1477" t="n">
        <v>0</v>
      </c>
      <c r="N1477" t="n">
        <v>0</v>
      </c>
      <c r="O1477" t="n">
        <v>0</v>
      </c>
      <c r="P1477" t="n">
        <v>0</v>
      </c>
      <c r="Q1477" t="n">
        <v>0</v>
      </c>
      <c r="R1477" s="2" t="inlineStr"/>
    </row>
    <row r="1478" ht="15" customHeight="1">
      <c r="A1478" t="inlineStr">
        <is>
          <t>A 45957-2019</t>
        </is>
      </c>
      <c r="B1478" s="1" t="n">
        <v>43712</v>
      </c>
      <c r="C1478" s="1" t="n">
        <v>45798</v>
      </c>
      <c r="D1478" t="inlineStr">
        <is>
          <t>NORRBOTTENS LÄN</t>
        </is>
      </c>
      <c r="E1478" t="inlineStr">
        <is>
          <t>ÖVERKALIX</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45130-2019</t>
        </is>
      </c>
      <c r="B1479" s="1" t="n">
        <v>43713</v>
      </c>
      <c r="C1479" s="1" t="n">
        <v>45798</v>
      </c>
      <c r="D1479" t="inlineStr">
        <is>
          <t>NORRBOTTENS LÄN</t>
        </is>
      </c>
      <c r="E1479" t="inlineStr">
        <is>
          <t>ÄLVSBYN</t>
        </is>
      </c>
      <c r="F1479" t="inlineStr">
        <is>
          <t>Sveaskog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45185-2019</t>
        </is>
      </c>
      <c r="B1480" s="1" t="n">
        <v>43713</v>
      </c>
      <c r="C1480" s="1" t="n">
        <v>45798</v>
      </c>
      <c r="D1480" t="inlineStr">
        <is>
          <t>NORRBOTTENS LÄN</t>
        </is>
      </c>
      <c r="E1480" t="inlineStr">
        <is>
          <t>ÄLVSBYN</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45186-2019</t>
        </is>
      </c>
      <c r="B1481" s="1" t="n">
        <v>43713</v>
      </c>
      <c r="C1481" s="1" t="n">
        <v>45798</v>
      </c>
      <c r="D1481" t="inlineStr">
        <is>
          <t>NORRBOTTENS LÄN</t>
        </is>
      </c>
      <c r="E1481" t="inlineStr">
        <is>
          <t>BODEN</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46068-2019</t>
        </is>
      </c>
      <c r="B1482" s="1" t="n">
        <v>43713</v>
      </c>
      <c r="C1482" s="1" t="n">
        <v>45798</v>
      </c>
      <c r="D1482" t="inlineStr">
        <is>
          <t>NORRBOTTENS LÄN</t>
        </is>
      </c>
      <c r="E1482" t="inlineStr">
        <is>
          <t>ARVIDSJAUR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45252-2019</t>
        </is>
      </c>
      <c r="B1483" s="1" t="n">
        <v>43713</v>
      </c>
      <c r="C1483" s="1" t="n">
        <v>45798</v>
      </c>
      <c r="D1483" t="inlineStr">
        <is>
          <t>NORRBOTTENS LÄN</t>
        </is>
      </c>
      <c r="E1483" t="inlineStr">
        <is>
          <t>LULEÅ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46075-2019</t>
        </is>
      </c>
      <c r="B1484" s="1" t="n">
        <v>43713</v>
      </c>
      <c r="C1484" s="1" t="n">
        <v>45798</v>
      </c>
      <c r="D1484" t="inlineStr">
        <is>
          <t>NORRBOTTENS LÄN</t>
        </is>
      </c>
      <c r="E1484" t="inlineStr">
        <is>
          <t>ARVIDSJAUR</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46122-2019</t>
        </is>
      </c>
      <c r="B1485" s="1" t="n">
        <v>43713</v>
      </c>
      <c r="C1485" s="1" t="n">
        <v>45798</v>
      </c>
      <c r="D1485" t="inlineStr">
        <is>
          <t>NORRBOTTENS LÄN</t>
        </is>
      </c>
      <c r="E1485" t="inlineStr">
        <is>
          <t>PITEÅ</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46004-2019</t>
        </is>
      </c>
      <c r="B1486" s="1" t="n">
        <v>43713</v>
      </c>
      <c r="C1486" s="1" t="n">
        <v>45798</v>
      </c>
      <c r="D1486" t="inlineStr">
        <is>
          <t>NORRBOTTENS LÄN</t>
        </is>
      </c>
      <c r="E1486" t="inlineStr">
        <is>
          <t>KALIX</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45482-2019</t>
        </is>
      </c>
      <c r="B1487" s="1" t="n">
        <v>43713</v>
      </c>
      <c r="C1487" s="1" t="n">
        <v>45798</v>
      </c>
      <c r="D1487" t="inlineStr">
        <is>
          <t>NORRBOTTENS LÄN</t>
        </is>
      </c>
      <c r="E1487" t="inlineStr">
        <is>
          <t>LULEÅ</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45184-2019</t>
        </is>
      </c>
      <c r="B1488" s="1" t="n">
        <v>43713</v>
      </c>
      <c r="C1488" s="1" t="n">
        <v>45798</v>
      </c>
      <c r="D1488" t="inlineStr">
        <is>
          <t>NORRBOTTENS LÄN</t>
        </is>
      </c>
      <c r="E1488" t="inlineStr">
        <is>
          <t>ÄLVSBYN</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45452-2019</t>
        </is>
      </c>
      <c r="B1489" s="1" t="n">
        <v>43714</v>
      </c>
      <c r="C1489" s="1" t="n">
        <v>45798</v>
      </c>
      <c r="D1489" t="inlineStr">
        <is>
          <t>NORRBOTTENS LÄN</t>
        </is>
      </c>
      <c r="E1489" t="inlineStr">
        <is>
          <t>JOKKMOKK</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45630-2019</t>
        </is>
      </c>
      <c r="B1490" s="1" t="n">
        <v>43717</v>
      </c>
      <c r="C1490" s="1" t="n">
        <v>45798</v>
      </c>
      <c r="D1490" t="inlineStr">
        <is>
          <t>NORRBOTTENS LÄN</t>
        </is>
      </c>
      <c r="E1490" t="inlineStr">
        <is>
          <t>PAJALA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46437-2019</t>
        </is>
      </c>
      <c r="B1491" s="1" t="n">
        <v>43717</v>
      </c>
      <c r="C1491" s="1" t="n">
        <v>45798</v>
      </c>
      <c r="D1491" t="inlineStr">
        <is>
          <t>NORRBOTTENS LÄN</t>
        </is>
      </c>
      <c r="E1491" t="inlineStr">
        <is>
          <t>KALIX</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46293-2019</t>
        </is>
      </c>
      <c r="B1492" s="1" t="n">
        <v>43717</v>
      </c>
      <c r="C1492" s="1" t="n">
        <v>45798</v>
      </c>
      <c r="D1492" t="inlineStr">
        <is>
          <t>NORRBOTTENS LÄN</t>
        </is>
      </c>
      <c r="E1492" t="inlineStr">
        <is>
          <t>ARVIDSJAUR</t>
        </is>
      </c>
      <c r="F1492" t="inlineStr">
        <is>
          <t>Allmännings- och besparingsskogar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46976-2019</t>
        </is>
      </c>
      <c r="B1493" s="1" t="n">
        <v>43718</v>
      </c>
      <c r="C1493" s="1" t="n">
        <v>45798</v>
      </c>
      <c r="D1493" t="inlineStr">
        <is>
          <t>NORRBOTTENS LÄN</t>
        </is>
      </c>
      <c r="E1493" t="inlineStr">
        <is>
          <t>PITEÅ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46970-2019</t>
        </is>
      </c>
      <c r="B1494" s="1" t="n">
        <v>43718</v>
      </c>
      <c r="C1494" s="1" t="n">
        <v>45798</v>
      </c>
      <c r="D1494" t="inlineStr">
        <is>
          <t>NORRBOTTENS LÄN</t>
        </is>
      </c>
      <c r="E1494" t="inlineStr">
        <is>
          <t>PITEÅ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46362-2019</t>
        </is>
      </c>
      <c r="B1495" s="1" t="n">
        <v>43718</v>
      </c>
      <c r="C1495" s="1" t="n">
        <v>45798</v>
      </c>
      <c r="D1495" t="inlineStr">
        <is>
          <t>NORRBOTTENS LÄN</t>
        </is>
      </c>
      <c r="E1495" t="inlineStr">
        <is>
          <t>ÄLVSBYN</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46348-2019</t>
        </is>
      </c>
      <c r="B1496" s="1" t="n">
        <v>43718</v>
      </c>
      <c r="C1496" s="1" t="n">
        <v>45798</v>
      </c>
      <c r="D1496" t="inlineStr">
        <is>
          <t>NORRBOTTENS LÄN</t>
        </is>
      </c>
      <c r="E1496" t="inlineStr">
        <is>
          <t>PITEÅ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46662-2019</t>
        </is>
      </c>
      <c r="B1497" s="1" t="n">
        <v>43718</v>
      </c>
      <c r="C1497" s="1" t="n">
        <v>45798</v>
      </c>
      <c r="D1497" t="inlineStr">
        <is>
          <t>NORRBOTTENS LÄN</t>
        </is>
      </c>
      <c r="E1497" t="inlineStr">
        <is>
          <t>GÄLLIVARE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46125-2019</t>
        </is>
      </c>
      <c r="B1498" s="1" t="n">
        <v>43718</v>
      </c>
      <c r="C1498" s="1" t="n">
        <v>45798</v>
      </c>
      <c r="D1498" t="inlineStr">
        <is>
          <t>NORRBOTTENS LÄN</t>
        </is>
      </c>
      <c r="E1498" t="inlineStr">
        <is>
          <t>ARVIDSJAUR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46155-2019</t>
        </is>
      </c>
      <c r="B1499" s="1" t="n">
        <v>43718</v>
      </c>
      <c r="C1499" s="1" t="n">
        <v>45798</v>
      </c>
      <c r="D1499" t="inlineStr">
        <is>
          <t>NORRBOTTENS LÄN</t>
        </is>
      </c>
      <c r="E1499" t="inlineStr">
        <is>
          <t>ARVIDSJAUR</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46780-2019</t>
        </is>
      </c>
      <c r="B1500" s="1" t="n">
        <v>43718</v>
      </c>
      <c r="C1500" s="1" t="n">
        <v>45798</v>
      </c>
      <c r="D1500" t="inlineStr">
        <is>
          <t>NORRBOTTENS LÄN</t>
        </is>
      </c>
      <c r="E1500" t="inlineStr">
        <is>
          <t>LULEÅ</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46363-2019</t>
        </is>
      </c>
      <c r="B1501" s="1" t="n">
        <v>43718</v>
      </c>
      <c r="C1501" s="1" t="n">
        <v>45798</v>
      </c>
      <c r="D1501" t="inlineStr">
        <is>
          <t>NORRBOTTENS LÄN</t>
        </is>
      </c>
      <c r="E1501" t="inlineStr">
        <is>
          <t>ÄLVSBYN</t>
        </is>
      </c>
      <c r="F1501" t="inlineStr">
        <is>
          <t>SCA</t>
        </is>
      </c>
      <c r="G1501" t="n">
        <v>12.7</v>
      </c>
      <c r="H1501" t="n">
        <v>0</v>
      </c>
      <c r="I1501" t="n">
        <v>0</v>
      </c>
      <c r="J1501" t="n">
        <v>0</v>
      </c>
      <c r="K1501" t="n">
        <v>0</v>
      </c>
      <c r="L1501" t="n">
        <v>0</v>
      </c>
      <c r="M1501" t="n">
        <v>0</v>
      </c>
      <c r="N1501" t="n">
        <v>0</v>
      </c>
      <c r="O1501" t="n">
        <v>0</v>
      </c>
      <c r="P1501" t="n">
        <v>0</v>
      </c>
      <c r="Q1501" t="n">
        <v>0</v>
      </c>
      <c r="R1501" s="2" t="inlineStr"/>
    </row>
    <row r="1502" ht="15" customHeight="1">
      <c r="A1502" t="inlineStr">
        <is>
          <t>A 46428-2019</t>
        </is>
      </c>
      <c r="B1502" s="1" t="n">
        <v>43719</v>
      </c>
      <c r="C1502" s="1" t="n">
        <v>45798</v>
      </c>
      <c r="D1502" t="inlineStr">
        <is>
          <t>NORRBOTTENS LÄN</t>
        </is>
      </c>
      <c r="E1502" t="inlineStr">
        <is>
          <t>HAPARANDA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46517-2019</t>
        </is>
      </c>
      <c r="B1503" s="1" t="n">
        <v>43719</v>
      </c>
      <c r="C1503" s="1" t="n">
        <v>45798</v>
      </c>
      <c r="D1503" t="inlineStr">
        <is>
          <t>NORRBOTTENS LÄN</t>
        </is>
      </c>
      <c r="E1503" t="inlineStr">
        <is>
          <t>BODEN</t>
        </is>
      </c>
      <c r="F1503" t="inlineStr">
        <is>
          <t>Sveaskog</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46424-2019</t>
        </is>
      </c>
      <c r="B1504" s="1" t="n">
        <v>43719</v>
      </c>
      <c r="C1504" s="1" t="n">
        <v>45798</v>
      </c>
      <c r="D1504" t="inlineStr">
        <is>
          <t>NORRBOTTENS LÄN</t>
        </is>
      </c>
      <c r="E1504" t="inlineStr">
        <is>
          <t>HAPARANDA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46622-2019</t>
        </is>
      </c>
      <c r="B1505" s="1" t="n">
        <v>43719</v>
      </c>
      <c r="C1505" s="1" t="n">
        <v>45798</v>
      </c>
      <c r="D1505" t="inlineStr">
        <is>
          <t>NORRBOTTENS LÄN</t>
        </is>
      </c>
      <c r="E1505" t="inlineStr">
        <is>
          <t>BODEN</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46720-2019</t>
        </is>
      </c>
      <c r="B1506" s="1" t="n">
        <v>43719</v>
      </c>
      <c r="C1506" s="1" t="n">
        <v>45798</v>
      </c>
      <c r="D1506" t="inlineStr">
        <is>
          <t>NORRBOTTENS LÄN</t>
        </is>
      </c>
      <c r="E1506" t="inlineStr">
        <is>
          <t>BODEN</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46888-2019</t>
        </is>
      </c>
      <c r="B1507" s="1" t="n">
        <v>43719</v>
      </c>
      <c r="C1507" s="1" t="n">
        <v>45798</v>
      </c>
      <c r="D1507" t="inlineStr">
        <is>
          <t>NORRBOTTENS LÄN</t>
        </is>
      </c>
      <c r="E1507" t="inlineStr">
        <is>
          <t>BODEN</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46945-2019</t>
        </is>
      </c>
      <c r="B1508" s="1" t="n">
        <v>43719</v>
      </c>
      <c r="C1508" s="1" t="n">
        <v>45798</v>
      </c>
      <c r="D1508" t="inlineStr">
        <is>
          <t>NORRBOTTENS LÄN</t>
        </is>
      </c>
      <c r="E1508" t="inlineStr">
        <is>
          <t>HAPARANDA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46721-2019</t>
        </is>
      </c>
      <c r="B1509" s="1" t="n">
        <v>43719</v>
      </c>
      <c r="C1509" s="1" t="n">
        <v>45798</v>
      </c>
      <c r="D1509" t="inlineStr">
        <is>
          <t>NORRBOTTENS LÄN</t>
        </is>
      </c>
      <c r="E1509" t="inlineStr">
        <is>
          <t>BODEN</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46432-2019</t>
        </is>
      </c>
      <c r="B1510" s="1" t="n">
        <v>43719</v>
      </c>
      <c r="C1510" s="1" t="n">
        <v>45798</v>
      </c>
      <c r="D1510" t="inlineStr">
        <is>
          <t>NORRBOTTENS LÄN</t>
        </is>
      </c>
      <c r="E1510" t="inlineStr">
        <is>
          <t>HAPARANDA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46385-2019</t>
        </is>
      </c>
      <c r="B1511" s="1" t="n">
        <v>43719</v>
      </c>
      <c r="C1511" s="1" t="n">
        <v>45798</v>
      </c>
      <c r="D1511" t="inlineStr">
        <is>
          <t>NORRBOTTENS LÄN</t>
        </is>
      </c>
      <c r="E1511" t="inlineStr">
        <is>
          <t>BODEN</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46766-2019</t>
        </is>
      </c>
      <c r="B1512" s="1" t="n">
        <v>43720</v>
      </c>
      <c r="C1512" s="1" t="n">
        <v>45798</v>
      </c>
      <c r="D1512" t="inlineStr">
        <is>
          <t>NORRBOTTENS LÄN</t>
        </is>
      </c>
      <c r="E1512" t="inlineStr">
        <is>
          <t>BODEN</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47144-2019</t>
        </is>
      </c>
      <c r="B1513" s="1" t="n">
        <v>43720</v>
      </c>
      <c r="C1513" s="1" t="n">
        <v>45798</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47168-2019</t>
        </is>
      </c>
      <c r="B1514" s="1" t="n">
        <v>43720</v>
      </c>
      <c r="C1514" s="1" t="n">
        <v>45798</v>
      </c>
      <c r="D1514" t="inlineStr">
        <is>
          <t>NORRBOTTENS LÄN</t>
        </is>
      </c>
      <c r="E1514" t="inlineStr">
        <is>
          <t>PITEÅ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47093-2019</t>
        </is>
      </c>
      <c r="B1515" s="1" t="n">
        <v>43720</v>
      </c>
      <c r="C1515" s="1" t="n">
        <v>45798</v>
      </c>
      <c r="D1515" t="inlineStr">
        <is>
          <t>NORRBOTTENS LÄN</t>
        </is>
      </c>
      <c r="E1515" t="inlineStr">
        <is>
          <t>GÄLLIVARE</t>
        </is>
      </c>
      <c r="F1515" t="inlineStr">
        <is>
          <t>SCA</t>
        </is>
      </c>
      <c r="G1515" t="n">
        <v>20.4</v>
      </c>
      <c r="H1515" t="n">
        <v>0</v>
      </c>
      <c r="I1515" t="n">
        <v>0</v>
      </c>
      <c r="J1515" t="n">
        <v>0</v>
      </c>
      <c r="K1515" t="n">
        <v>0</v>
      </c>
      <c r="L1515" t="n">
        <v>0</v>
      </c>
      <c r="M1515" t="n">
        <v>0</v>
      </c>
      <c r="N1515" t="n">
        <v>0</v>
      </c>
      <c r="O1515" t="n">
        <v>0</v>
      </c>
      <c r="P1515" t="n">
        <v>0</v>
      </c>
      <c r="Q1515" t="n">
        <v>0</v>
      </c>
      <c r="R1515" s="2" t="inlineStr"/>
    </row>
    <row r="1516" ht="15" customHeight="1">
      <c r="A1516" t="inlineStr">
        <is>
          <t>A 47155-2019</t>
        </is>
      </c>
      <c r="B1516" s="1" t="n">
        <v>43720</v>
      </c>
      <c r="C1516" s="1" t="n">
        <v>45798</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47099-2019</t>
        </is>
      </c>
      <c r="B1517" s="1" t="n">
        <v>43721</v>
      </c>
      <c r="C1517" s="1" t="n">
        <v>45798</v>
      </c>
      <c r="D1517" t="inlineStr">
        <is>
          <t>NORRBOTTENS LÄN</t>
        </is>
      </c>
      <c r="E1517" t="inlineStr">
        <is>
          <t>ÄLVSBYN</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47100-2019</t>
        </is>
      </c>
      <c r="B1518" s="1" t="n">
        <v>43721</v>
      </c>
      <c r="C1518" s="1" t="n">
        <v>45798</v>
      </c>
      <c r="D1518" t="inlineStr">
        <is>
          <t>NORRBOTTENS LÄN</t>
        </is>
      </c>
      <c r="E1518" t="inlineStr">
        <is>
          <t>BODEN</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47274-2019</t>
        </is>
      </c>
      <c r="B1519" s="1" t="n">
        <v>43721</v>
      </c>
      <c r="C1519" s="1" t="n">
        <v>45798</v>
      </c>
      <c r="D1519" t="inlineStr">
        <is>
          <t>NORRBOTTENS LÄN</t>
        </is>
      </c>
      <c r="E1519" t="inlineStr">
        <is>
          <t>ÖVERKALIX</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47393-2019</t>
        </is>
      </c>
      <c r="B1520" s="1" t="n">
        <v>43721</v>
      </c>
      <c r="C1520" s="1" t="n">
        <v>45798</v>
      </c>
      <c r="D1520" t="inlineStr">
        <is>
          <t>NORRBOTTENS LÄN</t>
        </is>
      </c>
      <c r="E1520" t="inlineStr">
        <is>
          <t>PITEÅ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47456-2019</t>
        </is>
      </c>
      <c r="B1521" s="1" t="n">
        <v>43721</v>
      </c>
      <c r="C1521" s="1" t="n">
        <v>45798</v>
      </c>
      <c r="D1521" t="inlineStr">
        <is>
          <t>NORRBOTTENS LÄN</t>
        </is>
      </c>
      <c r="E1521" t="inlineStr">
        <is>
          <t>JOKKMOKK</t>
        </is>
      </c>
      <c r="F1521" t="inlineStr">
        <is>
          <t>Övriga Aktiebolag</t>
        </is>
      </c>
      <c r="G1521" t="n">
        <v>14.2</v>
      </c>
      <c r="H1521" t="n">
        <v>0</v>
      </c>
      <c r="I1521" t="n">
        <v>0</v>
      </c>
      <c r="J1521" t="n">
        <v>0</v>
      </c>
      <c r="K1521" t="n">
        <v>0</v>
      </c>
      <c r="L1521" t="n">
        <v>0</v>
      </c>
      <c r="M1521" t="n">
        <v>0</v>
      </c>
      <c r="N1521" t="n">
        <v>0</v>
      </c>
      <c r="O1521" t="n">
        <v>0</v>
      </c>
      <c r="P1521" t="n">
        <v>0</v>
      </c>
      <c r="Q1521" t="n">
        <v>0</v>
      </c>
      <c r="R1521" s="2" t="inlineStr"/>
    </row>
    <row r="1522" ht="15" customHeight="1">
      <c r="A1522" t="inlineStr">
        <is>
          <t>A 47405-2019</t>
        </is>
      </c>
      <c r="B1522" s="1" t="n">
        <v>43722</v>
      </c>
      <c r="C1522" s="1" t="n">
        <v>45798</v>
      </c>
      <c r="D1522" t="inlineStr">
        <is>
          <t>NORRBOTTENS LÄN</t>
        </is>
      </c>
      <c r="E1522" t="inlineStr">
        <is>
          <t>LULEÅ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47566-2019</t>
        </is>
      </c>
      <c r="B1523" s="1" t="n">
        <v>43724</v>
      </c>
      <c r="C1523" s="1" t="n">
        <v>45798</v>
      </c>
      <c r="D1523" t="inlineStr">
        <is>
          <t>NORRBOTTENS LÄN</t>
        </is>
      </c>
      <c r="E1523" t="inlineStr">
        <is>
          <t>KALIX</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47637-2019</t>
        </is>
      </c>
      <c r="B1524" s="1" t="n">
        <v>43724</v>
      </c>
      <c r="C1524" s="1" t="n">
        <v>45798</v>
      </c>
      <c r="D1524" t="inlineStr">
        <is>
          <t>NORRBOTTENS LÄN</t>
        </is>
      </c>
      <c r="E1524" t="inlineStr">
        <is>
          <t>GÄLLIVARE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47761-2019</t>
        </is>
      </c>
      <c r="B1525" s="1" t="n">
        <v>43724</v>
      </c>
      <c r="C1525" s="1" t="n">
        <v>45798</v>
      </c>
      <c r="D1525" t="inlineStr">
        <is>
          <t>NORRBOTTENS LÄN</t>
        </is>
      </c>
      <c r="E1525" t="inlineStr">
        <is>
          <t>GÄLLIVARE</t>
        </is>
      </c>
      <c r="F1525" t="inlineStr">
        <is>
          <t>Sveaskog</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47625-2019</t>
        </is>
      </c>
      <c r="B1526" s="1" t="n">
        <v>43724</v>
      </c>
      <c r="C1526" s="1" t="n">
        <v>45798</v>
      </c>
      <c r="D1526" t="inlineStr">
        <is>
          <t>NORRBOTTENS LÄN</t>
        </is>
      </c>
      <c r="E1526" t="inlineStr">
        <is>
          <t>GÄLLIVARE</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47635-2019</t>
        </is>
      </c>
      <c r="B1527" s="1" t="n">
        <v>43724</v>
      </c>
      <c r="C1527" s="1" t="n">
        <v>45798</v>
      </c>
      <c r="D1527" t="inlineStr">
        <is>
          <t>NORRBOTTENS LÄN</t>
        </is>
      </c>
      <c r="E1527" t="inlineStr">
        <is>
          <t>GÄLLIVARE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47821-2019</t>
        </is>
      </c>
      <c r="B1528" s="1" t="n">
        <v>43725</v>
      </c>
      <c r="C1528" s="1" t="n">
        <v>45798</v>
      </c>
      <c r="D1528" t="inlineStr">
        <is>
          <t>NORRBOTTENS LÄN</t>
        </is>
      </c>
      <c r="E1528" t="inlineStr">
        <is>
          <t>BODEN</t>
        </is>
      </c>
      <c r="F1528" t="inlineStr">
        <is>
          <t>Sveaskog</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47912-2019</t>
        </is>
      </c>
      <c r="B1529" s="1" t="n">
        <v>43725</v>
      </c>
      <c r="C1529" s="1" t="n">
        <v>45798</v>
      </c>
      <c r="D1529" t="inlineStr">
        <is>
          <t>NORRBOTTENS LÄN</t>
        </is>
      </c>
      <c r="E1529" t="inlineStr">
        <is>
          <t>PAJALA</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48023-2019</t>
        </is>
      </c>
      <c r="B1530" s="1" t="n">
        <v>43725</v>
      </c>
      <c r="C1530" s="1" t="n">
        <v>45798</v>
      </c>
      <c r="D1530" t="inlineStr">
        <is>
          <t>NORRBOTTENS LÄN</t>
        </is>
      </c>
      <c r="E1530" t="inlineStr">
        <is>
          <t>BODEN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48094-2019</t>
        </is>
      </c>
      <c r="B1531" s="1" t="n">
        <v>43725</v>
      </c>
      <c r="C1531" s="1" t="n">
        <v>45798</v>
      </c>
      <c r="D1531" t="inlineStr">
        <is>
          <t>NORRBOTTENS LÄN</t>
        </is>
      </c>
      <c r="E1531" t="inlineStr">
        <is>
          <t>GÄLLIVARE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48490-2019</t>
        </is>
      </c>
      <c r="B1532" s="1" t="n">
        <v>43727</v>
      </c>
      <c r="C1532" s="1" t="n">
        <v>45798</v>
      </c>
      <c r="D1532" t="inlineStr">
        <is>
          <t>NORRBOTTENS LÄN</t>
        </is>
      </c>
      <c r="E1532" t="inlineStr">
        <is>
          <t>ÖVERTORNEÅ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48586-2019</t>
        </is>
      </c>
      <c r="B1533" s="1" t="n">
        <v>43727</v>
      </c>
      <c r="C1533" s="1" t="n">
        <v>45798</v>
      </c>
      <c r="D1533" t="inlineStr">
        <is>
          <t>NORRBOTTENS LÄN</t>
        </is>
      </c>
      <c r="E1533" t="inlineStr">
        <is>
          <t>BODEN</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48608-2019</t>
        </is>
      </c>
      <c r="B1534" s="1" t="n">
        <v>43727</v>
      </c>
      <c r="C1534" s="1" t="n">
        <v>45798</v>
      </c>
      <c r="D1534" t="inlineStr">
        <is>
          <t>NORRBOTTENS LÄN</t>
        </is>
      </c>
      <c r="E1534" t="inlineStr">
        <is>
          <t>ÄLVSBYN</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48796-2019</t>
        </is>
      </c>
      <c r="B1535" s="1" t="n">
        <v>43727</v>
      </c>
      <c r="C1535" s="1" t="n">
        <v>45798</v>
      </c>
      <c r="D1535" t="inlineStr">
        <is>
          <t>NORRBOTTENS LÄN</t>
        </is>
      </c>
      <c r="E1535" t="inlineStr">
        <is>
          <t>BODEN</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49087-2019</t>
        </is>
      </c>
      <c r="B1536" s="1" t="n">
        <v>43727</v>
      </c>
      <c r="C1536" s="1" t="n">
        <v>45798</v>
      </c>
      <c r="D1536" t="inlineStr">
        <is>
          <t>NORRBOTTENS LÄN</t>
        </is>
      </c>
      <c r="E1536" t="inlineStr">
        <is>
          <t>PAJALA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48627-2019</t>
        </is>
      </c>
      <c r="B1537" s="1" t="n">
        <v>43727</v>
      </c>
      <c r="C1537" s="1" t="n">
        <v>45798</v>
      </c>
      <c r="D1537" t="inlineStr">
        <is>
          <t>NORRBOTTENS LÄN</t>
        </is>
      </c>
      <c r="E1537" t="inlineStr">
        <is>
          <t>BODEN</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48683-2019</t>
        </is>
      </c>
      <c r="B1538" s="1" t="n">
        <v>43728</v>
      </c>
      <c r="C1538" s="1" t="n">
        <v>45798</v>
      </c>
      <c r="D1538" t="inlineStr">
        <is>
          <t>NORRBOTTENS LÄN</t>
        </is>
      </c>
      <c r="E1538" t="inlineStr">
        <is>
          <t>HAPARANDA</t>
        </is>
      </c>
      <c r="F1538" t="inlineStr">
        <is>
          <t>Kyrkan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48704-2019</t>
        </is>
      </c>
      <c r="B1539" s="1" t="n">
        <v>43728</v>
      </c>
      <c r="C1539" s="1" t="n">
        <v>45798</v>
      </c>
      <c r="D1539" t="inlineStr">
        <is>
          <t>NORRBOTTENS LÄN</t>
        </is>
      </c>
      <c r="E1539" t="inlineStr">
        <is>
          <t>HAPARANDA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48708-2019</t>
        </is>
      </c>
      <c r="B1540" s="1" t="n">
        <v>43728</v>
      </c>
      <c r="C1540" s="1" t="n">
        <v>45798</v>
      </c>
      <c r="D1540" t="inlineStr">
        <is>
          <t>NORRBOTTENS LÄN</t>
        </is>
      </c>
      <c r="E1540" t="inlineStr">
        <is>
          <t>ARVIDSJAUR</t>
        </is>
      </c>
      <c r="F1540" t="inlineStr">
        <is>
          <t>Sveaskog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48693-2019</t>
        </is>
      </c>
      <c r="B1541" s="1" t="n">
        <v>43728</v>
      </c>
      <c r="C1541" s="1" t="n">
        <v>45798</v>
      </c>
      <c r="D1541" t="inlineStr">
        <is>
          <t>NORRBOTTENS LÄN</t>
        </is>
      </c>
      <c r="E1541" t="inlineStr">
        <is>
          <t>HAPARANDA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48706-2019</t>
        </is>
      </c>
      <c r="B1542" s="1" t="n">
        <v>43728</v>
      </c>
      <c r="C1542" s="1" t="n">
        <v>45798</v>
      </c>
      <c r="D1542" t="inlineStr">
        <is>
          <t>NORRBOTTENS LÄN</t>
        </is>
      </c>
      <c r="E1542" t="inlineStr">
        <is>
          <t>ARVIDSJAUR</t>
        </is>
      </c>
      <c r="F1542" t="inlineStr">
        <is>
          <t>Sveaskog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48744-2019</t>
        </is>
      </c>
      <c r="B1543" s="1" t="n">
        <v>43728</v>
      </c>
      <c r="C1543" s="1" t="n">
        <v>45798</v>
      </c>
      <c r="D1543" t="inlineStr">
        <is>
          <t>NORRBOTTENS LÄN</t>
        </is>
      </c>
      <c r="E1543" t="inlineStr">
        <is>
          <t>HAPARANDA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49149-2019</t>
        </is>
      </c>
      <c r="B1544" s="1" t="n">
        <v>43728</v>
      </c>
      <c r="C1544" s="1" t="n">
        <v>45798</v>
      </c>
      <c r="D1544" t="inlineStr">
        <is>
          <t>NORRBOTTENS LÄN</t>
        </is>
      </c>
      <c r="E1544" t="inlineStr">
        <is>
          <t>ARJEPLOG</t>
        </is>
      </c>
      <c r="F1544" t="inlineStr">
        <is>
          <t>Allmännings- och besparingsskogar</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49279-2019</t>
        </is>
      </c>
      <c r="B1545" s="1" t="n">
        <v>43728</v>
      </c>
      <c r="C1545" s="1" t="n">
        <v>45798</v>
      </c>
      <c r="D1545" t="inlineStr">
        <is>
          <t>NORRBOTTENS LÄN</t>
        </is>
      </c>
      <c r="E1545" t="inlineStr">
        <is>
          <t>ÖVERTORNEÅ</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48719-2019</t>
        </is>
      </c>
      <c r="B1546" s="1" t="n">
        <v>43728</v>
      </c>
      <c r="C1546" s="1" t="n">
        <v>45798</v>
      </c>
      <c r="D1546" t="inlineStr">
        <is>
          <t>NORRBOTTENS LÄN</t>
        </is>
      </c>
      <c r="E1546" t="inlineStr">
        <is>
          <t>HAPARANDA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49277-2019</t>
        </is>
      </c>
      <c r="B1547" s="1" t="n">
        <v>43728</v>
      </c>
      <c r="C1547" s="1" t="n">
        <v>45798</v>
      </c>
      <c r="D1547" t="inlineStr">
        <is>
          <t>NORRBOTTENS LÄN</t>
        </is>
      </c>
      <c r="E1547" t="inlineStr">
        <is>
          <t>ÖVERKALIX</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49218-2019</t>
        </is>
      </c>
      <c r="B1548" s="1" t="n">
        <v>43731</v>
      </c>
      <c r="C1548" s="1" t="n">
        <v>45798</v>
      </c>
      <c r="D1548" t="inlineStr">
        <is>
          <t>NORRBOTTENS LÄN</t>
        </is>
      </c>
      <c r="E1548" t="inlineStr">
        <is>
          <t>ARJEPLOG</t>
        </is>
      </c>
      <c r="F1548" t="inlineStr">
        <is>
          <t>Allmännings- och besparingsskogar</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49655-2019</t>
        </is>
      </c>
      <c r="B1549" s="1" t="n">
        <v>43732</v>
      </c>
      <c r="C1549" s="1" t="n">
        <v>45798</v>
      </c>
      <c r="D1549" t="inlineStr">
        <is>
          <t>NORRBOTTENS LÄN</t>
        </is>
      </c>
      <c r="E1549" t="inlineStr">
        <is>
          <t>BODEN</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51207-2019</t>
        </is>
      </c>
      <c r="B1550" s="1" t="n">
        <v>43732</v>
      </c>
      <c r="C1550" s="1" t="n">
        <v>45798</v>
      </c>
      <c r="D1550" t="inlineStr">
        <is>
          <t>NORRBOTTENS LÄN</t>
        </is>
      </c>
      <c r="E1550" t="inlineStr">
        <is>
          <t>BODEN</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49648-2019</t>
        </is>
      </c>
      <c r="B1551" s="1" t="n">
        <v>43732</v>
      </c>
      <c r="C1551" s="1" t="n">
        <v>45798</v>
      </c>
      <c r="D1551" t="inlineStr">
        <is>
          <t>NORRBOTTENS LÄN</t>
        </is>
      </c>
      <c r="E1551" t="inlineStr">
        <is>
          <t>ÖVERTORNEÅ</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49551-2019</t>
        </is>
      </c>
      <c r="B1552" s="1" t="n">
        <v>43732</v>
      </c>
      <c r="C1552" s="1" t="n">
        <v>45798</v>
      </c>
      <c r="D1552" t="inlineStr">
        <is>
          <t>NORRBOTTENS LÄN</t>
        </is>
      </c>
      <c r="E1552" t="inlineStr">
        <is>
          <t>ARVIDSJAUR</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51166-2019</t>
        </is>
      </c>
      <c r="B1553" s="1" t="n">
        <v>43732</v>
      </c>
      <c r="C1553" s="1" t="n">
        <v>45798</v>
      </c>
      <c r="D1553" t="inlineStr">
        <is>
          <t>NORRBOTTENS LÄN</t>
        </is>
      </c>
      <c r="E1553" t="inlineStr">
        <is>
          <t>PITEÅ</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51177-2019</t>
        </is>
      </c>
      <c r="B1554" s="1" t="n">
        <v>43732</v>
      </c>
      <c r="C1554" s="1" t="n">
        <v>45798</v>
      </c>
      <c r="D1554" t="inlineStr">
        <is>
          <t>NORRBOTTENS LÄN</t>
        </is>
      </c>
      <c r="E1554" t="inlineStr">
        <is>
          <t>BODEN</t>
        </is>
      </c>
      <c r="G1554" t="n">
        <v>26.5</v>
      </c>
      <c r="H1554" t="n">
        <v>0</v>
      </c>
      <c r="I1554" t="n">
        <v>0</v>
      </c>
      <c r="J1554" t="n">
        <v>0</v>
      </c>
      <c r="K1554" t="n">
        <v>0</v>
      </c>
      <c r="L1554" t="n">
        <v>0</v>
      </c>
      <c r="M1554" t="n">
        <v>0</v>
      </c>
      <c r="N1554" t="n">
        <v>0</v>
      </c>
      <c r="O1554" t="n">
        <v>0</v>
      </c>
      <c r="P1554" t="n">
        <v>0</v>
      </c>
      <c r="Q1554" t="n">
        <v>0</v>
      </c>
      <c r="R1554" s="2" t="inlineStr"/>
    </row>
    <row r="1555" ht="15" customHeight="1">
      <c r="A1555" t="inlineStr">
        <is>
          <t>A 49751-2019</t>
        </is>
      </c>
      <c r="B1555" s="1" t="n">
        <v>43733</v>
      </c>
      <c r="C1555" s="1" t="n">
        <v>45798</v>
      </c>
      <c r="D1555" t="inlineStr">
        <is>
          <t>NORRBOTTENS LÄN</t>
        </is>
      </c>
      <c r="E1555" t="inlineStr">
        <is>
          <t>LULEÅ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49903-2019</t>
        </is>
      </c>
      <c r="B1556" s="1" t="n">
        <v>43733</v>
      </c>
      <c r="C1556" s="1" t="n">
        <v>45798</v>
      </c>
      <c r="D1556" t="inlineStr">
        <is>
          <t>NORRBOTTENS LÄN</t>
        </is>
      </c>
      <c r="E1556" t="inlineStr">
        <is>
          <t>BODEN</t>
        </is>
      </c>
      <c r="F1556" t="inlineStr">
        <is>
          <t>Sveaskog</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49886-2019</t>
        </is>
      </c>
      <c r="B1557" s="1" t="n">
        <v>43733</v>
      </c>
      <c r="C1557" s="1" t="n">
        <v>45798</v>
      </c>
      <c r="D1557" t="inlineStr">
        <is>
          <t>NORRBOTTENS LÄN</t>
        </is>
      </c>
      <c r="E1557" t="inlineStr">
        <is>
          <t>LULEÅ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49916-2019</t>
        </is>
      </c>
      <c r="B1558" s="1" t="n">
        <v>43733</v>
      </c>
      <c r="C1558" s="1" t="n">
        <v>45798</v>
      </c>
      <c r="D1558" t="inlineStr">
        <is>
          <t>NORRBOTTENS LÄN</t>
        </is>
      </c>
      <c r="E1558" t="inlineStr">
        <is>
          <t>LULEÅ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49923-2019</t>
        </is>
      </c>
      <c r="B1559" s="1" t="n">
        <v>43733</v>
      </c>
      <c r="C1559" s="1" t="n">
        <v>45798</v>
      </c>
      <c r="D1559" t="inlineStr">
        <is>
          <t>NORRBOTTENS LÄN</t>
        </is>
      </c>
      <c r="E1559" t="inlineStr">
        <is>
          <t>ÖVERKALIX</t>
        </is>
      </c>
      <c r="F1559" t="inlineStr">
        <is>
          <t>Sveaskog</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50126-2019</t>
        </is>
      </c>
      <c r="B1560" s="1" t="n">
        <v>43734</v>
      </c>
      <c r="C1560" s="1" t="n">
        <v>45798</v>
      </c>
      <c r="D1560" t="inlineStr">
        <is>
          <t>NORRBOTTENS LÄN</t>
        </is>
      </c>
      <c r="E1560" t="inlineStr">
        <is>
          <t>GÄLLIVARE</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50123-2019</t>
        </is>
      </c>
      <c r="B1561" s="1" t="n">
        <v>43734</v>
      </c>
      <c r="C1561" s="1" t="n">
        <v>45798</v>
      </c>
      <c r="D1561" t="inlineStr">
        <is>
          <t>NORRBOTTENS LÄN</t>
        </is>
      </c>
      <c r="E1561" t="inlineStr">
        <is>
          <t>GÄLLIVARE</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50288-2019</t>
        </is>
      </c>
      <c r="B1562" s="1" t="n">
        <v>43734</v>
      </c>
      <c r="C1562" s="1" t="n">
        <v>45798</v>
      </c>
      <c r="D1562" t="inlineStr">
        <is>
          <t>NORRBOTTENS LÄN</t>
        </is>
      </c>
      <c r="E1562" t="inlineStr">
        <is>
          <t>JOKKMOKK</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51815-2019</t>
        </is>
      </c>
      <c r="B1563" s="1" t="n">
        <v>43734</v>
      </c>
      <c r="C1563" s="1" t="n">
        <v>45798</v>
      </c>
      <c r="D1563" t="inlineStr">
        <is>
          <t>NORRBOTTENS LÄN</t>
        </is>
      </c>
      <c r="E1563" t="inlineStr">
        <is>
          <t>ARVIDSJAUR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50287-2019</t>
        </is>
      </c>
      <c r="B1564" s="1" t="n">
        <v>43734</v>
      </c>
      <c r="C1564" s="1" t="n">
        <v>45798</v>
      </c>
      <c r="D1564" t="inlineStr">
        <is>
          <t>NORRBOTTENS LÄN</t>
        </is>
      </c>
      <c r="E1564" t="inlineStr">
        <is>
          <t>JOKKMOKK</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51840-2019</t>
        </is>
      </c>
      <c r="B1565" s="1" t="n">
        <v>43734</v>
      </c>
      <c r="C1565" s="1" t="n">
        <v>45798</v>
      </c>
      <c r="D1565" t="inlineStr">
        <is>
          <t>NORRBOTTENS LÄN</t>
        </is>
      </c>
      <c r="E1565" t="inlineStr">
        <is>
          <t>JOKKMOKK</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52026-2019</t>
        </is>
      </c>
      <c r="B1566" s="1" t="n">
        <v>43734</v>
      </c>
      <c r="C1566" s="1" t="n">
        <v>45798</v>
      </c>
      <c r="D1566" t="inlineStr">
        <is>
          <t>NORRBOTTENS LÄN</t>
        </is>
      </c>
      <c r="E1566" t="inlineStr">
        <is>
          <t>GÄLLIVARE</t>
        </is>
      </c>
      <c r="F1566" t="inlineStr">
        <is>
          <t>Allmännings- och besparingsskogar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51829-2019</t>
        </is>
      </c>
      <c r="B1567" s="1" t="n">
        <v>43734</v>
      </c>
      <c r="C1567" s="1" t="n">
        <v>45798</v>
      </c>
      <c r="D1567" t="inlineStr">
        <is>
          <t>NORRBOTTENS LÄN</t>
        </is>
      </c>
      <c r="E1567" t="inlineStr">
        <is>
          <t>JOKKMOKK</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50289-2019</t>
        </is>
      </c>
      <c r="B1568" s="1" t="n">
        <v>43734</v>
      </c>
      <c r="C1568" s="1" t="n">
        <v>45798</v>
      </c>
      <c r="D1568" t="inlineStr">
        <is>
          <t>NORRBOTTENS LÄN</t>
        </is>
      </c>
      <c r="E1568" t="inlineStr">
        <is>
          <t>JOKKMOKK</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51863-2019</t>
        </is>
      </c>
      <c r="B1569" s="1" t="n">
        <v>43734</v>
      </c>
      <c r="C1569" s="1" t="n">
        <v>45798</v>
      </c>
      <c r="D1569" t="inlineStr">
        <is>
          <t>NORRBOTTENS LÄN</t>
        </is>
      </c>
      <c r="E1569" t="inlineStr">
        <is>
          <t>JOKKMOKK</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50120-2019</t>
        </is>
      </c>
      <c r="B1570" s="1" t="n">
        <v>43734</v>
      </c>
      <c r="C1570" s="1" t="n">
        <v>45798</v>
      </c>
      <c r="D1570" t="inlineStr">
        <is>
          <t>NORRBOTTENS LÄN</t>
        </is>
      </c>
      <c r="E1570" t="inlineStr">
        <is>
          <t>GÄLLIVARE</t>
        </is>
      </c>
      <c r="F1570" t="inlineStr">
        <is>
          <t>Sveaskog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50082-2019</t>
        </is>
      </c>
      <c r="B1571" s="1" t="n">
        <v>43734</v>
      </c>
      <c r="C1571" s="1" t="n">
        <v>45798</v>
      </c>
      <c r="D1571" t="inlineStr">
        <is>
          <t>NORRBOTTENS LÄN</t>
        </is>
      </c>
      <c r="E1571" t="inlineStr">
        <is>
          <t>PAJALA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52081-2019</t>
        </is>
      </c>
      <c r="B1572" s="1" t="n">
        <v>43735</v>
      </c>
      <c r="C1572" s="1" t="n">
        <v>45798</v>
      </c>
      <c r="D1572" t="inlineStr">
        <is>
          <t>NORRBOTTENS LÄN</t>
        </is>
      </c>
      <c r="E1572" t="inlineStr">
        <is>
          <t>ARVIDSJAUR</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52104-2019</t>
        </is>
      </c>
      <c r="B1573" s="1" t="n">
        <v>43735</v>
      </c>
      <c r="C1573" s="1" t="n">
        <v>45798</v>
      </c>
      <c r="D1573" t="inlineStr">
        <is>
          <t>NORRBOTTENS LÄN</t>
        </is>
      </c>
      <c r="E1573" t="inlineStr">
        <is>
          <t>HAPARANDA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52204-2019</t>
        </is>
      </c>
      <c r="B1574" s="1" t="n">
        <v>43735</v>
      </c>
      <c r="C1574" s="1" t="n">
        <v>45798</v>
      </c>
      <c r="D1574" t="inlineStr">
        <is>
          <t>NORRBOTTENS LÄN</t>
        </is>
      </c>
      <c r="E1574" t="inlineStr">
        <is>
          <t>HAPARANDA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52089-2019</t>
        </is>
      </c>
      <c r="B1575" s="1" t="n">
        <v>43735</v>
      </c>
      <c r="C1575" s="1" t="n">
        <v>45798</v>
      </c>
      <c r="D1575" t="inlineStr">
        <is>
          <t>NORRBOTTENS LÄN</t>
        </is>
      </c>
      <c r="E1575" t="inlineStr">
        <is>
          <t>JOKKMOKK</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52100-2019</t>
        </is>
      </c>
      <c r="B1576" s="1" t="n">
        <v>43735</v>
      </c>
      <c r="C1576" s="1" t="n">
        <v>45798</v>
      </c>
      <c r="D1576" t="inlineStr">
        <is>
          <t>NORRBOTTENS LÄN</t>
        </is>
      </c>
      <c r="E1576" t="inlineStr">
        <is>
          <t>HAPARANDA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50819-2019</t>
        </is>
      </c>
      <c r="B1577" s="1" t="n">
        <v>43738</v>
      </c>
      <c r="C1577" s="1" t="n">
        <v>45798</v>
      </c>
      <c r="D1577" t="inlineStr">
        <is>
          <t>NORRBOTTENS LÄN</t>
        </is>
      </c>
      <c r="E1577" t="inlineStr">
        <is>
          <t>BODEN</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50788-2019</t>
        </is>
      </c>
      <c r="B1578" s="1" t="n">
        <v>43738</v>
      </c>
      <c r="C1578" s="1" t="n">
        <v>45798</v>
      </c>
      <c r="D1578" t="inlineStr">
        <is>
          <t>NORRBOTTENS LÄN</t>
        </is>
      </c>
      <c r="E1578" t="inlineStr">
        <is>
          <t>ARVIDSJAUR</t>
        </is>
      </c>
      <c r="F1578" t="inlineStr">
        <is>
          <t>Sveaskog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52645-2019</t>
        </is>
      </c>
      <c r="B1579" s="1" t="n">
        <v>43738</v>
      </c>
      <c r="C1579" s="1" t="n">
        <v>45798</v>
      </c>
      <c r="D1579" t="inlineStr">
        <is>
          <t>NORRBOTTENS LÄN</t>
        </is>
      </c>
      <c r="E1579" t="inlineStr">
        <is>
          <t>ÖVERKALIX</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59173-2019</t>
        </is>
      </c>
      <c r="B1580" s="1" t="n">
        <v>43738</v>
      </c>
      <c r="C1580" s="1" t="n">
        <v>45798</v>
      </c>
      <c r="D1580" t="inlineStr">
        <is>
          <t>NORRBOTTENS LÄN</t>
        </is>
      </c>
      <c r="E1580" t="inlineStr">
        <is>
          <t>JOKKMOKK</t>
        </is>
      </c>
      <c r="F1580" t="inlineStr">
        <is>
          <t>Övriga statliga verk och myndigheter</t>
        </is>
      </c>
      <c r="G1580" t="n">
        <v>167.3</v>
      </c>
      <c r="H1580" t="n">
        <v>0</v>
      </c>
      <c r="I1580" t="n">
        <v>0</v>
      </c>
      <c r="J1580" t="n">
        <v>0</v>
      </c>
      <c r="K1580" t="n">
        <v>0</v>
      </c>
      <c r="L1580" t="n">
        <v>0</v>
      </c>
      <c r="M1580" t="n">
        <v>0</v>
      </c>
      <c r="N1580" t="n">
        <v>0</v>
      </c>
      <c r="O1580" t="n">
        <v>0</v>
      </c>
      <c r="P1580" t="n">
        <v>0</v>
      </c>
      <c r="Q1580" t="n">
        <v>0</v>
      </c>
      <c r="R1580" s="2" t="inlineStr"/>
    </row>
    <row r="1581" ht="15" customHeight="1">
      <c r="A1581" t="inlineStr">
        <is>
          <t>A 51117-2019</t>
        </is>
      </c>
      <c r="B1581" s="1" t="n">
        <v>43739</v>
      </c>
      <c r="C1581" s="1" t="n">
        <v>45798</v>
      </c>
      <c r="D1581" t="inlineStr">
        <is>
          <t>NORRBOTTENS LÄN</t>
        </is>
      </c>
      <c r="E1581" t="inlineStr">
        <is>
          <t>HAPARANDA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51120-2019</t>
        </is>
      </c>
      <c r="B1582" s="1" t="n">
        <v>43739</v>
      </c>
      <c r="C1582" s="1" t="n">
        <v>45798</v>
      </c>
      <c r="D1582" t="inlineStr">
        <is>
          <t>NORRBOTTENS LÄN</t>
        </is>
      </c>
      <c r="E1582" t="inlineStr">
        <is>
          <t>HAPARANDA</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52748-2019</t>
        </is>
      </c>
      <c r="B1583" s="1" t="n">
        <v>43739</v>
      </c>
      <c r="C1583" s="1" t="n">
        <v>45798</v>
      </c>
      <c r="D1583" t="inlineStr">
        <is>
          <t>NORRBOTTENS LÄN</t>
        </is>
      </c>
      <c r="E1583" t="inlineStr">
        <is>
          <t>GÄLLIVARE</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51067-2019</t>
        </is>
      </c>
      <c r="B1584" s="1" t="n">
        <v>43739</v>
      </c>
      <c r="C1584" s="1" t="n">
        <v>45798</v>
      </c>
      <c r="D1584" t="inlineStr">
        <is>
          <t>NORRBOTTENS LÄN</t>
        </is>
      </c>
      <c r="E1584" t="inlineStr">
        <is>
          <t>ÄLVSBYN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52819-2019</t>
        </is>
      </c>
      <c r="B1585" s="1" t="n">
        <v>43739</v>
      </c>
      <c r="C1585" s="1" t="n">
        <v>45798</v>
      </c>
      <c r="D1585" t="inlineStr">
        <is>
          <t>NORRBOTTENS LÄN</t>
        </is>
      </c>
      <c r="E1585" t="inlineStr">
        <is>
          <t>ÖVERKALIX</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51232-2019</t>
        </is>
      </c>
      <c r="B1586" s="1" t="n">
        <v>43739</v>
      </c>
      <c r="C1586" s="1" t="n">
        <v>45798</v>
      </c>
      <c r="D1586" t="inlineStr">
        <is>
          <t>NORRBOTTENS LÄN</t>
        </is>
      </c>
      <c r="E1586" t="inlineStr">
        <is>
          <t>PAJALA</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51116-2019</t>
        </is>
      </c>
      <c r="B1587" s="1" t="n">
        <v>43739</v>
      </c>
      <c r="C1587" s="1" t="n">
        <v>45798</v>
      </c>
      <c r="D1587" t="inlineStr">
        <is>
          <t>NORRBOTTENS LÄN</t>
        </is>
      </c>
      <c r="E1587" t="inlineStr">
        <is>
          <t>HAPARANDA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51514-2019</t>
        </is>
      </c>
      <c r="B1588" s="1" t="n">
        <v>43740</v>
      </c>
      <c r="C1588" s="1" t="n">
        <v>45798</v>
      </c>
      <c r="D1588" t="inlineStr">
        <is>
          <t>NORRBOTTENS LÄN</t>
        </is>
      </c>
      <c r="E1588" t="inlineStr">
        <is>
          <t>GÄLLIVARE</t>
        </is>
      </c>
      <c r="F1588" t="inlineStr">
        <is>
          <t>Sveaskog</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51694-2019</t>
        </is>
      </c>
      <c r="B1589" s="1" t="n">
        <v>43740</v>
      </c>
      <c r="C1589" s="1" t="n">
        <v>45798</v>
      </c>
      <c r="D1589" t="inlineStr">
        <is>
          <t>NORRBOTTENS LÄN</t>
        </is>
      </c>
      <c r="E1589" t="inlineStr">
        <is>
          <t>LULEÅ</t>
        </is>
      </c>
      <c r="F1589" t="inlineStr">
        <is>
          <t>SCA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52989-2019</t>
        </is>
      </c>
      <c r="B1590" s="1" t="n">
        <v>43740</v>
      </c>
      <c r="C1590" s="1" t="n">
        <v>45798</v>
      </c>
      <c r="D1590" t="inlineStr">
        <is>
          <t>NORRBOTTENS LÄN</t>
        </is>
      </c>
      <c r="E1590" t="inlineStr">
        <is>
          <t>ÖVERTORNEÅ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2259-2020</t>
        </is>
      </c>
      <c r="B1591" s="1" t="n">
        <v>43740</v>
      </c>
      <c r="C1591" s="1" t="n">
        <v>45798</v>
      </c>
      <c r="D1591" t="inlineStr">
        <is>
          <t>NORRBOTTENS LÄN</t>
        </is>
      </c>
      <c r="E1591" t="inlineStr">
        <is>
          <t>ÖVERTORNEÅ</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53054-2019</t>
        </is>
      </c>
      <c r="B1592" s="1" t="n">
        <v>43740</v>
      </c>
      <c r="C1592" s="1" t="n">
        <v>45798</v>
      </c>
      <c r="D1592" t="inlineStr">
        <is>
          <t>NORRBOTTENS LÄN</t>
        </is>
      </c>
      <c r="E1592" t="inlineStr">
        <is>
          <t>ÖVERTORNEÅ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53084-2019</t>
        </is>
      </c>
      <c r="B1593" s="1" t="n">
        <v>43740</v>
      </c>
      <c r="C1593" s="1" t="n">
        <v>45798</v>
      </c>
      <c r="D1593" t="inlineStr">
        <is>
          <t>NORRBOTTENS LÄN</t>
        </is>
      </c>
      <c r="E1593" t="inlineStr">
        <is>
          <t>ÖVERTORNEÅ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2269-2020</t>
        </is>
      </c>
      <c r="B1594" s="1" t="n">
        <v>43740</v>
      </c>
      <c r="C1594" s="1" t="n">
        <v>45798</v>
      </c>
      <c r="D1594" t="inlineStr">
        <is>
          <t>NORRBOTTENS LÄN</t>
        </is>
      </c>
      <c r="E1594" t="inlineStr">
        <is>
          <t>ÖVERTORNEÅ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51642-2019</t>
        </is>
      </c>
      <c r="B1595" s="1" t="n">
        <v>43740</v>
      </c>
      <c r="C1595" s="1" t="n">
        <v>45798</v>
      </c>
      <c r="D1595" t="inlineStr">
        <is>
          <t>NORRBOTTENS LÄN</t>
        </is>
      </c>
      <c r="E1595" t="inlineStr">
        <is>
          <t>ÖVERTORNEÅ</t>
        </is>
      </c>
      <c r="G1595" t="n">
        <v>16.1</v>
      </c>
      <c r="H1595" t="n">
        <v>0</v>
      </c>
      <c r="I1595" t="n">
        <v>0</v>
      </c>
      <c r="J1595" t="n">
        <v>0</v>
      </c>
      <c r="K1595" t="n">
        <v>0</v>
      </c>
      <c r="L1595" t="n">
        <v>0</v>
      </c>
      <c r="M1595" t="n">
        <v>0</v>
      </c>
      <c r="N1595" t="n">
        <v>0</v>
      </c>
      <c r="O1595" t="n">
        <v>0</v>
      </c>
      <c r="P1595" t="n">
        <v>0</v>
      </c>
      <c r="Q1595" t="n">
        <v>0</v>
      </c>
      <c r="R1595" s="2" t="inlineStr"/>
    </row>
    <row r="1596" ht="15" customHeight="1">
      <c r="A1596" t="inlineStr">
        <is>
          <t>A 51734-2019</t>
        </is>
      </c>
      <c r="B1596" s="1" t="n">
        <v>43741</v>
      </c>
      <c r="C1596" s="1" t="n">
        <v>45798</v>
      </c>
      <c r="D1596" t="inlineStr">
        <is>
          <t>NORRBOTTENS LÄN</t>
        </is>
      </c>
      <c r="E1596" t="inlineStr">
        <is>
          <t>PITEÅ</t>
        </is>
      </c>
      <c r="F1596" t="inlineStr">
        <is>
          <t>Sveaskog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51765-2019</t>
        </is>
      </c>
      <c r="B1597" s="1" t="n">
        <v>43741</v>
      </c>
      <c r="C1597" s="1" t="n">
        <v>45798</v>
      </c>
      <c r="D1597" t="inlineStr">
        <is>
          <t>NORRBOTTENS LÄN</t>
        </is>
      </c>
      <c r="E1597" t="inlineStr">
        <is>
          <t>PITEÅ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52225-2019</t>
        </is>
      </c>
      <c r="B1598" s="1" t="n">
        <v>43742</v>
      </c>
      <c r="C1598" s="1" t="n">
        <v>45798</v>
      </c>
      <c r="D1598" t="inlineStr">
        <is>
          <t>NORRBOTTENS LÄN</t>
        </is>
      </c>
      <c r="E1598" t="inlineStr">
        <is>
          <t>BODEN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52223-2019</t>
        </is>
      </c>
      <c r="B1599" s="1" t="n">
        <v>43742</v>
      </c>
      <c r="C1599" s="1" t="n">
        <v>45798</v>
      </c>
      <c r="D1599" t="inlineStr">
        <is>
          <t>NORRBOTTENS LÄN</t>
        </is>
      </c>
      <c r="E1599" t="inlineStr">
        <is>
          <t>BODEN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52229-2019</t>
        </is>
      </c>
      <c r="B1600" s="1" t="n">
        <v>43742</v>
      </c>
      <c r="C1600" s="1" t="n">
        <v>45798</v>
      </c>
      <c r="D1600" t="inlineStr">
        <is>
          <t>NORRBOTTENS LÄN</t>
        </is>
      </c>
      <c r="E1600" t="inlineStr">
        <is>
          <t>BODEN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53994-2019</t>
        </is>
      </c>
      <c r="B1601" s="1" t="n">
        <v>43742</v>
      </c>
      <c r="C1601" s="1" t="n">
        <v>45798</v>
      </c>
      <c r="D1601" t="inlineStr">
        <is>
          <t>NORRBOTTENS LÄN</t>
        </is>
      </c>
      <c r="E1601" t="inlineStr">
        <is>
          <t>ARVIDSJAUR</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53821-2019</t>
        </is>
      </c>
      <c r="B1602" s="1" t="n">
        <v>43742</v>
      </c>
      <c r="C1602" s="1" t="n">
        <v>45798</v>
      </c>
      <c r="D1602" t="inlineStr">
        <is>
          <t>NORRBOTTENS LÄN</t>
        </is>
      </c>
      <c r="E1602" t="inlineStr">
        <is>
          <t>ÄLVSBYN</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52228-2019</t>
        </is>
      </c>
      <c r="B1603" s="1" t="n">
        <v>43742</v>
      </c>
      <c r="C1603" s="1" t="n">
        <v>45798</v>
      </c>
      <c r="D1603" t="inlineStr">
        <is>
          <t>NORRBOTTENS LÄN</t>
        </is>
      </c>
      <c r="E1603" t="inlineStr">
        <is>
          <t>BODEN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52220-2019</t>
        </is>
      </c>
      <c r="B1604" s="1" t="n">
        <v>43742</v>
      </c>
      <c r="C1604" s="1" t="n">
        <v>45798</v>
      </c>
      <c r="D1604" t="inlineStr">
        <is>
          <t>NORRBOTTENS LÄN</t>
        </is>
      </c>
      <c r="E1604" t="inlineStr">
        <is>
          <t>BODEN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52157-2019</t>
        </is>
      </c>
      <c r="B1605" s="1" t="n">
        <v>43742</v>
      </c>
      <c r="C1605" s="1" t="n">
        <v>45798</v>
      </c>
      <c r="D1605" t="inlineStr">
        <is>
          <t>NORRBOTTENS LÄN</t>
        </is>
      </c>
      <c r="E1605" t="inlineStr">
        <is>
          <t>ÖVERKALIX</t>
        </is>
      </c>
      <c r="F1605" t="inlineStr">
        <is>
          <t>Sveaskog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52207-2019</t>
        </is>
      </c>
      <c r="B1606" s="1" t="n">
        <v>43742</v>
      </c>
      <c r="C1606" s="1" t="n">
        <v>45798</v>
      </c>
      <c r="D1606" t="inlineStr">
        <is>
          <t>NORRBOTTENS LÄN</t>
        </is>
      </c>
      <c r="E1606" t="inlineStr">
        <is>
          <t>BODEN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52224-2019</t>
        </is>
      </c>
      <c r="B1607" s="1" t="n">
        <v>43742</v>
      </c>
      <c r="C1607" s="1" t="n">
        <v>45798</v>
      </c>
      <c r="D1607" t="inlineStr">
        <is>
          <t>NORRBOTTENS LÄN</t>
        </is>
      </c>
      <c r="E1607" t="inlineStr">
        <is>
          <t>BODEN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54007-2019</t>
        </is>
      </c>
      <c r="B1608" s="1" t="n">
        <v>43742</v>
      </c>
      <c r="C1608" s="1" t="n">
        <v>45798</v>
      </c>
      <c r="D1608" t="inlineStr">
        <is>
          <t>NORRBOTTENS LÄN</t>
        </is>
      </c>
      <c r="E1608" t="inlineStr">
        <is>
          <t>ÄLVSBYN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52477-2019</t>
        </is>
      </c>
      <c r="B1609" s="1" t="n">
        <v>43745</v>
      </c>
      <c r="C1609" s="1" t="n">
        <v>45798</v>
      </c>
      <c r="D1609" t="inlineStr">
        <is>
          <t>NORRBOTTENS LÄN</t>
        </is>
      </c>
      <c r="E1609" t="inlineStr">
        <is>
          <t>KALIX</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54210-2019</t>
        </is>
      </c>
      <c r="B1610" s="1" t="n">
        <v>43745</v>
      </c>
      <c r="C1610" s="1" t="n">
        <v>45798</v>
      </c>
      <c r="D1610" t="inlineStr">
        <is>
          <t>NORRBOTTENS LÄN</t>
        </is>
      </c>
      <c r="E1610" t="inlineStr">
        <is>
          <t>ÖVERTORNEÅ</t>
        </is>
      </c>
      <c r="G1610" t="n">
        <v>15.6</v>
      </c>
      <c r="H1610" t="n">
        <v>0</v>
      </c>
      <c r="I1610" t="n">
        <v>0</v>
      </c>
      <c r="J1610" t="n">
        <v>0</v>
      </c>
      <c r="K1610" t="n">
        <v>0</v>
      </c>
      <c r="L1610" t="n">
        <v>0</v>
      </c>
      <c r="M1610" t="n">
        <v>0</v>
      </c>
      <c r="N1610" t="n">
        <v>0</v>
      </c>
      <c r="O1610" t="n">
        <v>0</v>
      </c>
      <c r="P1610" t="n">
        <v>0</v>
      </c>
      <c r="Q1610" t="n">
        <v>0</v>
      </c>
      <c r="R1610" s="2" t="inlineStr"/>
    </row>
    <row r="1611" ht="15" customHeight="1">
      <c r="A1611" t="inlineStr">
        <is>
          <t>A 52917-2019</t>
        </is>
      </c>
      <c r="B1611" s="1" t="n">
        <v>43746</v>
      </c>
      <c r="C1611" s="1" t="n">
        <v>45798</v>
      </c>
      <c r="D1611" t="inlineStr">
        <is>
          <t>NORRBOTTENS LÄN</t>
        </is>
      </c>
      <c r="E1611" t="inlineStr">
        <is>
          <t>LULEÅ</t>
        </is>
      </c>
      <c r="F1611" t="inlineStr">
        <is>
          <t>Naturvårdsverket</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53321-2019</t>
        </is>
      </c>
      <c r="B1612" s="1" t="n">
        <v>43748</v>
      </c>
      <c r="C1612" s="1" t="n">
        <v>45798</v>
      </c>
      <c r="D1612" t="inlineStr">
        <is>
          <t>NORRBOTTENS LÄN</t>
        </is>
      </c>
      <c r="E1612" t="inlineStr">
        <is>
          <t>ÖVERTORNEÅ</t>
        </is>
      </c>
      <c r="F1612" t="inlineStr">
        <is>
          <t>Sveaskog</t>
        </is>
      </c>
      <c r="G1612" t="n">
        <v>62.4</v>
      </c>
      <c r="H1612" t="n">
        <v>0</v>
      </c>
      <c r="I1612" t="n">
        <v>0</v>
      </c>
      <c r="J1612" t="n">
        <v>0</v>
      </c>
      <c r="K1612" t="n">
        <v>0</v>
      </c>
      <c r="L1612" t="n">
        <v>0</v>
      </c>
      <c r="M1612" t="n">
        <v>0</v>
      </c>
      <c r="N1612" t="n">
        <v>0</v>
      </c>
      <c r="O1612" t="n">
        <v>0</v>
      </c>
      <c r="P1612" t="n">
        <v>0</v>
      </c>
      <c r="Q1612" t="n">
        <v>0</v>
      </c>
      <c r="R1612" s="2" t="inlineStr"/>
    </row>
    <row r="1613" ht="15" customHeight="1">
      <c r="A1613" t="inlineStr">
        <is>
          <t>A 53365-2019</t>
        </is>
      </c>
      <c r="B1613" s="1" t="n">
        <v>43748</v>
      </c>
      <c r="C1613" s="1" t="n">
        <v>45798</v>
      </c>
      <c r="D1613" t="inlineStr">
        <is>
          <t>NORRBOTTENS LÄN</t>
        </is>
      </c>
      <c r="E1613" t="inlineStr">
        <is>
          <t>LULEÅ</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54749-2019</t>
        </is>
      </c>
      <c r="B1614" s="1" t="n">
        <v>43748</v>
      </c>
      <c r="C1614" s="1" t="n">
        <v>45798</v>
      </c>
      <c r="D1614" t="inlineStr">
        <is>
          <t>NORRBOTTENS LÄN</t>
        </is>
      </c>
      <c r="E1614" t="inlineStr">
        <is>
          <t>KALIX</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53201-2019</t>
        </is>
      </c>
      <c r="B1615" s="1" t="n">
        <v>43748</v>
      </c>
      <c r="C1615" s="1" t="n">
        <v>45798</v>
      </c>
      <c r="D1615" t="inlineStr">
        <is>
          <t>NORRBOTTENS LÄN</t>
        </is>
      </c>
      <c r="E1615" t="inlineStr">
        <is>
          <t>GÄLLIVARE</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54760-2019</t>
        </is>
      </c>
      <c r="B1616" s="1" t="n">
        <v>43748</v>
      </c>
      <c r="C1616" s="1" t="n">
        <v>45798</v>
      </c>
      <c r="D1616" t="inlineStr">
        <is>
          <t>NORRBOTTENS LÄN</t>
        </is>
      </c>
      <c r="E1616" t="inlineStr">
        <is>
          <t>ÖVERKALIX</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53708-2019</t>
        </is>
      </c>
      <c r="B1617" s="1" t="n">
        <v>43749</v>
      </c>
      <c r="C1617" s="1" t="n">
        <v>45798</v>
      </c>
      <c r="D1617" t="inlineStr">
        <is>
          <t>NORRBOTTENS LÄN</t>
        </is>
      </c>
      <c r="E1617" t="inlineStr">
        <is>
          <t>PAJALA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54828-2019</t>
        </is>
      </c>
      <c r="B1618" s="1" t="n">
        <v>43749</v>
      </c>
      <c r="C1618" s="1" t="n">
        <v>45798</v>
      </c>
      <c r="D1618" t="inlineStr">
        <is>
          <t>NORRBOTTENS LÄN</t>
        </is>
      </c>
      <c r="E1618" t="inlineStr">
        <is>
          <t>ARVIDSJAUR</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54852-2019</t>
        </is>
      </c>
      <c r="B1619" s="1" t="n">
        <v>43749</v>
      </c>
      <c r="C1619" s="1" t="n">
        <v>45798</v>
      </c>
      <c r="D1619" t="inlineStr">
        <is>
          <t>NORRBOTTENS LÄN</t>
        </is>
      </c>
      <c r="E1619" t="inlineStr">
        <is>
          <t>ARVIDSJAUR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53827-2019</t>
        </is>
      </c>
      <c r="B1620" s="1" t="n">
        <v>43752</v>
      </c>
      <c r="C1620" s="1" t="n">
        <v>45798</v>
      </c>
      <c r="D1620" t="inlineStr">
        <is>
          <t>NORRBOTTENS LÄN</t>
        </is>
      </c>
      <c r="E1620" t="inlineStr">
        <is>
          <t>PAJALA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53835-2019</t>
        </is>
      </c>
      <c r="B1621" s="1" t="n">
        <v>43752</v>
      </c>
      <c r="C1621" s="1" t="n">
        <v>45798</v>
      </c>
      <c r="D1621" t="inlineStr">
        <is>
          <t>NORRBOTTENS LÄN</t>
        </is>
      </c>
      <c r="E1621" t="inlineStr">
        <is>
          <t>PAJALA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53818-2019</t>
        </is>
      </c>
      <c r="B1622" s="1" t="n">
        <v>43752</v>
      </c>
      <c r="C1622" s="1" t="n">
        <v>45798</v>
      </c>
      <c r="D1622" t="inlineStr">
        <is>
          <t>NORRBOTTENS LÄN</t>
        </is>
      </c>
      <c r="E1622" t="inlineStr">
        <is>
          <t>ÄLVSBYN</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53834-2019</t>
        </is>
      </c>
      <c r="B1623" s="1" t="n">
        <v>43752</v>
      </c>
      <c r="C1623" s="1" t="n">
        <v>45798</v>
      </c>
      <c r="D1623" t="inlineStr">
        <is>
          <t>NORRBOTTENS LÄN</t>
        </is>
      </c>
      <c r="E1623" t="inlineStr">
        <is>
          <t>PAJALA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53825-2019</t>
        </is>
      </c>
      <c r="B1624" s="1" t="n">
        <v>43752</v>
      </c>
      <c r="C1624" s="1" t="n">
        <v>45798</v>
      </c>
      <c r="D1624" t="inlineStr">
        <is>
          <t>NORRBOTTENS LÄN</t>
        </is>
      </c>
      <c r="E1624" t="inlineStr">
        <is>
          <t>PAJALA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53831-2019</t>
        </is>
      </c>
      <c r="B1625" s="1" t="n">
        <v>43752</v>
      </c>
      <c r="C1625" s="1" t="n">
        <v>45798</v>
      </c>
      <c r="D1625" t="inlineStr">
        <is>
          <t>NORRBOTTENS LÄN</t>
        </is>
      </c>
      <c r="E1625" t="inlineStr">
        <is>
          <t>PAJALA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53922-2019</t>
        </is>
      </c>
      <c r="B1626" s="1" t="n">
        <v>43752</v>
      </c>
      <c r="C1626" s="1" t="n">
        <v>45798</v>
      </c>
      <c r="D1626" t="inlineStr">
        <is>
          <t>NORRBOTTENS LÄN</t>
        </is>
      </c>
      <c r="E1626" t="inlineStr">
        <is>
          <t>GÄLLIVARE</t>
        </is>
      </c>
      <c r="F1626" t="inlineStr">
        <is>
          <t>Sveaskog</t>
        </is>
      </c>
      <c r="G1626" t="n">
        <v>15.9</v>
      </c>
      <c r="H1626" t="n">
        <v>0</v>
      </c>
      <c r="I1626" t="n">
        <v>0</v>
      </c>
      <c r="J1626" t="n">
        <v>0</v>
      </c>
      <c r="K1626" t="n">
        <v>0</v>
      </c>
      <c r="L1626" t="n">
        <v>0</v>
      </c>
      <c r="M1626" t="n">
        <v>0</v>
      </c>
      <c r="N1626" t="n">
        <v>0</v>
      </c>
      <c r="O1626" t="n">
        <v>0</v>
      </c>
      <c r="P1626" t="n">
        <v>0</v>
      </c>
      <c r="Q1626" t="n">
        <v>0</v>
      </c>
      <c r="R1626" s="2" t="inlineStr"/>
    </row>
    <row r="1627" ht="15" customHeight="1">
      <c r="A1627" t="inlineStr">
        <is>
          <t>A 53950-2019</t>
        </is>
      </c>
      <c r="B1627" s="1" t="n">
        <v>43752</v>
      </c>
      <c r="C1627" s="1" t="n">
        <v>45798</v>
      </c>
      <c r="D1627" t="inlineStr">
        <is>
          <t>NORRBOTTENS LÄN</t>
        </is>
      </c>
      <c r="E1627" t="inlineStr">
        <is>
          <t>PAJALA</t>
        </is>
      </c>
      <c r="G1627" t="n">
        <v>13.3</v>
      </c>
      <c r="H1627" t="n">
        <v>0</v>
      </c>
      <c r="I1627" t="n">
        <v>0</v>
      </c>
      <c r="J1627" t="n">
        <v>0</v>
      </c>
      <c r="K1627" t="n">
        <v>0</v>
      </c>
      <c r="L1627" t="n">
        <v>0</v>
      </c>
      <c r="M1627" t="n">
        <v>0</v>
      </c>
      <c r="N1627" t="n">
        <v>0</v>
      </c>
      <c r="O1627" t="n">
        <v>0</v>
      </c>
      <c r="P1627" t="n">
        <v>0</v>
      </c>
      <c r="Q1627" t="n">
        <v>0</v>
      </c>
      <c r="R1627" s="2" t="inlineStr"/>
    </row>
    <row r="1628" ht="15" customHeight="1">
      <c r="A1628" t="inlineStr">
        <is>
          <t>A 54078-2019</t>
        </is>
      </c>
      <c r="B1628" s="1" t="n">
        <v>43752</v>
      </c>
      <c r="C1628" s="1" t="n">
        <v>45798</v>
      </c>
      <c r="D1628" t="inlineStr">
        <is>
          <t>NORRBOTTENS LÄN</t>
        </is>
      </c>
      <c r="E1628" t="inlineStr">
        <is>
          <t>ÖVERTORNEÅ</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58826-2019</t>
        </is>
      </c>
      <c r="B1629" s="1" t="n">
        <v>43752</v>
      </c>
      <c r="C1629" s="1" t="n">
        <v>45798</v>
      </c>
      <c r="D1629" t="inlineStr">
        <is>
          <t>NORRBOTTENS LÄN</t>
        </is>
      </c>
      <c r="E1629" t="inlineStr">
        <is>
          <t>GÄLLIVARE</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54124-2019</t>
        </is>
      </c>
      <c r="B1630" s="1" t="n">
        <v>43752</v>
      </c>
      <c r="C1630" s="1" t="n">
        <v>45798</v>
      </c>
      <c r="D1630" t="inlineStr">
        <is>
          <t>NORRBOTTENS LÄN</t>
        </is>
      </c>
      <c r="E1630" t="inlineStr">
        <is>
          <t>ÖVERKALIX</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54036-2019</t>
        </is>
      </c>
      <c r="B1631" s="1" t="n">
        <v>43752</v>
      </c>
      <c r="C1631" s="1" t="n">
        <v>45798</v>
      </c>
      <c r="D1631" t="inlineStr">
        <is>
          <t>NORRBOTTENS LÄN</t>
        </is>
      </c>
      <c r="E1631" t="inlineStr">
        <is>
          <t>JOKKMOKK</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55073-2019</t>
        </is>
      </c>
      <c r="B1632" s="1" t="n">
        <v>43752</v>
      </c>
      <c r="C1632" s="1" t="n">
        <v>45798</v>
      </c>
      <c r="D1632" t="inlineStr">
        <is>
          <t>NORRBOTTENS LÄN</t>
        </is>
      </c>
      <c r="E1632" t="inlineStr">
        <is>
          <t>ÖVERTORNEÅ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53822-2019</t>
        </is>
      </c>
      <c r="B1633" s="1" t="n">
        <v>43752</v>
      </c>
      <c r="C1633" s="1" t="n">
        <v>45798</v>
      </c>
      <c r="D1633" t="inlineStr">
        <is>
          <t>NORRBOTTENS LÄN</t>
        </is>
      </c>
      <c r="E1633" t="inlineStr">
        <is>
          <t>PAJALA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53833-2019</t>
        </is>
      </c>
      <c r="B1634" s="1" t="n">
        <v>43752</v>
      </c>
      <c r="C1634" s="1" t="n">
        <v>45798</v>
      </c>
      <c r="D1634" t="inlineStr">
        <is>
          <t>NORRBOTTENS LÄN</t>
        </is>
      </c>
      <c r="E1634" t="inlineStr">
        <is>
          <t>PITEÅ</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54123-2019</t>
        </is>
      </c>
      <c r="B1635" s="1" t="n">
        <v>43752</v>
      </c>
      <c r="C1635" s="1" t="n">
        <v>45798</v>
      </c>
      <c r="D1635" t="inlineStr">
        <is>
          <t>NORRBOTTENS LÄN</t>
        </is>
      </c>
      <c r="E1635" t="inlineStr">
        <is>
          <t>ÖVERKALIX</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54419-2019</t>
        </is>
      </c>
      <c r="B1636" s="1" t="n">
        <v>43753</v>
      </c>
      <c r="C1636" s="1" t="n">
        <v>45798</v>
      </c>
      <c r="D1636" t="inlineStr">
        <is>
          <t>NORRBOTTENS LÄN</t>
        </is>
      </c>
      <c r="E1636" t="inlineStr">
        <is>
          <t>BODEN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54203-2019</t>
        </is>
      </c>
      <c r="B1637" s="1" t="n">
        <v>43753</v>
      </c>
      <c r="C1637" s="1" t="n">
        <v>45798</v>
      </c>
      <c r="D1637" t="inlineStr">
        <is>
          <t>NORRBOTTENS LÄN</t>
        </is>
      </c>
      <c r="E1637" t="inlineStr">
        <is>
          <t>LULEÅ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54373-2019</t>
        </is>
      </c>
      <c r="B1638" s="1" t="n">
        <v>43753</v>
      </c>
      <c r="C1638" s="1" t="n">
        <v>45798</v>
      </c>
      <c r="D1638" t="inlineStr">
        <is>
          <t>NORRBOTTENS LÄN</t>
        </is>
      </c>
      <c r="E1638" t="inlineStr">
        <is>
          <t>GÄLLIVARE</t>
        </is>
      </c>
      <c r="F1638" t="inlineStr">
        <is>
          <t>SCA</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54457-2019</t>
        </is>
      </c>
      <c r="B1639" s="1" t="n">
        <v>43754</v>
      </c>
      <c r="C1639" s="1" t="n">
        <v>45798</v>
      </c>
      <c r="D1639" t="inlineStr">
        <is>
          <t>NORRBOTTENS LÄN</t>
        </is>
      </c>
      <c r="E1639" t="inlineStr">
        <is>
          <t>GÄLLIVARE</t>
        </is>
      </c>
      <c r="F1639" t="inlineStr">
        <is>
          <t>Sveaskog</t>
        </is>
      </c>
      <c r="G1639" t="n">
        <v>39.5</v>
      </c>
      <c r="H1639" t="n">
        <v>0</v>
      </c>
      <c r="I1639" t="n">
        <v>0</v>
      </c>
      <c r="J1639" t="n">
        <v>0</v>
      </c>
      <c r="K1639" t="n">
        <v>0</v>
      </c>
      <c r="L1639" t="n">
        <v>0</v>
      </c>
      <c r="M1639" t="n">
        <v>0</v>
      </c>
      <c r="N1639" t="n">
        <v>0</v>
      </c>
      <c r="O1639" t="n">
        <v>0</v>
      </c>
      <c r="P1639" t="n">
        <v>0</v>
      </c>
      <c r="Q1639" t="n">
        <v>0</v>
      </c>
      <c r="R1639" s="2" t="inlineStr"/>
    </row>
    <row r="1640" ht="15" customHeight="1">
      <c r="A1640" t="inlineStr">
        <is>
          <t>A 54476-2019</t>
        </is>
      </c>
      <c r="B1640" s="1" t="n">
        <v>43754</v>
      </c>
      <c r="C1640" s="1" t="n">
        <v>45798</v>
      </c>
      <c r="D1640" t="inlineStr">
        <is>
          <t>NORRBOTTENS LÄN</t>
        </is>
      </c>
      <c r="E1640" t="inlineStr">
        <is>
          <t>GÄLLIVARE</t>
        </is>
      </c>
      <c r="F1640" t="inlineStr">
        <is>
          <t>Sveaskog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54525-2019</t>
        </is>
      </c>
      <c r="B1641" s="1" t="n">
        <v>43754</v>
      </c>
      <c r="C1641" s="1" t="n">
        <v>45798</v>
      </c>
      <c r="D1641" t="inlineStr">
        <is>
          <t>NORRBOTTENS LÄN</t>
        </is>
      </c>
      <c r="E1641" t="inlineStr">
        <is>
          <t>GÄLLIVARE</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54656-2019</t>
        </is>
      </c>
      <c r="B1642" s="1" t="n">
        <v>43754</v>
      </c>
      <c r="C1642" s="1" t="n">
        <v>45798</v>
      </c>
      <c r="D1642" t="inlineStr">
        <is>
          <t>NORRBOTTENS LÄN</t>
        </is>
      </c>
      <c r="E1642" t="inlineStr">
        <is>
          <t>BODEN</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54658-2019</t>
        </is>
      </c>
      <c r="B1643" s="1" t="n">
        <v>43754</v>
      </c>
      <c r="C1643" s="1" t="n">
        <v>45798</v>
      </c>
      <c r="D1643" t="inlineStr">
        <is>
          <t>NORRBOTTENS LÄN</t>
        </is>
      </c>
      <c r="E1643" t="inlineStr">
        <is>
          <t>BODEN</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54989-2019</t>
        </is>
      </c>
      <c r="B1644" s="1" t="n">
        <v>43755</v>
      </c>
      <c r="C1644" s="1" t="n">
        <v>45798</v>
      </c>
      <c r="D1644" t="inlineStr">
        <is>
          <t>NORRBOTTENS LÄN</t>
        </is>
      </c>
      <c r="E1644" t="inlineStr">
        <is>
          <t>PITEÅ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56121-2019</t>
        </is>
      </c>
      <c r="B1645" s="1" t="n">
        <v>43755</v>
      </c>
      <c r="C1645" s="1" t="n">
        <v>45798</v>
      </c>
      <c r="D1645" t="inlineStr">
        <is>
          <t>NORRBOTTENS LÄN</t>
        </is>
      </c>
      <c r="E1645" t="inlineStr">
        <is>
          <t>PITEÅ</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55894-2019</t>
        </is>
      </c>
      <c r="B1646" s="1" t="n">
        <v>43755</v>
      </c>
      <c r="C1646" s="1" t="n">
        <v>45798</v>
      </c>
      <c r="D1646" t="inlineStr">
        <is>
          <t>NORRBOTTENS LÄN</t>
        </is>
      </c>
      <c r="E1646" t="inlineStr">
        <is>
          <t>PITEÅ</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56119-2019</t>
        </is>
      </c>
      <c r="B1647" s="1" t="n">
        <v>43755</v>
      </c>
      <c r="C1647" s="1" t="n">
        <v>45798</v>
      </c>
      <c r="D1647" t="inlineStr">
        <is>
          <t>NORRBOTTENS LÄN</t>
        </is>
      </c>
      <c r="E1647" t="inlineStr">
        <is>
          <t>PITEÅ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55027-2019</t>
        </is>
      </c>
      <c r="B1648" s="1" t="n">
        <v>43755</v>
      </c>
      <c r="C1648" s="1" t="n">
        <v>45798</v>
      </c>
      <c r="D1648" t="inlineStr">
        <is>
          <t>NORRBOTTENS LÄN</t>
        </is>
      </c>
      <c r="E1648" t="inlineStr">
        <is>
          <t>GÄLLIVARE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55321-2019</t>
        </is>
      </c>
      <c r="B1649" s="1" t="n">
        <v>43756</v>
      </c>
      <c r="C1649" s="1" t="n">
        <v>45798</v>
      </c>
      <c r="D1649" t="inlineStr">
        <is>
          <t>NORRBOTTENS LÄN</t>
        </is>
      </c>
      <c r="E1649" t="inlineStr">
        <is>
          <t>PAJALA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55364-2019</t>
        </is>
      </c>
      <c r="B1650" s="1" t="n">
        <v>43756</v>
      </c>
      <c r="C1650" s="1" t="n">
        <v>45798</v>
      </c>
      <c r="D1650" t="inlineStr">
        <is>
          <t>NORRBOTTENS LÄN</t>
        </is>
      </c>
      <c r="E1650" t="inlineStr">
        <is>
          <t>ÖVERKALIX</t>
        </is>
      </c>
      <c r="F1650" t="inlineStr">
        <is>
          <t>SCA</t>
        </is>
      </c>
      <c r="G1650" t="n">
        <v>41.2</v>
      </c>
      <c r="H1650" t="n">
        <v>0</v>
      </c>
      <c r="I1650" t="n">
        <v>0</v>
      </c>
      <c r="J1650" t="n">
        <v>0</v>
      </c>
      <c r="K1650" t="n">
        <v>0</v>
      </c>
      <c r="L1650" t="n">
        <v>0</v>
      </c>
      <c r="M1650" t="n">
        <v>0</v>
      </c>
      <c r="N1650" t="n">
        <v>0</v>
      </c>
      <c r="O1650" t="n">
        <v>0</v>
      </c>
      <c r="P1650" t="n">
        <v>0</v>
      </c>
      <c r="Q1650" t="n">
        <v>0</v>
      </c>
      <c r="R1650" s="2" t="inlineStr"/>
    </row>
    <row r="1651" ht="15" customHeight="1">
      <c r="A1651" t="inlineStr">
        <is>
          <t>A 55784-2019</t>
        </is>
      </c>
      <c r="B1651" s="1" t="n">
        <v>43759</v>
      </c>
      <c r="C1651" s="1" t="n">
        <v>45798</v>
      </c>
      <c r="D1651" t="inlineStr">
        <is>
          <t>NORRBOTTENS LÄN</t>
        </is>
      </c>
      <c r="E1651" t="inlineStr">
        <is>
          <t>ARVIDSJAUR</t>
        </is>
      </c>
      <c r="F1651" t="inlineStr">
        <is>
          <t>Sveaskog</t>
        </is>
      </c>
      <c r="G1651" t="n">
        <v>35.1</v>
      </c>
      <c r="H1651" t="n">
        <v>0</v>
      </c>
      <c r="I1651" t="n">
        <v>0</v>
      </c>
      <c r="J1651" t="n">
        <v>0</v>
      </c>
      <c r="K1651" t="n">
        <v>0</v>
      </c>
      <c r="L1651" t="n">
        <v>0</v>
      </c>
      <c r="M1651" t="n">
        <v>0</v>
      </c>
      <c r="N1651" t="n">
        <v>0</v>
      </c>
      <c r="O1651" t="n">
        <v>0</v>
      </c>
      <c r="P1651" t="n">
        <v>0</v>
      </c>
      <c r="Q1651" t="n">
        <v>0</v>
      </c>
      <c r="R1651" s="2" t="inlineStr"/>
    </row>
    <row r="1652" ht="15" customHeight="1">
      <c r="A1652" t="inlineStr">
        <is>
          <t>A 55972-2019</t>
        </is>
      </c>
      <c r="B1652" s="1" t="n">
        <v>43759</v>
      </c>
      <c r="C1652" s="1" t="n">
        <v>45798</v>
      </c>
      <c r="D1652" t="inlineStr">
        <is>
          <t>NORRBOTTENS LÄN</t>
        </is>
      </c>
      <c r="E1652" t="inlineStr">
        <is>
          <t>BODEN</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56687-2019</t>
        </is>
      </c>
      <c r="B1653" s="1" t="n">
        <v>43759</v>
      </c>
      <c r="C1653" s="1" t="n">
        <v>45798</v>
      </c>
      <c r="D1653" t="inlineStr">
        <is>
          <t>NORRBOTTENS LÄN</t>
        </is>
      </c>
      <c r="E1653" t="inlineStr">
        <is>
          <t>ÖVERKALIX</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57322-2019</t>
        </is>
      </c>
      <c r="B1654" s="1" t="n">
        <v>43759</v>
      </c>
      <c r="C1654" s="1" t="n">
        <v>45798</v>
      </c>
      <c r="D1654" t="inlineStr">
        <is>
          <t>NORRBOTTENS LÄN</t>
        </is>
      </c>
      <c r="E1654" t="inlineStr">
        <is>
          <t>GÄLLIVARE</t>
        </is>
      </c>
      <c r="G1654" t="n">
        <v>14.1</v>
      </c>
      <c r="H1654" t="n">
        <v>0</v>
      </c>
      <c r="I1654" t="n">
        <v>0</v>
      </c>
      <c r="J1654" t="n">
        <v>0</v>
      </c>
      <c r="K1654" t="n">
        <v>0</v>
      </c>
      <c r="L1654" t="n">
        <v>0</v>
      </c>
      <c r="M1654" t="n">
        <v>0</v>
      </c>
      <c r="N1654" t="n">
        <v>0</v>
      </c>
      <c r="O1654" t="n">
        <v>0</v>
      </c>
      <c r="P1654" t="n">
        <v>0</v>
      </c>
      <c r="Q1654" t="n">
        <v>0</v>
      </c>
      <c r="R1654" s="2" t="inlineStr"/>
    </row>
    <row r="1655" ht="15" customHeight="1">
      <c r="A1655" t="inlineStr">
        <is>
          <t>A 56925-2019</t>
        </is>
      </c>
      <c r="B1655" s="1" t="n">
        <v>43759</v>
      </c>
      <c r="C1655" s="1" t="n">
        <v>45798</v>
      </c>
      <c r="D1655" t="inlineStr">
        <is>
          <t>NORRBOTTENS LÄN</t>
        </is>
      </c>
      <c r="E1655" t="inlineStr">
        <is>
          <t>ÖVERKALIX</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57315-2019</t>
        </is>
      </c>
      <c r="B1656" s="1" t="n">
        <v>43759</v>
      </c>
      <c r="C1656" s="1" t="n">
        <v>45798</v>
      </c>
      <c r="D1656" t="inlineStr">
        <is>
          <t>NORRBOTTENS LÄN</t>
        </is>
      </c>
      <c r="E1656" t="inlineStr">
        <is>
          <t>GÄLLIVARE</t>
        </is>
      </c>
      <c r="G1656" t="n">
        <v>15.2</v>
      </c>
      <c r="H1656" t="n">
        <v>0</v>
      </c>
      <c r="I1656" t="n">
        <v>0</v>
      </c>
      <c r="J1656" t="n">
        <v>0</v>
      </c>
      <c r="K1656" t="n">
        <v>0</v>
      </c>
      <c r="L1656" t="n">
        <v>0</v>
      </c>
      <c r="M1656" t="n">
        <v>0</v>
      </c>
      <c r="N1656" t="n">
        <v>0</v>
      </c>
      <c r="O1656" t="n">
        <v>0</v>
      </c>
      <c r="P1656" t="n">
        <v>0</v>
      </c>
      <c r="Q1656" t="n">
        <v>0</v>
      </c>
      <c r="R1656" s="2" t="inlineStr"/>
    </row>
    <row r="1657" ht="15" customHeight="1">
      <c r="A1657" t="inlineStr">
        <is>
          <t>A 56967-2019</t>
        </is>
      </c>
      <c r="B1657" s="1" t="n">
        <v>43759</v>
      </c>
      <c r="C1657" s="1" t="n">
        <v>45798</v>
      </c>
      <c r="D1657" t="inlineStr">
        <is>
          <t>NORRBOTTENS LÄN</t>
        </is>
      </c>
      <c r="E1657" t="inlineStr">
        <is>
          <t>KALIX</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56999-2019</t>
        </is>
      </c>
      <c r="B1658" s="1" t="n">
        <v>43759</v>
      </c>
      <c r="C1658" s="1" t="n">
        <v>45798</v>
      </c>
      <c r="D1658" t="inlineStr">
        <is>
          <t>NORRBOTTENS LÄN</t>
        </is>
      </c>
      <c r="E1658" t="inlineStr">
        <is>
          <t>KALIX</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57195-2019</t>
        </is>
      </c>
      <c r="B1659" s="1" t="n">
        <v>43759</v>
      </c>
      <c r="C1659" s="1" t="n">
        <v>45798</v>
      </c>
      <c r="D1659" t="inlineStr">
        <is>
          <t>NORRBOTTENS LÄN</t>
        </is>
      </c>
      <c r="E1659" t="inlineStr">
        <is>
          <t>KALIX</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55688-2019</t>
        </is>
      </c>
      <c r="B1660" s="1" t="n">
        <v>43760</v>
      </c>
      <c r="C1660" s="1" t="n">
        <v>45798</v>
      </c>
      <c r="D1660" t="inlineStr">
        <is>
          <t>NORRBOTTENS LÄN</t>
        </is>
      </c>
      <c r="E1660" t="inlineStr">
        <is>
          <t>BODEN</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55714-2019</t>
        </is>
      </c>
      <c r="B1661" s="1" t="n">
        <v>43760</v>
      </c>
      <c r="C1661" s="1" t="n">
        <v>45798</v>
      </c>
      <c r="D1661" t="inlineStr">
        <is>
          <t>NORRBOTTENS LÄN</t>
        </is>
      </c>
      <c r="E1661" t="inlineStr">
        <is>
          <t>PITEÅ</t>
        </is>
      </c>
      <c r="F1661" t="inlineStr">
        <is>
          <t>SCA</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55707-2019</t>
        </is>
      </c>
      <c r="B1662" s="1" t="n">
        <v>43760</v>
      </c>
      <c r="C1662" s="1" t="n">
        <v>45798</v>
      </c>
      <c r="D1662" t="inlineStr">
        <is>
          <t>NORRBOTTENS LÄN</t>
        </is>
      </c>
      <c r="E1662" t="inlineStr">
        <is>
          <t>BODEN</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55689-2019</t>
        </is>
      </c>
      <c r="B1663" s="1" t="n">
        <v>43760</v>
      </c>
      <c r="C1663" s="1" t="n">
        <v>45798</v>
      </c>
      <c r="D1663" t="inlineStr">
        <is>
          <t>NORRBOTTENS LÄN</t>
        </is>
      </c>
      <c r="E1663" t="inlineStr">
        <is>
          <t>PITEÅ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55731-2019</t>
        </is>
      </c>
      <c r="B1664" s="1" t="n">
        <v>43760</v>
      </c>
      <c r="C1664" s="1" t="n">
        <v>45798</v>
      </c>
      <c r="D1664" t="inlineStr">
        <is>
          <t>NORRBOTTENS LÄN</t>
        </is>
      </c>
      <c r="E1664" t="inlineStr">
        <is>
          <t>JOKKMOKK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57349-2019</t>
        </is>
      </c>
      <c r="B1665" s="1" t="n">
        <v>43760</v>
      </c>
      <c r="C1665" s="1" t="n">
        <v>45798</v>
      </c>
      <c r="D1665" t="inlineStr">
        <is>
          <t>NORRBOTTENS LÄN</t>
        </is>
      </c>
      <c r="E1665" t="inlineStr">
        <is>
          <t>PITEÅ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55708-2019</t>
        </is>
      </c>
      <c r="B1666" s="1" t="n">
        <v>43760</v>
      </c>
      <c r="C1666" s="1" t="n">
        <v>45798</v>
      </c>
      <c r="D1666" t="inlineStr">
        <is>
          <t>NORRBOTTENS LÄN</t>
        </is>
      </c>
      <c r="E1666" t="inlineStr">
        <is>
          <t>BODEN</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56161-2019</t>
        </is>
      </c>
      <c r="B1667" s="1" t="n">
        <v>43761</v>
      </c>
      <c r="C1667" s="1" t="n">
        <v>45798</v>
      </c>
      <c r="D1667" t="inlineStr">
        <is>
          <t>NORRBOTTENS LÄN</t>
        </is>
      </c>
      <c r="E1667" t="inlineStr">
        <is>
          <t>KALIX</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57724-2019</t>
        </is>
      </c>
      <c r="B1668" s="1" t="n">
        <v>43761</v>
      </c>
      <c r="C1668" s="1" t="n">
        <v>45798</v>
      </c>
      <c r="D1668" t="inlineStr">
        <is>
          <t>NORRBOTTENS LÄN</t>
        </is>
      </c>
      <c r="E1668" t="inlineStr">
        <is>
          <t>LULEÅ</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56365-2019</t>
        </is>
      </c>
      <c r="B1669" s="1" t="n">
        <v>43762</v>
      </c>
      <c r="C1669" s="1" t="n">
        <v>45798</v>
      </c>
      <c r="D1669" t="inlineStr">
        <is>
          <t>NORRBOTTENS LÄN</t>
        </is>
      </c>
      <c r="E1669" t="inlineStr">
        <is>
          <t>ÖVERTORNEÅ</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56437-2019</t>
        </is>
      </c>
      <c r="B1670" s="1" t="n">
        <v>43762</v>
      </c>
      <c r="C1670" s="1" t="n">
        <v>45798</v>
      </c>
      <c r="D1670" t="inlineStr">
        <is>
          <t>NORRBOTTENS LÄN</t>
        </is>
      </c>
      <c r="E1670" t="inlineStr">
        <is>
          <t>PITEÅ</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56444-2019</t>
        </is>
      </c>
      <c r="B1671" s="1" t="n">
        <v>43762</v>
      </c>
      <c r="C1671" s="1" t="n">
        <v>45798</v>
      </c>
      <c r="D1671" t="inlineStr">
        <is>
          <t>NORRBOTTENS LÄN</t>
        </is>
      </c>
      <c r="E1671" t="inlineStr">
        <is>
          <t>BODEN</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56338-2019</t>
        </is>
      </c>
      <c r="B1672" s="1" t="n">
        <v>43762</v>
      </c>
      <c r="C1672" s="1" t="n">
        <v>45798</v>
      </c>
      <c r="D1672" t="inlineStr">
        <is>
          <t>NORRBOTTENS LÄN</t>
        </is>
      </c>
      <c r="E1672" t="inlineStr">
        <is>
          <t>PAJALA</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56588-2019</t>
        </is>
      </c>
      <c r="B1673" s="1" t="n">
        <v>43762</v>
      </c>
      <c r="C1673" s="1" t="n">
        <v>45798</v>
      </c>
      <c r="D1673" t="inlineStr">
        <is>
          <t>NORRBOTTENS LÄN</t>
        </is>
      </c>
      <c r="E1673" t="inlineStr">
        <is>
          <t>JOKKMOKK</t>
        </is>
      </c>
      <c r="F1673" t="inlineStr">
        <is>
          <t>Allmännings- och besparingsskogar</t>
        </is>
      </c>
      <c r="G1673" t="n">
        <v>175.4</v>
      </c>
      <c r="H1673" t="n">
        <v>0</v>
      </c>
      <c r="I1673" t="n">
        <v>0</v>
      </c>
      <c r="J1673" t="n">
        <v>0</v>
      </c>
      <c r="K1673" t="n">
        <v>0</v>
      </c>
      <c r="L1673" t="n">
        <v>0</v>
      </c>
      <c r="M1673" t="n">
        <v>0</v>
      </c>
      <c r="N1673" t="n">
        <v>0</v>
      </c>
      <c r="O1673" t="n">
        <v>0</v>
      </c>
      <c r="P1673" t="n">
        <v>0</v>
      </c>
      <c r="Q1673" t="n">
        <v>0</v>
      </c>
      <c r="R1673" s="2" t="inlineStr"/>
    </row>
    <row r="1674" ht="15" customHeight="1">
      <c r="A1674" t="inlineStr">
        <is>
          <t>A 57779-2019</t>
        </is>
      </c>
      <c r="B1674" s="1" t="n">
        <v>43762</v>
      </c>
      <c r="C1674" s="1" t="n">
        <v>45798</v>
      </c>
      <c r="D1674" t="inlineStr">
        <is>
          <t>NORRBOTTENS LÄN</t>
        </is>
      </c>
      <c r="E1674" t="inlineStr">
        <is>
          <t>ÖVERKALIX</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56442-2019</t>
        </is>
      </c>
      <c r="B1675" s="1" t="n">
        <v>43762</v>
      </c>
      <c r="C1675" s="1" t="n">
        <v>45798</v>
      </c>
      <c r="D1675" t="inlineStr">
        <is>
          <t>NORRBOTTENS LÄN</t>
        </is>
      </c>
      <c r="E1675" t="inlineStr">
        <is>
          <t>BODEN</t>
        </is>
      </c>
      <c r="F1675" t="inlineStr">
        <is>
          <t>Sveaskog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57910-2019</t>
        </is>
      </c>
      <c r="B1676" s="1" t="n">
        <v>43762</v>
      </c>
      <c r="C1676" s="1" t="n">
        <v>45798</v>
      </c>
      <c r="D1676" t="inlineStr">
        <is>
          <t>NORRBOTTENS LÄN</t>
        </is>
      </c>
      <c r="E1676" t="inlineStr">
        <is>
          <t>PAJALA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56591-2019</t>
        </is>
      </c>
      <c r="B1677" s="1" t="n">
        <v>43763</v>
      </c>
      <c r="C1677" s="1" t="n">
        <v>45798</v>
      </c>
      <c r="D1677" t="inlineStr">
        <is>
          <t>NORRBOTTENS LÄN</t>
        </is>
      </c>
      <c r="E1677" t="inlineStr">
        <is>
          <t>PAJALA</t>
        </is>
      </c>
      <c r="F1677" t="inlineStr">
        <is>
          <t>Sveaskog</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56719-2019</t>
        </is>
      </c>
      <c r="B1678" s="1" t="n">
        <v>43763</v>
      </c>
      <c r="C1678" s="1" t="n">
        <v>45798</v>
      </c>
      <c r="D1678" t="inlineStr">
        <is>
          <t>NORRBOTTENS LÄN</t>
        </is>
      </c>
      <c r="E1678" t="inlineStr">
        <is>
          <t>ÖVERKALIX</t>
        </is>
      </c>
      <c r="F1678" t="inlineStr">
        <is>
          <t>Sveaskog</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56593-2019</t>
        </is>
      </c>
      <c r="B1679" s="1" t="n">
        <v>43763</v>
      </c>
      <c r="C1679" s="1" t="n">
        <v>45798</v>
      </c>
      <c r="D1679" t="inlineStr">
        <is>
          <t>NORRBOTTENS LÄN</t>
        </is>
      </c>
      <c r="E1679" t="inlineStr">
        <is>
          <t>PAJALA</t>
        </is>
      </c>
      <c r="F1679" t="inlineStr">
        <is>
          <t>Sveaskog</t>
        </is>
      </c>
      <c r="G1679" t="n">
        <v>14.3</v>
      </c>
      <c r="H1679" t="n">
        <v>0</v>
      </c>
      <c r="I1679" t="n">
        <v>0</v>
      </c>
      <c r="J1679" t="n">
        <v>0</v>
      </c>
      <c r="K1679" t="n">
        <v>0</v>
      </c>
      <c r="L1679" t="n">
        <v>0</v>
      </c>
      <c r="M1679" t="n">
        <v>0</v>
      </c>
      <c r="N1679" t="n">
        <v>0</v>
      </c>
      <c r="O1679" t="n">
        <v>0</v>
      </c>
      <c r="P1679" t="n">
        <v>0</v>
      </c>
      <c r="Q1679" t="n">
        <v>0</v>
      </c>
      <c r="R1679" s="2" t="inlineStr"/>
    </row>
    <row r="1680" ht="15" customHeight="1">
      <c r="A1680" t="inlineStr">
        <is>
          <t>A 56619-2019</t>
        </is>
      </c>
      <c r="B1680" s="1" t="n">
        <v>43763</v>
      </c>
      <c r="C1680" s="1" t="n">
        <v>45798</v>
      </c>
      <c r="D1680" t="inlineStr">
        <is>
          <t>NORRBOTTENS LÄN</t>
        </is>
      </c>
      <c r="E1680" t="inlineStr">
        <is>
          <t>PAJALA</t>
        </is>
      </c>
      <c r="F1680" t="inlineStr">
        <is>
          <t>Sveaskog</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56615-2019</t>
        </is>
      </c>
      <c r="B1681" s="1" t="n">
        <v>43763</v>
      </c>
      <c r="C1681" s="1" t="n">
        <v>45798</v>
      </c>
      <c r="D1681" t="inlineStr">
        <is>
          <t>NORRBOTTENS LÄN</t>
        </is>
      </c>
      <c r="E1681" t="inlineStr">
        <is>
          <t>PAJALA</t>
        </is>
      </c>
      <c r="F1681" t="inlineStr">
        <is>
          <t>Sveaskog</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56718-2019</t>
        </is>
      </c>
      <c r="B1682" s="1" t="n">
        <v>43763</v>
      </c>
      <c r="C1682" s="1" t="n">
        <v>45798</v>
      </c>
      <c r="D1682" t="inlineStr">
        <is>
          <t>NORRBOTTENS LÄN</t>
        </is>
      </c>
      <c r="E1682" t="inlineStr">
        <is>
          <t>KALIX</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56811-2019</t>
        </is>
      </c>
      <c r="B1683" s="1" t="n">
        <v>43763</v>
      </c>
      <c r="C1683" s="1" t="n">
        <v>45798</v>
      </c>
      <c r="D1683" t="inlineStr">
        <is>
          <t>NORRBOTTENS LÄN</t>
        </is>
      </c>
      <c r="E1683" t="inlineStr">
        <is>
          <t>LULEÅ</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56805-2019</t>
        </is>
      </c>
      <c r="B1684" s="1" t="n">
        <v>43763</v>
      </c>
      <c r="C1684" s="1" t="n">
        <v>45798</v>
      </c>
      <c r="D1684" t="inlineStr">
        <is>
          <t>NORRBOTTENS LÄN</t>
        </is>
      </c>
      <c r="E1684" t="inlineStr">
        <is>
          <t>LULEÅ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56814-2019</t>
        </is>
      </c>
      <c r="B1685" s="1" t="n">
        <v>43763</v>
      </c>
      <c r="C1685" s="1" t="n">
        <v>45798</v>
      </c>
      <c r="D1685" t="inlineStr">
        <is>
          <t>NORRBOTTENS LÄN</t>
        </is>
      </c>
      <c r="E1685" t="inlineStr">
        <is>
          <t>LULEÅ</t>
        </is>
      </c>
      <c r="F1685" t="inlineStr">
        <is>
          <t>SCA</t>
        </is>
      </c>
      <c r="G1685" t="n">
        <v>17.4</v>
      </c>
      <c r="H1685" t="n">
        <v>0</v>
      </c>
      <c r="I1685" t="n">
        <v>0</v>
      </c>
      <c r="J1685" t="n">
        <v>0</v>
      </c>
      <c r="K1685" t="n">
        <v>0</v>
      </c>
      <c r="L1685" t="n">
        <v>0</v>
      </c>
      <c r="M1685" t="n">
        <v>0</v>
      </c>
      <c r="N1685" t="n">
        <v>0</v>
      </c>
      <c r="O1685" t="n">
        <v>0</v>
      </c>
      <c r="P1685" t="n">
        <v>0</v>
      </c>
      <c r="Q1685" t="n">
        <v>0</v>
      </c>
      <c r="R1685" s="2" t="inlineStr"/>
    </row>
    <row r="1686" ht="15" customHeight="1">
      <c r="A1686" t="inlineStr">
        <is>
          <t>A 56815-2019</t>
        </is>
      </c>
      <c r="B1686" s="1" t="n">
        <v>43763</v>
      </c>
      <c r="C1686" s="1" t="n">
        <v>45798</v>
      </c>
      <c r="D1686" t="inlineStr">
        <is>
          <t>NORRBOTTENS LÄN</t>
        </is>
      </c>
      <c r="E1686" t="inlineStr">
        <is>
          <t>LULEÅ</t>
        </is>
      </c>
      <c r="F1686" t="inlineStr">
        <is>
          <t>SCA</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56807-2019</t>
        </is>
      </c>
      <c r="B1687" s="1" t="n">
        <v>43763</v>
      </c>
      <c r="C1687" s="1" t="n">
        <v>45798</v>
      </c>
      <c r="D1687" t="inlineStr">
        <is>
          <t>NORRBOTTENS LÄN</t>
        </is>
      </c>
      <c r="E1687" t="inlineStr">
        <is>
          <t>BODEN</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58054-2019</t>
        </is>
      </c>
      <c r="B1688" s="1" t="n">
        <v>43763</v>
      </c>
      <c r="C1688" s="1" t="n">
        <v>45798</v>
      </c>
      <c r="D1688" t="inlineStr">
        <is>
          <t>NORRBOTTENS LÄN</t>
        </is>
      </c>
      <c r="E1688" t="inlineStr">
        <is>
          <t>ARVIDSJAUR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56812-2019</t>
        </is>
      </c>
      <c r="B1689" s="1" t="n">
        <v>43763</v>
      </c>
      <c r="C1689" s="1" t="n">
        <v>45798</v>
      </c>
      <c r="D1689" t="inlineStr">
        <is>
          <t>NORRBOTTENS LÄN</t>
        </is>
      </c>
      <c r="E1689" t="inlineStr">
        <is>
          <t>LULEÅ</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56816-2019</t>
        </is>
      </c>
      <c r="B1690" s="1" t="n">
        <v>43763</v>
      </c>
      <c r="C1690" s="1" t="n">
        <v>45798</v>
      </c>
      <c r="D1690" t="inlineStr">
        <is>
          <t>NORRBOTTENS LÄN</t>
        </is>
      </c>
      <c r="E1690" t="inlineStr">
        <is>
          <t>LULEÅ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56813-2019</t>
        </is>
      </c>
      <c r="B1691" s="1" t="n">
        <v>43763</v>
      </c>
      <c r="C1691" s="1" t="n">
        <v>45798</v>
      </c>
      <c r="D1691" t="inlineStr">
        <is>
          <t>NORRBOTTENS LÄN</t>
        </is>
      </c>
      <c r="E1691" t="inlineStr">
        <is>
          <t>LULEÅ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56849-2019</t>
        </is>
      </c>
      <c r="B1692" s="1" t="n">
        <v>43765</v>
      </c>
      <c r="C1692" s="1" t="n">
        <v>45798</v>
      </c>
      <c r="D1692" t="inlineStr">
        <is>
          <t>NORRBOTTENS LÄN</t>
        </is>
      </c>
      <c r="E1692" t="inlineStr">
        <is>
          <t>LULEÅ</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57069-2019</t>
        </is>
      </c>
      <c r="B1693" s="1" t="n">
        <v>43766</v>
      </c>
      <c r="C1693" s="1" t="n">
        <v>45798</v>
      </c>
      <c r="D1693" t="inlineStr">
        <is>
          <t>NORRBOTTENS LÄN</t>
        </is>
      </c>
      <c r="E1693" t="inlineStr">
        <is>
          <t>GÄLLIVARE</t>
        </is>
      </c>
      <c r="F1693" t="inlineStr">
        <is>
          <t>Sveaskog</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57012-2019</t>
        </is>
      </c>
      <c r="B1694" s="1" t="n">
        <v>43766</v>
      </c>
      <c r="C1694" s="1" t="n">
        <v>45798</v>
      </c>
      <c r="D1694" t="inlineStr">
        <is>
          <t>NORRBOTTENS LÄN</t>
        </is>
      </c>
      <c r="E1694" t="inlineStr">
        <is>
          <t>BODEN</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57056-2019</t>
        </is>
      </c>
      <c r="B1695" s="1" t="n">
        <v>43766</v>
      </c>
      <c r="C1695" s="1" t="n">
        <v>45798</v>
      </c>
      <c r="D1695" t="inlineStr">
        <is>
          <t>NORRBOTTENS LÄN</t>
        </is>
      </c>
      <c r="E1695" t="inlineStr">
        <is>
          <t>GÄLLIVARE</t>
        </is>
      </c>
      <c r="F1695" t="inlineStr">
        <is>
          <t>Sveaskog</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57170-2019</t>
        </is>
      </c>
      <c r="B1696" s="1" t="n">
        <v>43766</v>
      </c>
      <c r="C1696" s="1" t="n">
        <v>45798</v>
      </c>
      <c r="D1696" t="inlineStr">
        <is>
          <t>NORRBOTTENS LÄN</t>
        </is>
      </c>
      <c r="E1696" t="inlineStr">
        <is>
          <t>BODEN</t>
        </is>
      </c>
      <c r="F1696" t="inlineStr">
        <is>
          <t>Sveaskog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57060-2019</t>
        </is>
      </c>
      <c r="B1697" s="1" t="n">
        <v>43766</v>
      </c>
      <c r="C1697" s="1" t="n">
        <v>45798</v>
      </c>
      <c r="D1697" t="inlineStr">
        <is>
          <t>NORRBOTTENS LÄN</t>
        </is>
      </c>
      <c r="E1697" t="inlineStr">
        <is>
          <t>GÄLLIVARE</t>
        </is>
      </c>
      <c r="F1697" t="inlineStr">
        <is>
          <t>Sveaskog</t>
        </is>
      </c>
      <c r="G1697" t="n">
        <v>17.9</v>
      </c>
      <c r="H1697" t="n">
        <v>0</v>
      </c>
      <c r="I1697" t="n">
        <v>0</v>
      </c>
      <c r="J1697" t="n">
        <v>0</v>
      </c>
      <c r="K1697" t="n">
        <v>0</v>
      </c>
      <c r="L1697" t="n">
        <v>0</v>
      </c>
      <c r="M1697" t="n">
        <v>0</v>
      </c>
      <c r="N1697" t="n">
        <v>0</v>
      </c>
      <c r="O1697" t="n">
        <v>0</v>
      </c>
      <c r="P1697" t="n">
        <v>0</v>
      </c>
      <c r="Q1697" t="n">
        <v>0</v>
      </c>
      <c r="R1697" s="2" t="inlineStr"/>
    </row>
    <row r="1698" ht="15" customHeight="1">
      <c r="A1698" t="inlineStr">
        <is>
          <t>A 57116-2019</t>
        </is>
      </c>
      <c r="B1698" s="1" t="n">
        <v>43766</v>
      </c>
      <c r="C1698" s="1" t="n">
        <v>45798</v>
      </c>
      <c r="D1698" t="inlineStr">
        <is>
          <t>NORRBOTTENS LÄN</t>
        </is>
      </c>
      <c r="E1698" t="inlineStr">
        <is>
          <t>PITEÅ</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58493-2019</t>
        </is>
      </c>
      <c r="B1699" s="1" t="n">
        <v>43766</v>
      </c>
      <c r="C1699" s="1" t="n">
        <v>45798</v>
      </c>
      <c r="D1699" t="inlineStr">
        <is>
          <t>NORRBOTTENS LÄN</t>
        </is>
      </c>
      <c r="E1699" t="inlineStr">
        <is>
          <t>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57081-2019</t>
        </is>
      </c>
      <c r="B1700" s="1" t="n">
        <v>43766</v>
      </c>
      <c r="C1700" s="1" t="n">
        <v>45798</v>
      </c>
      <c r="D1700" t="inlineStr">
        <is>
          <t>NORRBOTTENS LÄN</t>
        </is>
      </c>
      <c r="E1700" t="inlineStr">
        <is>
          <t>GÄLLIVARE</t>
        </is>
      </c>
      <c r="F1700" t="inlineStr">
        <is>
          <t>Sveaskog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57072-2019</t>
        </is>
      </c>
      <c r="B1701" s="1" t="n">
        <v>43766</v>
      </c>
      <c r="C1701" s="1" t="n">
        <v>45798</v>
      </c>
      <c r="D1701" t="inlineStr">
        <is>
          <t>NORRBOTTENS LÄN</t>
        </is>
      </c>
      <c r="E1701" t="inlineStr">
        <is>
          <t>GÄLLIVARE</t>
        </is>
      </c>
      <c r="F1701" t="inlineStr">
        <is>
          <t>Sveaskog</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57087-2019</t>
        </is>
      </c>
      <c r="B1702" s="1" t="n">
        <v>43766</v>
      </c>
      <c r="C1702" s="1" t="n">
        <v>45798</v>
      </c>
      <c r="D1702" t="inlineStr">
        <is>
          <t>NORRBOTTENS LÄN</t>
        </is>
      </c>
      <c r="E1702" t="inlineStr">
        <is>
          <t>GÄLLIVARE</t>
        </is>
      </c>
      <c r="F1702" t="inlineStr">
        <is>
          <t>Sveaskog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58518-2019</t>
        </is>
      </c>
      <c r="B1703" s="1" t="n">
        <v>43766</v>
      </c>
      <c r="C1703" s="1" t="n">
        <v>45798</v>
      </c>
      <c r="D1703" t="inlineStr">
        <is>
          <t>NORRBOTTENS LÄN</t>
        </is>
      </c>
      <c r="E1703" t="inlineStr">
        <is>
          <t>PITEÅ</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57530-2019</t>
        </is>
      </c>
      <c r="B1704" s="1" t="n">
        <v>43767</v>
      </c>
      <c r="C1704" s="1" t="n">
        <v>45798</v>
      </c>
      <c r="D1704" t="inlineStr">
        <is>
          <t>NORRBOTTENS LÄN</t>
        </is>
      </c>
      <c r="E1704" t="inlineStr">
        <is>
          <t>KALIX</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57580-2019</t>
        </is>
      </c>
      <c r="B1705" s="1" t="n">
        <v>43768</v>
      </c>
      <c r="C1705" s="1" t="n">
        <v>45798</v>
      </c>
      <c r="D1705" t="inlineStr">
        <is>
          <t>NORRBOTTENS LÄN</t>
        </is>
      </c>
      <c r="E1705" t="inlineStr">
        <is>
          <t>PAJALA</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57622-2019</t>
        </is>
      </c>
      <c r="B1706" s="1" t="n">
        <v>43768</v>
      </c>
      <c r="C1706" s="1" t="n">
        <v>45798</v>
      </c>
      <c r="D1706" t="inlineStr">
        <is>
          <t>NORRBOTTENS LÄN</t>
        </is>
      </c>
      <c r="E1706" t="inlineStr">
        <is>
          <t>PAJALA</t>
        </is>
      </c>
      <c r="F1706" t="inlineStr">
        <is>
          <t>Sveaskog</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57574-2019</t>
        </is>
      </c>
      <c r="B1707" s="1" t="n">
        <v>43768</v>
      </c>
      <c r="C1707" s="1" t="n">
        <v>45798</v>
      </c>
      <c r="D1707" t="inlineStr">
        <is>
          <t>NORRBOTTENS LÄN</t>
        </is>
      </c>
      <c r="E1707" t="inlineStr">
        <is>
          <t>PAJALA</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58609-2019</t>
        </is>
      </c>
      <c r="B1708" s="1" t="n">
        <v>43768</v>
      </c>
      <c r="C1708" s="1" t="n">
        <v>45798</v>
      </c>
      <c r="D1708" t="inlineStr">
        <is>
          <t>NORRBOTTENS LÄN</t>
        </is>
      </c>
      <c r="E1708" t="inlineStr">
        <is>
          <t>GÄLLIVARE</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59003-2019</t>
        </is>
      </c>
      <c r="B1709" s="1" t="n">
        <v>43768</v>
      </c>
      <c r="C1709" s="1" t="n">
        <v>45798</v>
      </c>
      <c r="D1709" t="inlineStr">
        <is>
          <t>NORRBOTTENS LÄN</t>
        </is>
      </c>
      <c r="E1709" t="inlineStr">
        <is>
          <t>PITEÅ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58934-2019</t>
        </is>
      </c>
      <c r="B1710" s="1" t="n">
        <v>43769</v>
      </c>
      <c r="C1710" s="1" t="n">
        <v>45798</v>
      </c>
      <c r="D1710" t="inlineStr">
        <is>
          <t>NORRBOTTENS LÄN</t>
        </is>
      </c>
      <c r="E1710" t="inlineStr">
        <is>
          <t>LULEÅ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59343-2019</t>
        </is>
      </c>
      <c r="B1711" s="1" t="n">
        <v>43770</v>
      </c>
      <c r="C1711" s="1" t="n">
        <v>45798</v>
      </c>
      <c r="D1711" t="inlineStr">
        <is>
          <t>NORRBOTTENS LÄN</t>
        </is>
      </c>
      <c r="E1711" t="inlineStr">
        <is>
          <t>ÄLVSBYN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59216-2019</t>
        </is>
      </c>
      <c r="B1712" s="1" t="n">
        <v>43770</v>
      </c>
      <c r="C1712" s="1" t="n">
        <v>45798</v>
      </c>
      <c r="D1712" t="inlineStr">
        <is>
          <t>NORRBOTTENS LÄN</t>
        </is>
      </c>
      <c r="E1712" t="inlineStr">
        <is>
          <t>BODEN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58313-2019</t>
        </is>
      </c>
      <c r="B1713" s="1" t="n">
        <v>43770</v>
      </c>
      <c r="C1713" s="1" t="n">
        <v>45798</v>
      </c>
      <c r="D1713" t="inlineStr">
        <is>
          <t>NORRBOTTENS LÄN</t>
        </is>
      </c>
      <c r="E1713" t="inlineStr">
        <is>
          <t>PAJALA</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58224-2019</t>
        </is>
      </c>
      <c r="B1714" s="1" t="n">
        <v>43770</v>
      </c>
      <c r="C1714" s="1" t="n">
        <v>45798</v>
      </c>
      <c r="D1714" t="inlineStr">
        <is>
          <t>NORRBOTTENS LÄN</t>
        </is>
      </c>
      <c r="E1714" t="inlineStr">
        <is>
          <t>PITEÅ</t>
        </is>
      </c>
      <c r="F1714" t="inlineStr">
        <is>
          <t>Sveaskog</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58393-2019</t>
        </is>
      </c>
      <c r="B1715" s="1" t="n">
        <v>43772</v>
      </c>
      <c r="C1715" s="1" t="n">
        <v>45798</v>
      </c>
      <c r="D1715" t="inlineStr">
        <is>
          <t>NORRBOTTENS LÄN</t>
        </is>
      </c>
      <c r="E1715" t="inlineStr">
        <is>
          <t>KALIX</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58477-2019</t>
        </is>
      </c>
      <c r="B1716" s="1" t="n">
        <v>43773</v>
      </c>
      <c r="C1716" s="1" t="n">
        <v>45798</v>
      </c>
      <c r="D1716" t="inlineStr">
        <is>
          <t>NORRBOTTENS LÄN</t>
        </is>
      </c>
      <c r="E1716" t="inlineStr">
        <is>
          <t>BODEN</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58584-2019</t>
        </is>
      </c>
      <c r="B1717" s="1" t="n">
        <v>43773</v>
      </c>
      <c r="C1717" s="1" t="n">
        <v>45798</v>
      </c>
      <c r="D1717" t="inlineStr">
        <is>
          <t>NORRBOTTENS LÄN</t>
        </is>
      </c>
      <c r="E1717" t="inlineStr">
        <is>
          <t>PAJALA</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58713-2019</t>
        </is>
      </c>
      <c r="B1718" s="1" t="n">
        <v>43773</v>
      </c>
      <c r="C1718" s="1" t="n">
        <v>45798</v>
      </c>
      <c r="D1718" t="inlineStr">
        <is>
          <t>NORRBOTTENS LÄN</t>
        </is>
      </c>
      <c r="E1718" t="inlineStr">
        <is>
          <t>ARVIDSJAUR</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59263-2019</t>
        </is>
      </c>
      <c r="B1719" s="1" t="n">
        <v>43773</v>
      </c>
      <c r="C1719" s="1" t="n">
        <v>45798</v>
      </c>
      <c r="D1719" t="inlineStr">
        <is>
          <t>NORRBOTTENS LÄN</t>
        </is>
      </c>
      <c r="E1719" t="inlineStr">
        <is>
          <t>ÄLVSBYN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58632-2019</t>
        </is>
      </c>
      <c r="B1720" s="1" t="n">
        <v>43773</v>
      </c>
      <c r="C1720" s="1" t="n">
        <v>45798</v>
      </c>
      <c r="D1720" t="inlineStr">
        <is>
          <t>NORRBOTTENS LÄN</t>
        </is>
      </c>
      <c r="E1720" t="inlineStr">
        <is>
          <t>KALIX</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58779-2019</t>
        </is>
      </c>
      <c r="B1721" s="1" t="n">
        <v>43773</v>
      </c>
      <c r="C1721" s="1" t="n">
        <v>45798</v>
      </c>
      <c r="D1721" t="inlineStr">
        <is>
          <t>NORRBOTTENS LÄN</t>
        </is>
      </c>
      <c r="E1721" t="inlineStr">
        <is>
          <t>ÖVERKALIX</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58494-2019</t>
        </is>
      </c>
      <c r="B1722" s="1" t="n">
        <v>43773</v>
      </c>
      <c r="C1722" s="1" t="n">
        <v>45798</v>
      </c>
      <c r="D1722" t="inlineStr">
        <is>
          <t>NORRBOTTENS LÄN</t>
        </is>
      </c>
      <c r="E1722" t="inlineStr">
        <is>
          <t>PAJALA</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58949-2019</t>
        </is>
      </c>
      <c r="B1723" s="1" t="n">
        <v>43774</v>
      </c>
      <c r="C1723" s="1" t="n">
        <v>45798</v>
      </c>
      <c r="D1723" t="inlineStr">
        <is>
          <t>NORRBOTTENS LÄN</t>
        </is>
      </c>
      <c r="E1723" t="inlineStr">
        <is>
          <t>ARVIDSJAUR</t>
        </is>
      </c>
      <c r="F1723" t="inlineStr">
        <is>
          <t>Sveaskog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59081-2019</t>
        </is>
      </c>
      <c r="B1724" s="1" t="n">
        <v>43774</v>
      </c>
      <c r="C1724" s="1" t="n">
        <v>45798</v>
      </c>
      <c r="D1724" t="inlineStr">
        <is>
          <t>NORRBOTTENS LÄN</t>
        </is>
      </c>
      <c r="E1724" t="inlineStr">
        <is>
          <t>BODEN</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59019-2019</t>
        </is>
      </c>
      <c r="B1725" s="1" t="n">
        <v>43774</v>
      </c>
      <c r="C1725" s="1" t="n">
        <v>45798</v>
      </c>
      <c r="D1725" t="inlineStr">
        <is>
          <t>NORRBOTTENS LÄN</t>
        </is>
      </c>
      <c r="E1725" t="inlineStr">
        <is>
          <t>ARVIDSJAUR</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59420-2019</t>
        </is>
      </c>
      <c r="B1726" s="1" t="n">
        <v>43775</v>
      </c>
      <c r="C1726" s="1" t="n">
        <v>45798</v>
      </c>
      <c r="D1726" t="inlineStr">
        <is>
          <t>NORRBOTTENS LÄN</t>
        </is>
      </c>
      <c r="E1726" t="inlineStr">
        <is>
          <t>PITEÅ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59419-2019</t>
        </is>
      </c>
      <c r="B1727" s="1" t="n">
        <v>43775</v>
      </c>
      <c r="C1727" s="1" t="n">
        <v>45798</v>
      </c>
      <c r="D1727" t="inlineStr">
        <is>
          <t>NORRBOTTENS LÄN</t>
        </is>
      </c>
      <c r="E1727" t="inlineStr">
        <is>
          <t>PITEÅ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59550-2019</t>
        </is>
      </c>
      <c r="B1728" s="1" t="n">
        <v>43776</v>
      </c>
      <c r="C1728" s="1" t="n">
        <v>45798</v>
      </c>
      <c r="D1728" t="inlineStr">
        <is>
          <t>NORRBOTTENS LÄN</t>
        </is>
      </c>
      <c r="E1728" t="inlineStr">
        <is>
          <t>ARJEPLOG</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59693-2019</t>
        </is>
      </c>
      <c r="B1729" s="1" t="n">
        <v>43776</v>
      </c>
      <c r="C1729" s="1" t="n">
        <v>45798</v>
      </c>
      <c r="D1729" t="inlineStr">
        <is>
          <t>NORRBOTTENS LÄN</t>
        </is>
      </c>
      <c r="E1729" t="inlineStr">
        <is>
          <t>PAJALA</t>
        </is>
      </c>
      <c r="F1729" t="inlineStr">
        <is>
          <t>Sveaskog</t>
        </is>
      </c>
      <c r="G1729" t="n">
        <v>47.2</v>
      </c>
      <c r="H1729" t="n">
        <v>0</v>
      </c>
      <c r="I1729" t="n">
        <v>0</v>
      </c>
      <c r="J1729" t="n">
        <v>0</v>
      </c>
      <c r="K1729" t="n">
        <v>0</v>
      </c>
      <c r="L1729" t="n">
        <v>0</v>
      </c>
      <c r="M1729" t="n">
        <v>0</v>
      </c>
      <c r="N1729" t="n">
        <v>0</v>
      </c>
      <c r="O1729" t="n">
        <v>0</v>
      </c>
      <c r="P1729" t="n">
        <v>0</v>
      </c>
      <c r="Q1729" t="n">
        <v>0</v>
      </c>
      <c r="R1729" s="2" t="inlineStr"/>
    </row>
    <row r="1730" ht="15" customHeight="1">
      <c r="A1730" t="inlineStr">
        <is>
          <t>A 60542-2019</t>
        </is>
      </c>
      <c r="B1730" s="1" t="n">
        <v>43776</v>
      </c>
      <c r="C1730" s="1" t="n">
        <v>45798</v>
      </c>
      <c r="D1730" t="inlineStr">
        <is>
          <t>NORRBOTTENS LÄN</t>
        </is>
      </c>
      <c r="E1730" t="inlineStr">
        <is>
          <t>GÄLLIVARE</t>
        </is>
      </c>
      <c r="G1730" t="n">
        <v>24.1</v>
      </c>
      <c r="H1730" t="n">
        <v>0</v>
      </c>
      <c r="I1730" t="n">
        <v>0</v>
      </c>
      <c r="J1730" t="n">
        <v>0</v>
      </c>
      <c r="K1730" t="n">
        <v>0</v>
      </c>
      <c r="L1730" t="n">
        <v>0</v>
      </c>
      <c r="M1730" t="n">
        <v>0</v>
      </c>
      <c r="N1730" t="n">
        <v>0</v>
      </c>
      <c r="O1730" t="n">
        <v>0</v>
      </c>
      <c r="P1730" t="n">
        <v>0</v>
      </c>
      <c r="Q1730" t="n">
        <v>0</v>
      </c>
      <c r="R1730" s="2" t="inlineStr"/>
    </row>
    <row r="1731" ht="15" customHeight="1">
      <c r="A1731" t="inlineStr">
        <is>
          <t>A 59736-2019</t>
        </is>
      </c>
      <c r="B1731" s="1" t="n">
        <v>43776</v>
      </c>
      <c r="C1731" s="1" t="n">
        <v>45798</v>
      </c>
      <c r="D1731" t="inlineStr">
        <is>
          <t>NORRBOTTENS LÄN</t>
        </is>
      </c>
      <c r="E1731" t="inlineStr">
        <is>
          <t>KIRUNA</t>
        </is>
      </c>
      <c r="G1731" t="n">
        <v>21.8</v>
      </c>
      <c r="H1731" t="n">
        <v>0</v>
      </c>
      <c r="I1731" t="n">
        <v>0</v>
      </c>
      <c r="J1731" t="n">
        <v>0</v>
      </c>
      <c r="K1731" t="n">
        <v>0</v>
      </c>
      <c r="L1731" t="n">
        <v>0</v>
      </c>
      <c r="M1731" t="n">
        <v>0</v>
      </c>
      <c r="N1731" t="n">
        <v>0</v>
      </c>
      <c r="O1731" t="n">
        <v>0</v>
      </c>
      <c r="P1731" t="n">
        <v>0</v>
      </c>
      <c r="Q1731" t="n">
        <v>0</v>
      </c>
      <c r="R1731" s="2" t="inlineStr"/>
    </row>
    <row r="1732" ht="15" customHeight="1">
      <c r="A1732" t="inlineStr">
        <is>
          <t>A 60347-2019</t>
        </is>
      </c>
      <c r="B1732" s="1" t="n">
        <v>43776</v>
      </c>
      <c r="C1732" s="1" t="n">
        <v>45798</v>
      </c>
      <c r="D1732" t="inlineStr">
        <is>
          <t>NORRBOTTENS LÄN</t>
        </is>
      </c>
      <c r="E1732" t="inlineStr">
        <is>
          <t>HAPARANDA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60682-2019</t>
        </is>
      </c>
      <c r="B1733" s="1" t="n">
        <v>43777</v>
      </c>
      <c r="C1733" s="1" t="n">
        <v>45798</v>
      </c>
      <c r="D1733" t="inlineStr">
        <is>
          <t>NORRBOTTENS LÄN</t>
        </is>
      </c>
      <c r="E1733" t="inlineStr">
        <is>
          <t>PITEÅ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60104-2019</t>
        </is>
      </c>
      <c r="B1734" s="1" t="n">
        <v>43777</v>
      </c>
      <c r="C1734" s="1" t="n">
        <v>45798</v>
      </c>
      <c r="D1734" t="inlineStr">
        <is>
          <t>NORRBOTTENS LÄN</t>
        </is>
      </c>
      <c r="E1734" t="inlineStr">
        <is>
          <t>ÖVERKALIX</t>
        </is>
      </c>
      <c r="F1734" t="inlineStr">
        <is>
          <t>SCA</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60786-2019</t>
        </is>
      </c>
      <c r="B1735" s="1" t="n">
        <v>43777</v>
      </c>
      <c r="C1735" s="1" t="n">
        <v>45798</v>
      </c>
      <c r="D1735" t="inlineStr">
        <is>
          <t>NORRBOTTENS LÄN</t>
        </is>
      </c>
      <c r="E1735" t="inlineStr">
        <is>
          <t>KIRUNA</t>
        </is>
      </c>
      <c r="G1735" t="n">
        <v>20</v>
      </c>
      <c r="H1735" t="n">
        <v>0</v>
      </c>
      <c r="I1735" t="n">
        <v>0</v>
      </c>
      <c r="J1735" t="n">
        <v>0</v>
      </c>
      <c r="K1735" t="n">
        <v>0</v>
      </c>
      <c r="L1735" t="n">
        <v>0</v>
      </c>
      <c r="M1735" t="n">
        <v>0</v>
      </c>
      <c r="N1735" t="n">
        <v>0</v>
      </c>
      <c r="O1735" t="n">
        <v>0</v>
      </c>
      <c r="P1735" t="n">
        <v>0</v>
      </c>
      <c r="Q1735" t="n">
        <v>0</v>
      </c>
      <c r="R1735" s="2" t="inlineStr"/>
    </row>
    <row r="1736" ht="15" customHeight="1">
      <c r="A1736" t="inlineStr">
        <is>
          <t>A 60599-2019</t>
        </is>
      </c>
      <c r="B1736" s="1" t="n">
        <v>43777</v>
      </c>
      <c r="C1736" s="1" t="n">
        <v>45798</v>
      </c>
      <c r="D1736" t="inlineStr">
        <is>
          <t>NORRBOTTENS LÄN</t>
        </is>
      </c>
      <c r="E1736" t="inlineStr">
        <is>
          <t>BODEN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60754-2019</t>
        </is>
      </c>
      <c r="B1737" s="1" t="n">
        <v>43777</v>
      </c>
      <c r="C1737" s="1" t="n">
        <v>45798</v>
      </c>
      <c r="D1737" t="inlineStr">
        <is>
          <t>NORRBOTTENS LÄN</t>
        </is>
      </c>
      <c r="E1737" t="inlineStr">
        <is>
          <t>KIRUNA</t>
        </is>
      </c>
      <c r="G1737" t="n">
        <v>14.8</v>
      </c>
      <c r="H1737" t="n">
        <v>0</v>
      </c>
      <c r="I1737" t="n">
        <v>0</v>
      </c>
      <c r="J1737" t="n">
        <v>0</v>
      </c>
      <c r="K1737" t="n">
        <v>0</v>
      </c>
      <c r="L1737" t="n">
        <v>0</v>
      </c>
      <c r="M1737" t="n">
        <v>0</v>
      </c>
      <c r="N1737" t="n">
        <v>0</v>
      </c>
      <c r="O1737" t="n">
        <v>0</v>
      </c>
      <c r="P1737" t="n">
        <v>0</v>
      </c>
      <c r="Q1737" t="n">
        <v>0</v>
      </c>
      <c r="R1737" s="2" t="inlineStr"/>
    </row>
    <row r="1738" ht="15" customHeight="1">
      <c r="A1738" t="inlineStr">
        <is>
          <t>A 60769-2019</t>
        </is>
      </c>
      <c r="B1738" s="1" t="n">
        <v>43777</v>
      </c>
      <c r="C1738" s="1" t="n">
        <v>45798</v>
      </c>
      <c r="D1738" t="inlineStr">
        <is>
          <t>NORRBOTTENS LÄN</t>
        </is>
      </c>
      <c r="E1738" t="inlineStr">
        <is>
          <t>KIRUNA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60129-2019</t>
        </is>
      </c>
      <c r="B1739" s="1" t="n">
        <v>43778</v>
      </c>
      <c r="C1739" s="1" t="n">
        <v>45798</v>
      </c>
      <c r="D1739" t="inlineStr">
        <is>
          <t>NORRBOTTENS LÄN</t>
        </is>
      </c>
      <c r="E1739" t="inlineStr">
        <is>
          <t>ÖVERTORNEÅ</t>
        </is>
      </c>
      <c r="G1739" t="n">
        <v>31.1</v>
      </c>
      <c r="H1739" t="n">
        <v>0</v>
      </c>
      <c r="I1739" t="n">
        <v>0</v>
      </c>
      <c r="J1739" t="n">
        <v>0</v>
      </c>
      <c r="K1739" t="n">
        <v>0</v>
      </c>
      <c r="L1739" t="n">
        <v>0</v>
      </c>
      <c r="M1739" t="n">
        <v>0</v>
      </c>
      <c r="N1739" t="n">
        <v>0</v>
      </c>
      <c r="O1739" t="n">
        <v>0</v>
      </c>
      <c r="P1739" t="n">
        <v>0</v>
      </c>
      <c r="Q1739" t="n">
        <v>0</v>
      </c>
      <c r="R1739" s="2" t="inlineStr"/>
    </row>
    <row r="1740" ht="15" customHeight="1">
      <c r="A1740" t="inlineStr">
        <is>
          <t>A 60133-2019</t>
        </is>
      </c>
      <c r="B1740" s="1" t="n">
        <v>43778</v>
      </c>
      <c r="C1740" s="1" t="n">
        <v>45798</v>
      </c>
      <c r="D1740" t="inlineStr">
        <is>
          <t>NORRBOTTENS LÄN</t>
        </is>
      </c>
      <c r="E1740" t="inlineStr">
        <is>
          <t>LULEÅ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60368-2019</t>
        </is>
      </c>
      <c r="B1741" s="1" t="n">
        <v>43780</v>
      </c>
      <c r="C1741" s="1" t="n">
        <v>45798</v>
      </c>
      <c r="D1741" t="inlineStr">
        <is>
          <t>NORRBOTTENS LÄN</t>
        </is>
      </c>
      <c r="E1741" t="inlineStr">
        <is>
          <t>PAJALA</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60803-2019</t>
        </is>
      </c>
      <c r="B1742" s="1" t="n">
        <v>43780</v>
      </c>
      <c r="C1742" s="1" t="n">
        <v>45798</v>
      </c>
      <c r="D1742" t="inlineStr">
        <is>
          <t>NORRBOTTENS LÄN</t>
        </is>
      </c>
      <c r="E1742" t="inlineStr">
        <is>
          <t>PITEÅ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61129-2019</t>
        </is>
      </c>
      <c r="B1743" s="1" t="n">
        <v>43780</v>
      </c>
      <c r="C1743" s="1" t="n">
        <v>45798</v>
      </c>
      <c r="D1743" t="inlineStr">
        <is>
          <t>NORRBOTTENS LÄN</t>
        </is>
      </c>
      <c r="E1743" t="inlineStr">
        <is>
          <t>PITEÅ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61133-2019</t>
        </is>
      </c>
      <c r="B1744" s="1" t="n">
        <v>43780</v>
      </c>
      <c r="C1744" s="1" t="n">
        <v>45798</v>
      </c>
      <c r="D1744" t="inlineStr">
        <is>
          <t>NORRBOTTENS LÄN</t>
        </is>
      </c>
      <c r="E1744" t="inlineStr">
        <is>
          <t>PITEÅ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60501-2019</t>
        </is>
      </c>
      <c r="B1745" s="1" t="n">
        <v>43780</v>
      </c>
      <c r="C1745" s="1" t="n">
        <v>45798</v>
      </c>
      <c r="D1745" t="inlineStr">
        <is>
          <t>NORRBOTTENS LÄN</t>
        </is>
      </c>
      <c r="E1745" t="inlineStr">
        <is>
          <t>LULEÅ</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61696-2019</t>
        </is>
      </c>
      <c r="B1746" s="1" t="n">
        <v>43780</v>
      </c>
      <c r="C1746" s="1" t="n">
        <v>45798</v>
      </c>
      <c r="D1746" t="inlineStr">
        <is>
          <t>NORRBOTTENS LÄN</t>
        </is>
      </c>
      <c r="E1746" t="inlineStr">
        <is>
          <t>ÄLVSBYN</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60576-2019</t>
        </is>
      </c>
      <c r="B1747" s="1" t="n">
        <v>43781</v>
      </c>
      <c r="C1747" s="1" t="n">
        <v>45798</v>
      </c>
      <c r="D1747" t="inlineStr">
        <is>
          <t>NORRBOTTENS LÄN</t>
        </is>
      </c>
      <c r="E1747" t="inlineStr">
        <is>
          <t>BODEN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60856-2019</t>
        </is>
      </c>
      <c r="B1748" s="1" t="n">
        <v>43781</v>
      </c>
      <c r="C1748" s="1" t="n">
        <v>45798</v>
      </c>
      <c r="D1748" t="inlineStr">
        <is>
          <t>NORRBOTTENS LÄN</t>
        </is>
      </c>
      <c r="E1748" t="inlineStr">
        <is>
          <t>BODEN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60895-2019</t>
        </is>
      </c>
      <c r="B1749" s="1" t="n">
        <v>43781</v>
      </c>
      <c r="C1749" s="1" t="n">
        <v>45798</v>
      </c>
      <c r="D1749" t="inlineStr">
        <is>
          <t>NORRBOTTENS LÄN</t>
        </is>
      </c>
      <c r="E1749" t="inlineStr">
        <is>
          <t>LULEÅ</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60891-2019</t>
        </is>
      </c>
      <c r="B1750" s="1" t="n">
        <v>43781</v>
      </c>
      <c r="C1750" s="1" t="n">
        <v>45798</v>
      </c>
      <c r="D1750" t="inlineStr">
        <is>
          <t>NORRBOTTENS LÄN</t>
        </is>
      </c>
      <c r="E1750" t="inlineStr">
        <is>
          <t>ÖVERTORNEÅ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62054-2019</t>
        </is>
      </c>
      <c r="B1751" s="1" t="n">
        <v>43782</v>
      </c>
      <c r="C1751" s="1" t="n">
        <v>45798</v>
      </c>
      <c r="D1751" t="inlineStr">
        <is>
          <t>NORRBOTTENS LÄN</t>
        </is>
      </c>
      <c r="E1751" t="inlineStr">
        <is>
          <t>PAJALA</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62070-2019</t>
        </is>
      </c>
      <c r="B1752" s="1" t="n">
        <v>43782</v>
      </c>
      <c r="C1752" s="1" t="n">
        <v>45798</v>
      </c>
      <c r="D1752" t="inlineStr">
        <is>
          <t>NORRBOTTENS LÄN</t>
        </is>
      </c>
      <c r="E1752" t="inlineStr">
        <is>
          <t>PITEÅ</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61199-2019</t>
        </is>
      </c>
      <c r="B1753" s="1" t="n">
        <v>43782</v>
      </c>
      <c r="C1753" s="1" t="n">
        <v>45798</v>
      </c>
      <c r="D1753" t="inlineStr">
        <is>
          <t>NORRBOTTENS LÄN</t>
        </is>
      </c>
      <c r="E1753" t="inlineStr">
        <is>
          <t>BODEN</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62077-2019</t>
        </is>
      </c>
      <c r="B1754" s="1" t="n">
        <v>43782</v>
      </c>
      <c r="C1754" s="1" t="n">
        <v>45798</v>
      </c>
      <c r="D1754" t="inlineStr">
        <is>
          <t>NORRBOTTENS LÄN</t>
        </is>
      </c>
      <c r="E1754" t="inlineStr">
        <is>
          <t>ÖVERKALIX</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62214-2019</t>
        </is>
      </c>
      <c r="B1755" s="1" t="n">
        <v>43782</v>
      </c>
      <c r="C1755" s="1" t="n">
        <v>45798</v>
      </c>
      <c r="D1755" t="inlineStr">
        <is>
          <t>NORRBOTTENS LÄN</t>
        </is>
      </c>
      <c r="E1755" t="inlineStr">
        <is>
          <t>ÖVERTORNEÅ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61206-2019</t>
        </is>
      </c>
      <c r="B1756" s="1" t="n">
        <v>43782</v>
      </c>
      <c r="C1756" s="1" t="n">
        <v>45798</v>
      </c>
      <c r="D1756" t="inlineStr">
        <is>
          <t>NORRBOTTENS LÄN</t>
        </is>
      </c>
      <c r="E1756" t="inlineStr">
        <is>
          <t>GÄLLIVARE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62031-2019</t>
        </is>
      </c>
      <c r="B1757" s="1" t="n">
        <v>43782</v>
      </c>
      <c r="C1757" s="1" t="n">
        <v>45798</v>
      </c>
      <c r="D1757" t="inlineStr">
        <is>
          <t>NORRBOTTENS LÄN</t>
        </is>
      </c>
      <c r="E1757" t="inlineStr">
        <is>
          <t>ÖVERKALIX</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61207-2019</t>
        </is>
      </c>
      <c r="B1758" s="1" t="n">
        <v>43782</v>
      </c>
      <c r="C1758" s="1" t="n">
        <v>45798</v>
      </c>
      <c r="D1758" t="inlineStr">
        <is>
          <t>NORRBOTTENS LÄN</t>
        </is>
      </c>
      <c r="E1758" t="inlineStr">
        <is>
          <t>GÄLLIVARE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61532-2019</t>
        </is>
      </c>
      <c r="B1759" s="1" t="n">
        <v>43783</v>
      </c>
      <c r="C1759" s="1" t="n">
        <v>45798</v>
      </c>
      <c r="D1759" t="inlineStr">
        <is>
          <t>NORRBOTTENS LÄN</t>
        </is>
      </c>
      <c r="E1759" t="inlineStr">
        <is>
          <t>ÖVERKALIX</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61525-2019</t>
        </is>
      </c>
      <c r="B1760" s="1" t="n">
        <v>43783</v>
      </c>
      <c r="C1760" s="1" t="n">
        <v>45798</v>
      </c>
      <c r="D1760" t="inlineStr">
        <is>
          <t>NORRBOTTENS LÄN</t>
        </is>
      </c>
      <c r="E1760" t="inlineStr">
        <is>
          <t>ÖVERKALIX</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61527-2019</t>
        </is>
      </c>
      <c r="B1761" s="1" t="n">
        <v>43783</v>
      </c>
      <c r="C1761" s="1" t="n">
        <v>45798</v>
      </c>
      <c r="D1761" t="inlineStr">
        <is>
          <t>NORRBOTTENS LÄN</t>
        </is>
      </c>
      <c r="E1761" t="inlineStr">
        <is>
          <t>ÖVERKALIX</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61531-2019</t>
        </is>
      </c>
      <c r="B1762" s="1" t="n">
        <v>43783</v>
      </c>
      <c r="C1762" s="1" t="n">
        <v>45798</v>
      </c>
      <c r="D1762" t="inlineStr">
        <is>
          <t>NORRBOTTENS LÄN</t>
        </is>
      </c>
      <c r="E1762" t="inlineStr">
        <is>
          <t>ÖVERKALIX</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61611-2019</t>
        </is>
      </c>
      <c r="B1763" s="1" t="n">
        <v>43784</v>
      </c>
      <c r="C1763" s="1" t="n">
        <v>45798</v>
      </c>
      <c r="D1763" t="inlineStr">
        <is>
          <t>NORRBOTTENS LÄN</t>
        </is>
      </c>
      <c r="E1763" t="inlineStr">
        <is>
          <t>KALIX</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61770-2019</t>
        </is>
      </c>
      <c r="B1764" s="1" t="n">
        <v>43784</v>
      </c>
      <c r="C1764" s="1" t="n">
        <v>45798</v>
      </c>
      <c r="D1764" t="inlineStr">
        <is>
          <t>NORRBOTTENS LÄN</t>
        </is>
      </c>
      <c r="E1764" t="inlineStr">
        <is>
          <t>BODEN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61769-2019</t>
        </is>
      </c>
      <c r="B1765" s="1" t="n">
        <v>43784</v>
      </c>
      <c r="C1765" s="1" t="n">
        <v>45798</v>
      </c>
      <c r="D1765" t="inlineStr">
        <is>
          <t>NORRBOTTENS LÄN</t>
        </is>
      </c>
      <c r="E1765" t="inlineStr">
        <is>
          <t>BODEN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62190-2019</t>
        </is>
      </c>
      <c r="B1766" s="1" t="n">
        <v>43787</v>
      </c>
      <c r="C1766" s="1" t="n">
        <v>45798</v>
      </c>
      <c r="D1766" t="inlineStr">
        <is>
          <t>NORRBOTTENS LÄN</t>
        </is>
      </c>
      <c r="E1766" t="inlineStr">
        <is>
          <t>JOKKMOKK</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62164-2019</t>
        </is>
      </c>
      <c r="B1767" s="1" t="n">
        <v>43787</v>
      </c>
      <c r="C1767" s="1" t="n">
        <v>45798</v>
      </c>
      <c r="D1767" t="inlineStr">
        <is>
          <t>NORRBOTTENS LÄN</t>
        </is>
      </c>
      <c r="E1767" t="inlineStr">
        <is>
          <t>BODEN</t>
        </is>
      </c>
      <c r="F1767" t="inlineStr">
        <is>
          <t>SCA</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62183-2019</t>
        </is>
      </c>
      <c r="B1768" s="1" t="n">
        <v>43787</v>
      </c>
      <c r="C1768" s="1" t="n">
        <v>45798</v>
      </c>
      <c r="D1768" t="inlineStr">
        <is>
          <t>NORRBOTTENS LÄN</t>
        </is>
      </c>
      <c r="E1768" t="inlineStr">
        <is>
          <t>ÖVERTORNEÅ</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62169-2019</t>
        </is>
      </c>
      <c r="B1769" s="1" t="n">
        <v>43787</v>
      </c>
      <c r="C1769" s="1" t="n">
        <v>45798</v>
      </c>
      <c r="D1769" t="inlineStr">
        <is>
          <t>NORRBOTTENS LÄN</t>
        </is>
      </c>
      <c r="E1769" t="inlineStr">
        <is>
          <t>LULEÅ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62191-2019</t>
        </is>
      </c>
      <c r="B1770" s="1" t="n">
        <v>43787</v>
      </c>
      <c r="C1770" s="1" t="n">
        <v>45798</v>
      </c>
      <c r="D1770" t="inlineStr">
        <is>
          <t>NORRBOTTENS LÄN</t>
        </is>
      </c>
      <c r="E1770" t="inlineStr">
        <is>
          <t>JOKKMOKK</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63349-2019</t>
        </is>
      </c>
      <c r="B1771" s="1" t="n">
        <v>43787</v>
      </c>
      <c r="C1771" s="1" t="n">
        <v>45798</v>
      </c>
      <c r="D1771" t="inlineStr">
        <is>
          <t>NORRBOTTENS LÄN</t>
        </is>
      </c>
      <c r="E1771" t="inlineStr">
        <is>
          <t>JOKKMOKK</t>
        </is>
      </c>
      <c r="F1771" t="inlineStr">
        <is>
          <t>Övriga Aktiebolag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62230-2019</t>
        </is>
      </c>
      <c r="B1772" s="1" t="n">
        <v>43788</v>
      </c>
      <c r="C1772" s="1" t="n">
        <v>45798</v>
      </c>
      <c r="D1772" t="inlineStr">
        <is>
          <t>NORRBOTTENS LÄN</t>
        </is>
      </c>
      <c r="E1772" t="inlineStr">
        <is>
          <t>HAPARANDA</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62461-2019</t>
        </is>
      </c>
      <c r="B1773" s="1" t="n">
        <v>43788</v>
      </c>
      <c r="C1773" s="1" t="n">
        <v>45798</v>
      </c>
      <c r="D1773" t="inlineStr">
        <is>
          <t>NORRBOTTENS LÄN</t>
        </is>
      </c>
      <c r="E1773" t="inlineStr">
        <is>
          <t>JOKKMOKK</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62480-2019</t>
        </is>
      </c>
      <c r="B1774" s="1" t="n">
        <v>43788</v>
      </c>
      <c r="C1774" s="1" t="n">
        <v>45798</v>
      </c>
      <c r="D1774" t="inlineStr">
        <is>
          <t>NORRBOTTENS LÄN</t>
        </is>
      </c>
      <c r="E1774" t="inlineStr">
        <is>
          <t>JOKKMOKK</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63635-2019</t>
        </is>
      </c>
      <c r="B1775" s="1" t="n">
        <v>43788</v>
      </c>
      <c r="C1775" s="1" t="n">
        <v>45798</v>
      </c>
      <c r="D1775" t="inlineStr">
        <is>
          <t>NORRBOTTENS LÄN</t>
        </is>
      </c>
      <c r="E1775" t="inlineStr">
        <is>
          <t>LULEÅ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62481-2019</t>
        </is>
      </c>
      <c r="B1776" s="1" t="n">
        <v>43788</v>
      </c>
      <c r="C1776" s="1" t="n">
        <v>45798</v>
      </c>
      <c r="D1776" t="inlineStr">
        <is>
          <t>NORRBOTTENS LÄN</t>
        </is>
      </c>
      <c r="E1776" t="inlineStr">
        <is>
          <t>JOKKMOKK</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62711-2019</t>
        </is>
      </c>
      <c r="B1777" s="1" t="n">
        <v>43789</v>
      </c>
      <c r="C1777" s="1" t="n">
        <v>45798</v>
      </c>
      <c r="D1777" t="inlineStr">
        <is>
          <t>NORRBOTTENS LÄN</t>
        </is>
      </c>
      <c r="E1777" t="inlineStr">
        <is>
          <t>PITEÅ</t>
        </is>
      </c>
      <c r="F1777" t="inlineStr">
        <is>
          <t>SCA</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62951-2019</t>
        </is>
      </c>
      <c r="B1778" s="1" t="n">
        <v>43789</v>
      </c>
      <c r="C1778" s="1" t="n">
        <v>45798</v>
      </c>
      <c r="D1778" t="inlineStr">
        <is>
          <t>NORRBOTTENS LÄN</t>
        </is>
      </c>
      <c r="E1778" t="inlineStr">
        <is>
          <t>ÖVERTORNEÅ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62629-2019</t>
        </is>
      </c>
      <c r="B1779" s="1" t="n">
        <v>43789</v>
      </c>
      <c r="C1779" s="1" t="n">
        <v>45798</v>
      </c>
      <c r="D1779" t="inlineStr">
        <is>
          <t>NORRBOTTENS LÄN</t>
        </is>
      </c>
      <c r="E1779" t="inlineStr">
        <is>
          <t>ARVIDSJAUR</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62710-2019</t>
        </is>
      </c>
      <c r="B1780" s="1" t="n">
        <v>43789</v>
      </c>
      <c r="C1780" s="1" t="n">
        <v>45798</v>
      </c>
      <c r="D1780" t="inlineStr">
        <is>
          <t>NORRBOTTENS LÄN</t>
        </is>
      </c>
      <c r="E1780" t="inlineStr">
        <is>
          <t>BODEN</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62718-2019</t>
        </is>
      </c>
      <c r="B1781" s="1" t="n">
        <v>43789</v>
      </c>
      <c r="C1781" s="1" t="n">
        <v>45798</v>
      </c>
      <c r="D1781" t="inlineStr">
        <is>
          <t>NORRBOTTENS LÄN</t>
        </is>
      </c>
      <c r="E1781" t="inlineStr">
        <is>
          <t>KALIX</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62725-2019</t>
        </is>
      </c>
      <c r="B1782" s="1" t="n">
        <v>43789</v>
      </c>
      <c r="C1782" s="1" t="n">
        <v>45798</v>
      </c>
      <c r="D1782" t="inlineStr">
        <is>
          <t>NORRBOTTENS LÄN</t>
        </is>
      </c>
      <c r="E1782" t="inlineStr">
        <is>
          <t>LULEÅ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62724-2019</t>
        </is>
      </c>
      <c r="B1783" s="1" t="n">
        <v>43789</v>
      </c>
      <c r="C1783" s="1" t="n">
        <v>45798</v>
      </c>
      <c r="D1783" t="inlineStr">
        <is>
          <t>NORRBOTTENS LÄN</t>
        </is>
      </c>
      <c r="E1783" t="inlineStr">
        <is>
          <t>LULEÅ</t>
        </is>
      </c>
      <c r="F1783" t="inlineStr">
        <is>
          <t>SCA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62723-2019</t>
        </is>
      </c>
      <c r="B1784" s="1" t="n">
        <v>43789</v>
      </c>
      <c r="C1784" s="1" t="n">
        <v>45798</v>
      </c>
      <c r="D1784" t="inlineStr">
        <is>
          <t>NORRBOTTENS LÄN</t>
        </is>
      </c>
      <c r="E1784" t="inlineStr">
        <is>
          <t>LULEÅ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62721-2019</t>
        </is>
      </c>
      <c r="B1785" s="1" t="n">
        <v>43789</v>
      </c>
      <c r="C1785" s="1" t="n">
        <v>45798</v>
      </c>
      <c r="D1785" t="inlineStr">
        <is>
          <t>NORRBOTTENS LÄN</t>
        </is>
      </c>
      <c r="E1785" t="inlineStr">
        <is>
          <t>KALIX</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63602-2019</t>
        </is>
      </c>
      <c r="B1786" s="1" t="n">
        <v>43789</v>
      </c>
      <c r="C1786" s="1" t="n">
        <v>45798</v>
      </c>
      <c r="D1786" t="inlineStr">
        <is>
          <t>NORRBOTTENS LÄN</t>
        </is>
      </c>
      <c r="E1786" t="inlineStr">
        <is>
          <t>ÄLVSBYN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62960-2019</t>
        </is>
      </c>
      <c r="B1787" s="1" t="n">
        <v>43790</v>
      </c>
      <c r="C1787" s="1" t="n">
        <v>45798</v>
      </c>
      <c r="D1787" t="inlineStr">
        <is>
          <t>NORRBOTTENS LÄN</t>
        </is>
      </c>
      <c r="E1787" t="inlineStr">
        <is>
          <t>ÖVERTORNEÅ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63390-2019</t>
        </is>
      </c>
      <c r="B1788" s="1" t="n">
        <v>43790</v>
      </c>
      <c r="C1788" s="1" t="n">
        <v>45798</v>
      </c>
      <c r="D1788" t="inlineStr">
        <is>
          <t>NORRBOTTENS LÄN</t>
        </is>
      </c>
      <c r="E1788" t="inlineStr">
        <is>
          <t>JOKKMOKK</t>
        </is>
      </c>
      <c r="F1788" t="inlineStr">
        <is>
          <t>Sveaskog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63216-2019</t>
        </is>
      </c>
      <c r="B1789" s="1" t="n">
        <v>43791</v>
      </c>
      <c r="C1789" s="1" t="n">
        <v>45798</v>
      </c>
      <c r="D1789" t="inlineStr">
        <is>
          <t>NORRBOTTENS LÄN</t>
        </is>
      </c>
      <c r="E1789" t="inlineStr">
        <is>
          <t>ÖVERKALIX</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64003-2019</t>
        </is>
      </c>
      <c r="B1790" s="1" t="n">
        <v>43791</v>
      </c>
      <c r="C1790" s="1" t="n">
        <v>45798</v>
      </c>
      <c r="D1790" t="inlineStr">
        <is>
          <t>NORRBOTTENS LÄN</t>
        </is>
      </c>
      <c r="E1790" t="inlineStr">
        <is>
          <t>ÖVERTORNEÅ</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64022-2019</t>
        </is>
      </c>
      <c r="B1791" s="1" t="n">
        <v>43791</v>
      </c>
      <c r="C1791" s="1" t="n">
        <v>45798</v>
      </c>
      <c r="D1791" t="inlineStr">
        <is>
          <t>NORRBOTTENS LÄN</t>
        </is>
      </c>
      <c r="E1791" t="inlineStr">
        <is>
          <t>ÖVERKALIX</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64019-2019</t>
        </is>
      </c>
      <c r="B1792" s="1" t="n">
        <v>43791</v>
      </c>
      <c r="C1792" s="1" t="n">
        <v>45798</v>
      </c>
      <c r="D1792" t="inlineStr">
        <is>
          <t>NORRBOTTENS LÄN</t>
        </is>
      </c>
      <c r="E1792" t="inlineStr">
        <is>
          <t>ÖVERKALIX</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64010-2019</t>
        </is>
      </c>
      <c r="B1793" s="1" t="n">
        <v>43791</v>
      </c>
      <c r="C1793" s="1" t="n">
        <v>45798</v>
      </c>
      <c r="D1793" t="inlineStr">
        <is>
          <t>NORRBOTTENS LÄN</t>
        </is>
      </c>
      <c r="E1793" t="inlineStr">
        <is>
          <t>ÖVERTORNEÅ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63219-2019</t>
        </is>
      </c>
      <c r="B1794" s="1" t="n">
        <v>43791</v>
      </c>
      <c r="C1794" s="1" t="n">
        <v>45798</v>
      </c>
      <c r="D1794" t="inlineStr">
        <is>
          <t>NORRBOTTENS LÄN</t>
        </is>
      </c>
      <c r="E1794" t="inlineStr">
        <is>
          <t>JOKKMOKK</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63282-2019</t>
        </is>
      </c>
      <c r="B1795" s="1" t="n">
        <v>43791</v>
      </c>
      <c r="C1795" s="1" t="n">
        <v>45798</v>
      </c>
      <c r="D1795" t="inlineStr">
        <is>
          <t>NORRBOTTENS LÄN</t>
        </is>
      </c>
      <c r="E1795" t="inlineStr">
        <is>
          <t>LULEÅ</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64018-2019</t>
        </is>
      </c>
      <c r="B1796" s="1" t="n">
        <v>43791</v>
      </c>
      <c r="C1796" s="1" t="n">
        <v>45798</v>
      </c>
      <c r="D1796" t="inlineStr">
        <is>
          <t>NORRBOTTENS LÄN</t>
        </is>
      </c>
      <c r="E1796" t="inlineStr">
        <is>
          <t>PAJALA</t>
        </is>
      </c>
      <c r="G1796" t="n">
        <v>27.1</v>
      </c>
      <c r="H1796" t="n">
        <v>0</v>
      </c>
      <c r="I1796" t="n">
        <v>0</v>
      </c>
      <c r="J1796" t="n">
        <v>0</v>
      </c>
      <c r="K1796" t="n">
        <v>0</v>
      </c>
      <c r="L1796" t="n">
        <v>0</v>
      </c>
      <c r="M1796" t="n">
        <v>0</v>
      </c>
      <c r="N1796" t="n">
        <v>0</v>
      </c>
      <c r="O1796" t="n">
        <v>0</v>
      </c>
      <c r="P1796" t="n">
        <v>0</v>
      </c>
      <c r="Q1796" t="n">
        <v>0</v>
      </c>
      <c r="R1796" s="2" t="inlineStr"/>
    </row>
    <row r="1797" ht="15" customHeight="1">
      <c r="A1797" t="inlineStr">
        <is>
          <t>A 64163-2019</t>
        </is>
      </c>
      <c r="B1797" s="1" t="n">
        <v>43791</v>
      </c>
      <c r="C1797" s="1" t="n">
        <v>45798</v>
      </c>
      <c r="D1797" t="inlineStr">
        <is>
          <t>NORRBOTTENS LÄN</t>
        </is>
      </c>
      <c r="E1797" t="inlineStr">
        <is>
          <t>LULEÅ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63243-2019</t>
        </is>
      </c>
      <c r="B1798" s="1" t="n">
        <v>43792</v>
      </c>
      <c r="C1798" s="1" t="n">
        <v>45798</v>
      </c>
      <c r="D1798" t="inlineStr">
        <is>
          <t>NORRBOTTENS LÄN</t>
        </is>
      </c>
      <c r="E1798" t="inlineStr">
        <is>
          <t>JOKKMOKK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63261-2019</t>
        </is>
      </c>
      <c r="B1799" s="1" t="n">
        <v>43793</v>
      </c>
      <c r="C1799" s="1" t="n">
        <v>45798</v>
      </c>
      <c r="D1799" t="inlineStr">
        <is>
          <t>NORRBOTTENS LÄN</t>
        </is>
      </c>
      <c r="E1799" t="inlineStr">
        <is>
          <t>JOKKMOKK</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64411-2019</t>
        </is>
      </c>
      <c r="B1800" s="1" t="n">
        <v>43794</v>
      </c>
      <c r="C1800" s="1" t="n">
        <v>45798</v>
      </c>
      <c r="D1800" t="inlineStr">
        <is>
          <t>NORRBOTTENS LÄN</t>
        </is>
      </c>
      <c r="E1800" t="inlineStr">
        <is>
          <t>BODEN</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64524-2019</t>
        </is>
      </c>
      <c r="B1801" s="1" t="n">
        <v>43794</v>
      </c>
      <c r="C1801" s="1" t="n">
        <v>45798</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63699-2019</t>
        </is>
      </c>
      <c r="B1802" s="1" t="n">
        <v>43795</v>
      </c>
      <c r="C1802" s="1" t="n">
        <v>45798</v>
      </c>
      <c r="D1802" t="inlineStr">
        <is>
          <t>NORRBOTTENS LÄN</t>
        </is>
      </c>
      <c r="E1802" t="inlineStr">
        <is>
          <t>KALIX</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63843-2019</t>
        </is>
      </c>
      <c r="B1803" s="1" t="n">
        <v>43795</v>
      </c>
      <c r="C1803" s="1" t="n">
        <v>45798</v>
      </c>
      <c r="D1803" t="inlineStr">
        <is>
          <t>NORRBOTTENS LÄN</t>
        </is>
      </c>
      <c r="E1803" t="inlineStr">
        <is>
          <t>GÄLLIVARE</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64320-2019</t>
        </is>
      </c>
      <c r="B1804" s="1" t="n">
        <v>43797</v>
      </c>
      <c r="C1804" s="1" t="n">
        <v>45798</v>
      </c>
      <c r="D1804" t="inlineStr">
        <is>
          <t>NORRBOTTENS LÄN</t>
        </is>
      </c>
      <c r="E1804" t="inlineStr">
        <is>
          <t>LULEÅ</t>
        </is>
      </c>
      <c r="F1804" t="inlineStr">
        <is>
          <t>Övriga Aktiebolag</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64321-2019</t>
        </is>
      </c>
      <c r="B1805" s="1" t="n">
        <v>43797</v>
      </c>
      <c r="C1805" s="1" t="n">
        <v>45798</v>
      </c>
      <c r="D1805" t="inlineStr">
        <is>
          <t>NORRBOTTENS LÄN</t>
        </is>
      </c>
      <c r="E1805" t="inlineStr">
        <is>
          <t>ÖVERTORNEÅ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64171-2019</t>
        </is>
      </c>
      <c r="B1806" s="1" t="n">
        <v>43797</v>
      </c>
      <c r="C1806" s="1" t="n">
        <v>45798</v>
      </c>
      <c r="D1806" t="inlineStr">
        <is>
          <t>NORRBOTTENS LÄN</t>
        </is>
      </c>
      <c r="E1806" t="inlineStr">
        <is>
          <t>BODEN</t>
        </is>
      </c>
      <c r="F1806" t="inlineStr">
        <is>
          <t>Övriga Aktiebolag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64352-2019</t>
        </is>
      </c>
      <c r="B1807" s="1" t="n">
        <v>43797</v>
      </c>
      <c r="C1807" s="1" t="n">
        <v>45798</v>
      </c>
      <c r="D1807" t="inlineStr">
        <is>
          <t>NORRBOTTENS LÄN</t>
        </is>
      </c>
      <c r="E1807" t="inlineStr">
        <is>
          <t>BODEN</t>
        </is>
      </c>
      <c r="F1807" t="inlineStr">
        <is>
          <t>Övriga Aktiebolag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65220-2019</t>
        </is>
      </c>
      <c r="B1808" s="1" t="n">
        <v>43797</v>
      </c>
      <c r="C1808" s="1" t="n">
        <v>45798</v>
      </c>
      <c r="D1808" t="inlineStr">
        <is>
          <t>NORRBOTTENS LÄN</t>
        </is>
      </c>
      <c r="E1808" t="inlineStr">
        <is>
          <t>ARJEPLOG</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65250-2019</t>
        </is>
      </c>
      <c r="B1809" s="1" t="n">
        <v>43797</v>
      </c>
      <c r="C1809" s="1" t="n">
        <v>45798</v>
      </c>
      <c r="D1809" t="inlineStr">
        <is>
          <t>NORRBOTTENS LÄN</t>
        </is>
      </c>
      <c r="E1809" t="inlineStr">
        <is>
          <t>KALIX</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64664-2019</t>
        </is>
      </c>
      <c r="B1810" s="1" t="n">
        <v>43798</v>
      </c>
      <c r="C1810" s="1" t="n">
        <v>45798</v>
      </c>
      <c r="D1810" t="inlineStr">
        <is>
          <t>NORRBOTTENS LÄN</t>
        </is>
      </c>
      <c r="E1810" t="inlineStr">
        <is>
          <t>PITEÅ</t>
        </is>
      </c>
      <c r="G1810" t="n">
        <v>18.6</v>
      </c>
      <c r="H1810" t="n">
        <v>0</v>
      </c>
      <c r="I1810" t="n">
        <v>0</v>
      </c>
      <c r="J1810" t="n">
        <v>0</v>
      </c>
      <c r="K1810" t="n">
        <v>0</v>
      </c>
      <c r="L1810" t="n">
        <v>0</v>
      </c>
      <c r="M1810" t="n">
        <v>0</v>
      </c>
      <c r="N1810" t="n">
        <v>0</v>
      </c>
      <c r="O1810" t="n">
        <v>0</v>
      </c>
      <c r="P1810" t="n">
        <v>0</v>
      </c>
      <c r="Q1810" t="n">
        <v>0</v>
      </c>
      <c r="R1810" s="2" t="inlineStr"/>
    </row>
    <row r="1811" ht="15" customHeight="1">
      <c r="A1811" t="inlineStr">
        <is>
          <t>A 64577-2019</t>
        </is>
      </c>
      <c r="B1811" s="1" t="n">
        <v>43798</v>
      </c>
      <c r="C1811" s="1" t="n">
        <v>45798</v>
      </c>
      <c r="D1811" t="inlineStr">
        <is>
          <t>NORRBOTTENS LÄN</t>
        </is>
      </c>
      <c r="E1811" t="inlineStr">
        <is>
          <t>LULEÅ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65894-2019</t>
        </is>
      </c>
      <c r="B1812" s="1" t="n">
        <v>43798</v>
      </c>
      <c r="C1812" s="1" t="n">
        <v>45798</v>
      </c>
      <c r="D1812" t="inlineStr">
        <is>
          <t>NORRBOTTENS LÄN</t>
        </is>
      </c>
      <c r="E1812" t="inlineStr">
        <is>
          <t>ARJEPLOG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64965-2019</t>
        </is>
      </c>
      <c r="B1813" s="1" t="n">
        <v>43801</v>
      </c>
      <c r="C1813" s="1" t="n">
        <v>45798</v>
      </c>
      <c r="D1813" t="inlineStr">
        <is>
          <t>NORRBOTTENS LÄN</t>
        </is>
      </c>
      <c r="E1813" t="inlineStr">
        <is>
          <t>PITEÅ</t>
        </is>
      </c>
      <c r="F1813" t="inlineStr">
        <is>
          <t>Kommuner</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65009-2019</t>
        </is>
      </c>
      <c r="B1814" s="1" t="n">
        <v>43801</v>
      </c>
      <c r="C1814" s="1" t="n">
        <v>45798</v>
      </c>
      <c r="D1814" t="inlineStr">
        <is>
          <t>NORRBOTTENS LÄN</t>
        </is>
      </c>
      <c r="E1814" t="inlineStr">
        <is>
          <t>KALIX</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65019-2019</t>
        </is>
      </c>
      <c r="B1815" s="1" t="n">
        <v>43801</v>
      </c>
      <c r="C1815" s="1" t="n">
        <v>45798</v>
      </c>
      <c r="D1815" t="inlineStr">
        <is>
          <t>NORRBOTTENS LÄN</t>
        </is>
      </c>
      <c r="E1815" t="inlineStr">
        <is>
          <t>BODEN</t>
        </is>
      </c>
      <c r="F1815" t="inlineStr">
        <is>
          <t>Kommuner</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65062-2019</t>
        </is>
      </c>
      <c r="B1816" s="1" t="n">
        <v>43801</v>
      </c>
      <c r="C1816" s="1" t="n">
        <v>45798</v>
      </c>
      <c r="D1816" t="inlineStr">
        <is>
          <t>NORRBOTTENS LÄN</t>
        </is>
      </c>
      <c r="E1816" t="inlineStr">
        <is>
          <t>ÖVERTORNEÅ</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65099-2019</t>
        </is>
      </c>
      <c r="B1817" s="1" t="n">
        <v>43802</v>
      </c>
      <c r="C1817" s="1" t="n">
        <v>45798</v>
      </c>
      <c r="D1817" t="inlineStr">
        <is>
          <t>NORRBOTTENS LÄN</t>
        </is>
      </c>
      <c r="E1817" t="inlineStr">
        <is>
          <t>BODEN</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66416-2019</t>
        </is>
      </c>
      <c r="B1818" s="1" t="n">
        <v>43802</v>
      </c>
      <c r="C1818" s="1" t="n">
        <v>45798</v>
      </c>
      <c r="D1818" t="inlineStr">
        <is>
          <t>NORRBOTTENS LÄN</t>
        </is>
      </c>
      <c r="E1818" t="inlineStr">
        <is>
          <t>PITEÅ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66427-2019</t>
        </is>
      </c>
      <c r="B1819" s="1" t="n">
        <v>43802</v>
      </c>
      <c r="C1819" s="1" t="n">
        <v>45798</v>
      </c>
      <c r="D1819" t="inlineStr">
        <is>
          <t>NORRBOTTENS LÄN</t>
        </is>
      </c>
      <c r="E1819" t="inlineStr">
        <is>
          <t>PITEÅ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66440-2019</t>
        </is>
      </c>
      <c r="B1820" s="1" t="n">
        <v>43802</v>
      </c>
      <c r="C1820" s="1" t="n">
        <v>45798</v>
      </c>
      <c r="D1820" t="inlineStr">
        <is>
          <t>NORRBOTTENS LÄN</t>
        </is>
      </c>
      <c r="E1820" t="inlineStr">
        <is>
          <t>PITEÅ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66336-2019</t>
        </is>
      </c>
      <c r="B1821" s="1" t="n">
        <v>43802</v>
      </c>
      <c r="C1821" s="1" t="n">
        <v>45798</v>
      </c>
      <c r="D1821" t="inlineStr">
        <is>
          <t>NORRBOTTENS LÄN</t>
        </is>
      </c>
      <c r="E1821" t="inlineStr">
        <is>
          <t>PITEÅ</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66419-2019</t>
        </is>
      </c>
      <c r="B1822" s="1" t="n">
        <v>43802</v>
      </c>
      <c r="C1822" s="1" t="n">
        <v>45798</v>
      </c>
      <c r="D1822" t="inlineStr">
        <is>
          <t>NORRBOTTENS LÄN</t>
        </is>
      </c>
      <c r="E1822" t="inlineStr">
        <is>
          <t>PITEÅ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65510-2019</t>
        </is>
      </c>
      <c r="B1823" s="1" t="n">
        <v>43803</v>
      </c>
      <c r="C1823" s="1" t="n">
        <v>45798</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65482-2019</t>
        </is>
      </c>
      <c r="B1824" s="1" t="n">
        <v>43803</v>
      </c>
      <c r="C1824" s="1" t="n">
        <v>45798</v>
      </c>
      <c r="D1824" t="inlineStr">
        <is>
          <t>NORRBOTTENS LÄN</t>
        </is>
      </c>
      <c r="E1824" t="inlineStr">
        <is>
          <t>ÄLVSBYN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65500-2019</t>
        </is>
      </c>
      <c r="B1825" s="1" t="n">
        <v>43803</v>
      </c>
      <c r="C1825" s="1" t="n">
        <v>45798</v>
      </c>
      <c r="D1825" t="inlineStr">
        <is>
          <t>NORRBOTTENS LÄN</t>
        </is>
      </c>
      <c r="E1825" t="inlineStr">
        <is>
          <t>ÖVERTORNEÅ</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66521-2019</t>
        </is>
      </c>
      <c r="B1826" s="1" t="n">
        <v>43803</v>
      </c>
      <c r="C1826" s="1" t="n">
        <v>45798</v>
      </c>
      <c r="D1826" t="inlineStr">
        <is>
          <t>NORRBOTTENS LÄN</t>
        </is>
      </c>
      <c r="E1826" t="inlineStr">
        <is>
          <t>KALIX</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66522-2019</t>
        </is>
      </c>
      <c r="B1827" s="1" t="n">
        <v>43803</v>
      </c>
      <c r="C1827" s="1" t="n">
        <v>45798</v>
      </c>
      <c r="D1827" t="inlineStr">
        <is>
          <t>NORRBOTTENS LÄN</t>
        </is>
      </c>
      <c r="E1827" t="inlineStr">
        <is>
          <t>KALIX</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65457-2019</t>
        </is>
      </c>
      <c r="B1828" s="1" t="n">
        <v>43803</v>
      </c>
      <c r="C1828" s="1" t="n">
        <v>45798</v>
      </c>
      <c r="D1828" t="inlineStr">
        <is>
          <t>NORRBOTTENS LÄN</t>
        </is>
      </c>
      <c r="E1828" t="inlineStr">
        <is>
          <t>ÖVERTORNEÅ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66484-2019</t>
        </is>
      </c>
      <c r="B1829" s="1" t="n">
        <v>43803</v>
      </c>
      <c r="C1829" s="1" t="n">
        <v>45798</v>
      </c>
      <c r="D1829" t="inlineStr">
        <is>
          <t>NORRBOTTENS LÄN</t>
        </is>
      </c>
      <c r="E1829" t="inlineStr">
        <is>
          <t>ARJEPLOG</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65498-2019</t>
        </is>
      </c>
      <c r="B1830" s="1" t="n">
        <v>43803</v>
      </c>
      <c r="C1830" s="1" t="n">
        <v>45798</v>
      </c>
      <c r="D1830" t="inlineStr">
        <is>
          <t>NORRBOTTENS LÄN</t>
        </is>
      </c>
      <c r="E1830" t="inlineStr">
        <is>
          <t>ÖVERTORNEÅ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66486-2019</t>
        </is>
      </c>
      <c r="B1831" s="1" t="n">
        <v>43803</v>
      </c>
      <c r="C1831" s="1" t="n">
        <v>45798</v>
      </c>
      <c r="D1831" t="inlineStr">
        <is>
          <t>NORRBOTTENS LÄN</t>
        </is>
      </c>
      <c r="E1831" t="inlineStr">
        <is>
          <t>KALIX</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65753-2019</t>
        </is>
      </c>
      <c r="B1832" s="1" t="n">
        <v>43804</v>
      </c>
      <c r="C1832" s="1" t="n">
        <v>45798</v>
      </c>
      <c r="D1832" t="inlineStr">
        <is>
          <t>NORRBOTTENS LÄN</t>
        </is>
      </c>
      <c r="E1832" t="inlineStr">
        <is>
          <t>BODEN</t>
        </is>
      </c>
      <c r="F1832" t="inlineStr">
        <is>
          <t>Kommuner</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65725-2019</t>
        </is>
      </c>
      <c r="B1833" s="1" t="n">
        <v>43804</v>
      </c>
      <c r="C1833" s="1" t="n">
        <v>45798</v>
      </c>
      <c r="D1833" t="inlineStr">
        <is>
          <t>NORRBOTTENS LÄN</t>
        </is>
      </c>
      <c r="E1833" t="inlineStr">
        <is>
          <t>GÄLLIVARE</t>
        </is>
      </c>
      <c r="F1833" t="inlineStr">
        <is>
          <t>Sveaskog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67100-2019</t>
        </is>
      </c>
      <c r="B1834" s="1" t="n">
        <v>43805</v>
      </c>
      <c r="C1834" s="1" t="n">
        <v>45798</v>
      </c>
      <c r="D1834" t="inlineStr">
        <is>
          <t>NORRBOTTENS LÄN</t>
        </is>
      </c>
      <c r="E1834" t="inlineStr">
        <is>
          <t>ÖVERKALIX</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65811-2019</t>
        </is>
      </c>
      <c r="B1835" s="1" t="n">
        <v>43805</v>
      </c>
      <c r="C1835" s="1" t="n">
        <v>45798</v>
      </c>
      <c r="D1835" t="inlineStr">
        <is>
          <t>NORRBOTTENS LÄN</t>
        </is>
      </c>
      <c r="E1835" t="inlineStr">
        <is>
          <t>LULEÅ</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67143-2019</t>
        </is>
      </c>
      <c r="B1836" s="1" t="n">
        <v>43805</v>
      </c>
      <c r="C1836" s="1" t="n">
        <v>45798</v>
      </c>
      <c r="D1836" t="inlineStr">
        <is>
          <t>NORRBOTTENS LÄN</t>
        </is>
      </c>
      <c r="E1836" t="inlineStr">
        <is>
          <t>BODEN</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67113-2019</t>
        </is>
      </c>
      <c r="B1837" s="1" t="n">
        <v>43805</v>
      </c>
      <c r="C1837" s="1" t="n">
        <v>45798</v>
      </c>
      <c r="D1837" t="inlineStr">
        <is>
          <t>NORRBOTTENS LÄN</t>
        </is>
      </c>
      <c r="E1837" t="inlineStr">
        <is>
          <t>ÖVERKALIX</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66100-2019</t>
        </is>
      </c>
      <c r="B1838" s="1" t="n">
        <v>43807</v>
      </c>
      <c r="C1838" s="1" t="n">
        <v>45798</v>
      </c>
      <c r="D1838" t="inlineStr">
        <is>
          <t>NORRBOTTENS LÄN</t>
        </is>
      </c>
      <c r="E1838" t="inlineStr">
        <is>
          <t>PITEÅ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66103-2019</t>
        </is>
      </c>
      <c r="B1839" s="1" t="n">
        <v>43807</v>
      </c>
      <c r="C1839" s="1" t="n">
        <v>45798</v>
      </c>
      <c r="D1839" t="inlineStr">
        <is>
          <t>NORRBOTTENS LÄN</t>
        </is>
      </c>
      <c r="E1839" t="inlineStr">
        <is>
          <t>BODEN</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67252-2019</t>
        </is>
      </c>
      <c r="B1840" s="1" t="n">
        <v>43808</v>
      </c>
      <c r="C1840" s="1" t="n">
        <v>45798</v>
      </c>
      <c r="D1840" t="inlineStr">
        <is>
          <t>NORRBOTTENS LÄN</t>
        </is>
      </c>
      <c r="E1840" t="inlineStr">
        <is>
          <t>KALIX</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66111-2019</t>
        </is>
      </c>
      <c r="B1841" s="1" t="n">
        <v>43808</v>
      </c>
      <c r="C1841" s="1" t="n">
        <v>45798</v>
      </c>
      <c r="D1841" t="inlineStr">
        <is>
          <t>NORRBOTTENS LÄN</t>
        </is>
      </c>
      <c r="E1841" t="inlineStr">
        <is>
          <t>ÖVERTORNEÅ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66542-2019</t>
        </is>
      </c>
      <c r="B1842" s="1" t="n">
        <v>43809</v>
      </c>
      <c r="C1842" s="1" t="n">
        <v>45798</v>
      </c>
      <c r="D1842" t="inlineStr">
        <is>
          <t>NORRBOTTENS LÄN</t>
        </is>
      </c>
      <c r="E1842" t="inlineStr">
        <is>
          <t>ÖVERTORNEÅ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67653-2019</t>
        </is>
      </c>
      <c r="B1843" s="1" t="n">
        <v>43809</v>
      </c>
      <c r="C1843" s="1" t="n">
        <v>45798</v>
      </c>
      <c r="D1843" t="inlineStr">
        <is>
          <t>NORRBOTTENS LÄN</t>
        </is>
      </c>
      <c r="E1843" t="inlineStr">
        <is>
          <t>PITEÅ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66404-2019</t>
        </is>
      </c>
      <c r="B1844" s="1" t="n">
        <v>43809</v>
      </c>
      <c r="C1844" s="1" t="n">
        <v>45798</v>
      </c>
      <c r="D1844" t="inlineStr">
        <is>
          <t>NORRBOTTENS LÄN</t>
        </is>
      </c>
      <c r="E1844" t="inlineStr">
        <is>
          <t>BODEN</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66536-2019</t>
        </is>
      </c>
      <c r="B1845" s="1" t="n">
        <v>43809</v>
      </c>
      <c r="C1845" s="1" t="n">
        <v>45798</v>
      </c>
      <c r="D1845" t="inlineStr">
        <is>
          <t>NORRBOTTENS LÄN</t>
        </is>
      </c>
      <c r="E1845" t="inlineStr">
        <is>
          <t>ÖVERTORNEÅ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66409-2019</t>
        </is>
      </c>
      <c r="B1846" s="1" t="n">
        <v>43809</v>
      </c>
      <c r="C1846" s="1" t="n">
        <v>45798</v>
      </c>
      <c r="D1846" t="inlineStr">
        <is>
          <t>NORRBOTTENS LÄN</t>
        </is>
      </c>
      <c r="E1846" t="inlineStr">
        <is>
          <t>GÄLLIVARE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66403-2019</t>
        </is>
      </c>
      <c r="B1847" s="1" t="n">
        <v>43809</v>
      </c>
      <c r="C1847" s="1" t="n">
        <v>45798</v>
      </c>
      <c r="D1847" t="inlineStr">
        <is>
          <t>NORRBOTTENS LÄN</t>
        </is>
      </c>
      <c r="E1847" t="inlineStr">
        <is>
          <t>ÄLVSBYN</t>
        </is>
      </c>
      <c r="F1847" t="inlineStr">
        <is>
          <t>Sveaskog</t>
        </is>
      </c>
      <c r="G1847" t="n">
        <v>16.9</v>
      </c>
      <c r="H1847" t="n">
        <v>0</v>
      </c>
      <c r="I1847" t="n">
        <v>0</v>
      </c>
      <c r="J1847" t="n">
        <v>0</v>
      </c>
      <c r="K1847" t="n">
        <v>0</v>
      </c>
      <c r="L1847" t="n">
        <v>0</v>
      </c>
      <c r="M1847" t="n">
        <v>0</v>
      </c>
      <c r="N1847" t="n">
        <v>0</v>
      </c>
      <c r="O1847" t="n">
        <v>0</v>
      </c>
      <c r="P1847" t="n">
        <v>0</v>
      </c>
      <c r="Q1847" t="n">
        <v>0</v>
      </c>
      <c r="R1847" s="2" t="inlineStr"/>
    </row>
    <row r="1848" ht="15" customHeight="1">
      <c r="A1848" t="inlineStr">
        <is>
          <t>A 66908-2019</t>
        </is>
      </c>
      <c r="B1848" s="1" t="n">
        <v>43810</v>
      </c>
      <c r="C1848" s="1" t="n">
        <v>45798</v>
      </c>
      <c r="D1848" t="inlineStr">
        <is>
          <t>NORRBOTTENS LÄN</t>
        </is>
      </c>
      <c r="E1848" t="inlineStr">
        <is>
          <t>BODEN</t>
        </is>
      </c>
      <c r="F1848" t="inlineStr">
        <is>
          <t>Sveaskog</t>
        </is>
      </c>
      <c r="G1848" t="n">
        <v>29.2</v>
      </c>
      <c r="H1848" t="n">
        <v>0</v>
      </c>
      <c r="I1848" t="n">
        <v>0</v>
      </c>
      <c r="J1848" t="n">
        <v>0</v>
      </c>
      <c r="K1848" t="n">
        <v>0</v>
      </c>
      <c r="L1848" t="n">
        <v>0</v>
      </c>
      <c r="M1848" t="n">
        <v>0</v>
      </c>
      <c r="N1848" t="n">
        <v>0</v>
      </c>
      <c r="O1848" t="n">
        <v>0</v>
      </c>
      <c r="P1848" t="n">
        <v>0</v>
      </c>
      <c r="Q1848" t="n">
        <v>0</v>
      </c>
      <c r="R1848" s="2" t="inlineStr"/>
    </row>
    <row r="1849" ht="15" customHeight="1">
      <c r="A1849" t="inlineStr">
        <is>
          <t>A 67864-2019</t>
        </is>
      </c>
      <c r="B1849" s="1" t="n">
        <v>43810</v>
      </c>
      <c r="C1849" s="1" t="n">
        <v>45798</v>
      </c>
      <c r="D1849" t="inlineStr">
        <is>
          <t>NORRBOTTENS LÄN</t>
        </is>
      </c>
      <c r="E1849" t="inlineStr">
        <is>
          <t>ÖVERTORNEÅ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67862-2019</t>
        </is>
      </c>
      <c r="B1850" s="1" t="n">
        <v>43810</v>
      </c>
      <c r="C1850" s="1" t="n">
        <v>45798</v>
      </c>
      <c r="D1850" t="inlineStr">
        <is>
          <t>NORRBOTTENS LÄN</t>
        </is>
      </c>
      <c r="E1850" t="inlineStr">
        <is>
          <t>ÖVERTORNEÅ</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67858-2019</t>
        </is>
      </c>
      <c r="B1851" s="1" t="n">
        <v>43810</v>
      </c>
      <c r="C1851" s="1" t="n">
        <v>45798</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67227-2019</t>
        </is>
      </c>
      <c r="B1852" s="1" t="n">
        <v>43811</v>
      </c>
      <c r="C1852" s="1" t="n">
        <v>45798</v>
      </c>
      <c r="D1852" t="inlineStr">
        <is>
          <t>NORRBOTTENS LÄN</t>
        </is>
      </c>
      <c r="E1852" t="inlineStr">
        <is>
          <t>JOKKMOKK</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68502-2019</t>
        </is>
      </c>
      <c r="B1853" s="1" t="n">
        <v>43811</v>
      </c>
      <c r="C1853" s="1" t="n">
        <v>45798</v>
      </c>
      <c r="D1853" t="inlineStr">
        <is>
          <t>NORRBOTTENS LÄN</t>
        </is>
      </c>
      <c r="E1853" t="inlineStr">
        <is>
          <t>GÄLLIVARE</t>
        </is>
      </c>
      <c r="F1853" t="inlineStr">
        <is>
          <t>Sveaskog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68576-2019</t>
        </is>
      </c>
      <c r="B1854" s="1" t="n">
        <v>43812</v>
      </c>
      <c r="C1854" s="1" t="n">
        <v>45798</v>
      </c>
      <c r="D1854" t="inlineStr">
        <is>
          <t>NORRBOTTENS LÄN</t>
        </is>
      </c>
      <c r="E1854" t="inlineStr">
        <is>
          <t>GÄLLIVARE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67809-2019</t>
        </is>
      </c>
      <c r="B1855" s="1" t="n">
        <v>43815</v>
      </c>
      <c r="C1855" s="1" t="n">
        <v>45798</v>
      </c>
      <c r="D1855" t="inlineStr">
        <is>
          <t>NORRBOTTENS LÄN</t>
        </is>
      </c>
      <c r="E1855" t="inlineStr">
        <is>
          <t>JOKKMOKK</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67830-2019</t>
        </is>
      </c>
      <c r="B1856" s="1" t="n">
        <v>43815</v>
      </c>
      <c r="C1856" s="1" t="n">
        <v>45798</v>
      </c>
      <c r="D1856" t="inlineStr">
        <is>
          <t>NORRBOTTENS LÄN</t>
        </is>
      </c>
      <c r="E1856" t="inlineStr">
        <is>
          <t>PAJALA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320-2020</t>
        </is>
      </c>
      <c r="B1857" s="1" t="n">
        <v>43816</v>
      </c>
      <c r="C1857" s="1" t="n">
        <v>45798</v>
      </c>
      <c r="D1857" t="inlineStr">
        <is>
          <t>NORRBOTTENS LÄN</t>
        </is>
      </c>
      <c r="E1857" t="inlineStr">
        <is>
          <t>PAJALA</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413-2020</t>
        </is>
      </c>
      <c r="B1858" s="1" t="n">
        <v>43816</v>
      </c>
      <c r="C1858" s="1" t="n">
        <v>45798</v>
      </c>
      <c r="D1858" t="inlineStr">
        <is>
          <t>NORRBOTTENS LÄN</t>
        </is>
      </c>
      <c r="E1858" t="inlineStr">
        <is>
          <t>PAJALA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68009-2019</t>
        </is>
      </c>
      <c r="B1859" s="1" t="n">
        <v>43816</v>
      </c>
      <c r="C1859" s="1" t="n">
        <v>45798</v>
      </c>
      <c r="D1859" t="inlineStr">
        <is>
          <t>NORRBOTTENS LÄN</t>
        </is>
      </c>
      <c r="E1859" t="inlineStr">
        <is>
          <t>KALIX</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67938-2019</t>
        </is>
      </c>
      <c r="B1860" s="1" t="n">
        <v>43816</v>
      </c>
      <c r="C1860" s="1" t="n">
        <v>45798</v>
      </c>
      <c r="D1860" t="inlineStr">
        <is>
          <t>NORRBOTTENS LÄN</t>
        </is>
      </c>
      <c r="E1860" t="inlineStr">
        <is>
          <t>BODEN</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602-2020</t>
        </is>
      </c>
      <c r="B1861" s="1" t="n">
        <v>43817</v>
      </c>
      <c r="C1861" s="1" t="n">
        <v>45798</v>
      </c>
      <c r="D1861" t="inlineStr">
        <is>
          <t>NORRBOTTENS LÄN</t>
        </is>
      </c>
      <c r="E1861" t="inlineStr">
        <is>
          <t>PITEÅ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68297-2019</t>
        </is>
      </c>
      <c r="B1862" s="1" t="n">
        <v>43817</v>
      </c>
      <c r="C1862" s="1" t="n">
        <v>45798</v>
      </c>
      <c r="D1862" t="inlineStr">
        <is>
          <t>NORRBOTTENS LÄN</t>
        </is>
      </c>
      <c r="E1862" t="inlineStr">
        <is>
          <t>GÄLLIVARE</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68307-2019</t>
        </is>
      </c>
      <c r="B1863" s="1" t="n">
        <v>43817</v>
      </c>
      <c r="C1863" s="1" t="n">
        <v>45798</v>
      </c>
      <c r="D1863" t="inlineStr">
        <is>
          <t>NORRBOTTENS LÄN</t>
        </is>
      </c>
      <c r="E1863" t="inlineStr">
        <is>
          <t>JOKKMOKK</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68225-2019</t>
        </is>
      </c>
      <c r="B1864" s="1" t="n">
        <v>43817</v>
      </c>
      <c r="C1864" s="1" t="n">
        <v>45798</v>
      </c>
      <c r="D1864" t="inlineStr">
        <is>
          <t>NORRBOTTENS LÄN</t>
        </is>
      </c>
      <c r="E1864" t="inlineStr">
        <is>
          <t>PITEÅ</t>
        </is>
      </c>
      <c r="F1864" t="inlineStr">
        <is>
          <t>Övriga Aktiebolag</t>
        </is>
      </c>
      <c r="G1864" t="n">
        <v>17.3</v>
      </c>
      <c r="H1864" t="n">
        <v>0</v>
      </c>
      <c r="I1864" t="n">
        <v>0</v>
      </c>
      <c r="J1864" t="n">
        <v>0</v>
      </c>
      <c r="K1864" t="n">
        <v>0</v>
      </c>
      <c r="L1864" t="n">
        <v>0</v>
      </c>
      <c r="M1864" t="n">
        <v>0</v>
      </c>
      <c r="N1864" t="n">
        <v>0</v>
      </c>
      <c r="O1864" t="n">
        <v>0</v>
      </c>
      <c r="P1864" t="n">
        <v>0</v>
      </c>
      <c r="Q1864" t="n">
        <v>0</v>
      </c>
      <c r="R1864" s="2" t="inlineStr"/>
    </row>
    <row r="1865" ht="15" customHeight="1">
      <c r="A1865" t="inlineStr">
        <is>
          <t>A 68207-2019</t>
        </is>
      </c>
      <c r="B1865" s="1" t="n">
        <v>43817</v>
      </c>
      <c r="C1865" s="1" t="n">
        <v>45798</v>
      </c>
      <c r="D1865" t="inlineStr">
        <is>
          <t>NORRBOTTENS LÄN</t>
        </is>
      </c>
      <c r="E1865" t="inlineStr">
        <is>
          <t>LULEÅ</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68301-2019</t>
        </is>
      </c>
      <c r="B1866" s="1" t="n">
        <v>43817</v>
      </c>
      <c r="C1866" s="1" t="n">
        <v>45798</v>
      </c>
      <c r="D1866" t="inlineStr">
        <is>
          <t>NORRBOTTENS LÄN</t>
        </is>
      </c>
      <c r="E1866" t="inlineStr">
        <is>
          <t>JOKKMOKK</t>
        </is>
      </c>
      <c r="F1866" t="inlineStr">
        <is>
          <t>SCA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68310-2019</t>
        </is>
      </c>
      <c r="B1867" s="1" t="n">
        <v>43817</v>
      </c>
      <c r="C1867" s="1" t="n">
        <v>45798</v>
      </c>
      <c r="D1867" t="inlineStr">
        <is>
          <t>NORRBOTTENS LÄN</t>
        </is>
      </c>
      <c r="E1867" t="inlineStr">
        <is>
          <t>JOKKMOKK</t>
        </is>
      </c>
      <c r="F1867" t="inlineStr">
        <is>
          <t>SCA</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68209-2019</t>
        </is>
      </c>
      <c r="B1868" s="1" t="n">
        <v>43817</v>
      </c>
      <c r="C1868" s="1" t="n">
        <v>45798</v>
      </c>
      <c r="D1868" t="inlineStr">
        <is>
          <t>NORRBOTTENS LÄN</t>
        </is>
      </c>
      <c r="E1868" t="inlineStr">
        <is>
          <t>LULEÅ</t>
        </is>
      </c>
      <c r="F1868" t="inlineStr">
        <is>
          <t>Övriga Aktiebolag</t>
        </is>
      </c>
      <c r="G1868" t="n">
        <v>10.1</v>
      </c>
      <c r="H1868" t="n">
        <v>0</v>
      </c>
      <c r="I1868" t="n">
        <v>0</v>
      </c>
      <c r="J1868" t="n">
        <v>0</v>
      </c>
      <c r="K1868" t="n">
        <v>0</v>
      </c>
      <c r="L1868" t="n">
        <v>0</v>
      </c>
      <c r="M1868" t="n">
        <v>0</v>
      </c>
      <c r="N1868" t="n">
        <v>0</v>
      </c>
      <c r="O1868" t="n">
        <v>0</v>
      </c>
      <c r="P1868" t="n">
        <v>0</v>
      </c>
      <c r="Q1868" t="n">
        <v>0</v>
      </c>
      <c r="R1868" s="2" t="inlineStr"/>
    </row>
    <row r="1869" ht="15" customHeight="1">
      <c r="A1869" t="inlineStr">
        <is>
          <t>A 68991-2019</t>
        </is>
      </c>
      <c r="B1869" s="1" t="n">
        <v>43818</v>
      </c>
      <c r="C1869" s="1" t="n">
        <v>45798</v>
      </c>
      <c r="D1869" t="inlineStr">
        <is>
          <t>NORRBOTTENS LÄN</t>
        </is>
      </c>
      <c r="E1869" t="inlineStr">
        <is>
          <t>ÄLVSBYN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68569-2019</t>
        </is>
      </c>
      <c r="B1870" s="1" t="n">
        <v>43818</v>
      </c>
      <c r="C1870" s="1" t="n">
        <v>45798</v>
      </c>
      <c r="D1870" t="inlineStr">
        <is>
          <t>NORRBOTTENS LÄN</t>
        </is>
      </c>
      <c r="E1870" t="inlineStr">
        <is>
          <t>GÄLLIVARE</t>
        </is>
      </c>
      <c r="F1870" t="inlineStr">
        <is>
          <t>Sveaskog</t>
        </is>
      </c>
      <c r="G1870" t="n">
        <v>41.5</v>
      </c>
      <c r="H1870" t="n">
        <v>0</v>
      </c>
      <c r="I1870" t="n">
        <v>0</v>
      </c>
      <c r="J1870" t="n">
        <v>0</v>
      </c>
      <c r="K1870" t="n">
        <v>0</v>
      </c>
      <c r="L1870" t="n">
        <v>0</v>
      </c>
      <c r="M1870" t="n">
        <v>0</v>
      </c>
      <c r="N1870" t="n">
        <v>0</v>
      </c>
      <c r="O1870" t="n">
        <v>0</v>
      </c>
      <c r="P1870" t="n">
        <v>0</v>
      </c>
      <c r="Q1870" t="n">
        <v>0</v>
      </c>
      <c r="R1870" s="2" t="inlineStr"/>
    </row>
    <row r="1871" ht="15" customHeight="1">
      <c r="A1871" t="inlineStr">
        <is>
          <t>A 938-2020</t>
        </is>
      </c>
      <c r="B1871" s="1" t="n">
        <v>43818</v>
      </c>
      <c r="C1871" s="1" t="n">
        <v>45798</v>
      </c>
      <c r="D1871" t="inlineStr">
        <is>
          <t>NORRBOTTENS LÄN</t>
        </is>
      </c>
      <c r="E1871" t="inlineStr">
        <is>
          <t>ARVIDSJAUR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68670-2019</t>
        </is>
      </c>
      <c r="B1872" s="1" t="n">
        <v>43818</v>
      </c>
      <c r="C1872" s="1" t="n">
        <v>45798</v>
      </c>
      <c r="D1872" t="inlineStr">
        <is>
          <t>NORRBOTTENS LÄN</t>
        </is>
      </c>
      <c r="E1872" t="inlineStr">
        <is>
          <t>ÄLVSBYN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934-2020</t>
        </is>
      </c>
      <c r="B1873" s="1" t="n">
        <v>43818</v>
      </c>
      <c r="C1873" s="1" t="n">
        <v>45798</v>
      </c>
      <c r="D1873" t="inlineStr">
        <is>
          <t>NORRBOTTENS LÄN</t>
        </is>
      </c>
      <c r="E1873" t="inlineStr">
        <is>
          <t>ARVIDSJAUR</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68498-2019</t>
        </is>
      </c>
      <c r="B1874" s="1" t="n">
        <v>43818</v>
      </c>
      <c r="C1874" s="1" t="n">
        <v>45798</v>
      </c>
      <c r="D1874" t="inlineStr">
        <is>
          <t>NORRBOTTENS LÄN</t>
        </is>
      </c>
      <c r="E1874" t="inlineStr">
        <is>
          <t>ÄLVSBYN</t>
        </is>
      </c>
      <c r="F1874" t="inlineStr">
        <is>
          <t>Övriga Aktiebolag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68660-2019</t>
        </is>
      </c>
      <c r="B1875" s="1" t="n">
        <v>43819</v>
      </c>
      <c r="C1875" s="1" t="n">
        <v>45798</v>
      </c>
      <c r="D1875" t="inlineStr">
        <is>
          <t>NORRBOTTENS LÄN</t>
        </is>
      </c>
      <c r="E1875" t="inlineStr">
        <is>
          <t>LULEÅ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68730-2019</t>
        </is>
      </c>
      <c r="B1876" s="1" t="n">
        <v>43819</v>
      </c>
      <c r="C1876" s="1" t="n">
        <v>45798</v>
      </c>
      <c r="D1876" t="inlineStr">
        <is>
          <t>NORRBOTTENS LÄN</t>
        </is>
      </c>
      <c r="E1876" t="inlineStr">
        <is>
          <t>KALIX</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68766-2019</t>
        </is>
      </c>
      <c r="B1877" s="1" t="n">
        <v>43819</v>
      </c>
      <c r="C1877" s="1" t="n">
        <v>45798</v>
      </c>
      <c r="D1877" t="inlineStr">
        <is>
          <t>NORRBOTTENS LÄN</t>
        </is>
      </c>
      <c r="E1877" t="inlineStr">
        <is>
          <t>KALIX</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687-2020</t>
        </is>
      </c>
      <c r="B1878" s="1" t="n">
        <v>43819</v>
      </c>
      <c r="C1878" s="1" t="n">
        <v>45798</v>
      </c>
      <c r="D1878" t="inlineStr">
        <is>
          <t>NORRBOTTENS LÄN</t>
        </is>
      </c>
      <c r="E1878" t="inlineStr">
        <is>
          <t>BODEN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68835-2019</t>
        </is>
      </c>
      <c r="B1879" s="1" t="n">
        <v>43819</v>
      </c>
      <c r="C1879" s="1" t="n">
        <v>45798</v>
      </c>
      <c r="D1879" t="inlineStr">
        <is>
          <t>NORRBOTTENS LÄN</t>
        </is>
      </c>
      <c r="E1879" t="inlineStr">
        <is>
          <t>ÖVERTORNEÅ</t>
        </is>
      </c>
      <c r="G1879" t="n">
        <v>12.4</v>
      </c>
      <c r="H1879" t="n">
        <v>0</v>
      </c>
      <c r="I1879" t="n">
        <v>0</v>
      </c>
      <c r="J1879" t="n">
        <v>0</v>
      </c>
      <c r="K1879" t="n">
        <v>0</v>
      </c>
      <c r="L1879" t="n">
        <v>0</v>
      </c>
      <c r="M1879" t="n">
        <v>0</v>
      </c>
      <c r="N1879" t="n">
        <v>0</v>
      </c>
      <c r="O1879" t="n">
        <v>0</v>
      </c>
      <c r="P1879" t="n">
        <v>0</v>
      </c>
      <c r="Q1879" t="n">
        <v>0</v>
      </c>
      <c r="R1879" s="2" t="inlineStr"/>
    </row>
    <row r="1880" ht="15" customHeight="1">
      <c r="A1880" t="inlineStr">
        <is>
          <t>A 995-2020</t>
        </is>
      </c>
      <c r="B1880" s="1" t="n">
        <v>43819</v>
      </c>
      <c r="C1880" s="1" t="n">
        <v>45798</v>
      </c>
      <c r="D1880" t="inlineStr">
        <is>
          <t>NORRBOTTENS LÄN</t>
        </is>
      </c>
      <c r="E1880" t="inlineStr">
        <is>
          <t>JOKKMOKK</t>
        </is>
      </c>
      <c r="G1880" t="n">
        <v>23.9</v>
      </c>
      <c r="H1880" t="n">
        <v>0</v>
      </c>
      <c r="I1880" t="n">
        <v>0</v>
      </c>
      <c r="J1880" t="n">
        <v>0</v>
      </c>
      <c r="K1880" t="n">
        <v>0</v>
      </c>
      <c r="L1880" t="n">
        <v>0</v>
      </c>
      <c r="M1880" t="n">
        <v>0</v>
      </c>
      <c r="N1880" t="n">
        <v>0</v>
      </c>
      <c r="O1880" t="n">
        <v>0</v>
      </c>
      <c r="P1880" t="n">
        <v>0</v>
      </c>
      <c r="Q1880" t="n">
        <v>0</v>
      </c>
      <c r="R1880" s="2" t="inlineStr"/>
    </row>
    <row r="1881" ht="15" customHeight="1">
      <c r="A1881" t="inlineStr">
        <is>
          <t>A 1082-2020</t>
        </is>
      </c>
      <c r="B1881" s="1" t="n">
        <v>43822</v>
      </c>
      <c r="C1881" s="1" t="n">
        <v>45798</v>
      </c>
      <c r="D1881" t="inlineStr">
        <is>
          <t>NORRBOTTENS LÄN</t>
        </is>
      </c>
      <c r="E1881" t="inlineStr">
        <is>
          <t>KALIX</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1208-2020</t>
        </is>
      </c>
      <c r="B1882" s="1" t="n">
        <v>43822</v>
      </c>
      <c r="C1882" s="1" t="n">
        <v>45798</v>
      </c>
      <c r="D1882" t="inlineStr">
        <is>
          <t>NORRBOTTENS LÄN</t>
        </is>
      </c>
      <c r="E1882" t="inlineStr">
        <is>
          <t>PITEÅ</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1092-2020</t>
        </is>
      </c>
      <c r="B1883" s="1" t="n">
        <v>43822</v>
      </c>
      <c r="C1883" s="1" t="n">
        <v>45798</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1212-2020</t>
        </is>
      </c>
      <c r="B1884" s="1" t="n">
        <v>43822</v>
      </c>
      <c r="C1884" s="1" t="n">
        <v>45798</v>
      </c>
      <c r="D1884" t="inlineStr">
        <is>
          <t>NORRBOTTENS LÄN</t>
        </is>
      </c>
      <c r="E1884" t="inlineStr">
        <is>
          <t>PITEÅ</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1518-2020</t>
        </is>
      </c>
      <c r="B1885" s="1" t="n">
        <v>43826</v>
      </c>
      <c r="C1885" s="1" t="n">
        <v>45798</v>
      </c>
      <c r="D1885" t="inlineStr">
        <is>
          <t>NORRBOTTENS LÄN</t>
        </is>
      </c>
      <c r="E1885" t="inlineStr">
        <is>
          <t>LULEÅ</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69070-2019</t>
        </is>
      </c>
      <c r="B1886" s="1" t="n">
        <v>43827</v>
      </c>
      <c r="C1886" s="1" t="n">
        <v>45798</v>
      </c>
      <c r="D1886" t="inlineStr">
        <is>
          <t>NORRBOTTENS LÄN</t>
        </is>
      </c>
      <c r="E1886" t="inlineStr">
        <is>
          <t>KALIX</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69085-2019</t>
        </is>
      </c>
      <c r="B1887" s="1" t="n">
        <v>43829</v>
      </c>
      <c r="C1887" s="1" t="n">
        <v>45798</v>
      </c>
      <c r="D1887" t="inlineStr">
        <is>
          <t>NORRBOTTENS LÄN</t>
        </is>
      </c>
      <c r="E1887" t="inlineStr">
        <is>
          <t>ÖVERTORNEÅ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1661-2020</t>
        </is>
      </c>
      <c r="B1888" s="1" t="n">
        <v>43832</v>
      </c>
      <c r="C1888" s="1" t="n">
        <v>45798</v>
      </c>
      <c r="D1888" t="inlineStr">
        <is>
          <t>NORRBOTTENS LÄN</t>
        </is>
      </c>
      <c r="E1888" t="inlineStr">
        <is>
          <t>ÄLVSBYN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1772-2020</t>
        </is>
      </c>
      <c r="B1889" s="1" t="n">
        <v>43832</v>
      </c>
      <c r="C1889" s="1" t="n">
        <v>45798</v>
      </c>
      <c r="D1889" t="inlineStr">
        <is>
          <t>NORRBOTTENS LÄN</t>
        </is>
      </c>
      <c r="E1889" t="inlineStr">
        <is>
          <t>LULEÅ</t>
        </is>
      </c>
      <c r="G1889" t="n">
        <v>16.4</v>
      </c>
      <c r="H1889" t="n">
        <v>0</v>
      </c>
      <c r="I1889" t="n">
        <v>0</v>
      </c>
      <c r="J1889" t="n">
        <v>0</v>
      </c>
      <c r="K1889" t="n">
        <v>0</v>
      </c>
      <c r="L1889" t="n">
        <v>0</v>
      </c>
      <c r="M1889" t="n">
        <v>0</v>
      </c>
      <c r="N1889" t="n">
        <v>0</v>
      </c>
      <c r="O1889" t="n">
        <v>0</v>
      </c>
      <c r="P1889" t="n">
        <v>0</v>
      </c>
      <c r="Q1889" t="n">
        <v>0</v>
      </c>
      <c r="R1889" s="2" t="inlineStr"/>
    </row>
    <row r="1890" ht="15" customHeight="1">
      <c r="A1890" t="inlineStr">
        <is>
          <t>A 179-2020</t>
        </is>
      </c>
      <c r="B1890" s="1" t="n">
        <v>43833</v>
      </c>
      <c r="C1890" s="1" t="n">
        <v>45798</v>
      </c>
      <c r="D1890" t="inlineStr">
        <is>
          <t>NORRBOTTENS LÄN</t>
        </is>
      </c>
      <c r="E1890" t="inlineStr">
        <is>
          <t>PITEÅ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1759-2020</t>
        </is>
      </c>
      <c r="B1891" s="1" t="n">
        <v>43833</v>
      </c>
      <c r="C1891" s="1" t="n">
        <v>45798</v>
      </c>
      <c r="D1891" t="inlineStr">
        <is>
          <t>NORRBOTTENS LÄN</t>
        </is>
      </c>
      <c r="E1891" t="inlineStr">
        <is>
          <t>LULEÅ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1769-2020</t>
        </is>
      </c>
      <c r="B1892" s="1" t="n">
        <v>43833</v>
      </c>
      <c r="C1892" s="1" t="n">
        <v>45798</v>
      </c>
      <c r="D1892" t="inlineStr">
        <is>
          <t>NORRBOTTENS LÄN</t>
        </is>
      </c>
      <c r="E1892" t="inlineStr">
        <is>
          <t>LULEÅ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816-2020</t>
        </is>
      </c>
      <c r="B1893" s="1" t="n">
        <v>43838</v>
      </c>
      <c r="C1893" s="1" t="n">
        <v>45798</v>
      </c>
      <c r="D1893" t="inlineStr">
        <is>
          <t>NORRBOTTENS LÄN</t>
        </is>
      </c>
      <c r="E1893" t="inlineStr">
        <is>
          <t>ARJEPLOG</t>
        </is>
      </c>
      <c r="F1893" t="inlineStr">
        <is>
          <t>SCA</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725-2020</t>
        </is>
      </c>
      <c r="B1894" s="1" t="n">
        <v>43838</v>
      </c>
      <c r="C1894" s="1" t="n">
        <v>45798</v>
      </c>
      <c r="D1894" t="inlineStr">
        <is>
          <t>NORRBOTTENS LÄN</t>
        </is>
      </c>
      <c r="E1894" t="inlineStr">
        <is>
          <t>LULEÅ</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815-2020</t>
        </is>
      </c>
      <c r="B1895" s="1" t="n">
        <v>43838</v>
      </c>
      <c r="C1895" s="1" t="n">
        <v>45798</v>
      </c>
      <c r="D1895" t="inlineStr">
        <is>
          <t>NORRBOTTENS LÄN</t>
        </is>
      </c>
      <c r="E1895" t="inlineStr">
        <is>
          <t>ARJEPLOG</t>
        </is>
      </c>
      <c r="F1895" t="inlineStr">
        <is>
          <t>SCA</t>
        </is>
      </c>
      <c r="G1895" t="n">
        <v>17.1</v>
      </c>
      <c r="H1895" t="n">
        <v>0</v>
      </c>
      <c r="I1895" t="n">
        <v>0</v>
      </c>
      <c r="J1895" t="n">
        <v>0</v>
      </c>
      <c r="K1895" t="n">
        <v>0</v>
      </c>
      <c r="L1895" t="n">
        <v>0</v>
      </c>
      <c r="M1895" t="n">
        <v>0</v>
      </c>
      <c r="N1895" t="n">
        <v>0</v>
      </c>
      <c r="O1895" t="n">
        <v>0</v>
      </c>
      <c r="P1895" t="n">
        <v>0</v>
      </c>
      <c r="Q1895" t="n">
        <v>0</v>
      </c>
      <c r="R1895" s="2" t="inlineStr"/>
    </row>
    <row r="1896" ht="15" customHeight="1">
      <c r="A1896" t="inlineStr">
        <is>
          <t>A 1932-2020</t>
        </is>
      </c>
      <c r="B1896" s="1" t="n">
        <v>43838</v>
      </c>
      <c r="C1896" s="1" t="n">
        <v>45798</v>
      </c>
      <c r="D1896" t="inlineStr">
        <is>
          <t>NORRBOTTENS LÄN</t>
        </is>
      </c>
      <c r="E1896" t="inlineStr">
        <is>
          <t>LULEÅ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796-2020</t>
        </is>
      </c>
      <c r="B1897" s="1" t="n">
        <v>43838</v>
      </c>
      <c r="C1897" s="1" t="n">
        <v>45798</v>
      </c>
      <c r="D1897" t="inlineStr">
        <is>
          <t>NORRBOTTENS LÄN</t>
        </is>
      </c>
      <c r="E1897" t="inlineStr">
        <is>
          <t>LULEÅ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2133-2020</t>
        </is>
      </c>
      <c r="B1898" s="1" t="n">
        <v>43839</v>
      </c>
      <c r="C1898" s="1" t="n">
        <v>45798</v>
      </c>
      <c r="D1898" t="inlineStr">
        <is>
          <t>NORRBOTTENS LÄN</t>
        </is>
      </c>
      <c r="E1898" t="inlineStr">
        <is>
          <t>ÄLVSBYN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2129-2020</t>
        </is>
      </c>
      <c r="B1899" s="1" t="n">
        <v>43839</v>
      </c>
      <c r="C1899" s="1" t="n">
        <v>45798</v>
      </c>
      <c r="D1899" t="inlineStr">
        <is>
          <t>NORRBOTTENS LÄN</t>
        </is>
      </c>
      <c r="E1899" t="inlineStr">
        <is>
          <t>ÄLVSBYN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1266-2020</t>
        </is>
      </c>
      <c r="B1900" s="1" t="n">
        <v>43840</v>
      </c>
      <c r="C1900" s="1" t="n">
        <v>45798</v>
      </c>
      <c r="D1900" t="inlineStr">
        <is>
          <t>NORRBOTTENS LÄN</t>
        </is>
      </c>
      <c r="E1900" t="inlineStr">
        <is>
          <t>LULEÅ</t>
        </is>
      </c>
      <c r="G1900" t="n">
        <v>14.8</v>
      </c>
      <c r="H1900" t="n">
        <v>0</v>
      </c>
      <c r="I1900" t="n">
        <v>0</v>
      </c>
      <c r="J1900" t="n">
        <v>0</v>
      </c>
      <c r="K1900" t="n">
        <v>0</v>
      </c>
      <c r="L1900" t="n">
        <v>0</v>
      </c>
      <c r="M1900" t="n">
        <v>0</v>
      </c>
      <c r="N1900" t="n">
        <v>0</v>
      </c>
      <c r="O1900" t="n">
        <v>0</v>
      </c>
      <c r="P1900" t="n">
        <v>0</v>
      </c>
      <c r="Q1900" t="n">
        <v>0</v>
      </c>
      <c r="R1900" s="2" t="inlineStr"/>
    </row>
    <row r="1901" ht="15" customHeight="1">
      <c r="A1901" t="inlineStr">
        <is>
          <t>A 1560-2020</t>
        </is>
      </c>
      <c r="B1901" s="1" t="n">
        <v>43843</v>
      </c>
      <c r="C1901" s="1" t="n">
        <v>45798</v>
      </c>
      <c r="D1901" t="inlineStr">
        <is>
          <t>NORRBOTTENS LÄN</t>
        </is>
      </c>
      <c r="E1901" t="inlineStr">
        <is>
          <t>BODEN</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1359-2020</t>
        </is>
      </c>
      <c r="B1902" s="1" t="n">
        <v>43843</v>
      </c>
      <c r="C1902" s="1" t="n">
        <v>45798</v>
      </c>
      <c r="D1902" t="inlineStr">
        <is>
          <t>NORRBOTTENS LÄN</t>
        </is>
      </c>
      <c r="E1902" t="inlineStr">
        <is>
          <t>ÖVERKALIX</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1402-2020</t>
        </is>
      </c>
      <c r="B1903" s="1" t="n">
        <v>43843</v>
      </c>
      <c r="C1903" s="1" t="n">
        <v>45798</v>
      </c>
      <c r="D1903" t="inlineStr">
        <is>
          <t>NORRBOTTENS LÄN</t>
        </is>
      </c>
      <c r="E1903" t="inlineStr">
        <is>
          <t>KALIX</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2837-2020</t>
        </is>
      </c>
      <c r="B1904" s="1" t="n">
        <v>43843</v>
      </c>
      <c r="C1904" s="1" t="n">
        <v>45798</v>
      </c>
      <c r="D1904" t="inlineStr">
        <is>
          <t>NORRBOTTENS LÄN</t>
        </is>
      </c>
      <c r="E1904" t="inlineStr">
        <is>
          <t>GÄLLIVARE</t>
        </is>
      </c>
      <c r="F1904" t="inlineStr">
        <is>
          <t>Sveaskog</t>
        </is>
      </c>
      <c r="G1904" t="n">
        <v>21.7</v>
      </c>
      <c r="H1904" t="n">
        <v>0</v>
      </c>
      <c r="I1904" t="n">
        <v>0</v>
      </c>
      <c r="J1904" t="n">
        <v>0</v>
      </c>
      <c r="K1904" t="n">
        <v>0</v>
      </c>
      <c r="L1904" t="n">
        <v>0</v>
      </c>
      <c r="M1904" t="n">
        <v>0</v>
      </c>
      <c r="N1904" t="n">
        <v>0</v>
      </c>
      <c r="O1904" t="n">
        <v>0</v>
      </c>
      <c r="P1904" t="n">
        <v>0</v>
      </c>
      <c r="Q1904" t="n">
        <v>0</v>
      </c>
      <c r="R1904" s="2" t="inlineStr"/>
    </row>
    <row r="1905" ht="15" customHeight="1">
      <c r="A1905" t="inlineStr">
        <is>
          <t>A 2578-2020</t>
        </is>
      </c>
      <c r="B1905" s="1" t="n">
        <v>43843</v>
      </c>
      <c r="C1905" s="1" t="n">
        <v>45798</v>
      </c>
      <c r="D1905" t="inlineStr">
        <is>
          <t>NORRBOTTENS LÄN</t>
        </is>
      </c>
      <c r="E1905" t="inlineStr">
        <is>
          <t>LULEÅ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2761-2020</t>
        </is>
      </c>
      <c r="B1906" s="1" t="n">
        <v>43843</v>
      </c>
      <c r="C1906" s="1" t="n">
        <v>45798</v>
      </c>
      <c r="D1906" t="inlineStr">
        <is>
          <t>NORRBOTTENS LÄN</t>
        </is>
      </c>
      <c r="E1906" t="inlineStr">
        <is>
          <t>GÄLLIVARE</t>
        </is>
      </c>
      <c r="F1906" t="inlineStr">
        <is>
          <t>Sveaskog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2804-2020</t>
        </is>
      </c>
      <c r="B1907" s="1" t="n">
        <v>43843</v>
      </c>
      <c r="C1907" s="1" t="n">
        <v>45798</v>
      </c>
      <c r="D1907" t="inlineStr">
        <is>
          <t>NORRBOTTENS LÄN</t>
        </is>
      </c>
      <c r="E1907" t="inlineStr">
        <is>
          <t>GÄLLIVARE</t>
        </is>
      </c>
      <c r="F1907" t="inlineStr">
        <is>
          <t>Sveaskog</t>
        </is>
      </c>
      <c r="G1907" t="n">
        <v>58.1</v>
      </c>
      <c r="H1907" t="n">
        <v>0</v>
      </c>
      <c r="I1907" t="n">
        <v>0</v>
      </c>
      <c r="J1907" t="n">
        <v>0</v>
      </c>
      <c r="K1907" t="n">
        <v>0</v>
      </c>
      <c r="L1907" t="n">
        <v>0</v>
      </c>
      <c r="M1907" t="n">
        <v>0</v>
      </c>
      <c r="N1907" t="n">
        <v>0</v>
      </c>
      <c r="O1907" t="n">
        <v>0</v>
      </c>
      <c r="P1907" t="n">
        <v>0</v>
      </c>
      <c r="Q1907" t="n">
        <v>0</v>
      </c>
      <c r="R1907" s="2" t="inlineStr"/>
    </row>
    <row r="1908" ht="15" customHeight="1">
      <c r="A1908" t="inlineStr">
        <is>
          <t>A 2768-2020</t>
        </is>
      </c>
      <c r="B1908" s="1" t="n">
        <v>43843</v>
      </c>
      <c r="C1908" s="1" t="n">
        <v>45798</v>
      </c>
      <c r="D1908" t="inlineStr">
        <is>
          <t>NORRBOTTENS LÄN</t>
        </is>
      </c>
      <c r="E1908" t="inlineStr">
        <is>
          <t>GÄLLIVARE</t>
        </is>
      </c>
      <c r="F1908" t="inlineStr">
        <is>
          <t>Sveaskog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2816-2020</t>
        </is>
      </c>
      <c r="B1909" s="1" t="n">
        <v>43843</v>
      </c>
      <c r="C1909" s="1" t="n">
        <v>45798</v>
      </c>
      <c r="D1909" t="inlineStr">
        <is>
          <t>NORRBOTTENS LÄN</t>
        </is>
      </c>
      <c r="E1909" t="inlineStr">
        <is>
          <t>GÄLLIVARE</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1435-2020</t>
        </is>
      </c>
      <c r="B1910" s="1" t="n">
        <v>43843</v>
      </c>
      <c r="C1910" s="1" t="n">
        <v>45798</v>
      </c>
      <c r="D1910" t="inlineStr">
        <is>
          <t>NORRBOTTENS LÄN</t>
        </is>
      </c>
      <c r="E1910" t="inlineStr">
        <is>
          <t>LULEÅ</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1621-2020</t>
        </is>
      </c>
      <c r="B1911" s="1" t="n">
        <v>43844</v>
      </c>
      <c r="C1911" s="1" t="n">
        <v>45798</v>
      </c>
      <c r="D1911" t="inlineStr">
        <is>
          <t>NORRBOTTENS LÄN</t>
        </is>
      </c>
      <c r="E1911" t="inlineStr">
        <is>
          <t>ARVIDSJAUR</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1839-2020</t>
        </is>
      </c>
      <c r="B1912" s="1" t="n">
        <v>43844</v>
      </c>
      <c r="C1912" s="1" t="n">
        <v>45798</v>
      </c>
      <c r="D1912" t="inlineStr">
        <is>
          <t>NORRBOTTENS LÄN</t>
        </is>
      </c>
      <c r="E1912" t="inlineStr">
        <is>
          <t>ÖVERKALIX</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1723-2020</t>
        </is>
      </c>
      <c r="B1913" s="1" t="n">
        <v>43844</v>
      </c>
      <c r="C1913" s="1" t="n">
        <v>45798</v>
      </c>
      <c r="D1913" t="inlineStr">
        <is>
          <t>NORRBOTTENS LÄN</t>
        </is>
      </c>
      <c r="E1913" t="inlineStr">
        <is>
          <t>GÄLLIVARE</t>
        </is>
      </c>
      <c r="F1913" t="inlineStr">
        <is>
          <t>Sveaskog</t>
        </is>
      </c>
      <c r="G1913" t="n">
        <v>16.9</v>
      </c>
      <c r="H1913" t="n">
        <v>0</v>
      </c>
      <c r="I1913" t="n">
        <v>0</v>
      </c>
      <c r="J1913" t="n">
        <v>0</v>
      </c>
      <c r="K1913" t="n">
        <v>0</v>
      </c>
      <c r="L1913" t="n">
        <v>0</v>
      </c>
      <c r="M1913" t="n">
        <v>0</v>
      </c>
      <c r="N1913" t="n">
        <v>0</v>
      </c>
      <c r="O1913" t="n">
        <v>0</v>
      </c>
      <c r="P1913" t="n">
        <v>0</v>
      </c>
      <c r="Q1913" t="n">
        <v>0</v>
      </c>
      <c r="R1913" s="2" t="inlineStr"/>
    </row>
    <row r="1914" ht="15" customHeight="1">
      <c r="A1914" t="inlineStr">
        <is>
          <t>A 1836-2020</t>
        </is>
      </c>
      <c r="B1914" s="1" t="n">
        <v>43844</v>
      </c>
      <c r="C1914" s="1" t="n">
        <v>45798</v>
      </c>
      <c r="D1914" t="inlineStr">
        <is>
          <t>NORRBOTTENS LÄN</t>
        </is>
      </c>
      <c r="E1914" t="inlineStr">
        <is>
          <t>ÖVERKALIX</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1849-2020</t>
        </is>
      </c>
      <c r="B1915" s="1" t="n">
        <v>43844</v>
      </c>
      <c r="C1915" s="1" t="n">
        <v>45798</v>
      </c>
      <c r="D1915" t="inlineStr">
        <is>
          <t>NORRBOTTENS LÄN</t>
        </is>
      </c>
      <c r="E1915" t="inlineStr">
        <is>
          <t>KALIX</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1832-2020</t>
        </is>
      </c>
      <c r="B1916" s="1" t="n">
        <v>43844</v>
      </c>
      <c r="C1916" s="1" t="n">
        <v>45798</v>
      </c>
      <c r="D1916" t="inlineStr">
        <is>
          <t>NORRBOTTENS LÄN</t>
        </is>
      </c>
      <c r="E1916" t="inlineStr">
        <is>
          <t>ÖVERKALIX</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3694-2020</t>
        </is>
      </c>
      <c r="B1917" s="1" t="n">
        <v>43845</v>
      </c>
      <c r="C1917" s="1" t="n">
        <v>45798</v>
      </c>
      <c r="D1917" t="inlineStr">
        <is>
          <t>NORRBOTTENS LÄN</t>
        </is>
      </c>
      <c r="E1917" t="inlineStr">
        <is>
          <t>ÖVERKALIX</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2275-2020</t>
        </is>
      </c>
      <c r="B1918" s="1" t="n">
        <v>43846</v>
      </c>
      <c r="C1918" s="1" t="n">
        <v>45798</v>
      </c>
      <c r="D1918" t="inlineStr">
        <is>
          <t>NORRBOTTENS LÄN</t>
        </is>
      </c>
      <c r="E1918" t="inlineStr">
        <is>
          <t>PITEÅ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2378-2020</t>
        </is>
      </c>
      <c r="B1919" s="1" t="n">
        <v>43846</v>
      </c>
      <c r="C1919" s="1" t="n">
        <v>45798</v>
      </c>
      <c r="D1919" t="inlineStr">
        <is>
          <t>NORRBOTTENS LÄN</t>
        </is>
      </c>
      <c r="E1919" t="inlineStr">
        <is>
          <t>LULEÅ</t>
        </is>
      </c>
      <c r="F1919" t="inlineStr">
        <is>
          <t>SCA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2375-2020</t>
        </is>
      </c>
      <c r="B1920" s="1" t="n">
        <v>43846</v>
      </c>
      <c r="C1920" s="1" t="n">
        <v>45798</v>
      </c>
      <c r="D1920" t="inlineStr">
        <is>
          <t>NORRBOTTENS LÄN</t>
        </is>
      </c>
      <c r="E1920" t="inlineStr">
        <is>
          <t>PAJALA</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3902-2020</t>
        </is>
      </c>
      <c r="B1921" s="1" t="n">
        <v>43846</v>
      </c>
      <c r="C1921" s="1" t="n">
        <v>45798</v>
      </c>
      <c r="D1921" t="inlineStr">
        <is>
          <t>NORRBOTTENS LÄN</t>
        </is>
      </c>
      <c r="E1921" t="inlineStr">
        <is>
          <t>ARVIDSJAUR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2439-2020</t>
        </is>
      </c>
      <c r="B1922" s="1" t="n">
        <v>43847</v>
      </c>
      <c r="C1922" s="1" t="n">
        <v>45798</v>
      </c>
      <c r="D1922" t="inlineStr">
        <is>
          <t>NORRBOTTENS LÄN</t>
        </is>
      </c>
      <c r="E1922" t="inlineStr">
        <is>
          <t>HAPARANDA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2558-2020</t>
        </is>
      </c>
      <c r="B1923" s="1" t="n">
        <v>43847</v>
      </c>
      <c r="C1923" s="1" t="n">
        <v>45798</v>
      </c>
      <c r="D1923" t="inlineStr">
        <is>
          <t>NORRBOTTENS LÄN</t>
        </is>
      </c>
      <c r="E1923" t="inlineStr">
        <is>
          <t>LULEÅ</t>
        </is>
      </c>
      <c r="F1923" t="inlineStr">
        <is>
          <t>Kyrkan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2430-2020</t>
        </is>
      </c>
      <c r="B1924" s="1" t="n">
        <v>43847</v>
      </c>
      <c r="C1924" s="1" t="n">
        <v>45798</v>
      </c>
      <c r="D1924" t="inlineStr">
        <is>
          <t>NORRBOTTENS LÄN</t>
        </is>
      </c>
      <c r="E1924" t="inlineStr">
        <is>
          <t>HAPARANDA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2719-2020</t>
        </is>
      </c>
      <c r="B1925" s="1" t="n">
        <v>43850</v>
      </c>
      <c r="C1925" s="1" t="n">
        <v>45798</v>
      </c>
      <c r="D1925" t="inlineStr">
        <is>
          <t>NORRBOTTENS LÄN</t>
        </is>
      </c>
      <c r="E1925" t="inlineStr">
        <is>
          <t>PAJALA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2901-2020</t>
        </is>
      </c>
      <c r="B1926" s="1" t="n">
        <v>43850</v>
      </c>
      <c r="C1926" s="1" t="n">
        <v>45798</v>
      </c>
      <c r="D1926" t="inlineStr">
        <is>
          <t>NORRBOTTENS LÄN</t>
        </is>
      </c>
      <c r="E1926" t="inlineStr">
        <is>
          <t>BODEN</t>
        </is>
      </c>
      <c r="F1926" t="inlineStr">
        <is>
          <t>Övriga statliga verk och myndigheter</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4433-2020</t>
        </is>
      </c>
      <c r="B1927" s="1" t="n">
        <v>43850</v>
      </c>
      <c r="C1927" s="1" t="n">
        <v>45798</v>
      </c>
      <c r="D1927" t="inlineStr">
        <is>
          <t>NORRBOTTENS LÄN</t>
        </is>
      </c>
      <c r="E1927" t="inlineStr">
        <is>
          <t>ARVIDSJAUR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4568-2020</t>
        </is>
      </c>
      <c r="B1928" s="1" t="n">
        <v>43850</v>
      </c>
      <c r="C1928" s="1" t="n">
        <v>45798</v>
      </c>
      <c r="D1928" t="inlineStr">
        <is>
          <t>NORRBOTTENS LÄN</t>
        </is>
      </c>
      <c r="E1928" t="inlineStr">
        <is>
          <t>ARVIDSJAUR</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4478-2020</t>
        </is>
      </c>
      <c r="B1929" s="1" t="n">
        <v>43850</v>
      </c>
      <c r="C1929" s="1" t="n">
        <v>45798</v>
      </c>
      <c r="D1929" t="inlineStr">
        <is>
          <t>NORRBOTTENS LÄN</t>
        </is>
      </c>
      <c r="E1929" t="inlineStr">
        <is>
          <t>HAPARANDA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2946-2020</t>
        </is>
      </c>
      <c r="B1930" s="1" t="n">
        <v>43850</v>
      </c>
      <c r="C1930" s="1" t="n">
        <v>45798</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2894-2020</t>
        </is>
      </c>
      <c r="B1931" s="1" t="n">
        <v>43850</v>
      </c>
      <c r="C1931" s="1" t="n">
        <v>45798</v>
      </c>
      <c r="D1931" t="inlineStr">
        <is>
          <t>NORRBOTTENS LÄN</t>
        </is>
      </c>
      <c r="E1931" t="inlineStr">
        <is>
          <t>BODEN</t>
        </is>
      </c>
      <c r="F1931" t="inlineStr">
        <is>
          <t>Övriga statliga verk och myndigheter</t>
        </is>
      </c>
      <c r="G1931" t="n">
        <v>19.1</v>
      </c>
      <c r="H1931" t="n">
        <v>0</v>
      </c>
      <c r="I1931" t="n">
        <v>0</v>
      </c>
      <c r="J1931" t="n">
        <v>0</v>
      </c>
      <c r="K1931" t="n">
        <v>0</v>
      </c>
      <c r="L1931" t="n">
        <v>0</v>
      </c>
      <c r="M1931" t="n">
        <v>0</v>
      </c>
      <c r="N1931" t="n">
        <v>0</v>
      </c>
      <c r="O1931" t="n">
        <v>0</v>
      </c>
      <c r="P1931" t="n">
        <v>0</v>
      </c>
      <c r="Q1931" t="n">
        <v>0</v>
      </c>
      <c r="R1931" s="2" t="inlineStr"/>
    </row>
    <row r="1932" ht="15" customHeight="1">
      <c r="A1932" t="inlineStr">
        <is>
          <t>A 3336-2020</t>
        </is>
      </c>
      <c r="B1932" s="1" t="n">
        <v>43852</v>
      </c>
      <c r="C1932" s="1" t="n">
        <v>45798</v>
      </c>
      <c r="D1932" t="inlineStr">
        <is>
          <t>NORRBOTTENS LÄN</t>
        </is>
      </c>
      <c r="E1932" t="inlineStr">
        <is>
          <t>HAPARANDA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3412-2020</t>
        </is>
      </c>
      <c r="B1933" s="1" t="n">
        <v>43852</v>
      </c>
      <c r="C1933" s="1" t="n">
        <v>45798</v>
      </c>
      <c r="D1933" t="inlineStr">
        <is>
          <t>NORRBOTTENS LÄN</t>
        </is>
      </c>
      <c r="E1933" t="inlineStr">
        <is>
          <t>HAPARANDA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3303-2020</t>
        </is>
      </c>
      <c r="B1934" s="1" t="n">
        <v>43852</v>
      </c>
      <c r="C1934" s="1" t="n">
        <v>45798</v>
      </c>
      <c r="D1934" t="inlineStr">
        <is>
          <t>NORRBOTTENS LÄN</t>
        </is>
      </c>
      <c r="E1934" t="inlineStr">
        <is>
          <t>LULEÅ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3308-2020</t>
        </is>
      </c>
      <c r="B1935" s="1" t="n">
        <v>43852</v>
      </c>
      <c r="C1935" s="1" t="n">
        <v>45798</v>
      </c>
      <c r="D1935" t="inlineStr">
        <is>
          <t>NORRBOTTENS LÄN</t>
        </is>
      </c>
      <c r="E1935" t="inlineStr">
        <is>
          <t>HAPARANDA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4680-2020</t>
        </is>
      </c>
      <c r="B1936" s="1" t="n">
        <v>43852</v>
      </c>
      <c r="C1936" s="1" t="n">
        <v>45798</v>
      </c>
      <c r="D1936" t="inlineStr">
        <is>
          <t>NORRBOTTENS LÄN</t>
        </is>
      </c>
      <c r="E1936" t="inlineStr">
        <is>
          <t>JOKKMOKK</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4785-2020</t>
        </is>
      </c>
      <c r="B1937" s="1" t="n">
        <v>43852</v>
      </c>
      <c r="C1937" s="1" t="n">
        <v>45798</v>
      </c>
      <c r="D1937" t="inlineStr">
        <is>
          <t>NORRBOTTENS LÄN</t>
        </is>
      </c>
      <c r="E1937" t="inlineStr">
        <is>
          <t>PITEÅ</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4882-2020</t>
        </is>
      </c>
      <c r="B1938" s="1" t="n">
        <v>43852</v>
      </c>
      <c r="C1938" s="1" t="n">
        <v>45798</v>
      </c>
      <c r="D1938" t="inlineStr">
        <is>
          <t>NORRBOTTENS LÄN</t>
        </is>
      </c>
      <c r="E1938" t="inlineStr">
        <is>
          <t>ÖVERTORNEÅ</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4667-2020</t>
        </is>
      </c>
      <c r="B1939" s="1" t="n">
        <v>43852</v>
      </c>
      <c r="C1939" s="1" t="n">
        <v>45798</v>
      </c>
      <c r="D1939" t="inlineStr">
        <is>
          <t>NORRBOTTENS LÄN</t>
        </is>
      </c>
      <c r="E1939" t="inlineStr">
        <is>
          <t>ÖVERKALIX</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3361-2020</t>
        </is>
      </c>
      <c r="B1940" s="1" t="n">
        <v>43852</v>
      </c>
      <c r="C1940" s="1" t="n">
        <v>45798</v>
      </c>
      <c r="D1940" t="inlineStr">
        <is>
          <t>NORRBOTTENS LÄN</t>
        </is>
      </c>
      <c r="E1940" t="inlineStr">
        <is>
          <t>HAPARANDA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3320-2020</t>
        </is>
      </c>
      <c r="B1941" s="1" t="n">
        <v>43852</v>
      </c>
      <c r="C1941" s="1" t="n">
        <v>45798</v>
      </c>
      <c r="D1941" t="inlineStr">
        <is>
          <t>NORRBOTTENS LÄN</t>
        </is>
      </c>
      <c r="E1941" t="inlineStr">
        <is>
          <t>HAPARANDA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5010-2020</t>
        </is>
      </c>
      <c r="B1942" s="1" t="n">
        <v>43853</v>
      </c>
      <c r="C1942" s="1" t="n">
        <v>45798</v>
      </c>
      <c r="D1942" t="inlineStr">
        <is>
          <t>NORRBOTTENS LÄN</t>
        </is>
      </c>
      <c r="E1942" t="inlineStr">
        <is>
          <t>PAJALA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5146-2020</t>
        </is>
      </c>
      <c r="B1943" s="1" t="n">
        <v>43853</v>
      </c>
      <c r="C1943" s="1" t="n">
        <v>45798</v>
      </c>
      <c r="D1943" t="inlineStr">
        <is>
          <t>NORRBOTTENS LÄN</t>
        </is>
      </c>
      <c r="E1943" t="inlineStr">
        <is>
          <t>PITEÅ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3707-2020</t>
        </is>
      </c>
      <c r="B1944" s="1" t="n">
        <v>43853</v>
      </c>
      <c r="C1944" s="1" t="n">
        <v>45798</v>
      </c>
      <c r="D1944" t="inlineStr">
        <is>
          <t>NORRBOTTENS LÄN</t>
        </is>
      </c>
      <c r="E1944" t="inlineStr">
        <is>
          <t>LULEÅ</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3669-2020</t>
        </is>
      </c>
      <c r="B1945" s="1" t="n">
        <v>43853</v>
      </c>
      <c r="C1945" s="1" t="n">
        <v>45798</v>
      </c>
      <c r="D1945" t="inlineStr">
        <is>
          <t>NORRBOTTENS LÄN</t>
        </is>
      </c>
      <c r="E1945" t="inlineStr">
        <is>
          <t>BODEN</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4997-2020</t>
        </is>
      </c>
      <c r="B1946" s="1" t="n">
        <v>43853</v>
      </c>
      <c r="C1946" s="1" t="n">
        <v>45798</v>
      </c>
      <c r="D1946" t="inlineStr">
        <is>
          <t>NORRBOTTENS LÄN</t>
        </is>
      </c>
      <c r="E1946" t="inlineStr">
        <is>
          <t>PAJALA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4223-2020</t>
        </is>
      </c>
      <c r="B1947" s="1" t="n">
        <v>43854</v>
      </c>
      <c r="C1947" s="1" t="n">
        <v>45798</v>
      </c>
      <c r="D1947" t="inlineStr">
        <is>
          <t>NORRBOTTENS LÄN</t>
        </is>
      </c>
      <c r="E1947" t="inlineStr">
        <is>
          <t>BODEN</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3807-2020</t>
        </is>
      </c>
      <c r="B1948" s="1" t="n">
        <v>43854</v>
      </c>
      <c r="C1948" s="1" t="n">
        <v>45798</v>
      </c>
      <c r="D1948" t="inlineStr">
        <is>
          <t>NORRBOTTENS LÄN</t>
        </is>
      </c>
      <c r="E1948" t="inlineStr">
        <is>
          <t>PITEÅ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5296-2020</t>
        </is>
      </c>
      <c r="B1949" s="1" t="n">
        <v>43854</v>
      </c>
      <c r="C1949" s="1" t="n">
        <v>45798</v>
      </c>
      <c r="D1949" t="inlineStr">
        <is>
          <t>NORRBOTTENS LÄN</t>
        </is>
      </c>
      <c r="E1949" t="inlineStr">
        <is>
          <t>KIRUNA</t>
        </is>
      </c>
      <c r="F1949" t="inlineStr">
        <is>
          <t>Allmännings- och besparingsskogar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4966-2020</t>
        </is>
      </c>
      <c r="B1950" s="1" t="n">
        <v>43857</v>
      </c>
      <c r="C1950" s="1" t="n">
        <v>45798</v>
      </c>
      <c r="D1950" t="inlineStr">
        <is>
          <t>NORRBOTTENS LÄN</t>
        </is>
      </c>
      <c r="E1950" t="inlineStr">
        <is>
          <t>KIRUNA</t>
        </is>
      </c>
      <c r="F1950" t="inlineStr">
        <is>
          <t>Kommuner</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4963-2020</t>
        </is>
      </c>
      <c r="B1951" s="1" t="n">
        <v>43857</v>
      </c>
      <c r="C1951" s="1" t="n">
        <v>45798</v>
      </c>
      <c r="D1951" t="inlineStr">
        <is>
          <t>NORRBOTTENS LÄN</t>
        </is>
      </c>
      <c r="E1951" t="inlineStr">
        <is>
          <t>KIRUNA</t>
        </is>
      </c>
      <c r="F1951" t="inlineStr">
        <is>
          <t>Övriga statliga verk och myndigheter</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5276-2020</t>
        </is>
      </c>
      <c r="B1952" s="1" t="n">
        <v>43857</v>
      </c>
      <c r="C1952" s="1" t="n">
        <v>45798</v>
      </c>
      <c r="D1952" t="inlineStr">
        <is>
          <t>NORRBOTTENS LÄN</t>
        </is>
      </c>
      <c r="E1952" t="inlineStr">
        <is>
          <t>ÖVERTORNEÅ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4962-2020</t>
        </is>
      </c>
      <c r="B1953" s="1" t="n">
        <v>43857</v>
      </c>
      <c r="C1953" s="1" t="n">
        <v>45798</v>
      </c>
      <c r="D1953" t="inlineStr">
        <is>
          <t>NORRBOTTENS LÄN</t>
        </is>
      </c>
      <c r="E1953" t="inlineStr">
        <is>
          <t>KIRUNA</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5469-2020</t>
        </is>
      </c>
      <c r="B1954" s="1" t="n">
        <v>43858</v>
      </c>
      <c r="C1954" s="1" t="n">
        <v>45798</v>
      </c>
      <c r="D1954" t="inlineStr">
        <is>
          <t>NORRBOTTENS LÄN</t>
        </is>
      </c>
      <c r="E1954" t="inlineStr">
        <is>
          <t>ÖVERTORNEÅ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4725-2020</t>
        </is>
      </c>
      <c r="B1955" s="1" t="n">
        <v>43858</v>
      </c>
      <c r="C1955" s="1" t="n">
        <v>45798</v>
      </c>
      <c r="D1955" t="inlineStr">
        <is>
          <t>NORRBOTTENS LÄN</t>
        </is>
      </c>
      <c r="E1955" t="inlineStr">
        <is>
          <t>ÖVERTORNEÅ</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5463-2020</t>
        </is>
      </c>
      <c r="B1956" s="1" t="n">
        <v>43858</v>
      </c>
      <c r="C1956" s="1" t="n">
        <v>45798</v>
      </c>
      <c r="D1956" t="inlineStr">
        <is>
          <t>NORRBOTTENS LÄN</t>
        </is>
      </c>
      <c r="E1956" t="inlineStr">
        <is>
          <t>ÖVERTORNEÅ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4793-2020</t>
        </is>
      </c>
      <c r="B1957" s="1" t="n">
        <v>43859</v>
      </c>
      <c r="C1957" s="1" t="n">
        <v>45798</v>
      </c>
      <c r="D1957" t="inlineStr">
        <is>
          <t>NORRBOTTENS LÄN</t>
        </is>
      </c>
      <c r="E1957" t="inlineStr">
        <is>
          <t>PITEÅ</t>
        </is>
      </c>
      <c r="F1957" t="inlineStr">
        <is>
          <t>Kommuner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4795-2020</t>
        </is>
      </c>
      <c r="B1958" s="1" t="n">
        <v>43859</v>
      </c>
      <c r="C1958" s="1" t="n">
        <v>45798</v>
      </c>
      <c r="D1958" t="inlineStr">
        <is>
          <t>NORRBOTTENS LÄN</t>
        </is>
      </c>
      <c r="E1958" t="inlineStr">
        <is>
          <t>PITEÅ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5014-2020</t>
        </is>
      </c>
      <c r="B1959" s="1" t="n">
        <v>43859</v>
      </c>
      <c r="C1959" s="1" t="n">
        <v>45798</v>
      </c>
      <c r="D1959" t="inlineStr">
        <is>
          <t>NORRBOTTENS LÄN</t>
        </is>
      </c>
      <c r="E1959" t="inlineStr">
        <is>
          <t>PITEÅ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5526-2020</t>
        </is>
      </c>
      <c r="B1960" s="1" t="n">
        <v>43859</v>
      </c>
      <c r="C1960" s="1" t="n">
        <v>45798</v>
      </c>
      <c r="D1960" t="inlineStr">
        <is>
          <t>NORRBOTTENS LÄN</t>
        </is>
      </c>
      <c r="E1960" t="inlineStr">
        <is>
          <t>BODEN</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5471-2020</t>
        </is>
      </c>
      <c r="B1961" s="1" t="n">
        <v>43859</v>
      </c>
      <c r="C1961" s="1" t="n">
        <v>45798</v>
      </c>
      <c r="D1961" t="inlineStr">
        <is>
          <t>NORRBOTTENS LÄN</t>
        </is>
      </c>
      <c r="E1961" t="inlineStr">
        <is>
          <t>PITEÅ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5475-2020</t>
        </is>
      </c>
      <c r="B1962" s="1" t="n">
        <v>43859</v>
      </c>
      <c r="C1962" s="1" t="n">
        <v>45798</v>
      </c>
      <c r="D1962" t="inlineStr">
        <is>
          <t>NORRBOTTENS LÄN</t>
        </is>
      </c>
      <c r="E1962" t="inlineStr">
        <is>
          <t>PITEÅ</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5322-2020</t>
        </is>
      </c>
      <c r="B1963" s="1" t="n">
        <v>43860</v>
      </c>
      <c r="C1963" s="1" t="n">
        <v>45798</v>
      </c>
      <c r="D1963" t="inlineStr">
        <is>
          <t>NORRBOTTENS LÄN</t>
        </is>
      </c>
      <c r="E1963" t="inlineStr">
        <is>
          <t>LULEÅ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5267-2020</t>
        </is>
      </c>
      <c r="B1964" s="1" t="n">
        <v>43860</v>
      </c>
      <c r="C1964" s="1" t="n">
        <v>45798</v>
      </c>
      <c r="D1964" t="inlineStr">
        <is>
          <t>NORRBOTTENS LÄN</t>
        </is>
      </c>
      <c r="E1964" t="inlineStr">
        <is>
          <t>PITEÅ</t>
        </is>
      </c>
      <c r="G1964" t="n">
        <v>19.3</v>
      </c>
      <c r="H1964" t="n">
        <v>0</v>
      </c>
      <c r="I1964" t="n">
        <v>0</v>
      </c>
      <c r="J1964" t="n">
        <v>0</v>
      </c>
      <c r="K1964" t="n">
        <v>0</v>
      </c>
      <c r="L1964" t="n">
        <v>0</v>
      </c>
      <c r="M1964" t="n">
        <v>0</v>
      </c>
      <c r="N1964" t="n">
        <v>0</v>
      </c>
      <c r="O1964" t="n">
        <v>0</v>
      </c>
      <c r="P1964" t="n">
        <v>0</v>
      </c>
      <c r="Q1964" t="n">
        <v>0</v>
      </c>
      <c r="R1964" s="2" t="inlineStr"/>
    </row>
    <row r="1965" ht="15" customHeight="1">
      <c r="A1965" t="inlineStr">
        <is>
          <t>A 5361-2020</t>
        </is>
      </c>
      <c r="B1965" s="1" t="n">
        <v>43860</v>
      </c>
      <c r="C1965" s="1" t="n">
        <v>45798</v>
      </c>
      <c r="D1965" t="inlineStr">
        <is>
          <t>NORRBOTTENS LÄN</t>
        </is>
      </c>
      <c r="E1965" t="inlineStr">
        <is>
          <t>ÖVERKALIX</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5419-2020</t>
        </is>
      </c>
      <c r="B1966" s="1" t="n">
        <v>43860</v>
      </c>
      <c r="C1966" s="1" t="n">
        <v>45798</v>
      </c>
      <c r="D1966" t="inlineStr">
        <is>
          <t>NORRBOTTENS LÄN</t>
        </is>
      </c>
      <c r="E1966" t="inlineStr">
        <is>
          <t>LULEÅ</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5853-2020</t>
        </is>
      </c>
      <c r="B1967" s="1" t="n">
        <v>43861</v>
      </c>
      <c r="C1967" s="1" t="n">
        <v>45798</v>
      </c>
      <c r="D1967" t="inlineStr">
        <is>
          <t>NORRBOTTENS LÄN</t>
        </is>
      </c>
      <c r="E1967" t="inlineStr">
        <is>
          <t>PAJALA</t>
        </is>
      </c>
      <c r="G1967" t="n">
        <v>13.9</v>
      </c>
      <c r="H1967" t="n">
        <v>0</v>
      </c>
      <c r="I1967" t="n">
        <v>0</v>
      </c>
      <c r="J1967" t="n">
        <v>0</v>
      </c>
      <c r="K1967" t="n">
        <v>0</v>
      </c>
      <c r="L1967" t="n">
        <v>0</v>
      </c>
      <c r="M1967" t="n">
        <v>0</v>
      </c>
      <c r="N1967" t="n">
        <v>0</v>
      </c>
      <c r="O1967" t="n">
        <v>0</v>
      </c>
      <c r="P1967" t="n">
        <v>0</v>
      </c>
      <c r="Q1967" t="n">
        <v>0</v>
      </c>
      <c r="R1967" s="2" t="inlineStr"/>
    </row>
    <row r="1968" ht="15" customHeight="1">
      <c r="A1968" t="inlineStr">
        <is>
          <t>A 5892-2020</t>
        </is>
      </c>
      <c r="B1968" s="1" t="n">
        <v>43861</v>
      </c>
      <c r="C1968" s="1" t="n">
        <v>45798</v>
      </c>
      <c r="D1968" t="inlineStr">
        <is>
          <t>NORRBOTTENS LÄN</t>
        </is>
      </c>
      <c r="E1968" t="inlineStr">
        <is>
          <t>KALIX</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18460-2020</t>
        </is>
      </c>
      <c r="B1969" s="1" t="n">
        <v>43861</v>
      </c>
      <c r="C1969" s="1" t="n">
        <v>45798</v>
      </c>
      <c r="D1969" t="inlineStr">
        <is>
          <t>NORRBOTTENS LÄN</t>
        </is>
      </c>
      <c r="E1969" t="inlineStr">
        <is>
          <t>PAJALA</t>
        </is>
      </c>
      <c r="G1969" t="n">
        <v>32.9</v>
      </c>
      <c r="H1969" t="n">
        <v>0</v>
      </c>
      <c r="I1969" t="n">
        <v>0</v>
      </c>
      <c r="J1969" t="n">
        <v>0</v>
      </c>
      <c r="K1969" t="n">
        <v>0</v>
      </c>
      <c r="L1969" t="n">
        <v>0</v>
      </c>
      <c r="M1969" t="n">
        <v>0</v>
      </c>
      <c r="N1969" t="n">
        <v>0</v>
      </c>
      <c r="O1969" t="n">
        <v>0</v>
      </c>
      <c r="P1969" t="n">
        <v>0</v>
      </c>
      <c r="Q1969" t="n">
        <v>0</v>
      </c>
      <c r="R1969" s="2" t="inlineStr"/>
    </row>
    <row r="1970" ht="15" customHeight="1">
      <c r="A1970" t="inlineStr">
        <is>
          <t>A 5844-2020</t>
        </is>
      </c>
      <c r="B1970" s="1" t="n">
        <v>43861</v>
      </c>
      <c r="C1970" s="1" t="n">
        <v>45798</v>
      </c>
      <c r="D1970" t="inlineStr">
        <is>
          <t>NORRBOTTENS LÄN</t>
        </is>
      </c>
      <c r="E1970" t="inlineStr">
        <is>
          <t>HAPARANDA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5873-2020</t>
        </is>
      </c>
      <c r="B1971" s="1" t="n">
        <v>43861</v>
      </c>
      <c r="C1971" s="1" t="n">
        <v>45798</v>
      </c>
      <c r="D1971" t="inlineStr">
        <is>
          <t>NORRBOTTENS LÄN</t>
        </is>
      </c>
      <c r="E1971" t="inlineStr">
        <is>
          <t>HAPARANDA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5784-2020</t>
        </is>
      </c>
      <c r="B1972" s="1" t="n">
        <v>43864</v>
      </c>
      <c r="C1972" s="1" t="n">
        <v>45798</v>
      </c>
      <c r="D1972" t="inlineStr">
        <is>
          <t>NORRBOTTENS LÄN</t>
        </is>
      </c>
      <c r="E1972" t="inlineStr">
        <is>
          <t>ÖVERTORNEÅ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5782-2020</t>
        </is>
      </c>
      <c r="B1973" s="1" t="n">
        <v>43864</v>
      </c>
      <c r="C1973" s="1" t="n">
        <v>45798</v>
      </c>
      <c r="D1973" t="inlineStr">
        <is>
          <t>NORRBOTTENS LÄN</t>
        </is>
      </c>
      <c r="E1973" t="inlineStr">
        <is>
          <t>ÖVERTORNEÅ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6132-2020</t>
        </is>
      </c>
      <c r="B1974" s="1" t="n">
        <v>43864</v>
      </c>
      <c r="C1974" s="1" t="n">
        <v>45798</v>
      </c>
      <c r="D1974" t="inlineStr">
        <is>
          <t>NORRBOTTENS LÄN</t>
        </is>
      </c>
      <c r="E1974" t="inlineStr">
        <is>
          <t>ÖVERTORNEÅ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6131-2020</t>
        </is>
      </c>
      <c r="B1975" s="1" t="n">
        <v>43864</v>
      </c>
      <c r="C1975" s="1" t="n">
        <v>45798</v>
      </c>
      <c r="D1975" t="inlineStr">
        <is>
          <t>NORRBOTTENS LÄN</t>
        </is>
      </c>
      <c r="E1975" t="inlineStr">
        <is>
          <t>ÖVERTORNEÅ</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6093-2020</t>
        </is>
      </c>
      <c r="B1976" s="1" t="n">
        <v>43864</v>
      </c>
      <c r="C1976" s="1" t="n">
        <v>45798</v>
      </c>
      <c r="D1976" t="inlineStr">
        <is>
          <t>NORRBOTTENS LÄN</t>
        </is>
      </c>
      <c r="E1976" t="inlineStr">
        <is>
          <t>KALIX</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6218-2020</t>
        </is>
      </c>
      <c r="B1977" s="1" t="n">
        <v>43865</v>
      </c>
      <c r="C1977" s="1" t="n">
        <v>45798</v>
      </c>
      <c r="D1977" t="inlineStr">
        <is>
          <t>NORRBOTTENS LÄN</t>
        </is>
      </c>
      <c r="E1977" t="inlineStr">
        <is>
          <t>KALIX</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6516-2020</t>
        </is>
      </c>
      <c r="B1978" s="1" t="n">
        <v>43865</v>
      </c>
      <c r="C1978" s="1" t="n">
        <v>45798</v>
      </c>
      <c r="D1978" t="inlineStr">
        <is>
          <t>NORRBOTTENS LÄN</t>
        </is>
      </c>
      <c r="E1978" t="inlineStr">
        <is>
          <t>BODEN</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6350-2020</t>
        </is>
      </c>
      <c r="B1979" s="1" t="n">
        <v>43866</v>
      </c>
      <c r="C1979" s="1" t="n">
        <v>45798</v>
      </c>
      <c r="D1979" t="inlineStr">
        <is>
          <t>NORRBOTTENS LÄN</t>
        </is>
      </c>
      <c r="E1979" t="inlineStr">
        <is>
          <t>KALIX</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6644-2020</t>
        </is>
      </c>
      <c r="B1980" s="1" t="n">
        <v>43867</v>
      </c>
      <c r="C1980" s="1" t="n">
        <v>45798</v>
      </c>
      <c r="D1980" t="inlineStr">
        <is>
          <t>NORRBOTTENS LÄN</t>
        </is>
      </c>
      <c r="E1980" t="inlineStr">
        <is>
          <t>LULEÅ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6641-2020</t>
        </is>
      </c>
      <c r="B1981" s="1" t="n">
        <v>43867</v>
      </c>
      <c r="C1981" s="1" t="n">
        <v>45798</v>
      </c>
      <c r="D1981" t="inlineStr">
        <is>
          <t>NORRBOTTENS LÄN</t>
        </is>
      </c>
      <c r="E1981" t="inlineStr">
        <is>
          <t>LULEÅ</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6878-2020</t>
        </is>
      </c>
      <c r="B1982" s="1" t="n">
        <v>43867</v>
      </c>
      <c r="C1982" s="1" t="n">
        <v>45798</v>
      </c>
      <c r="D1982" t="inlineStr">
        <is>
          <t>NORRBOTTENS LÄN</t>
        </is>
      </c>
      <c r="E1982" t="inlineStr">
        <is>
          <t>LULEÅ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6889-2020</t>
        </is>
      </c>
      <c r="B1983" s="1" t="n">
        <v>43867</v>
      </c>
      <c r="C1983" s="1" t="n">
        <v>45798</v>
      </c>
      <c r="D1983" t="inlineStr">
        <is>
          <t>NORRBOTTENS LÄN</t>
        </is>
      </c>
      <c r="E1983" t="inlineStr">
        <is>
          <t>HAPARANDA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7015-2020</t>
        </is>
      </c>
      <c r="B1984" s="1" t="n">
        <v>43867</v>
      </c>
      <c r="C1984" s="1" t="n">
        <v>45798</v>
      </c>
      <c r="D1984" t="inlineStr">
        <is>
          <t>NORRBOTTENS LÄN</t>
        </is>
      </c>
      <c r="E1984" t="inlineStr">
        <is>
          <t>PAJALA</t>
        </is>
      </c>
      <c r="F1984" t="inlineStr">
        <is>
          <t>Allmännings- och besparingsskogar</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7019-2020</t>
        </is>
      </c>
      <c r="B1985" s="1" t="n">
        <v>43868</v>
      </c>
      <c r="C1985" s="1" t="n">
        <v>45798</v>
      </c>
      <c r="D1985" t="inlineStr">
        <is>
          <t>NORRBOTTENS LÄN</t>
        </is>
      </c>
      <c r="E1985" t="inlineStr">
        <is>
          <t>ÄLVSBYN</t>
        </is>
      </c>
      <c r="F1985" t="inlineStr">
        <is>
          <t>Övriga Aktiebolag</t>
        </is>
      </c>
      <c r="G1985" t="n">
        <v>16.3</v>
      </c>
      <c r="H1985" t="n">
        <v>0</v>
      </c>
      <c r="I1985" t="n">
        <v>0</v>
      </c>
      <c r="J1985" t="n">
        <v>0</v>
      </c>
      <c r="K1985" t="n">
        <v>0</v>
      </c>
      <c r="L1985" t="n">
        <v>0</v>
      </c>
      <c r="M1985" t="n">
        <v>0</v>
      </c>
      <c r="N1985" t="n">
        <v>0</v>
      </c>
      <c r="O1985" t="n">
        <v>0</v>
      </c>
      <c r="P1985" t="n">
        <v>0</v>
      </c>
      <c r="Q1985" t="n">
        <v>0</v>
      </c>
      <c r="R1985" s="2" t="inlineStr"/>
    </row>
    <row r="1986" ht="15" customHeight="1">
      <c r="A1986" t="inlineStr">
        <is>
          <t>A 7295-2020</t>
        </is>
      </c>
      <c r="B1986" s="1" t="n">
        <v>43868</v>
      </c>
      <c r="C1986" s="1" t="n">
        <v>45798</v>
      </c>
      <c r="D1986" t="inlineStr">
        <is>
          <t>NORRBOTTENS LÄN</t>
        </is>
      </c>
      <c r="E1986" t="inlineStr">
        <is>
          <t>PITEÅ</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7263-2020</t>
        </is>
      </c>
      <c r="B1987" s="1" t="n">
        <v>43868</v>
      </c>
      <c r="C1987" s="1" t="n">
        <v>45798</v>
      </c>
      <c r="D1987" t="inlineStr">
        <is>
          <t>NORRBOTTENS LÄN</t>
        </is>
      </c>
      <c r="E1987" t="inlineStr">
        <is>
          <t>PITEÅ</t>
        </is>
      </c>
      <c r="G1987" t="n">
        <v>21.5</v>
      </c>
      <c r="H1987" t="n">
        <v>0</v>
      </c>
      <c r="I1987" t="n">
        <v>0</v>
      </c>
      <c r="J1987" t="n">
        <v>0</v>
      </c>
      <c r="K1987" t="n">
        <v>0</v>
      </c>
      <c r="L1987" t="n">
        <v>0</v>
      </c>
      <c r="M1987" t="n">
        <v>0</v>
      </c>
      <c r="N1987" t="n">
        <v>0</v>
      </c>
      <c r="O1987" t="n">
        <v>0</v>
      </c>
      <c r="P1987" t="n">
        <v>0</v>
      </c>
      <c r="Q1987" t="n">
        <v>0</v>
      </c>
      <c r="R1987" s="2" t="inlineStr"/>
    </row>
    <row r="1988" ht="15" customHeight="1">
      <c r="A1988" t="inlineStr">
        <is>
          <t>A 7299-2020</t>
        </is>
      </c>
      <c r="B1988" s="1" t="n">
        <v>43868</v>
      </c>
      <c r="C1988" s="1" t="n">
        <v>45798</v>
      </c>
      <c r="D1988" t="inlineStr">
        <is>
          <t>NORRBOTTENS LÄN</t>
        </is>
      </c>
      <c r="E1988" t="inlineStr">
        <is>
          <t>LULEÅ</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7137-2020</t>
        </is>
      </c>
      <c r="B1989" s="1" t="n">
        <v>43869</v>
      </c>
      <c r="C1989" s="1" t="n">
        <v>45798</v>
      </c>
      <c r="D1989" t="inlineStr">
        <is>
          <t>NORRBOTTENS LÄN</t>
        </is>
      </c>
      <c r="E1989" t="inlineStr">
        <is>
          <t>LULEÅ</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7559-2020</t>
        </is>
      </c>
      <c r="B1990" s="1" t="n">
        <v>43871</v>
      </c>
      <c r="C1990" s="1" t="n">
        <v>45798</v>
      </c>
      <c r="D1990" t="inlineStr">
        <is>
          <t>NORRBOTTENS LÄN</t>
        </is>
      </c>
      <c r="E1990" t="inlineStr">
        <is>
          <t>LULEÅ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7525-2020</t>
        </is>
      </c>
      <c r="B1991" s="1" t="n">
        <v>43872</v>
      </c>
      <c r="C1991" s="1" t="n">
        <v>45798</v>
      </c>
      <c r="D1991" t="inlineStr">
        <is>
          <t>NORRBOTTENS LÄN</t>
        </is>
      </c>
      <c r="E1991" t="inlineStr">
        <is>
          <t>KALIX</t>
        </is>
      </c>
      <c r="F1991" t="inlineStr">
        <is>
          <t>Övriga statliga verk och myndigheter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8041-2020</t>
        </is>
      </c>
      <c r="B1992" s="1" t="n">
        <v>43873</v>
      </c>
      <c r="C1992" s="1" t="n">
        <v>45798</v>
      </c>
      <c r="D1992" t="inlineStr">
        <is>
          <t>NORRBOTTENS LÄN</t>
        </is>
      </c>
      <c r="E1992" t="inlineStr">
        <is>
          <t>ÖVERTORNEÅ</t>
        </is>
      </c>
      <c r="G1992" t="n">
        <v>27.6</v>
      </c>
      <c r="H1992" t="n">
        <v>0</v>
      </c>
      <c r="I1992" t="n">
        <v>0</v>
      </c>
      <c r="J1992" t="n">
        <v>0</v>
      </c>
      <c r="K1992" t="n">
        <v>0</v>
      </c>
      <c r="L1992" t="n">
        <v>0</v>
      </c>
      <c r="M1992" t="n">
        <v>0</v>
      </c>
      <c r="N1992" t="n">
        <v>0</v>
      </c>
      <c r="O1992" t="n">
        <v>0</v>
      </c>
      <c r="P1992" t="n">
        <v>0</v>
      </c>
      <c r="Q1992" t="n">
        <v>0</v>
      </c>
      <c r="R1992" s="2" t="inlineStr"/>
    </row>
    <row r="1993" ht="15" customHeight="1">
      <c r="A1993" t="inlineStr">
        <is>
          <t>A 8096-2020</t>
        </is>
      </c>
      <c r="B1993" s="1" t="n">
        <v>43874</v>
      </c>
      <c r="C1993" s="1" t="n">
        <v>45798</v>
      </c>
      <c r="D1993" t="inlineStr">
        <is>
          <t>NORRBOTTENS LÄN</t>
        </is>
      </c>
      <c r="E1993" t="inlineStr">
        <is>
          <t>BODEN</t>
        </is>
      </c>
      <c r="F1993" t="inlineStr">
        <is>
          <t>Övriga statliga verk och myndigheter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8046-2020</t>
        </is>
      </c>
      <c r="B1994" s="1" t="n">
        <v>43874</v>
      </c>
      <c r="C1994" s="1" t="n">
        <v>45798</v>
      </c>
      <c r="D1994" t="inlineStr">
        <is>
          <t>NORRBOTTENS LÄN</t>
        </is>
      </c>
      <c r="E1994" t="inlineStr">
        <is>
          <t>PITEÅ</t>
        </is>
      </c>
      <c r="F1994" t="inlineStr">
        <is>
          <t>Övriga Aktiebolag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8582-2020</t>
        </is>
      </c>
      <c r="B1995" s="1" t="n">
        <v>43875</v>
      </c>
      <c r="C1995" s="1" t="n">
        <v>45798</v>
      </c>
      <c r="D1995" t="inlineStr">
        <is>
          <t>NORRBOTTENS LÄN</t>
        </is>
      </c>
      <c r="E1995" t="inlineStr">
        <is>
          <t>ÖVERKALIX</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8575-2020</t>
        </is>
      </c>
      <c r="B1996" s="1" t="n">
        <v>43875</v>
      </c>
      <c r="C1996" s="1" t="n">
        <v>45798</v>
      </c>
      <c r="D1996" t="inlineStr">
        <is>
          <t>NORRBOTTENS LÄN</t>
        </is>
      </c>
      <c r="E1996" t="inlineStr">
        <is>
          <t>GÄLLIVARE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8572-2020</t>
        </is>
      </c>
      <c r="B1997" s="1" t="n">
        <v>43875</v>
      </c>
      <c r="C1997" s="1" t="n">
        <v>45798</v>
      </c>
      <c r="D1997" t="inlineStr">
        <is>
          <t>NORRBOTTENS LÄN</t>
        </is>
      </c>
      <c r="E1997" t="inlineStr">
        <is>
          <t>GÄLLIVARE</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8617-2020</t>
        </is>
      </c>
      <c r="B1998" s="1" t="n">
        <v>43875</v>
      </c>
      <c r="C1998" s="1" t="n">
        <v>45798</v>
      </c>
      <c r="D1998" t="inlineStr">
        <is>
          <t>NORRBOTTENS LÄN</t>
        </is>
      </c>
      <c r="E1998" t="inlineStr">
        <is>
          <t>LULEÅ</t>
        </is>
      </c>
      <c r="G1998" t="n">
        <v>21.8</v>
      </c>
      <c r="H1998" t="n">
        <v>0</v>
      </c>
      <c r="I1998" t="n">
        <v>0</v>
      </c>
      <c r="J1998" t="n">
        <v>0</v>
      </c>
      <c r="K1998" t="n">
        <v>0</v>
      </c>
      <c r="L1998" t="n">
        <v>0</v>
      </c>
      <c r="M1998" t="n">
        <v>0</v>
      </c>
      <c r="N1998" t="n">
        <v>0</v>
      </c>
      <c r="O1998" t="n">
        <v>0</v>
      </c>
      <c r="P1998" t="n">
        <v>0</v>
      </c>
      <c r="Q1998" t="n">
        <v>0</v>
      </c>
      <c r="R1998" s="2" t="inlineStr"/>
    </row>
    <row r="1999" ht="15" customHeight="1">
      <c r="A1999" t="inlineStr">
        <is>
          <t>A 8650-2020</t>
        </is>
      </c>
      <c r="B1999" s="1" t="n">
        <v>43878</v>
      </c>
      <c r="C1999" s="1" t="n">
        <v>45798</v>
      </c>
      <c r="D1999" t="inlineStr">
        <is>
          <t>NORRBOTTENS LÄN</t>
        </is>
      </c>
      <c r="E1999" t="inlineStr">
        <is>
          <t>PITEÅ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9111-2020</t>
        </is>
      </c>
      <c r="B2000" s="1" t="n">
        <v>43879</v>
      </c>
      <c r="C2000" s="1" t="n">
        <v>45798</v>
      </c>
      <c r="D2000" t="inlineStr">
        <is>
          <t>NORRBOTTENS LÄN</t>
        </is>
      </c>
      <c r="E2000" t="inlineStr">
        <is>
          <t>HAPARANDA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9110-2020</t>
        </is>
      </c>
      <c r="B2001" s="1" t="n">
        <v>43879</v>
      </c>
      <c r="C2001" s="1" t="n">
        <v>45798</v>
      </c>
      <c r="D2001" t="inlineStr">
        <is>
          <t>NORRBOTTENS LÄN</t>
        </is>
      </c>
      <c r="E2001" t="inlineStr">
        <is>
          <t>HAPARANDA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9108-2020</t>
        </is>
      </c>
      <c r="B2002" s="1" t="n">
        <v>43879</v>
      </c>
      <c r="C2002" s="1" t="n">
        <v>45798</v>
      </c>
      <c r="D2002" t="inlineStr">
        <is>
          <t>NORRBOTTENS LÄN</t>
        </is>
      </c>
      <c r="E2002" t="inlineStr">
        <is>
          <t>HAPARANDA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9376-2020</t>
        </is>
      </c>
      <c r="B2003" s="1" t="n">
        <v>43880</v>
      </c>
      <c r="C2003" s="1" t="n">
        <v>45798</v>
      </c>
      <c r="D2003" t="inlineStr">
        <is>
          <t>NORRBOTTENS LÄN</t>
        </is>
      </c>
      <c r="E2003" t="inlineStr">
        <is>
          <t>ARVIDSJAUR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9596-2020</t>
        </is>
      </c>
      <c r="B2004" s="1" t="n">
        <v>43880</v>
      </c>
      <c r="C2004" s="1" t="n">
        <v>45798</v>
      </c>
      <c r="D2004" t="inlineStr">
        <is>
          <t>NORRBOTTENS LÄN</t>
        </is>
      </c>
      <c r="E2004" t="inlineStr">
        <is>
          <t>ARVIDSJAUR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9543-2020</t>
        </is>
      </c>
      <c r="B2005" s="1" t="n">
        <v>43880</v>
      </c>
      <c r="C2005" s="1" t="n">
        <v>45798</v>
      </c>
      <c r="D2005" t="inlineStr">
        <is>
          <t>NORRBOTTENS LÄN</t>
        </is>
      </c>
      <c r="E2005" t="inlineStr">
        <is>
          <t>PITEÅ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9529-2020</t>
        </is>
      </c>
      <c r="B2006" s="1" t="n">
        <v>43880</v>
      </c>
      <c r="C2006" s="1" t="n">
        <v>45798</v>
      </c>
      <c r="D2006" t="inlineStr">
        <is>
          <t>NORRBOTTENS LÄN</t>
        </is>
      </c>
      <c r="E2006" t="inlineStr">
        <is>
          <t>PITEÅ</t>
        </is>
      </c>
      <c r="G2006" t="n">
        <v>12.1</v>
      </c>
      <c r="H2006" t="n">
        <v>0</v>
      </c>
      <c r="I2006" t="n">
        <v>0</v>
      </c>
      <c r="J2006" t="n">
        <v>0</v>
      </c>
      <c r="K2006" t="n">
        <v>0</v>
      </c>
      <c r="L2006" t="n">
        <v>0</v>
      </c>
      <c r="M2006" t="n">
        <v>0</v>
      </c>
      <c r="N2006" t="n">
        <v>0</v>
      </c>
      <c r="O2006" t="n">
        <v>0</v>
      </c>
      <c r="P2006" t="n">
        <v>0</v>
      </c>
      <c r="Q2006" t="n">
        <v>0</v>
      </c>
      <c r="R2006" s="2" t="inlineStr"/>
    </row>
    <row r="2007" ht="15" customHeight="1">
      <c r="A2007" t="inlineStr">
        <is>
          <t>A 9871-2020</t>
        </is>
      </c>
      <c r="B2007" s="1" t="n">
        <v>43881</v>
      </c>
      <c r="C2007" s="1" t="n">
        <v>45798</v>
      </c>
      <c r="D2007" t="inlineStr">
        <is>
          <t>NORRBOTTENS LÄN</t>
        </is>
      </c>
      <c r="E2007" t="inlineStr">
        <is>
          <t>ARVIDSJAUR</t>
        </is>
      </c>
      <c r="F2007" t="inlineStr">
        <is>
          <t>Allmännings- och besparingsskogar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10644-2020</t>
        </is>
      </c>
      <c r="B2008" s="1" t="n">
        <v>43887</v>
      </c>
      <c r="C2008" s="1" t="n">
        <v>45798</v>
      </c>
      <c r="D2008" t="inlineStr">
        <is>
          <t>NORRBOTTENS LÄN</t>
        </is>
      </c>
      <c r="E2008" t="inlineStr">
        <is>
          <t>LULEÅ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10591-2020</t>
        </is>
      </c>
      <c r="B2009" s="1" t="n">
        <v>43887</v>
      </c>
      <c r="C2009" s="1" t="n">
        <v>45798</v>
      </c>
      <c r="D2009" t="inlineStr">
        <is>
          <t>NORRBOTTENS LÄN</t>
        </is>
      </c>
      <c r="E2009" t="inlineStr">
        <is>
          <t>BODEN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11758-2020</t>
        </is>
      </c>
      <c r="B2010" s="1" t="n">
        <v>43887</v>
      </c>
      <c r="C2010" s="1" t="n">
        <v>45798</v>
      </c>
      <c r="D2010" t="inlineStr">
        <is>
          <t>NORRBOTTENS LÄN</t>
        </is>
      </c>
      <c r="E2010" t="inlineStr">
        <is>
          <t>GÄLLIVARE</t>
        </is>
      </c>
      <c r="F2010" t="inlineStr">
        <is>
          <t>Övriga statliga verk och myndigheter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10820-2020</t>
        </is>
      </c>
      <c r="B2011" s="1" t="n">
        <v>43888</v>
      </c>
      <c r="C2011" s="1" t="n">
        <v>45798</v>
      </c>
      <c r="D2011" t="inlineStr">
        <is>
          <t>NORRBOTTENS LÄN</t>
        </is>
      </c>
      <c r="E2011" t="inlineStr">
        <is>
          <t>ÖVERKALIX</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10819-2020</t>
        </is>
      </c>
      <c r="B2012" s="1" t="n">
        <v>43888</v>
      </c>
      <c r="C2012" s="1" t="n">
        <v>45798</v>
      </c>
      <c r="D2012" t="inlineStr">
        <is>
          <t>NORRBOTTENS LÄN</t>
        </is>
      </c>
      <c r="E2012" t="inlineStr">
        <is>
          <t>ÖVERKALIX</t>
        </is>
      </c>
      <c r="F2012" t="inlineStr">
        <is>
          <t>Sveaskog</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11964-2020</t>
        </is>
      </c>
      <c r="B2013" s="1" t="n">
        <v>43889</v>
      </c>
      <c r="C2013" s="1" t="n">
        <v>45798</v>
      </c>
      <c r="D2013" t="inlineStr">
        <is>
          <t>NORRBOTTENS LÄN</t>
        </is>
      </c>
      <c r="E2013" t="inlineStr">
        <is>
          <t>PITEÅ</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11136-2020</t>
        </is>
      </c>
      <c r="B2014" s="1" t="n">
        <v>43890</v>
      </c>
      <c r="C2014" s="1" t="n">
        <v>45798</v>
      </c>
      <c r="D2014" t="inlineStr">
        <is>
          <t>NORRBOTTENS LÄN</t>
        </is>
      </c>
      <c r="E2014" t="inlineStr">
        <is>
          <t>GÄLLIVARE</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12491-2020</t>
        </is>
      </c>
      <c r="B2015" s="1" t="n">
        <v>43892</v>
      </c>
      <c r="C2015" s="1" t="n">
        <v>45798</v>
      </c>
      <c r="D2015" t="inlineStr">
        <is>
          <t>NORRBOTTENS LÄN</t>
        </is>
      </c>
      <c r="E2015" t="inlineStr">
        <is>
          <t>ÖVERKALIX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11303-2020</t>
        </is>
      </c>
      <c r="B2016" s="1" t="n">
        <v>43892</v>
      </c>
      <c r="C2016" s="1" t="n">
        <v>45798</v>
      </c>
      <c r="D2016" t="inlineStr">
        <is>
          <t>NORRBOTTENS LÄN</t>
        </is>
      </c>
      <c r="E2016" t="inlineStr">
        <is>
          <t>ARJEPLOG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12438-2020</t>
        </is>
      </c>
      <c r="B2017" s="1" t="n">
        <v>43892</v>
      </c>
      <c r="C2017" s="1" t="n">
        <v>45798</v>
      </c>
      <c r="D2017" t="inlineStr">
        <is>
          <t>NORRBOTTENS LÄN</t>
        </is>
      </c>
      <c r="E2017" t="inlineStr">
        <is>
          <t>KALIX</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12480-2020</t>
        </is>
      </c>
      <c r="B2018" s="1" t="n">
        <v>43892</v>
      </c>
      <c r="C2018" s="1" t="n">
        <v>45798</v>
      </c>
      <c r="D2018" t="inlineStr">
        <is>
          <t>NORRBOTTENS LÄN</t>
        </is>
      </c>
      <c r="E2018" t="inlineStr">
        <is>
          <t>PAJALA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11584-2020</t>
        </is>
      </c>
      <c r="B2019" s="1" t="n">
        <v>43893</v>
      </c>
      <c r="C2019" s="1" t="n">
        <v>45798</v>
      </c>
      <c r="D2019" t="inlineStr">
        <is>
          <t>NORRBOTTENS LÄN</t>
        </is>
      </c>
      <c r="E2019" t="inlineStr">
        <is>
          <t>KALIX</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13390-2020</t>
        </is>
      </c>
      <c r="B2020" s="1" t="n">
        <v>43894</v>
      </c>
      <c r="C2020" s="1" t="n">
        <v>45798</v>
      </c>
      <c r="D2020" t="inlineStr">
        <is>
          <t>NORRBOTTENS LÄN</t>
        </is>
      </c>
      <c r="E2020" t="inlineStr">
        <is>
          <t>ARVIDSJAUR</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12118-2020</t>
        </is>
      </c>
      <c r="B2021" s="1" t="n">
        <v>43895</v>
      </c>
      <c r="C2021" s="1" t="n">
        <v>45798</v>
      </c>
      <c r="D2021" t="inlineStr">
        <is>
          <t>NORRBOTTENS LÄN</t>
        </is>
      </c>
      <c r="E2021" t="inlineStr">
        <is>
          <t>PAJALA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12111-2020</t>
        </is>
      </c>
      <c r="B2022" s="1" t="n">
        <v>43895</v>
      </c>
      <c r="C2022" s="1" t="n">
        <v>45798</v>
      </c>
      <c r="D2022" t="inlineStr">
        <is>
          <t>NORRBOTTENS LÄN</t>
        </is>
      </c>
      <c r="E2022" t="inlineStr">
        <is>
          <t>PAJALA</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12326-2020</t>
        </is>
      </c>
      <c r="B2023" s="1" t="n">
        <v>43895</v>
      </c>
      <c r="C2023" s="1" t="n">
        <v>45798</v>
      </c>
      <c r="D2023" t="inlineStr">
        <is>
          <t>NORRBOTTENS LÄN</t>
        </is>
      </c>
      <c r="E2023" t="inlineStr">
        <is>
          <t>LULEÅ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12328-2020</t>
        </is>
      </c>
      <c r="B2024" s="1" t="n">
        <v>43895</v>
      </c>
      <c r="C2024" s="1" t="n">
        <v>45798</v>
      </c>
      <c r="D2024" t="inlineStr">
        <is>
          <t>NORRBOTTENS LÄN</t>
        </is>
      </c>
      <c r="E2024" t="inlineStr">
        <is>
          <t>KALIX</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12332-2020</t>
        </is>
      </c>
      <c r="B2025" s="1" t="n">
        <v>43895</v>
      </c>
      <c r="C2025" s="1" t="n">
        <v>45798</v>
      </c>
      <c r="D2025" t="inlineStr">
        <is>
          <t>NORRBOTTENS LÄN</t>
        </is>
      </c>
      <c r="E2025" t="inlineStr">
        <is>
          <t>KALIX</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12337-2020</t>
        </is>
      </c>
      <c r="B2026" s="1" t="n">
        <v>43895</v>
      </c>
      <c r="C2026" s="1" t="n">
        <v>45798</v>
      </c>
      <c r="D2026" t="inlineStr">
        <is>
          <t>NORRBOTTENS LÄN</t>
        </is>
      </c>
      <c r="E2026" t="inlineStr">
        <is>
          <t>PITEÅ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12327-2020</t>
        </is>
      </c>
      <c r="B2027" s="1" t="n">
        <v>43895</v>
      </c>
      <c r="C2027" s="1" t="n">
        <v>45798</v>
      </c>
      <c r="D2027" t="inlineStr">
        <is>
          <t>NORRBOTTENS LÄN</t>
        </is>
      </c>
      <c r="E2027" t="inlineStr">
        <is>
          <t>KALIX</t>
        </is>
      </c>
      <c r="F2027" t="inlineStr">
        <is>
          <t>SCA</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12331-2020</t>
        </is>
      </c>
      <c r="B2028" s="1" t="n">
        <v>43895</v>
      </c>
      <c r="C2028" s="1" t="n">
        <v>45798</v>
      </c>
      <c r="D2028" t="inlineStr">
        <is>
          <t>NORRBOTTENS LÄN</t>
        </is>
      </c>
      <c r="E2028" t="inlineStr">
        <is>
          <t>KALIX</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12325-2020</t>
        </is>
      </c>
      <c r="B2029" s="1" t="n">
        <v>43895</v>
      </c>
      <c r="C2029" s="1" t="n">
        <v>45798</v>
      </c>
      <c r="D2029" t="inlineStr">
        <is>
          <t>NORRBOTTENS LÄN</t>
        </is>
      </c>
      <c r="E2029" t="inlineStr">
        <is>
          <t>LULEÅ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12329-2020</t>
        </is>
      </c>
      <c r="B2030" s="1" t="n">
        <v>43895</v>
      </c>
      <c r="C2030" s="1" t="n">
        <v>45798</v>
      </c>
      <c r="D2030" t="inlineStr">
        <is>
          <t>NORRBOTTENS LÄN</t>
        </is>
      </c>
      <c r="E2030" t="inlineStr">
        <is>
          <t>KALIX</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12334-2020</t>
        </is>
      </c>
      <c r="B2031" s="1" t="n">
        <v>43895</v>
      </c>
      <c r="C2031" s="1" t="n">
        <v>45798</v>
      </c>
      <c r="D2031" t="inlineStr">
        <is>
          <t>NORRBOTTENS LÄN</t>
        </is>
      </c>
      <c r="E2031" t="inlineStr">
        <is>
          <t>KALIX</t>
        </is>
      </c>
      <c r="F2031" t="inlineStr">
        <is>
          <t>SCA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12330-2020</t>
        </is>
      </c>
      <c r="B2032" s="1" t="n">
        <v>43895</v>
      </c>
      <c r="C2032" s="1" t="n">
        <v>45798</v>
      </c>
      <c r="D2032" t="inlineStr">
        <is>
          <t>NORRBOTTENS LÄN</t>
        </is>
      </c>
      <c r="E2032" t="inlineStr">
        <is>
          <t>KALIX</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12521-2020</t>
        </is>
      </c>
      <c r="B2033" s="1" t="n">
        <v>43896</v>
      </c>
      <c r="C2033" s="1" t="n">
        <v>45798</v>
      </c>
      <c r="D2033" t="inlineStr">
        <is>
          <t>NORRBOTTENS LÄN</t>
        </is>
      </c>
      <c r="E2033" t="inlineStr">
        <is>
          <t>KALIX</t>
        </is>
      </c>
      <c r="F2033" t="inlineStr">
        <is>
          <t>SCA</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13601-2020</t>
        </is>
      </c>
      <c r="B2034" s="1" t="n">
        <v>43896</v>
      </c>
      <c r="C2034" s="1" t="n">
        <v>45798</v>
      </c>
      <c r="D2034" t="inlineStr">
        <is>
          <t>NORRBOTTENS LÄN</t>
        </is>
      </c>
      <c r="E2034" t="inlineStr">
        <is>
          <t>ÖVERKALIX</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12358-2020</t>
        </is>
      </c>
      <c r="B2035" s="1" t="n">
        <v>43896</v>
      </c>
      <c r="C2035" s="1" t="n">
        <v>45798</v>
      </c>
      <c r="D2035" t="inlineStr">
        <is>
          <t>NORRBOTTENS LÄN</t>
        </is>
      </c>
      <c r="E2035" t="inlineStr">
        <is>
          <t>BODEN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13596-2020</t>
        </is>
      </c>
      <c r="B2036" s="1" t="n">
        <v>43896</v>
      </c>
      <c r="C2036" s="1" t="n">
        <v>45798</v>
      </c>
      <c r="D2036" t="inlineStr">
        <is>
          <t>NORRBOTTENS LÄN</t>
        </is>
      </c>
      <c r="E2036" t="inlineStr">
        <is>
          <t>ÖVERKALIX</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13065-2020</t>
        </is>
      </c>
      <c r="B2037" s="1" t="n">
        <v>43900</v>
      </c>
      <c r="C2037" s="1" t="n">
        <v>45798</v>
      </c>
      <c r="D2037" t="inlineStr">
        <is>
          <t>NORRBOTTENS LÄN</t>
        </is>
      </c>
      <c r="E2037" t="inlineStr">
        <is>
          <t>ÖVERTORNEÅ</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14208-2020</t>
        </is>
      </c>
      <c r="B2038" s="1" t="n">
        <v>43900</v>
      </c>
      <c r="C2038" s="1" t="n">
        <v>45798</v>
      </c>
      <c r="D2038" t="inlineStr">
        <is>
          <t>NORRBOTTENS LÄN</t>
        </is>
      </c>
      <c r="E2038" t="inlineStr">
        <is>
          <t>ARVIDSJAUR</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13059-2020</t>
        </is>
      </c>
      <c r="B2039" s="1" t="n">
        <v>43900</v>
      </c>
      <c r="C2039" s="1" t="n">
        <v>45798</v>
      </c>
      <c r="D2039" t="inlineStr">
        <is>
          <t>NORRBOTTENS LÄN</t>
        </is>
      </c>
      <c r="E2039" t="inlineStr">
        <is>
          <t>ÖVERTORNEÅ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14141-2020</t>
        </is>
      </c>
      <c r="B2040" s="1" t="n">
        <v>43900</v>
      </c>
      <c r="C2040" s="1" t="n">
        <v>45798</v>
      </c>
      <c r="D2040" t="inlineStr">
        <is>
          <t>NORRBOTTENS LÄN</t>
        </is>
      </c>
      <c r="E2040" t="inlineStr">
        <is>
          <t>ARVIDSJAUR</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14479-2020</t>
        </is>
      </c>
      <c r="B2041" s="1" t="n">
        <v>43901</v>
      </c>
      <c r="C2041" s="1" t="n">
        <v>45798</v>
      </c>
      <c r="D2041" t="inlineStr">
        <is>
          <t>NORRBOTTENS LÄN</t>
        </is>
      </c>
      <c r="E2041" t="inlineStr">
        <is>
          <t>KALIX</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13119-2020</t>
        </is>
      </c>
      <c r="B2042" s="1" t="n">
        <v>43901</v>
      </c>
      <c r="C2042" s="1" t="n">
        <v>45798</v>
      </c>
      <c r="D2042" t="inlineStr">
        <is>
          <t>NORRBOTTENS LÄN</t>
        </is>
      </c>
      <c r="E2042" t="inlineStr">
        <is>
          <t>BODEN</t>
        </is>
      </c>
      <c r="F2042" t="inlineStr">
        <is>
          <t>Sveaskog</t>
        </is>
      </c>
      <c r="G2042" t="n">
        <v>32.5</v>
      </c>
      <c r="H2042" t="n">
        <v>0</v>
      </c>
      <c r="I2042" t="n">
        <v>0</v>
      </c>
      <c r="J2042" t="n">
        <v>0</v>
      </c>
      <c r="K2042" t="n">
        <v>0</v>
      </c>
      <c r="L2042" t="n">
        <v>0</v>
      </c>
      <c r="M2042" t="n">
        <v>0</v>
      </c>
      <c r="N2042" t="n">
        <v>0</v>
      </c>
      <c r="O2042" t="n">
        <v>0</v>
      </c>
      <c r="P2042" t="n">
        <v>0</v>
      </c>
      <c r="Q2042" t="n">
        <v>0</v>
      </c>
      <c r="R2042" s="2" t="inlineStr"/>
    </row>
    <row r="2043" ht="15" customHeight="1">
      <c r="A2043" t="inlineStr">
        <is>
          <t>A 13123-2020</t>
        </is>
      </c>
      <c r="B2043" s="1" t="n">
        <v>43901</v>
      </c>
      <c r="C2043" s="1" t="n">
        <v>45798</v>
      </c>
      <c r="D2043" t="inlineStr">
        <is>
          <t>NORRBOTTENS LÄN</t>
        </is>
      </c>
      <c r="E2043" t="inlineStr">
        <is>
          <t>BODEN</t>
        </is>
      </c>
      <c r="F2043" t="inlineStr">
        <is>
          <t>Sveaskog</t>
        </is>
      </c>
      <c r="G2043" t="n">
        <v>41.8</v>
      </c>
      <c r="H2043" t="n">
        <v>0</v>
      </c>
      <c r="I2043" t="n">
        <v>0</v>
      </c>
      <c r="J2043" t="n">
        <v>0</v>
      </c>
      <c r="K2043" t="n">
        <v>0</v>
      </c>
      <c r="L2043" t="n">
        <v>0</v>
      </c>
      <c r="M2043" t="n">
        <v>0</v>
      </c>
      <c r="N2043" t="n">
        <v>0</v>
      </c>
      <c r="O2043" t="n">
        <v>0</v>
      </c>
      <c r="P2043" t="n">
        <v>0</v>
      </c>
      <c r="Q2043" t="n">
        <v>0</v>
      </c>
      <c r="R2043" s="2" t="inlineStr"/>
    </row>
    <row r="2044" ht="15" customHeight="1">
      <c r="A2044" t="inlineStr">
        <is>
          <t>A 13293-2020</t>
        </is>
      </c>
      <c r="B2044" s="1" t="n">
        <v>43901</v>
      </c>
      <c r="C2044" s="1" t="n">
        <v>45798</v>
      </c>
      <c r="D2044" t="inlineStr">
        <is>
          <t>NORRBOTTENS LÄN</t>
        </is>
      </c>
      <c r="E2044" t="inlineStr">
        <is>
          <t>BODEN</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14473-2020</t>
        </is>
      </c>
      <c r="B2045" s="1" t="n">
        <v>43901</v>
      </c>
      <c r="C2045" s="1" t="n">
        <v>45798</v>
      </c>
      <c r="D2045" t="inlineStr">
        <is>
          <t>NORRBOTTENS LÄN</t>
        </is>
      </c>
      <c r="E2045" t="inlineStr">
        <is>
          <t>KALIX</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14505-2020</t>
        </is>
      </c>
      <c r="B2046" s="1" t="n">
        <v>43902</v>
      </c>
      <c r="C2046" s="1" t="n">
        <v>45798</v>
      </c>
      <c r="D2046" t="inlineStr">
        <is>
          <t>NORRBOTTENS LÄN</t>
        </is>
      </c>
      <c r="E2046" t="inlineStr">
        <is>
          <t>PITEÅ</t>
        </is>
      </c>
      <c r="G2046" t="n">
        <v>13.9</v>
      </c>
      <c r="H2046" t="n">
        <v>0</v>
      </c>
      <c r="I2046" t="n">
        <v>0</v>
      </c>
      <c r="J2046" t="n">
        <v>0</v>
      </c>
      <c r="K2046" t="n">
        <v>0</v>
      </c>
      <c r="L2046" t="n">
        <v>0</v>
      </c>
      <c r="M2046" t="n">
        <v>0</v>
      </c>
      <c r="N2046" t="n">
        <v>0</v>
      </c>
      <c r="O2046" t="n">
        <v>0</v>
      </c>
      <c r="P2046" t="n">
        <v>0</v>
      </c>
      <c r="Q2046" t="n">
        <v>0</v>
      </c>
      <c r="R2046" s="2" t="inlineStr"/>
    </row>
    <row r="2047" ht="15" customHeight="1">
      <c r="A2047" t="inlineStr">
        <is>
          <t>A 13570-2020</t>
        </is>
      </c>
      <c r="B2047" s="1" t="n">
        <v>43902</v>
      </c>
      <c r="C2047" s="1" t="n">
        <v>45798</v>
      </c>
      <c r="D2047" t="inlineStr">
        <is>
          <t>NORRBOTTENS LÄN</t>
        </is>
      </c>
      <c r="E2047" t="inlineStr">
        <is>
          <t>PITEÅ</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14906-2020</t>
        </is>
      </c>
      <c r="B2048" s="1" t="n">
        <v>43903</v>
      </c>
      <c r="C2048" s="1" t="n">
        <v>45798</v>
      </c>
      <c r="D2048" t="inlineStr">
        <is>
          <t>NORRBOTTENS LÄN</t>
        </is>
      </c>
      <c r="E2048" t="inlineStr">
        <is>
          <t>ÖVERKALIX</t>
        </is>
      </c>
      <c r="F2048" t="inlineStr">
        <is>
          <t>SCA</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13821-2020</t>
        </is>
      </c>
      <c r="B2049" s="1" t="n">
        <v>43905</v>
      </c>
      <c r="C2049" s="1" t="n">
        <v>45798</v>
      </c>
      <c r="D2049" t="inlineStr">
        <is>
          <t>NORRBOTTENS LÄN</t>
        </is>
      </c>
      <c r="E2049" t="inlineStr">
        <is>
          <t>BODEN</t>
        </is>
      </c>
      <c r="F2049" t="inlineStr">
        <is>
          <t>Kommuner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14912-2020</t>
        </is>
      </c>
      <c r="B2050" s="1" t="n">
        <v>43906</v>
      </c>
      <c r="C2050" s="1" t="n">
        <v>45798</v>
      </c>
      <c r="D2050" t="inlineStr">
        <is>
          <t>NORRBOTTENS LÄN</t>
        </is>
      </c>
      <c r="E2050" t="inlineStr">
        <is>
          <t>KALIX</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14325-2020</t>
        </is>
      </c>
      <c r="B2051" s="1" t="n">
        <v>43907</v>
      </c>
      <c r="C2051" s="1" t="n">
        <v>45798</v>
      </c>
      <c r="D2051" t="inlineStr">
        <is>
          <t>NORRBOTTENS LÄN</t>
        </is>
      </c>
      <c r="E2051" t="inlineStr">
        <is>
          <t>BODEN</t>
        </is>
      </c>
      <c r="F2051" t="inlineStr">
        <is>
          <t>SCA</t>
        </is>
      </c>
      <c r="G2051" t="n">
        <v>1.6</v>
      </c>
      <c r="H2051" t="n">
        <v>0</v>
      </c>
      <c r="I2051" t="n">
        <v>0</v>
      </c>
      <c r="J2051" t="n">
        <v>0</v>
      </c>
      <c r="K2051" t="n">
        <v>0</v>
      </c>
      <c r="L2051" t="n">
        <v>0</v>
      </c>
      <c r="M2051" t="n">
        <v>0</v>
      </c>
      <c r="N2051" t="n">
        <v>0</v>
      </c>
      <c r="O2051" t="n">
        <v>0</v>
      </c>
      <c r="P2051" t="n">
        <v>0</v>
      </c>
      <c r="Q2051" t="n">
        <v>0</v>
      </c>
      <c r="R2051" s="2" t="inlineStr"/>
      <c r="U2051">
        <f>HYPERLINK("https://klasma.github.io/Logging_2582/knärot/A 14325-2020 karta knärot.png", "A 14325-2020")</f>
        <v/>
      </c>
      <c r="V2051">
        <f>HYPERLINK("https://klasma.github.io/Logging_2582/klagomål/A 14325-2020 FSC-klagomål.docx", "A 14325-2020")</f>
        <v/>
      </c>
      <c r="W2051">
        <f>HYPERLINK("https://klasma.github.io/Logging_2582/klagomålsmail/A 14325-2020 FSC-klagomål mail.docx", "A 14325-2020")</f>
        <v/>
      </c>
      <c r="X2051">
        <f>HYPERLINK("https://klasma.github.io/Logging_2582/tillsyn/A 14325-2020 tillsynsbegäran.docx", "A 14325-2020")</f>
        <v/>
      </c>
      <c r="Y2051">
        <f>HYPERLINK("https://klasma.github.io/Logging_2582/tillsynsmail/A 14325-2020 tillsynsbegäran mail.docx", "A 14325-2020")</f>
        <v/>
      </c>
    </row>
    <row r="2052" ht="15" customHeight="1">
      <c r="A2052" t="inlineStr">
        <is>
          <t>A 16203-2020</t>
        </is>
      </c>
      <c r="B2052" s="1" t="n">
        <v>43907</v>
      </c>
      <c r="C2052" s="1" t="n">
        <v>45798</v>
      </c>
      <c r="D2052" t="inlineStr">
        <is>
          <t>NORRBOTTENS LÄN</t>
        </is>
      </c>
      <c r="E2052" t="inlineStr">
        <is>
          <t>PITEÅ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16705-2020</t>
        </is>
      </c>
      <c r="B2053" s="1" t="n">
        <v>43908</v>
      </c>
      <c r="C2053" s="1" t="n">
        <v>45798</v>
      </c>
      <c r="D2053" t="inlineStr">
        <is>
          <t>NORRBOTTENS LÄN</t>
        </is>
      </c>
      <c r="E2053" t="inlineStr">
        <is>
          <t>ÄLVSBYN</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16621-2020</t>
        </is>
      </c>
      <c r="B2054" s="1" t="n">
        <v>43910</v>
      </c>
      <c r="C2054" s="1" t="n">
        <v>45798</v>
      </c>
      <c r="D2054" t="inlineStr">
        <is>
          <t>NORRBOTTENS LÄN</t>
        </is>
      </c>
      <c r="E2054" t="inlineStr">
        <is>
          <t>GÄLLIVARE</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16644-2020</t>
        </is>
      </c>
      <c r="B2055" s="1" t="n">
        <v>43910</v>
      </c>
      <c r="C2055" s="1" t="n">
        <v>45798</v>
      </c>
      <c r="D2055" t="inlineStr">
        <is>
          <t>NORRBOTTENS LÄN</t>
        </is>
      </c>
      <c r="E2055" t="inlineStr">
        <is>
          <t>PAJALA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15304-2020</t>
        </is>
      </c>
      <c r="B2056" s="1" t="n">
        <v>43913</v>
      </c>
      <c r="C2056" s="1" t="n">
        <v>45798</v>
      </c>
      <c r="D2056" t="inlineStr">
        <is>
          <t>NORRBOTTENS LÄN</t>
        </is>
      </c>
      <c r="E2056" t="inlineStr">
        <is>
          <t>LULEÅ</t>
        </is>
      </c>
      <c r="F2056" t="inlineStr">
        <is>
          <t>Kommuner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17204-2020</t>
        </is>
      </c>
      <c r="B2057" s="1" t="n">
        <v>43913</v>
      </c>
      <c r="C2057" s="1" t="n">
        <v>45798</v>
      </c>
      <c r="D2057" t="inlineStr">
        <is>
          <t>NORRBOTTENS LÄN</t>
        </is>
      </c>
      <c r="E2057" t="inlineStr">
        <is>
          <t>ARJEPLOG</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16812-2020</t>
        </is>
      </c>
      <c r="B2058" s="1" t="n">
        <v>43913</v>
      </c>
      <c r="C2058" s="1" t="n">
        <v>45798</v>
      </c>
      <c r="D2058" t="inlineStr">
        <is>
          <t>NORRBOTTENS LÄN</t>
        </is>
      </c>
      <c r="E2058" t="inlineStr">
        <is>
          <t>PITEÅ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17025-2020</t>
        </is>
      </c>
      <c r="B2059" s="1" t="n">
        <v>43913</v>
      </c>
      <c r="C2059" s="1" t="n">
        <v>45798</v>
      </c>
      <c r="D2059" t="inlineStr">
        <is>
          <t>NORRBOTTENS LÄN</t>
        </is>
      </c>
      <c r="E2059" t="inlineStr">
        <is>
          <t>ARJEPLOG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15644-2020</t>
        </is>
      </c>
      <c r="B2060" s="1" t="n">
        <v>43914</v>
      </c>
      <c r="C2060" s="1" t="n">
        <v>45798</v>
      </c>
      <c r="D2060" t="inlineStr">
        <is>
          <t>NORRBOTTENS LÄN</t>
        </is>
      </c>
      <c r="E2060" t="inlineStr">
        <is>
          <t>GÄLLIVARE</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15636-2020</t>
        </is>
      </c>
      <c r="B2061" s="1" t="n">
        <v>43914</v>
      </c>
      <c r="C2061" s="1" t="n">
        <v>45798</v>
      </c>
      <c r="D2061" t="inlineStr">
        <is>
          <t>NORRBOTTENS LÄN</t>
        </is>
      </c>
      <c r="E2061" t="inlineStr">
        <is>
          <t>GÄLLIVARE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15642-2020</t>
        </is>
      </c>
      <c r="B2062" s="1" t="n">
        <v>43914</v>
      </c>
      <c r="C2062" s="1" t="n">
        <v>45798</v>
      </c>
      <c r="D2062" t="inlineStr">
        <is>
          <t>NORRBOTTENS LÄN</t>
        </is>
      </c>
      <c r="E2062" t="inlineStr">
        <is>
          <t>GÄLLIVARE</t>
        </is>
      </c>
      <c r="F2062" t="inlineStr">
        <is>
          <t>SCA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15637-2020</t>
        </is>
      </c>
      <c r="B2063" s="1" t="n">
        <v>43914</v>
      </c>
      <c r="C2063" s="1" t="n">
        <v>45798</v>
      </c>
      <c r="D2063" t="inlineStr">
        <is>
          <t>NORRBOTTENS LÄN</t>
        </is>
      </c>
      <c r="E2063" t="inlineStr">
        <is>
          <t>GÄLLIVARE</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15643-2020</t>
        </is>
      </c>
      <c r="B2064" s="1" t="n">
        <v>43914</v>
      </c>
      <c r="C2064" s="1" t="n">
        <v>45798</v>
      </c>
      <c r="D2064" t="inlineStr">
        <is>
          <t>NORRBOTTENS LÄN</t>
        </is>
      </c>
      <c r="E2064" t="inlineStr">
        <is>
          <t>GÄLLIVARE</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15786-2020</t>
        </is>
      </c>
      <c r="B2065" s="1" t="n">
        <v>43914</v>
      </c>
      <c r="C2065" s="1" t="n">
        <v>45798</v>
      </c>
      <c r="D2065" t="inlineStr">
        <is>
          <t>NORRBOTTENS LÄN</t>
        </is>
      </c>
      <c r="E2065" t="inlineStr">
        <is>
          <t>PITEÅ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17208-2020</t>
        </is>
      </c>
      <c r="B2066" s="1" t="n">
        <v>43914</v>
      </c>
      <c r="C2066" s="1" t="n">
        <v>45798</v>
      </c>
      <c r="D2066" t="inlineStr">
        <is>
          <t>NORRBOTTENS LÄN</t>
        </is>
      </c>
      <c r="E2066" t="inlineStr">
        <is>
          <t>ARJEPLOG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17244-2020</t>
        </is>
      </c>
      <c r="B2067" s="1" t="n">
        <v>43914</v>
      </c>
      <c r="C2067" s="1" t="n">
        <v>45798</v>
      </c>
      <c r="D2067" t="inlineStr">
        <is>
          <t>NORRBOTTENS LÄN</t>
        </is>
      </c>
      <c r="E2067" t="inlineStr">
        <is>
          <t>ARJEPLOG</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17744-2020</t>
        </is>
      </c>
      <c r="B2068" s="1" t="n">
        <v>43914</v>
      </c>
      <c r="C2068" s="1" t="n">
        <v>45798</v>
      </c>
      <c r="D2068" t="inlineStr">
        <is>
          <t>NORRBOTTENS LÄN</t>
        </is>
      </c>
      <c r="E2068" t="inlineStr">
        <is>
          <t>ARJEPLOG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17761-2020</t>
        </is>
      </c>
      <c r="B2069" s="1" t="n">
        <v>43914</v>
      </c>
      <c r="C2069" s="1" t="n">
        <v>45798</v>
      </c>
      <c r="D2069" t="inlineStr">
        <is>
          <t>NORRBOTTENS LÄN</t>
        </is>
      </c>
      <c r="E2069" t="inlineStr">
        <is>
          <t>ARJEPLOG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15646-2020</t>
        </is>
      </c>
      <c r="B2070" s="1" t="n">
        <v>43914</v>
      </c>
      <c r="C2070" s="1" t="n">
        <v>45798</v>
      </c>
      <c r="D2070" t="inlineStr">
        <is>
          <t>NORRBOTTENS LÄN</t>
        </is>
      </c>
      <c r="E2070" t="inlineStr">
        <is>
          <t>ÖVERKALIX</t>
        </is>
      </c>
      <c r="F2070" t="inlineStr">
        <is>
          <t>SCA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15895-2020</t>
        </is>
      </c>
      <c r="B2071" s="1" t="n">
        <v>43915</v>
      </c>
      <c r="C2071" s="1" t="n">
        <v>45798</v>
      </c>
      <c r="D2071" t="inlineStr">
        <is>
          <t>NORRBOTTENS LÄN</t>
        </is>
      </c>
      <c r="E2071" t="inlineStr">
        <is>
          <t>KALIX</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16162-2020</t>
        </is>
      </c>
      <c r="B2072" s="1" t="n">
        <v>43916</v>
      </c>
      <c r="C2072" s="1" t="n">
        <v>45798</v>
      </c>
      <c r="D2072" t="inlineStr">
        <is>
          <t>NORRBOTTENS LÄN</t>
        </is>
      </c>
      <c r="E2072" t="inlineStr">
        <is>
          <t>GÄLLIVARE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16161-2020</t>
        </is>
      </c>
      <c r="B2073" s="1" t="n">
        <v>43916</v>
      </c>
      <c r="C2073" s="1" t="n">
        <v>45798</v>
      </c>
      <c r="D2073" t="inlineStr">
        <is>
          <t>NORRBOTTENS LÄN</t>
        </is>
      </c>
      <c r="E2073" t="inlineStr">
        <is>
          <t>GÄLLIVARE</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16164-2020</t>
        </is>
      </c>
      <c r="B2074" s="1" t="n">
        <v>43916</v>
      </c>
      <c r="C2074" s="1" t="n">
        <v>45798</v>
      </c>
      <c r="D2074" t="inlineStr">
        <is>
          <t>NORRBOTTENS LÄN</t>
        </is>
      </c>
      <c r="E2074" t="inlineStr">
        <is>
          <t>GÄLLIVARE</t>
        </is>
      </c>
      <c r="F2074" t="inlineStr">
        <is>
          <t>SCA</t>
        </is>
      </c>
      <c r="G2074" t="n">
        <v>11.8</v>
      </c>
      <c r="H2074" t="n">
        <v>0</v>
      </c>
      <c r="I2074" t="n">
        <v>0</v>
      </c>
      <c r="J2074" t="n">
        <v>0</v>
      </c>
      <c r="K2074" t="n">
        <v>0</v>
      </c>
      <c r="L2074" t="n">
        <v>0</v>
      </c>
      <c r="M2074" t="n">
        <v>0</v>
      </c>
      <c r="N2074" t="n">
        <v>0</v>
      </c>
      <c r="O2074" t="n">
        <v>0</v>
      </c>
      <c r="P2074" t="n">
        <v>0</v>
      </c>
      <c r="Q2074" t="n">
        <v>0</v>
      </c>
      <c r="R2074" s="2" t="inlineStr"/>
    </row>
    <row r="2075" ht="15" customHeight="1">
      <c r="A2075" t="inlineStr">
        <is>
          <t>A 17246-2020</t>
        </is>
      </c>
      <c r="B2075" s="1" t="n">
        <v>43916</v>
      </c>
      <c r="C2075" s="1" t="n">
        <v>45798</v>
      </c>
      <c r="D2075" t="inlineStr">
        <is>
          <t>NORRBOTTENS LÄN</t>
        </is>
      </c>
      <c r="E2075" t="inlineStr">
        <is>
          <t>KIRUNA</t>
        </is>
      </c>
      <c r="G2075" t="n">
        <v>52.4</v>
      </c>
      <c r="H2075" t="n">
        <v>0</v>
      </c>
      <c r="I2075" t="n">
        <v>0</v>
      </c>
      <c r="J2075" t="n">
        <v>0</v>
      </c>
      <c r="K2075" t="n">
        <v>0</v>
      </c>
      <c r="L2075" t="n">
        <v>0</v>
      </c>
      <c r="M2075" t="n">
        <v>0</v>
      </c>
      <c r="N2075" t="n">
        <v>0</v>
      </c>
      <c r="O2075" t="n">
        <v>0</v>
      </c>
      <c r="P2075" t="n">
        <v>0</v>
      </c>
      <c r="Q2075" t="n">
        <v>0</v>
      </c>
      <c r="R2075" s="2" t="inlineStr"/>
    </row>
    <row r="2076" ht="15" customHeight="1">
      <c r="A2076" t="inlineStr">
        <is>
          <t>A 16163-2020</t>
        </is>
      </c>
      <c r="B2076" s="1" t="n">
        <v>43916</v>
      </c>
      <c r="C2076" s="1" t="n">
        <v>45798</v>
      </c>
      <c r="D2076" t="inlineStr">
        <is>
          <t>NORRBOTTENS LÄN</t>
        </is>
      </c>
      <c r="E2076" t="inlineStr">
        <is>
          <t>GÄLLIVARE</t>
        </is>
      </c>
      <c r="F2076" t="inlineStr">
        <is>
          <t>SCA</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15932-2020</t>
        </is>
      </c>
      <c r="B2077" s="1" t="n">
        <v>43916</v>
      </c>
      <c r="C2077" s="1" t="n">
        <v>45798</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17438-2020</t>
        </is>
      </c>
      <c r="B2078" s="1" t="n">
        <v>43917</v>
      </c>
      <c r="C2078" s="1" t="n">
        <v>45798</v>
      </c>
      <c r="D2078" t="inlineStr">
        <is>
          <t>NORRBOTTENS LÄN</t>
        </is>
      </c>
      <c r="E2078" t="inlineStr">
        <is>
          <t>KALIX</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16424-2020</t>
        </is>
      </c>
      <c r="B2079" s="1" t="n">
        <v>43919</v>
      </c>
      <c r="C2079" s="1" t="n">
        <v>45798</v>
      </c>
      <c r="D2079" t="inlineStr">
        <is>
          <t>NORRBOTTENS LÄN</t>
        </is>
      </c>
      <c r="E2079" t="inlineStr">
        <is>
          <t>GÄLLIVARE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16779-2020</t>
        </is>
      </c>
      <c r="B2080" s="1" t="n">
        <v>43920</v>
      </c>
      <c r="C2080" s="1" t="n">
        <v>45798</v>
      </c>
      <c r="D2080" t="inlineStr">
        <is>
          <t>NORRBOTTENS LÄN</t>
        </is>
      </c>
      <c r="E2080" t="inlineStr">
        <is>
          <t>LULEÅ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17074-2020</t>
        </is>
      </c>
      <c r="B2081" s="1" t="n">
        <v>43921</v>
      </c>
      <c r="C2081" s="1" t="n">
        <v>45798</v>
      </c>
      <c r="D2081" t="inlineStr">
        <is>
          <t>NORRBOTTENS LÄN</t>
        </is>
      </c>
      <c r="E2081" t="inlineStr">
        <is>
          <t>KIRUNA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17085-2020</t>
        </is>
      </c>
      <c r="B2082" s="1" t="n">
        <v>43921</v>
      </c>
      <c r="C2082" s="1" t="n">
        <v>45798</v>
      </c>
      <c r="D2082" t="inlineStr">
        <is>
          <t>NORRBOTTENS LÄN</t>
        </is>
      </c>
      <c r="E2082" t="inlineStr">
        <is>
          <t>ÖVERKALIX</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17073-2020</t>
        </is>
      </c>
      <c r="B2083" s="1" t="n">
        <v>43921</v>
      </c>
      <c r="C2083" s="1" t="n">
        <v>45798</v>
      </c>
      <c r="D2083" t="inlineStr">
        <is>
          <t>NORRBOTTENS LÄN</t>
        </is>
      </c>
      <c r="E2083" t="inlineStr">
        <is>
          <t>KIRUNA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17071-2020</t>
        </is>
      </c>
      <c r="B2084" s="1" t="n">
        <v>43921</v>
      </c>
      <c r="C2084" s="1" t="n">
        <v>45798</v>
      </c>
      <c r="D2084" t="inlineStr">
        <is>
          <t>NORRBOTTENS LÄN</t>
        </is>
      </c>
      <c r="E2084" t="inlineStr">
        <is>
          <t>KIRUNA</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17070-2020</t>
        </is>
      </c>
      <c r="B2085" s="1" t="n">
        <v>43921</v>
      </c>
      <c r="C2085" s="1" t="n">
        <v>45798</v>
      </c>
      <c r="D2085" t="inlineStr">
        <is>
          <t>NORRBOTTENS LÄN</t>
        </is>
      </c>
      <c r="E2085" t="inlineStr">
        <is>
          <t>KIRUNA</t>
        </is>
      </c>
      <c r="G2085" t="n">
        <v>33.9</v>
      </c>
      <c r="H2085" t="n">
        <v>0</v>
      </c>
      <c r="I2085" t="n">
        <v>0</v>
      </c>
      <c r="J2085" t="n">
        <v>0</v>
      </c>
      <c r="K2085" t="n">
        <v>0</v>
      </c>
      <c r="L2085" t="n">
        <v>0</v>
      </c>
      <c r="M2085" t="n">
        <v>0</v>
      </c>
      <c r="N2085" t="n">
        <v>0</v>
      </c>
      <c r="O2085" t="n">
        <v>0</v>
      </c>
      <c r="P2085" t="n">
        <v>0</v>
      </c>
      <c r="Q2085" t="n">
        <v>0</v>
      </c>
      <c r="R2085" s="2" t="inlineStr"/>
    </row>
    <row r="2086" ht="15" customHeight="1">
      <c r="A2086" t="inlineStr">
        <is>
          <t>A 17746-2020</t>
        </is>
      </c>
      <c r="B2086" s="1" t="n">
        <v>43922</v>
      </c>
      <c r="C2086" s="1" t="n">
        <v>45798</v>
      </c>
      <c r="D2086" t="inlineStr">
        <is>
          <t>NORRBOTTENS LÄN</t>
        </is>
      </c>
      <c r="E2086" t="inlineStr">
        <is>
          <t>BODEN</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17308-2020</t>
        </is>
      </c>
      <c r="B2087" s="1" t="n">
        <v>43922</v>
      </c>
      <c r="C2087" s="1" t="n">
        <v>45798</v>
      </c>
      <c r="D2087" t="inlineStr">
        <is>
          <t>NORRBOTTENS LÄN</t>
        </is>
      </c>
      <c r="E2087" t="inlineStr">
        <is>
          <t>LULEÅ</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17786-2020</t>
        </is>
      </c>
      <c r="B2088" s="1" t="n">
        <v>43922</v>
      </c>
      <c r="C2088" s="1" t="n">
        <v>45798</v>
      </c>
      <c r="D2088" t="inlineStr">
        <is>
          <t>NORRBOTTENS LÄN</t>
        </is>
      </c>
      <c r="E2088" t="inlineStr">
        <is>
          <t>ÄLVSBYN</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17696-2020</t>
        </is>
      </c>
      <c r="B2089" s="1" t="n">
        <v>43923</v>
      </c>
      <c r="C2089" s="1" t="n">
        <v>45798</v>
      </c>
      <c r="D2089" t="inlineStr">
        <is>
          <t>NORRBOTTENS LÄN</t>
        </is>
      </c>
      <c r="E2089" t="inlineStr">
        <is>
          <t>KALIX</t>
        </is>
      </c>
      <c r="F2089" t="inlineStr">
        <is>
          <t>SCA</t>
        </is>
      </c>
      <c r="G2089" t="n">
        <v>66.59999999999999</v>
      </c>
      <c r="H2089" t="n">
        <v>0</v>
      </c>
      <c r="I2089" t="n">
        <v>0</v>
      </c>
      <c r="J2089" t="n">
        <v>0</v>
      </c>
      <c r="K2089" t="n">
        <v>0</v>
      </c>
      <c r="L2089" t="n">
        <v>0</v>
      </c>
      <c r="M2089" t="n">
        <v>0</v>
      </c>
      <c r="N2089" t="n">
        <v>0</v>
      </c>
      <c r="O2089" t="n">
        <v>0</v>
      </c>
      <c r="P2089" t="n">
        <v>0</v>
      </c>
      <c r="Q2089" t="n">
        <v>0</v>
      </c>
      <c r="R2089" s="2" t="inlineStr"/>
    </row>
    <row r="2090" ht="15" customHeight="1">
      <c r="A2090" t="inlineStr">
        <is>
          <t>A 17835-2020</t>
        </is>
      </c>
      <c r="B2090" s="1" t="n">
        <v>43923</v>
      </c>
      <c r="C2090" s="1" t="n">
        <v>45798</v>
      </c>
      <c r="D2090" t="inlineStr">
        <is>
          <t>NORRBOTTENS LÄN</t>
        </is>
      </c>
      <c r="E2090" t="inlineStr">
        <is>
          <t>HAPARANDA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17836-2020</t>
        </is>
      </c>
      <c r="B2091" s="1" t="n">
        <v>43923</v>
      </c>
      <c r="C2091" s="1" t="n">
        <v>45798</v>
      </c>
      <c r="D2091" t="inlineStr">
        <is>
          <t>NORRBOTTENS LÄN</t>
        </is>
      </c>
      <c r="E2091" t="inlineStr">
        <is>
          <t>HAPARANDA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18143-2020</t>
        </is>
      </c>
      <c r="B2092" s="1" t="n">
        <v>43924</v>
      </c>
      <c r="C2092" s="1" t="n">
        <v>45798</v>
      </c>
      <c r="D2092" t="inlineStr">
        <is>
          <t>NORRBOTTENS LÄN</t>
        </is>
      </c>
      <c r="E2092" t="inlineStr">
        <is>
          <t>LULEÅ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18549-2020</t>
        </is>
      </c>
      <c r="B2093" s="1" t="n">
        <v>43927</v>
      </c>
      <c r="C2093" s="1" t="n">
        <v>45798</v>
      </c>
      <c r="D2093" t="inlineStr">
        <is>
          <t>NORRBOTTENS LÄN</t>
        </is>
      </c>
      <c r="E2093" t="inlineStr">
        <is>
          <t>LULEÅ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18031-2020</t>
        </is>
      </c>
      <c r="B2094" s="1" t="n">
        <v>43927</v>
      </c>
      <c r="C2094" s="1" t="n">
        <v>45798</v>
      </c>
      <c r="D2094" t="inlineStr">
        <is>
          <t>NORRBOTTENS LÄN</t>
        </is>
      </c>
      <c r="E2094" t="inlineStr">
        <is>
          <t>BODEN</t>
        </is>
      </c>
      <c r="F2094" t="inlineStr">
        <is>
          <t>Övriga statliga verk och myndigheter</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18554-2020</t>
        </is>
      </c>
      <c r="B2095" s="1" t="n">
        <v>43927</v>
      </c>
      <c r="C2095" s="1" t="n">
        <v>45798</v>
      </c>
      <c r="D2095" t="inlineStr">
        <is>
          <t>NORRBOTTENS LÄN</t>
        </is>
      </c>
      <c r="E2095" t="inlineStr">
        <is>
          <t>LULEÅ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18027-2020</t>
        </is>
      </c>
      <c r="B2096" s="1" t="n">
        <v>43927</v>
      </c>
      <c r="C2096" s="1" t="n">
        <v>45798</v>
      </c>
      <c r="D2096" t="inlineStr">
        <is>
          <t>NORRBOTTENS LÄN</t>
        </is>
      </c>
      <c r="E2096" t="inlineStr">
        <is>
          <t>BODEN</t>
        </is>
      </c>
      <c r="F2096" t="inlineStr">
        <is>
          <t>Övriga statliga verk och myndigheter</t>
        </is>
      </c>
      <c r="G2096" t="n">
        <v>17.8</v>
      </c>
      <c r="H2096" t="n">
        <v>0</v>
      </c>
      <c r="I2096" t="n">
        <v>0</v>
      </c>
      <c r="J2096" t="n">
        <v>0</v>
      </c>
      <c r="K2096" t="n">
        <v>0</v>
      </c>
      <c r="L2096" t="n">
        <v>0</v>
      </c>
      <c r="M2096" t="n">
        <v>0</v>
      </c>
      <c r="N2096" t="n">
        <v>0</v>
      </c>
      <c r="O2096" t="n">
        <v>0</v>
      </c>
      <c r="P2096" t="n">
        <v>0</v>
      </c>
      <c r="Q2096" t="n">
        <v>0</v>
      </c>
      <c r="R2096" s="2" t="inlineStr"/>
    </row>
    <row r="2097" ht="15" customHeight="1">
      <c r="A2097" t="inlineStr">
        <is>
          <t>A 18299-2020</t>
        </is>
      </c>
      <c r="B2097" s="1" t="n">
        <v>43927</v>
      </c>
      <c r="C2097" s="1" t="n">
        <v>45798</v>
      </c>
      <c r="D2097" t="inlineStr">
        <is>
          <t>NORRBOTTENS LÄN</t>
        </is>
      </c>
      <c r="E2097" t="inlineStr">
        <is>
          <t>LULEÅ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18383-2020</t>
        </is>
      </c>
      <c r="B2098" s="1" t="n">
        <v>43927</v>
      </c>
      <c r="C2098" s="1" t="n">
        <v>45798</v>
      </c>
      <c r="D2098" t="inlineStr">
        <is>
          <t>NORRBOTTENS LÄN</t>
        </is>
      </c>
      <c r="E2098" t="inlineStr">
        <is>
          <t>PITEÅ</t>
        </is>
      </c>
      <c r="F2098" t="inlineStr">
        <is>
          <t>Kommuner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18213-2020</t>
        </is>
      </c>
      <c r="B2099" s="1" t="n">
        <v>43927</v>
      </c>
      <c r="C2099" s="1" t="n">
        <v>45798</v>
      </c>
      <c r="D2099" t="inlineStr">
        <is>
          <t>NORRBOTTENS LÄN</t>
        </is>
      </c>
      <c r="E2099" t="inlineStr">
        <is>
          <t>GÄLLIVARE</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18276-2020</t>
        </is>
      </c>
      <c r="B2100" s="1" t="n">
        <v>43927</v>
      </c>
      <c r="C2100" s="1" t="n">
        <v>45798</v>
      </c>
      <c r="D2100" t="inlineStr">
        <is>
          <t>NORRBOTTENS LÄN</t>
        </is>
      </c>
      <c r="E2100" t="inlineStr">
        <is>
          <t>LULEÅ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18203-2020</t>
        </is>
      </c>
      <c r="B2101" s="1" t="n">
        <v>43927</v>
      </c>
      <c r="C2101" s="1" t="n">
        <v>45798</v>
      </c>
      <c r="D2101" t="inlineStr">
        <is>
          <t>NORRBOTTENS LÄN</t>
        </is>
      </c>
      <c r="E2101" t="inlineStr">
        <is>
          <t>GÄLLIVARE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18303-2020</t>
        </is>
      </c>
      <c r="B2102" s="1" t="n">
        <v>43927</v>
      </c>
      <c r="C2102" s="1" t="n">
        <v>45798</v>
      </c>
      <c r="D2102" t="inlineStr">
        <is>
          <t>NORRBOTTENS LÄN</t>
        </is>
      </c>
      <c r="E2102" t="inlineStr">
        <is>
          <t>LULEÅ</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18214-2020</t>
        </is>
      </c>
      <c r="B2103" s="1" t="n">
        <v>43927</v>
      </c>
      <c r="C2103" s="1" t="n">
        <v>45798</v>
      </c>
      <c r="D2103" t="inlineStr">
        <is>
          <t>NORRBOTTENS LÄN</t>
        </is>
      </c>
      <c r="E2103" t="inlineStr">
        <is>
          <t>GÄLLIVARE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18278-2020</t>
        </is>
      </c>
      <c r="B2104" s="1" t="n">
        <v>43927</v>
      </c>
      <c r="C2104" s="1" t="n">
        <v>45798</v>
      </c>
      <c r="D2104" t="inlineStr">
        <is>
          <t>NORRBOTTENS LÄN</t>
        </is>
      </c>
      <c r="E2104" t="inlineStr">
        <is>
          <t>LULEÅ</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18839-2020</t>
        </is>
      </c>
      <c r="B2105" s="1" t="n">
        <v>43929</v>
      </c>
      <c r="C2105" s="1" t="n">
        <v>45798</v>
      </c>
      <c r="D2105" t="inlineStr">
        <is>
          <t>NORRBOTTENS LÄN</t>
        </is>
      </c>
      <c r="E2105" t="inlineStr">
        <is>
          <t>PITEÅ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20504-2020</t>
        </is>
      </c>
      <c r="B2106" s="1" t="n">
        <v>43929</v>
      </c>
      <c r="C2106" s="1" t="n">
        <v>45798</v>
      </c>
      <c r="D2106" t="inlineStr">
        <is>
          <t>NORRBOTTENS LÄN</t>
        </is>
      </c>
      <c r="E2106" t="inlineStr">
        <is>
          <t>PITEÅ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18866-2020</t>
        </is>
      </c>
      <c r="B2107" s="1" t="n">
        <v>43930</v>
      </c>
      <c r="C2107" s="1" t="n">
        <v>45798</v>
      </c>
      <c r="D2107" t="inlineStr">
        <is>
          <t>NORRBOTTENS LÄN</t>
        </is>
      </c>
      <c r="E2107" t="inlineStr">
        <is>
          <t>ÄLVSBYN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18789-2020</t>
        </is>
      </c>
      <c r="B2108" s="1" t="n">
        <v>43931</v>
      </c>
      <c r="C2108" s="1" t="n">
        <v>45798</v>
      </c>
      <c r="D2108" t="inlineStr">
        <is>
          <t>NORRBOTTENS LÄN</t>
        </is>
      </c>
      <c r="E2108" t="inlineStr">
        <is>
          <t>PITEÅ</t>
        </is>
      </c>
      <c r="F2108" t="inlineStr">
        <is>
          <t>Övriga Aktiebolag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18992-2020</t>
        </is>
      </c>
      <c r="B2109" s="1" t="n">
        <v>43935</v>
      </c>
      <c r="C2109" s="1" t="n">
        <v>45798</v>
      </c>
      <c r="D2109" t="inlineStr">
        <is>
          <t>NORRBOTTENS LÄN</t>
        </is>
      </c>
      <c r="E2109" t="inlineStr">
        <is>
          <t>JOKKMOKK</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19068-2020</t>
        </is>
      </c>
      <c r="B2110" s="1" t="n">
        <v>43936</v>
      </c>
      <c r="C2110" s="1" t="n">
        <v>45798</v>
      </c>
      <c r="D2110" t="inlineStr">
        <is>
          <t>NORRBOTTENS LÄN</t>
        </is>
      </c>
      <c r="E2110" t="inlineStr">
        <is>
          <t>BODEN</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19058-2020</t>
        </is>
      </c>
      <c r="B2111" s="1" t="n">
        <v>43936</v>
      </c>
      <c r="C2111" s="1" t="n">
        <v>45798</v>
      </c>
      <c r="D2111" t="inlineStr">
        <is>
          <t>NORRBOTTENS LÄN</t>
        </is>
      </c>
      <c r="E2111" t="inlineStr">
        <is>
          <t>ÖVERTORNEÅ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19629-2020</t>
        </is>
      </c>
      <c r="B2112" s="1" t="n">
        <v>43936</v>
      </c>
      <c r="C2112" s="1" t="n">
        <v>45798</v>
      </c>
      <c r="D2112" t="inlineStr">
        <is>
          <t>NORRBOTTENS LÄN</t>
        </is>
      </c>
      <c r="E2112" t="inlineStr">
        <is>
          <t>HAPARANDA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19150-2020</t>
        </is>
      </c>
      <c r="B2113" s="1" t="n">
        <v>43936</v>
      </c>
      <c r="C2113" s="1" t="n">
        <v>45798</v>
      </c>
      <c r="D2113" t="inlineStr">
        <is>
          <t>NORRBOTTENS LÄN</t>
        </is>
      </c>
      <c r="E2113" t="inlineStr">
        <is>
          <t>JOKKMOKK</t>
        </is>
      </c>
      <c r="F2113" t="inlineStr">
        <is>
          <t>Naturvårdsverket</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19632-2020</t>
        </is>
      </c>
      <c r="B2114" s="1" t="n">
        <v>43936</v>
      </c>
      <c r="C2114" s="1" t="n">
        <v>45798</v>
      </c>
      <c r="D2114" t="inlineStr">
        <is>
          <t>NORRBOTTENS LÄN</t>
        </is>
      </c>
      <c r="E2114" t="inlineStr">
        <is>
          <t>KIRUNA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19298-2020</t>
        </is>
      </c>
      <c r="B2115" s="1" t="n">
        <v>43937</v>
      </c>
      <c r="C2115" s="1" t="n">
        <v>45798</v>
      </c>
      <c r="D2115" t="inlineStr">
        <is>
          <t>NORRBOTTENS LÄN</t>
        </is>
      </c>
      <c r="E2115" t="inlineStr">
        <is>
          <t>PAJALA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19704-2020</t>
        </is>
      </c>
      <c r="B2116" s="1" t="n">
        <v>43937</v>
      </c>
      <c r="C2116" s="1" t="n">
        <v>45798</v>
      </c>
      <c r="D2116" t="inlineStr">
        <is>
          <t>NORRBOTTENS LÄN</t>
        </is>
      </c>
      <c r="E2116" t="inlineStr">
        <is>
          <t>PAJALA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19399-2020</t>
        </is>
      </c>
      <c r="B2117" s="1" t="n">
        <v>43938</v>
      </c>
      <c r="C2117" s="1" t="n">
        <v>45798</v>
      </c>
      <c r="D2117" t="inlineStr">
        <is>
          <t>NORRBOTTENS LÄN</t>
        </is>
      </c>
      <c r="E2117" t="inlineStr">
        <is>
          <t>ÖVERKALIX</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19841-2020</t>
        </is>
      </c>
      <c r="B2118" s="1" t="n">
        <v>43938</v>
      </c>
      <c r="C2118" s="1" t="n">
        <v>45798</v>
      </c>
      <c r="D2118" t="inlineStr">
        <is>
          <t>NORRBOTTENS LÄN</t>
        </is>
      </c>
      <c r="E2118" t="inlineStr">
        <is>
          <t>HAPARANDA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19348-2020</t>
        </is>
      </c>
      <c r="B2119" s="1" t="n">
        <v>43938</v>
      </c>
      <c r="C2119" s="1" t="n">
        <v>45798</v>
      </c>
      <c r="D2119" t="inlineStr">
        <is>
          <t>NORRBOTTENS LÄN</t>
        </is>
      </c>
      <c r="E2119" t="inlineStr">
        <is>
          <t>PAJALA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19838-2020</t>
        </is>
      </c>
      <c r="B2120" s="1" t="n">
        <v>43938</v>
      </c>
      <c r="C2120" s="1" t="n">
        <v>45798</v>
      </c>
      <c r="D2120" t="inlineStr">
        <is>
          <t>NORRBOTTENS LÄN</t>
        </is>
      </c>
      <c r="E2120" t="inlineStr">
        <is>
          <t>HAPARANDA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19674-2020</t>
        </is>
      </c>
      <c r="B2121" s="1" t="n">
        <v>43941</v>
      </c>
      <c r="C2121" s="1" t="n">
        <v>45798</v>
      </c>
      <c r="D2121" t="inlineStr">
        <is>
          <t>NORRBOTTENS LÄN</t>
        </is>
      </c>
      <c r="E2121" t="inlineStr">
        <is>
          <t>KALIX</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19853-2020</t>
        </is>
      </c>
      <c r="B2122" s="1" t="n">
        <v>43941</v>
      </c>
      <c r="C2122" s="1" t="n">
        <v>45798</v>
      </c>
      <c r="D2122" t="inlineStr">
        <is>
          <t>NORRBOTTENS LÄN</t>
        </is>
      </c>
      <c r="E2122" t="inlineStr">
        <is>
          <t>PAJALA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19755-2020</t>
        </is>
      </c>
      <c r="B2123" s="1" t="n">
        <v>43941</v>
      </c>
      <c r="C2123" s="1" t="n">
        <v>45798</v>
      </c>
      <c r="D2123" t="inlineStr">
        <is>
          <t>NORRBOTTENS LÄN</t>
        </is>
      </c>
      <c r="E2123" t="inlineStr">
        <is>
          <t>PAJALA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19978-2020</t>
        </is>
      </c>
      <c r="B2124" s="1" t="n">
        <v>43943</v>
      </c>
      <c r="C2124" s="1" t="n">
        <v>45798</v>
      </c>
      <c r="D2124" t="inlineStr">
        <is>
          <t>NORRBOTTENS LÄN</t>
        </is>
      </c>
      <c r="E2124" t="inlineStr">
        <is>
          <t>ÖVERTORNEÅ</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19981-2020</t>
        </is>
      </c>
      <c r="B2125" s="1" t="n">
        <v>43943</v>
      </c>
      <c r="C2125" s="1" t="n">
        <v>45798</v>
      </c>
      <c r="D2125" t="inlineStr">
        <is>
          <t>NORRBOTTENS LÄN</t>
        </is>
      </c>
      <c r="E2125" t="inlineStr">
        <is>
          <t>ÖVERTORNEÅ</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20301-2020</t>
        </is>
      </c>
      <c r="B2126" s="1" t="n">
        <v>43944</v>
      </c>
      <c r="C2126" s="1" t="n">
        <v>45798</v>
      </c>
      <c r="D2126" t="inlineStr">
        <is>
          <t>NORRBOTTENS LÄN</t>
        </is>
      </c>
      <c r="E2126" t="inlineStr">
        <is>
          <t>ARVIDSJAUR</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20418-2020</t>
        </is>
      </c>
      <c r="B2127" s="1" t="n">
        <v>43945</v>
      </c>
      <c r="C2127" s="1" t="n">
        <v>45798</v>
      </c>
      <c r="D2127" t="inlineStr">
        <is>
          <t>NORRBOTTENS LÄN</t>
        </is>
      </c>
      <c r="E2127" t="inlineStr">
        <is>
          <t>ÖVERTORNEÅ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20430-2020</t>
        </is>
      </c>
      <c r="B2128" s="1" t="n">
        <v>43945</v>
      </c>
      <c r="C2128" s="1" t="n">
        <v>45798</v>
      </c>
      <c r="D2128" t="inlineStr">
        <is>
          <t>NORRBOTTENS LÄN</t>
        </is>
      </c>
      <c r="E2128" t="inlineStr">
        <is>
          <t>ÖVERKALIX</t>
        </is>
      </c>
      <c r="F2128" t="inlineStr">
        <is>
          <t>SCA</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20484-2020</t>
        </is>
      </c>
      <c r="B2129" s="1" t="n">
        <v>43948</v>
      </c>
      <c r="C2129" s="1" t="n">
        <v>45798</v>
      </c>
      <c r="D2129" t="inlineStr">
        <is>
          <t>NORRBOTTENS LÄN</t>
        </is>
      </c>
      <c r="E2129" t="inlineStr">
        <is>
          <t>HAPARANDA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20481-2020</t>
        </is>
      </c>
      <c r="B2130" s="1" t="n">
        <v>43948</v>
      </c>
      <c r="C2130" s="1" t="n">
        <v>45798</v>
      </c>
      <c r="D2130" t="inlineStr">
        <is>
          <t>NORRBOTTENS LÄN</t>
        </is>
      </c>
      <c r="E2130" t="inlineStr">
        <is>
          <t>HAPARANDA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21140-2020</t>
        </is>
      </c>
      <c r="B2131" s="1" t="n">
        <v>43950</v>
      </c>
      <c r="C2131" s="1" t="n">
        <v>45798</v>
      </c>
      <c r="D2131" t="inlineStr">
        <is>
          <t>NORRBOTTENS LÄN</t>
        </is>
      </c>
      <c r="E2131" t="inlineStr">
        <is>
          <t>PITEÅ</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22175-2020</t>
        </is>
      </c>
      <c r="B2132" s="1" t="n">
        <v>43956</v>
      </c>
      <c r="C2132" s="1" t="n">
        <v>45798</v>
      </c>
      <c r="D2132" t="inlineStr">
        <is>
          <t>NORRBOTTENS LÄN</t>
        </is>
      </c>
      <c r="E2132" t="inlineStr">
        <is>
          <t>KALIX</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21770-2020</t>
        </is>
      </c>
      <c r="B2133" s="1" t="n">
        <v>43957</v>
      </c>
      <c r="C2133" s="1" t="n">
        <v>45798</v>
      </c>
      <c r="D2133" t="inlineStr">
        <is>
          <t>NORRBOTTENS LÄN</t>
        </is>
      </c>
      <c r="E2133" t="inlineStr">
        <is>
          <t>PITEÅ</t>
        </is>
      </c>
      <c r="F2133" t="inlineStr">
        <is>
          <t>SCA</t>
        </is>
      </c>
      <c r="G2133" t="n">
        <v>33.7</v>
      </c>
      <c r="H2133" t="n">
        <v>0</v>
      </c>
      <c r="I2133" t="n">
        <v>0</v>
      </c>
      <c r="J2133" t="n">
        <v>0</v>
      </c>
      <c r="K2133" t="n">
        <v>0</v>
      </c>
      <c r="L2133" t="n">
        <v>0</v>
      </c>
      <c r="M2133" t="n">
        <v>0</v>
      </c>
      <c r="N2133" t="n">
        <v>0</v>
      </c>
      <c r="O2133" t="n">
        <v>0</v>
      </c>
      <c r="P2133" t="n">
        <v>0</v>
      </c>
      <c r="Q2133" t="n">
        <v>0</v>
      </c>
      <c r="R2133" s="2" t="inlineStr"/>
    </row>
    <row r="2134" ht="15" customHeight="1">
      <c r="A2134" t="inlineStr">
        <is>
          <t>A 22779-2020</t>
        </is>
      </c>
      <c r="B2134" s="1" t="n">
        <v>43958</v>
      </c>
      <c r="C2134" s="1" t="n">
        <v>45798</v>
      </c>
      <c r="D2134" t="inlineStr">
        <is>
          <t>NORRBOTTENS LÄN</t>
        </is>
      </c>
      <c r="E2134" t="inlineStr">
        <is>
          <t>GÄLLIVARE</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22504-2020</t>
        </is>
      </c>
      <c r="B2135" s="1" t="n">
        <v>43958</v>
      </c>
      <c r="C2135" s="1" t="n">
        <v>45798</v>
      </c>
      <c r="D2135" t="inlineStr">
        <is>
          <t>NORRBOTTENS LÄN</t>
        </is>
      </c>
      <c r="E2135" t="inlineStr">
        <is>
          <t>PITEÅ</t>
        </is>
      </c>
      <c r="G2135" t="n">
        <v>16.5</v>
      </c>
      <c r="H2135" t="n">
        <v>0</v>
      </c>
      <c r="I2135" t="n">
        <v>0</v>
      </c>
      <c r="J2135" t="n">
        <v>0</v>
      </c>
      <c r="K2135" t="n">
        <v>0</v>
      </c>
      <c r="L2135" t="n">
        <v>0</v>
      </c>
      <c r="M2135" t="n">
        <v>0</v>
      </c>
      <c r="N2135" t="n">
        <v>0</v>
      </c>
      <c r="O2135" t="n">
        <v>0</v>
      </c>
      <c r="P2135" t="n">
        <v>0</v>
      </c>
      <c r="Q2135" t="n">
        <v>0</v>
      </c>
      <c r="R2135" s="2" t="inlineStr"/>
    </row>
    <row r="2136" ht="15" customHeight="1">
      <c r="A2136" t="inlineStr">
        <is>
          <t>A 22780-2020</t>
        </is>
      </c>
      <c r="B2136" s="1" t="n">
        <v>43958</v>
      </c>
      <c r="C2136" s="1" t="n">
        <v>45798</v>
      </c>
      <c r="D2136" t="inlineStr">
        <is>
          <t>NORRBOTTENS LÄN</t>
        </is>
      </c>
      <c r="E2136" t="inlineStr">
        <is>
          <t>GÄLLIVARE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22786-2020</t>
        </is>
      </c>
      <c r="B2137" s="1" t="n">
        <v>43958</v>
      </c>
      <c r="C2137" s="1" t="n">
        <v>45798</v>
      </c>
      <c r="D2137" t="inlineStr">
        <is>
          <t>NORRBOTTENS LÄN</t>
        </is>
      </c>
      <c r="E2137" t="inlineStr">
        <is>
          <t>GÄLLIVARE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21968-2020</t>
        </is>
      </c>
      <c r="B2138" s="1" t="n">
        <v>43958</v>
      </c>
      <c r="C2138" s="1" t="n">
        <v>45798</v>
      </c>
      <c r="D2138" t="inlineStr">
        <is>
          <t>NORRBOTTENS LÄN</t>
        </is>
      </c>
      <c r="E2138" t="inlineStr">
        <is>
          <t>ÖVERKALIX</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22774-2020</t>
        </is>
      </c>
      <c r="B2139" s="1" t="n">
        <v>43958</v>
      </c>
      <c r="C2139" s="1" t="n">
        <v>45798</v>
      </c>
      <c r="D2139" t="inlineStr">
        <is>
          <t>NORRBOTTENS LÄN</t>
        </is>
      </c>
      <c r="E2139" t="inlineStr">
        <is>
          <t>GÄLLIVARE</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22784-2020</t>
        </is>
      </c>
      <c r="B2140" s="1" t="n">
        <v>43958</v>
      </c>
      <c r="C2140" s="1" t="n">
        <v>45798</v>
      </c>
      <c r="D2140" t="inlineStr">
        <is>
          <t>NORRBOTTENS LÄN</t>
        </is>
      </c>
      <c r="E2140" t="inlineStr">
        <is>
          <t>GÄLLIVARE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22426-2020</t>
        </is>
      </c>
      <c r="B2141" s="1" t="n">
        <v>43958</v>
      </c>
      <c r="C2141" s="1" t="n">
        <v>45798</v>
      </c>
      <c r="D2141" t="inlineStr">
        <is>
          <t>NORRBOTTENS LÄN</t>
        </is>
      </c>
      <c r="E2141" t="inlineStr">
        <is>
          <t>BODEN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22508-2020</t>
        </is>
      </c>
      <c r="B2142" s="1" t="n">
        <v>43958</v>
      </c>
      <c r="C2142" s="1" t="n">
        <v>45798</v>
      </c>
      <c r="D2142" t="inlineStr">
        <is>
          <t>NORRBOTTENS LÄN</t>
        </is>
      </c>
      <c r="E2142" t="inlineStr">
        <is>
          <t>PITEÅ</t>
        </is>
      </c>
      <c r="G2142" t="n">
        <v>33.8</v>
      </c>
      <c r="H2142" t="n">
        <v>0</v>
      </c>
      <c r="I2142" t="n">
        <v>0</v>
      </c>
      <c r="J2142" t="n">
        <v>0</v>
      </c>
      <c r="K2142" t="n">
        <v>0</v>
      </c>
      <c r="L2142" t="n">
        <v>0</v>
      </c>
      <c r="M2142" t="n">
        <v>0</v>
      </c>
      <c r="N2142" t="n">
        <v>0</v>
      </c>
      <c r="O2142" t="n">
        <v>0</v>
      </c>
      <c r="P2142" t="n">
        <v>0</v>
      </c>
      <c r="Q2142" t="n">
        <v>0</v>
      </c>
      <c r="R2142" s="2" t="inlineStr"/>
    </row>
    <row r="2143" ht="15" customHeight="1">
      <c r="A2143" t="inlineStr">
        <is>
          <t>A 22782-2020</t>
        </is>
      </c>
      <c r="B2143" s="1" t="n">
        <v>43958</v>
      </c>
      <c r="C2143" s="1" t="n">
        <v>45798</v>
      </c>
      <c r="D2143" t="inlineStr">
        <is>
          <t>NORRBOTTENS LÄN</t>
        </is>
      </c>
      <c r="E2143" t="inlineStr">
        <is>
          <t>GÄLLIVARE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22177-2020</t>
        </is>
      </c>
      <c r="B2144" s="1" t="n">
        <v>43959</v>
      </c>
      <c r="C2144" s="1" t="n">
        <v>45798</v>
      </c>
      <c r="D2144" t="inlineStr">
        <is>
          <t>NORRBOTTENS LÄN</t>
        </is>
      </c>
      <c r="E2144" t="inlineStr">
        <is>
          <t>GÄLLIVARE</t>
        </is>
      </c>
      <c r="G2144" t="n">
        <v>14.2</v>
      </c>
      <c r="H2144" t="n">
        <v>0</v>
      </c>
      <c r="I2144" t="n">
        <v>0</v>
      </c>
      <c r="J2144" t="n">
        <v>0</v>
      </c>
      <c r="K2144" t="n">
        <v>0</v>
      </c>
      <c r="L2144" t="n">
        <v>0</v>
      </c>
      <c r="M2144" t="n">
        <v>0</v>
      </c>
      <c r="N2144" t="n">
        <v>0</v>
      </c>
      <c r="O2144" t="n">
        <v>0</v>
      </c>
      <c r="P2144" t="n">
        <v>0</v>
      </c>
      <c r="Q2144" t="n">
        <v>0</v>
      </c>
      <c r="R2144" s="2" t="inlineStr"/>
    </row>
    <row r="2145" ht="15" customHeight="1">
      <c r="A2145" t="inlineStr">
        <is>
          <t>A 22620-2020</t>
        </is>
      </c>
      <c r="B2145" s="1" t="n">
        <v>43959</v>
      </c>
      <c r="C2145" s="1" t="n">
        <v>45798</v>
      </c>
      <c r="D2145" t="inlineStr">
        <is>
          <t>NORRBOTTENS LÄN</t>
        </is>
      </c>
      <c r="E2145" t="inlineStr">
        <is>
          <t>PITEÅ</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22285-2020</t>
        </is>
      </c>
      <c r="B2146" s="1" t="n">
        <v>43962</v>
      </c>
      <c r="C2146" s="1" t="n">
        <v>45798</v>
      </c>
      <c r="D2146" t="inlineStr">
        <is>
          <t>NORRBOTTENS LÄN</t>
        </is>
      </c>
      <c r="E2146" t="inlineStr">
        <is>
          <t>PITEÅ</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22292-2020</t>
        </is>
      </c>
      <c r="B2147" s="1" t="n">
        <v>43962</v>
      </c>
      <c r="C2147" s="1" t="n">
        <v>45798</v>
      </c>
      <c r="D2147" t="inlineStr">
        <is>
          <t>NORRBOTTENS LÄN</t>
        </is>
      </c>
      <c r="E2147" t="inlineStr">
        <is>
          <t>PITEÅ</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22288-2020</t>
        </is>
      </c>
      <c r="B2148" s="1" t="n">
        <v>43962</v>
      </c>
      <c r="C2148" s="1" t="n">
        <v>45798</v>
      </c>
      <c r="D2148" t="inlineStr">
        <is>
          <t>NORRBOTTENS LÄN</t>
        </is>
      </c>
      <c r="E2148" t="inlineStr">
        <is>
          <t>PITEÅ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22291-2020</t>
        </is>
      </c>
      <c r="B2149" s="1" t="n">
        <v>43962</v>
      </c>
      <c r="C2149" s="1" t="n">
        <v>45798</v>
      </c>
      <c r="D2149" t="inlineStr">
        <is>
          <t>NORRBOTTENS LÄN</t>
        </is>
      </c>
      <c r="E2149" t="inlineStr">
        <is>
          <t>PITEÅ</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22710-2020</t>
        </is>
      </c>
      <c r="B2150" s="1" t="n">
        <v>43962</v>
      </c>
      <c r="C2150" s="1" t="n">
        <v>45798</v>
      </c>
      <c r="D2150" t="inlineStr">
        <is>
          <t>NORRBOTTENS LÄN</t>
        </is>
      </c>
      <c r="E2150" t="inlineStr">
        <is>
          <t>LULEÅ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22470-2020</t>
        </is>
      </c>
      <c r="B2151" s="1" t="n">
        <v>43963</v>
      </c>
      <c r="C2151" s="1" t="n">
        <v>45798</v>
      </c>
      <c r="D2151" t="inlineStr">
        <is>
          <t>NORRBOTTENS LÄN</t>
        </is>
      </c>
      <c r="E2151" t="inlineStr">
        <is>
          <t>ÄLVSBYN</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22844-2020</t>
        </is>
      </c>
      <c r="B2152" s="1" t="n">
        <v>43964</v>
      </c>
      <c r="C2152" s="1" t="n">
        <v>45798</v>
      </c>
      <c r="D2152" t="inlineStr">
        <is>
          <t>NORRBOTTENS LÄN</t>
        </is>
      </c>
      <c r="E2152" t="inlineStr">
        <is>
          <t>BODEN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22846-2020</t>
        </is>
      </c>
      <c r="B2153" s="1" t="n">
        <v>43964</v>
      </c>
      <c r="C2153" s="1" t="n">
        <v>45798</v>
      </c>
      <c r="D2153" t="inlineStr">
        <is>
          <t>NORRBOTTENS LÄN</t>
        </is>
      </c>
      <c r="E2153" t="inlineStr">
        <is>
          <t>BODEN</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22933-2020</t>
        </is>
      </c>
      <c r="B2154" s="1" t="n">
        <v>43964</v>
      </c>
      <c r="C2154" s="1" t="n">
        <v>45798</v>
      </c>
      <c r="D2154" t="inlineStr">
        <is>
          <t>NORRBOTTENS LÄN</t>
        </is>
      </c>
      <c r="E2154" t="inlineStr">
        <is>
          <t>ARVIDSJAUR</t>
        </is>
      </c>
      <c r="F2154" t="inlineStr">
        <is>
          <t>Allmännings- och besparingsskogar</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22953-2020</t>
        </is>
      </c>
      <c r="B2155" s="1" t="n">
        <v>43964</v>
      </c>
      <c r="C2155" s="1" t="n">
        <v>45798</v>
      </c>
      <c r="D2155" t="inlineStr">
        <is>
          <t>NORRBOTTENS LÄN</t>
        </is>
      </c>
      <c r="E2155" t="inlineStr">
        <is>
          <t>ARVIDSJAUR</t>
        </is>
      </c>
      <c r="F2155" t="inlineStr">
        <is>
          <t>Allmännings- och besparingsskogar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23063-2020</t>
        </is>
      </c>
      <c r="B2156" s="1" t="n">
        <v>43965</v>
      </c>
      <c r="C2156" s="1" t="n">
        <v>45798</v>
      </c>
      <c r="D2156" t="inlineStr">
        <is>
          <t>NORRBOTTENS LÄN</t>
        </is>
      </c>
      <c r="E2156" t="inlineStr">
        <is>
          <t>KALIX</t>
        </is>
      </c>
      <c r="G2156" t="n">
        <v>15.2</v>
      </c>
      <c r="H2156" t="n">
        <v>0</v>
      </c>
      <c r="I2156" t="n">
        <v>0</v>
      </c>
      <c r="J2156" t="n">
        <v>0</v>
      </c>
      <c r="K2156" t="n">
        <v>0</v>
      </c>
      <c r="L2156" t="n">
        <v>0</v>
      </c>
      <c r="M2156" t="n">
        <v>0</v>
      </c>
      <c r="N2156" t="n">
        <v>0</v>
      </c>
      <c r="O2156" t="n">
        <v>0</v>
      </c>
      <c r="P2156" t="n">
        <v>0</v>
      </c>
      <c r="Q2156" t="n">
        <v>0</v>
      </c>
      <c r="R2156" s="2" t="inlineStr"/>
    </row>
    <row r="2157" ht="15" customHeight="1">
      <c r="A2157" t="inlineStr">
        <is>
          <t>A 23105-2020</t>
        </is>
      </c>
      <c r="B2157" s="1" t="n">
        <v>43965</v>
      </c>
      <c r="C2157" s="1" t="n">
        <v>45798</v>
      </c>
      <c r="D2157" t="inlineStr">
        <is>
          <t>NORRBOTTENS LÄN</t>
        </is>
      </c>
      <c r="E2157" t="inlineStr">
        <is>
          <t>BODEN</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23192-2020</t>
        </is>
      </c>
      <c r="B2158" s="1" t="n">
        <v>43966</v>
      </c>
      <c r="C2158" s="1" t="n">
        <v>45798</v>
      </c>
      <c r="D2158" t="inlineStr">
        <is>
          <t>NORRBOTTENS LÄN</t>
        </is>
      </c>
      <c r="E2158" t="inlineStr">
        <is>
          <t>PAJALA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23399-2020</t>
        </is>
      </c>
      <c r="B2159" s="1" t="n">
        <v>43968</v>
      </c>
      <c r="C2159" s="1" t="n">
        <v>45798</v>
      </c>
      <c r="D2159" t="inlineStr">
        <is>
          <t>NORRBOTTENS LÄN</t>
        </is>
      </c>
      <c r="E2159" t="inlineStr">
        <is>
          <t>PAJALA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23602-2020</t>
        </is>
      </c>
      <c r="B2160" s="1" t="n">
        <v>43969</v>
      </c>
      <c r="C2160" s="1" t="n">
        <v>45798</v>
      </c>
      <c r="D2160" t="inlineStr">
        <is>
          <t>NORRBOTTENS LÄN</t>
        </is>
      </c>
      <c r="E2160" t="inlineStr">
        <is>
          <t>PAJALA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23630-2020</t>
        </is>
      </c>
      <c r="B2161" s="1" t="n">
        <v>43969</v>
      </c>
      <c r="C2161" s="1" t="n">
        <v>45798</v>
      </c>
      <c r="D2161" t="inlineStr">
        <is>
          <t>NORRBOTTENS LÄN</t>
        </is>
      </c>
      <c r="E2161" t="inlineStr">
        <is>
          <t>PAJALA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23639-2020</t>
        </is>
      </c>
      <c r="B2162" s="1" t="n">
        <v>43969</v>
      </c>
      <c r="C2162" s="1" t="n">
        <v>45798</v>
      </c>
      <c r="D2162" t="inlineStr">
        <is>
          <t>NORRBOTTENS LÄN</t>
        </is>
      </c>
      <c r="E2162" t="inlineStr">
        <is>
          <t>ÖVERKALIX</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23735-2020</t>
        </is>
      </c>
      <c r="B2163" s="1" t="n">
        <v>43970</v>
      </c>
      <c r="C2163" s="1" t="n">
        <v>45798</v>
      </c>
      <c r="D2163" t="inlineStr">
        <is>
          <t>NORRBOTTENS LÄN</t>
        </is>
      </c>
      <c r="E2163" t="inlineStr">
        <is>
          <t>PITEÅ</t>
        </is>
      </c>
      <c r="F2163" t="inlineStr">
        <is>
          <t>Sveaskog</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24385-2020</t>
        </is>
      </c>
      <c r="B2164" s="1" t="n">
        <v>43970</v>
      </c>
      <c r="C2164" s="1" t="n">
        <v>45798</v>
      </c>
      <c r="D2164" t="inlineStr">
        <is>
          <t>NORRBOTTENS LÄN</t>
        </is>
      </c>
      <c r="E2164" t="inlineStr">
        <is>
          <t>KALIX</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23997-2020</t>
        </is>
      </c>
      <c r="B2165" s="1" t="n">
        <v>43971</v>
      </c>
      <c r="C2165" s="1" t="n">
        <v>45798</v>
      </c>
      <c r="D2165" t="inlineStr">
        <is>
          <t>NORRBOTTENS LÄN</t>
        </is>
      </c>
      <c r="E2165" t="inlineStr">
        <is>
          <t>PITEÅ</t>
        </is>
      </c>
      <c r="F2165" t="inlineStr">
        <is>
          <t>Övriga Aktiebolag</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24026-2020</t>
        </is>
      </c>
      <c r="B2166" s="1" t="n">
        <v>43971</v>
      </c>
      <c r="C2166" s="1" t="n">
        <v>45798</v>
      </c>
      <c r="D2166" t="inlineStr">
        <is>
          <t>NORRBOTTENS LÄN</t>
        </is>
      </c>
      <c r="E2166" t="inlineStr">
        <is>
          <t>BODEN</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24055-2020</t>
        </is>
      </c>
      <c r="B2167" s="1" t="n">
        <v>43971</v>
      </c>
      <c r="C2167" s="1" t="n">
        <v>45798</v>
      </c>
      <c r="D2167" t="inlineStr">
        <is>
          <t>NORRBOTTENS LÄN</t>
        </is>
      </c>
      <c r="E2167" t="inlineStr">
        <is>
          <t>JOKKMOKK</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24354-2020</t>
        </is>
      </c>
      <c r="B2168" s="1" t="n">
        <v>43976</v>
      </c>
      <c r="C2168" s="1" t="n">
        <v>45798</v>
      </c>
      <c r="D2168" t="inlineStr">
        <is>
          <t>NORRBOTTENS LÄN</t>
        </is>
      </c>
      <c r="E2168" t="inlineStr">
        <is>
          <t>ÖVERKALIX</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24368-2020</t>
        </is>
      </c>
      <c r="B2169" s="1" t="n">
        <v>43976</v>
      </c>
      <c r="C2169" s="1" t="n">
        <v>45798</v>
      </c>
      <c r="D2169" t="inlineStr">
        <is>
          <t>NORRBOTTENS LÄN</t>
        </is>
      </c>
      <c r="E2169" t="inlineStr">
        <is>
          <t>PAJALA</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24232-2020</t>
        </is>
      </c>
      <c r="B2170" s="1" t="n">
        <v>43976</v>
      </c>
      <c r="C2170" s="1" t="n">
        <v>45798</v>
      </c>
      <c r="D2170" t="inlineStr">
        <is>
          <t>NORRBOTTENS LÄN</t>
        </is>
      </c>
      <c r="E2170" t="inlineStr">
        <is>
          <t>ARVIDSJAUR</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24241-2020</t>
        </is>
      </c>
      <c r="B2171" s="1" t="n">
        <v>43976</v>
      </c>
      <c r="C2171" s="1" t="n">
        <v>45798</v>
      </c>
      <c r="D2171" t="inlineStr">
        <is>
          <t>NORRBOTTENS LÄN</t>
        </is>
      </c>
      <c r="E2171" t="inlineStr">
        <is>
          <t>GÄLLIVARE</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24358-2020</t>
        </is>
      </c>
      <c r="B2172" s="1" t="n">
        <v>43976</v>
      </c>
      <c r="C2172" s="1" t="n">
        <v>45798</v>
      </c>
      <c r="D2172" t="inlineStr">
        <is>
          <t>NORRBOTTENS LÄN</t>
        </is>
      </c>
      <c r="E2172" t="inlineStr">
        <is>
          <t>PAJALA</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24524-2020</t>
        </is>
      </c>
      <c r="B2173" s="1" t="n">
        <v>43976</v>
      </c>
      <c r="C2173" s="1" t="n">
        <v>45798</v>
      </c>
      <c r="D2173" t="inlineStr">
        <is>
          <t>NORRBOTTENS LÄN</t>
        </is>
      </c>
      <c r="E2173" t="inlineStr">
        <is>
          <t>PITEÅ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24422-2020</t>
        </is>
      </c>
      <c r="B2174" s="1" t="n">
        <v>43976</v>
      </c>
      <c r="C2174" s="1" t="n">
        <v>45798</v>
      </c>
      <c r="D2174" t="inlineStr">
        <is>
          <t>NORRBOTTENS LÄN</t>
        </is>
      </c>
      <c r="E2174" t="inlineStr">
        <is>
          <t>JOKKMOKK</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24660-2020</t>
        </is>
      </c>
      <c r="B2175" s="1" t="n">
        <v>43977</v>
      </c>
      <c r="C2175" s="1" t="n">
        <v>45798</v>
      </c>
      <c r="D2175" t="inlineStr">
        <is>
          <t>NORRBOTTENS LÄN</t>
        </is>
      </c>
      <c r="E2175" t="inlineStr">
        <is>
          <t>ÖVERKALIX</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24790-2020</t>
        </is>
      </c>
      <c r="B2176" s="1" t="n">
        <v>43978</v>
      </c>
      <c r="C2176" s="1" t="n">
        <v>45798</v>
      </c>
      <c r="D2176" t="inlineStr">
        <is>
          <t>NORRBOTTENS LÄN</t>
        </is>
      </c>
      <c r="E2176" t="inlineStr">
        <is>
          <t>PAJALA</t>
        </is>
      </c>
      <c r="F2176" t="inlineStr">
        <is>
          <t>Sveaskog</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25139-2020</t>
        </is>
      </c>
      <c r="B2177" s="1" t="n">
        <v>43979</v>
      </c>
      <c r="C2177" s="1" t="n">
        <v>45798</v>
      </c>
      <c r="D2177" t="inlineStr">
        <is>
          <t>NORRBOTTENS LÄN</t>
        </is>
      </c>
      <c r="E2177" t="inlineStr">
        <is>
          <t>ARJEPLOG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25001-2020</t>
        </is>
      </c>
      <c r="B2178" s="1" t="n">
        <v>43979</v>
      </c>
      <c r="C2178" s="1" t="n">
        <v>45798</v>
      </c>
      <c r="D2178" t="inlineStr">
        <is>
          <t>NORRBOTTENS LÄN</t>
        </is>
      </c>
      <c r="E2178" t="inlineStr">
        <is>
          <t>PITEÅ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25027-2020</t>
        </is>
      </c>
      <c r="B2179" s="1" t="n">
        <v>43979</v>
      </c>
      <c r="C2179" s="1" t="n">
        <v>45798</v>
      </c>
      <c r="D2179" t="inlineStr">
        <is>
          <t>NORRBOTTENS LÄN</t>
        </is>
      </c>
      <c r="E2179" t="inlineStr">
        <is>
          <t>PITEÅ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25031-2020</t>
        </is>
      </c>
      <c r="B2180" s="1" t="n">
        <v>43979</v>
      </c>
      <c r="C2180" s="1" t="n">
        <v>45798</v>
      </c>
      <c r="D2180" t="inlineStr">
        <is>
          <t>NORRBOTTENS LÄN</t>
        </is>
      </c>
      <c r="E2180" t="inlineStr">
        <is>
          <t>PITEÅ</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25105-2020</t>
        </is>
      </c>
      <c r="B2181" s="1" t="n">
        <v>43979</v>
      </c>
      <c r="C2181" s="1" t="n">
        <v>45798</v>
      </c>
      <c r="D2181" t="inlineStr">
        <is>
          <t>NORRBOTTENS LÄN</t>
        </is>
      </c>
      <c r="E2181" t="inlineStr">
        <is>
          <t>BODEN</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25277-2020</t>
        </is>
      </c>
      <c r="B2182" s="1" t="n">
        <v>43979</v>
      </c>
      <c r="C2182" s="1" t="n">
        <v>45798</v>
      </c>
      <c r="D2182" t="inlineStr">
        <is>
          <t>NORRBOTTENS LÄN</t>
        </is>
      </c>
      <c r="E2182" t="inlineStr">
        <is>
          <t>PAJALA</t>
        </is>
      </c>
      <c r="F2182" t="inlineStr">
        <is>
          <t>Allmännings- och besparingsskogar</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25163-2020</t>
        </is>
      </c>
      <c r="B2183" s="1" t="n">
        <v>43980</v>
      </c>
      <c r="C2183" s="1" t="n">
        <v>45798</v>
      </c>
      <c r="D2183" t="inlineStr">
        <is>
          <t>NORRBOTTENS LÄN</t>
        </is>
      </c>
      <c r="E2183" t="inlineStr">
        <is>
          <t>JOKKMOKK</t>
        </is>
      </c>
      <c r="F2183" t="inlineStr">
        <is>
          <t>Sveaskog</t>
        </is>
      </c>
      <c r="G2183" t="n">
        <v>17.4</v>
      </c>
      <c r="H2183" t="n">
        <v>0</v>
      </c>
      <c r="I2183" t="n">
        <v>0</v>
      </c>
      <c r="J2183" t="n">
        <v>0</v>
      </c>
      <c r="K2183" t="n">
        <v>0</v>
      </c>
      <c r="L2183" t="n">
        <v>0</v>
      </c>
      <c r="M2183" t="n">
        <v>0</v>
      </c>
      <c r="N2183" t="n">
        <v>0</v>
      </c>
      <c r="O2183" t="n">
        <v>0</v>
      </c>
      <c r="P2183" t="n">
        <v>0</v>
      </c>
      <c r="Q2183" t="n">
        <v>0</v>
      </c>
      <c r="R2183" s="2" t="inlineStr"/>
    </row>
    <row r="2184" ht="15" customHeight="1">
      <c r="A2184" t="inlineStr">
        <is>
          <t>A 25319-2020</t>
        </is>
      </c>
      <c r="B2184" s="1" t="n">
        <v>43980</v>
      </c>
      <c r="C2184" s="1" t="n">
        <v>45798</v>
      </c>
      <c r="D2184" t="inlineStr">
        <is>
          <t>NORRBOTTENS LÄN</t>
        </is>
      </c>
      <c r="E2184" t="inlineStr">
        <is>
          <t>PAJALA</t>
        </is>
      </c>
      <c r="F2184" t="inlineStr">
        <is>
          <t>Sveaskog</t>
        </is>
      </c>
      <c r="G2184" t="n">
        <v>11.9</v>
      </c>
      <c r="H2184" t="n">
        <v>0</v>
      </c>
      <c r="I2184" t="n">
        <v>0</v>
      </c>
      <c r="J2184" t="n">
        <v>0</v>
      </c>
      <c r="K2184" t="n">
        <v>0</v>
      </c>
      <c r="L2184" t="n">
        <v>0</v>
      </c>
      <c r="M2184" t="n">
        <v>0</v>
      </c>
      <c r="N2184" t="n">
        <v>0</v>
      </c>
      <c r="O2184" t="n">
        <v>0</v>
      </c>
      <c r="P2184" t="n">
        <v>0</v>
      </c>
      <c r="Q2184" t="n">
        <v>0</v>
      </c>
      <c r="R2184" s="2" t="inlineStr"/>
    </row>
    <row r="2185" ht="15" customHeight="1">
      <c r="A2185" t="inlineStr">
        <is>
          <t>A 25305-2020</t>
        </is>
      </c>
      <c r="B2185" s="1" t="n">
        <v>43980</v>
      </c>
      <c r="C2185" s="1" t="n">
        <v>45798</v>
      </c>
      <c r="D2185" t="inlineStr">
        <is>
          <t>NORRBOTTENS LÄN</t>
        </is>
      </c>
      <c r="E2185" t="inlineStr">
        <is>
          <t>JOKKMOKK</t>
        </is>
      </c>
      <c r="F2185" t="inlineStr">
        <is>
          <t>Sveaskog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25323-2020</t>
        </is>
      </c>
      <c r="B2186" s="1" t="n">
        <v>43980</v>
      </c>
      <c r="C2186" s="1" t="n">
        <v>45798</v>
      </c>
      <c r="D2186" t="inlineStr">
        <is>
          <t>NORRBOTTENS LÄN</t>
        </is>
      </c>
      <c r="E2186" t="inlineStr">
        <is>
          <t>PAJALA</t>
        </is>
      </c>
      <c r="F2186" t="inlineStr">
        <is>
          <t>Sveaskog</t>
        </is>
      </c>
      <c r="G2186" t="n">
        <v>16.7</v>
      </c>
      <c r="H2186" t="n">
        <v>0</v>
      </c>
      <c r="I2186" t="n">
        <v>0</v>
      </c>
      <c r="J2186" t="n">
        <v>0</v>
      </c>
      <c r="K2186" t="n">
        <v>0</v>
      </c>
      <c r="L2186" t="n">
        <v>0</v>
      </c>
      <c r="M2186" t="n">
        <v>0</v>
      </c>
      <c r="N2186" t="n">
        <v>0</v>
      </c>
      <c r="O2186" t="n">
        <v>0</v>
      </c>
      <c r="P2186" t="n">
        <v>0</v>
      </c>
      <c r="Q2186" t="n">
        <v>0</v>
      </c>
      <c r="R2186" s="2" t="inlineStr"/>
    </row>
    <row r="2187" ht="15" customHeight="1">
      <c r="A2187" t="inlineStr">
        <is>
          <t>A 25346-2020</t>
        </is>
      </c>
      <c r="B2187" s="1" t="n">
        <v>43980</v>
      </c>
      <c r="C2187" s="1" t="n">
        <v>45798</v>
      </c>
      <c r="D2187" t="inlineStr">
        <is>
          <t>NORRBOTTENS LÄN</t>
        </is>
      </c>
      <c r="E2187" t="inlineStr">
        <is>
          <t>PAJALA</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25439-2020</t>
        </is>
      </c>
      <c r="B2188" s="1" t="n">
        <v>43983</v>
      </c>
      <c r="C2188" s="1" t="n">
        <v>45798</v>
      </c>
      <c r="D2188" t="inlineStr">
        <is>
          <t>NORRBOTTENS LÄN</t>
        </is>
      </c>
      <c r="E2188" t="inlineStr">
        <is>
          <t>BODEN</t>
        </is>
      </c>
      <c r="F2188" t="inlineStr">
        <is>
          <t>Sveaskog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25541-2020</t>
        </is>
      </c>
      <c r="B2189" s="1" t="n">
        <v>43983</v>
      </c>
      <c r="C2189" s="1" t="n">
        <v>45798</v>
      </c>
      <c r="D2189" t="inlineStr">
        <is>
          <t>NORRBOTTENS LÄN</t>
        </is>
      </c>
      <c r="E2189" t="inlineStr">
        <is>
          <t>BODEN</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25446-2020</t>
        </is>
      </c>
      <c r="B2190" s="1" t="n">
        <v>43983</v>
      </c>
      <c r="C2190" s="1" t="n">
        <v>45798</v>
      </c>
      <c r="D2190" t="inlineStr">
        <is>
          <t>NORRBOTTENS LÄN</t>
        </is>
      </c>
      <c r="E2190" t="inlineStr">
        <is>
          <t>BODEN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25449-2020</t>
        </is>
      </c>
      <c r="B2191" s="1" t="n">
        <v>43983</v>
      </c>
      <c r="C2191" s="1" t="n">
        <v>45798</v>
      </c>
      <c r="D2191" t="inlineStr">
        <is>
          <t>NORRBOTTENS LÄN</t>
        </is>
      </c>
      <c r="E2191" t="inlineStr">
        <is>
          <t>BODEN</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25731-2020</t>
        </is>
      </c>
      <c r="B2192" s="1" t="n">
        <v>43984</v>
      </c>
      <c r="C2192" s="1" t="n">
        <v>45798</v>
      </c>
      <c r="D2192" t="inlineStr">
        <is>
          <t>NORRBOTTENS LÄN</t>
        </is>
      </c>
      <c r="E2192" t="inlineStr">
        <is>
          <t>PITEÅ</t>
        </is>
      </c>
      <c r="F2192" t="inlineStr">
        <is>
          <t>Övriga Aktiebolag</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26066-2020</t>
        </is>
      </c>
      <c r="B2193" s="1" t="n">
        <v>43984</v>
      </c>
      <c r="C2193" s="1" t="n">
        <v>45798</v>
      </c>
      <c r="D2193" t="inlineStr">
        <is>
          <t>NORRBOTTENS LÄN</t>
        </is>
      </c>
      <c r="E2193" t="inlineStr">
        <is>
          <t>PITEÅ</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26076-2020</t>
        </is>
      </c>
      <c r="B2194" s="1" t="n">
        <v>43985</v>
      </c>
      <c r="C2194" s="1" t="n">
        <v>45798</v>
      </c>
      <c r="D2194" t="inlineStr">
        <is>
          <t>NORRBOTTENS LÄN</t>
        </is>
      </c>
      <c r="E2194" t="inlineStr">
        <is>
          <t>KALIX</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26062-2020</t>
        </is>
      </c>
      <c r="B2195" s="1" t="n">
        <v>43985</v>
      </c>
      <c r="C2195" s="1" t="n">
        <v>45798</v>
      </c>
      <c r="D2195" t="inlineStr">
        <is>
          <t>NORRBOTTENS LÄN</t>
        </is>
      </c>
      <c r="E2195" t="inlineStr">
        <is>
          <t>LULEÅ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26201-2020</t>
        </is>
      </c>
      <c r="B2196" s="1" t="n">
        <v>43986</v>
      </c>
      <c r="C2196" s="1" t="n">
        <v>45798</v>
      </c>
      <c r="D2196" t="inlineStr">
        <is>
          <t>NORRBOTTENS LÄN</t>
        </is>
      </c>
      <c r="E2196" t="inlineStr">
        <is>
          <t>ARVIDSJAUR</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26594-2020</t>
        </is>
      </c>
      <c r="B2197" s="1" t="n">
        <v>43986</v>
      </c>
      <c r="C2197" s="1" t="n">
        <v>45798</v>
      </c>
      <c r="D2197" t="inlineStr">
        <is>
          <t>NORRBOTTENS LÄN</t>
        </is>
      </c>
      <c r="E2197" t="inlineStr">
        <is>
          <t>HAPARANDA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26315-2020</t>
        </is>
      </c>
      <c r="B2198" s="1" t="n">
        <v>43986</v>
      </c>
      <c r="C2198" s="1" t="n">
        <v>45798</v>
      </c>
      <c r="D2198" t="inlineStr">
        <is>
          <t>NORRBOTTENS LÄN</t>
        </is>
      </c>
      <c r="E2198" t="inlineStr">
        <is>
          <t>ÖVERTORNEÅ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26312-2020</t>
        </is>
      </c>
      <c r="B2199" s="1" t="n">
        <v>43986</v>
      </c>
      <c r="C2199" s="1" t="n">
        <v>45798</v>
      </c>
      <c r="D2199" t="inlineStr">
        <is>
          <t>NORRBOTTENS LÄN</t>
        </is>
      </c>
      <c r="E2199" t="inlineStr">
        <is>
          <t>ÖVERTORNEÅ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26593-2020</t>
        </is>
      </c>
      <c r="B2200" s="1" t="n">
        <v>43986</v>
      </c>
      <c r="C2200" s="1" t="n">
        <v>45798</v>
      </c>
      <c r="D2200" t="inlineStr">
        <is>
          <t>NORRBOTTENS LÄN</t>
        </is>
      </c>
      <c r="E2200" t="inlineStr">
        <is>
          <t>HAPARANDA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26588-2020</t>
        </is>
      </c>
      <c r="B2201" s="1" t="n">
        <v>43986</v>
      </c>
      <c r="C2201" s="1" t="n">
        <v>45798</v>
      </c>
      <c r="D2201" t="inlineStr">
        <is>
          <t>NORRBOTTENS LÄN</t>
        </is>
      </c>
      <c r="E2201" t="inlineStr">
        <is>
          <t>KALIX</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26850-2020</t>
        </is>
      </c>
      <c r="B2202" s="1" t="n">
        <v>43987</v>
      </c>
      <c r="C2202" s="1" t="n">
        <v>45798</v>
      </c>
      <c r="D2202" t="inlineStr">
        <is>
          <t>NORRBOTTENS LÄN</t>
        </is>
      </c>
      <c r="E2202" t="inlineStr">
        <is>
          <t>GÄLLIVARE</t>
        </is>
      </c>
      <c r="F2202" t="inlineStr">
        <is>
          <t>Allmännings- och besparingsskogar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27058-2020</t>
        </is>
      </c>
      <c r="B2203" s="1" t="n">
        <v>43987</v>
      </c>
      <c r="C2203" s="1" t="n">
        <v>45798</v>
      </c>
      <c r="D2203" t="inlineStr">
        <is>
          <t>NORRBOTTENS LÄN</t>
        </is>
      </c>
      <c r="E2203" t="inlineStr">
        <is>
          <t>JOKKMOKK</t>
        </is>
      </c>
      <c r="F2203" t="inlineStr">
        <is>
          <t>Allmännings- och besparingsskogar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26866-2020</t>
        </is>
      </c>
      <c r="B2204" s="1" t="n">
        <v>43987</v>
      </c>
      <c r="C2204" s="1" t="n">
        <v>45798</v>
      </c>
      <c r="D2204" t="inlineStr">
        <is>
          <t>NORRBOTTENS LÄN</t>
        </is>
      </c>
      <c r="E2204" t="inlineStr">
        <is>
          <t>ÖVERKALIX</t>
        </is>
      </c>
      <c r="F2204" t="inlineStr">
        <is>
          <t>Sveaskog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26846-2020</t>
        </is>
      </c>
      <c r="B2205" s="1" t="n">
        <v>43987</v>
      </c>
      <c r="C2205" s="1" t="n">
        <v>45798</v>
      </c>
      <c r="D2205" t="inlineStr">
        <is>
          <t>NORRBOTTENS LÄN</t>
        </is>
      </c>
      <c r="E2205" t="inlineStr">
        <is>
          <t>PAJALA</t>
        </is>
      </c>
      <c r="F2205" t="inlineStr">
        <is>
          <t>Allmännings- och besparingsskogar</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26853-2020</t>
        </is>
      </c>
      <c r="B2206" s="1" t="n">
        <v>43987</v>
      </c>
      <c r="C2206" s="1" t="n">
        <v>45798</v>
      </c>
      <c r="D2206" t="inlineStr">
        <is>
          <t>NORRBOTTENS LÄN</t>
        </is>
      </c>
      <c r="E2206" t="inlineStr">
        <is>
          <t>PITEÅ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26768-2020</t>
        </is>
      </c>
      <c r="B2207" s="1" t="n">
        <v>43990</v>
      </c>
      <c r="C2207" s="1" t="n">
        <v>45798</v>
      </c>
      <c r="D2207" t="inlineStr">
        <is>
          <t>NORRBOTTENS LÄN</t>
        </is>
      </c>
      <c r="E2207" t="inlineStr">
        <is>
          <t>PITEÅ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26916-2020</t>
        </is>
      </c>
      <c r="B2208" s="1" t="n">
        <v>43990</v>
      </c>
      <c r="C2208" s="1" t="n">
        <v>45798</v>
      </c>
      <c r="D2208" t="inlineStr">
        <is>
          <t>NORRBOTTENS LÄN</t>
        </is>
      </c>
      <c r="E2208" t="inlineStr">
        <is>
          <t>BODEN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26795-2020</t>
        </is>
      </c>
      <c r="B2209" s="1" t="n">
        <v>43990</v>
      </c>
      <c r="C2209" s="1" t="n">
        <v>45798</v>
      </c>
      <c r="D2209" t="inlineStr">
        <is>
          <t>NORRBOTTENS LÄN</t>
        </is>
      </c>
      <c r="E2209" t="inlineStr">
        <is>
          <t>ÖVERKALIX</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27137-2020</t>
        </is>
      </c>
      <c r="B2210" s="1" t="n">
        <v>43991</v>
      </c>
      <c r="C2210" s="1" t="n">
        <v>45798</v>
      </c>
      <c r="D2210" t="inlineStr">
        <is>
          <t>NORRBOTTENS LÄN</t>
        </is>
      </c>
      <c r="E2210" t="inlineStr">
        <is>
          <t>PAJALA</t>
        </is>
      </c>
      <c r="F2210" t="inlineStr">
        <is>
          <t>Sveaskog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27148-2020</t>
        </is>
      </c>
      <c r="B2211" s="1" t="n">
        <v>43991</v>
      </c>
      <c r="C2211" s="1" t="n">
        <v>45798</v>
      </c>
      <c r="D2211" t="inlineStr">
        <is>
          <t>NORRBOTTENS LÄN</t>
        </is>
      </c>
      <c r="E2211" t="inlineStr">
        <is>
          <t>PAJALA</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27092-2020</t>
        </is>
      </c>
      <c r="B2212" s="1" t="n">
        <v>43991</v>
      </c>
      <c r="C2212" s="1" t="n">
        <v>45798</v>
      </c>
      <c r="D2212" t="inlineStr">
        <is>
          <t>NORRBOTTENS LÄN</t>
        </is>
      </c>
      <c r="E2212" t="inlineStr">
        <is>
          <t>ÖVERKALIX</t>
        </is>
      </c>
      <c r="F2212" t="inlineStr">
        <is>
          <t>Sveaskog</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27143-2020</t>
        </is>
      </c>
      <c r="B2213" s="1" t="n">
        <v>43991</v>
      </c>
      <c r="C2213" s="1" t="n">
        <v>45798</v>
      </c>
      <c r="D2213" t="inlineStr">
        <is>
          <t>NORRBOTTENS LÄN</t>
        </is>
      </c>
      <c r="E2213" t="inlineStr">
        <is>
          <t>PAJALA</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27165-2020</t>
        </is>
      </c>
      <c r="B2214" s="1" t="n">
        <v>43991</v>
      </c>
      <c r="C2214" s="1" t="n">
        <v>45798</v>
      </c>
      <c r="D2214" t="inlineStr">
        <is>
          <t>NORRBOTTENS LÄN</t>
        </is>
      </c>
      <c r="E2214" t="inlineStr">
        <is>
          <t>JOKKMOKK</t>
        </is>
      </c>
      <c r="F2214" t="inlineStr">
        <is>
          <t>Sveaskog</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27153-2020</t>
        </is>
      </c>
      <c r="B2215" s="1" t="n">
        <v>43991</v>
      </c>
      <c r="C2215" s="1" t="n">
        <v>45798</v>
      </c>
      <c r="D2215" t="inlineStr">
        <is>
          <t>NORRBOTTENS LÄN</t>
        </is>
      </c>
      <c r="E2215" t="inlineStr">
        <is>
          <t>PAJALA</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27552-2020</t>
        </is>
      </c>
      <c r="B2216" s="1" t="n">
        <v>43991</v>
      </c>
      <c r="C2216" s="1" t="n">
        <v>45798</v>
      </c>
      <c r="D2216" t="inlineStr">
        <is>
          <t>NORRBOTTENS LÄN</t>
        </is>
      </c>
      <c r="E2216" t="inlineStr">
        <is>
          <t>KALIX</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27135-2020</t>
        </is>
      </c>
      <c r="B2217" s="1" t="n">
        <v>43991</v>
      </c>
      <c r="C2217" s="1" t="n">
        <v>45798</v>
      </c>
      <c r="D2217" t="inlineStr">
        <is>
          <t>NORRBOTTENS LÄN</t>
        </is>
      </c>
      <c r="E2217" t="inlineStr">
        <is>
          <t>PAJALA</t>
        </is>
      </c>
      <c r="F2217" t="inlineStr">
        <is>
          <t>Sveaskog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27417-2020</t>
        </is>
      </c>
      <c r="B2218" s="1" t="n">
        <v>43992</v>
      </c>
      <c r="C2218" s="1" t="n">
        <v>45798</v>
      </c>
      <c r="D2218" t="inlineStr">
        <is>
          <t>NORRBOTTENS LÄN</t>
        </is>
      </c>
      <c r="E2218" t="inlineStr">
        <is>
          <t>LULEÅ</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27782-2020</t>
        </is>
      </c>
      <c r="B2219" s="1" t="n">
        <v>43994</v>
      </c>
      <c r="C2219" s="1" t="n">
        <v>45798</v>
      </c>
      <c r="D2219" t="inlineStr">
        <is>
          <t>NORRBOTTENS LÄN</t>
        </is>
      </c>
      <c r="E2219" t="inlineStr">
        <is>
          <t>HAPARANDA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27800-2020</t>
        </is>
      </c>
      <c r="B2220" s="1" t="n">
        <v>43994</v>
      </c>
      <c r="C2220" s="1" t="n">
        <v>45798</v>
      </c>
      <c r="D2220" t="inlineStr">
        <is>
          <t>NORRBOTTENS LÄN</t>
        </is>
      </c>
      <c r="E2220" t="inlineStr">
        <is>
          <t>PITEÅ</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27876-2020</t>
        </is>
      </c>
      <c r="B2221" s="1" t="n">
        <v>43994</v>
      </c>
      <c r="C2221" s="1" t="n">
        <v>45798</v>
      </c>
      <c r="D2221" t="inlineStr">
        <is>
          <t>NORRBOTTENS LÄN</t>
        </is>
      </c>
      <c r="E2221" t="inlineStr">
        <is>
          <t>BODEN</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27798-2020</t>
        </is>
      </c>
      <c r="B2222" s="1" t="n">
        <v>43994</v>
      </c>
      <c r="C2222" s="1" t="n">
        <v>45798</v>
      </c>
      <c r="D2222" t="inlineStr">
        <is>
          <t>NORRBOTTENS LÄN</t>
        </is>
      </c>
      <c r="E2222" t="inlineStr">
        <is>
          <t>HAPARANDA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27913-2020</t>
        </is>
      </c>
      <c r="B2223" s="1" t="n">
        <v>43997</v>
      </c>
      <c r="C2223" s="1" t="n">
        <v>45798</v>
      </c>
      <c r="D2223" t="inlineStr">
        <is>
          <t>NORRBOTTENS LÄN</t>
        </is>
      </c>
      <c r="E2223" t="inlineStr">
        <is>
          <t>PAJALA</t>
        </is>
      </c>
      <c r="G2223" t="n">
        <v>17.6</v>
      </c>
      <c r="H2223" t="n">
        <v>0</v>
      </c>
      <c r="I2223" t="n">
        <v>0</v>
      </c>
      <c r="J2223" t="n">
        <v>0</v>
      </c>
      <c r="K2223" t="n">
        <v>0</v>
      </c>
      <c r="L2223" t="n">
        <v>0</v>
      </c>
      <c r="M2223" t="n">
        <v>0</v>
      </c>
      <c r="N2223" t="n">
        <v>0</v>
      </c>
      <c r="O2223" t="n">
        <v>0</v>
      </c>
      <c r="P2223" t="n">
        <v>0</v>
      </c>
      <c r="Q2223" t="n">
        <v>0</v>
      </c>
      <c r="R2223" s="2" t="inlineStr"/>
    </row>
    <row r="2224" ht="15" customHeight="1">
      <c r="A2224" t="inlineStr">
        <is>
          <t>A 27914-2020</t>
        </is>
      </c>
      <c r="B2224" s="1" t="n">
        <v>43997</v>
      </c>
      <c r="C2224" s="1" t="n">
        <v>45798</v>
      </c>
      <c r="D2224" t="inlineStr">
        <is>
          <t>NORRBOTTENS LÄN</t>
        </is>
      </c>
      <c r="E2224" t="inlineStr">
        <is>
          <t>PAJALA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28402-2020</t>
        </is>
      </c>
      <c r="B2225" s="1" t="n">
        <v>43997</v>
      </c>
      <c r="C2225" s="1" t="n">
        <v>45798</v>
      </c>
      <c r="D2225" t="inlineStr">
        <is>
          <t>NORRBOTTENS LÄN</t>
        </is>
      </c>
      <c r="E2225" t="inlineStr">
        <is>
          <t>PITEÅ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28202-2020</t>
        </is>
      </c>
      <c r="B2226" s="1" t="n">
        <v>43997</v>
      </c>
      <c r="C2226" s="1" t="n">
        <v>45798</v>
      </c>
      <c r="D2226" t="inlineStr">
        <is>
          <t>NORRBOTTENS LÄN</t>
        </is>
      </c>
      <c r="E2226" t="inlineStr">
        <is>
          <t>BODEN</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28488-2020</t>
        </is>
      </c>
      <c r="B2227" s="1" t="n">
        <v>43998</v>
      </c>
      <c r="C2227" s="1" t="n">
        <v>45798</v>
      </c>
      <c r="D2227" t="inlineStr">
        <is>
          <t>NORRBOTTENS LÄN</t>
        </is>
      </c>
      <c r="E2227" t="inlineStr">
        <is>
          <t>BODEN</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29223-2020</t>
        </is>
      </c>
      <c r="B2228" s="1" t="n">
        <v>43999</v>
      </c>
      <c r="C2228" s="1" t="n">
        <v>45798</v>
      </c>
      <c r="D2228" t="inlineStr">
        <is>
          <t>NORRBOTTENS LÄN</t>
        </is>
      </c>
      <c r="E2228" t="inlineStr">
        <is>
          <t>PITEÅ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28855-2020</t>
        </is>
      </c>
      <c r="B2229" s="1" t="n">
        <v>44000</v>
      </c>
      <c r="C2229" s="1" t="n">
        <v>45798</v>
      </c>
      <c r="D2229" t="inlineStr">
        <is>
          <t>NORRBOTTENS LÄN</t>
        </is>
      </c>
      <c r="E2229" t="inlineStr">
        <is>
          <t>PITEÅ</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29403-2020</t>
        </is>
      </c>
      <c r="B2230" s="1" t="n">
        <v>44000</v>
      </c>
      <c r="C2230" s="1" t="n">
        <v>45798</v>
      </c>
      <c r="D2230" t="inlineStr">
        <is>
          <t>NORRBOTTENS LÄN</t>
        </is>
      </c>
      <c r="E2230" t="inlineStr">
        <is>
          <t>HAPARANDA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29247-2020</t>
        </is>
      </c>
      <c r="B2231" s="1" t="n">
        <v>44004</v>
      </c>
      <c r="C2231" s="1" t="n">
        <v>45798</v>
      </c>
      <c r="D2231" t="inlineStr">
        <is>
          <t>NORRBOTTENS LÄN</t>
        </is>
      </c>
      <c r="E2231" t="inlineStr">
        <is>
          <t>BODEN</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29220-2020</t>
        </is>
      </c>
      <c r="B2232" s="1" t="n">
        <v>44004</v>
      </c>
      <c r="C2232" s="1" t="n">
        <v>45798</v>
      </c>
      <c r="D2232" t="inlineStr">
        <is>
          <t>NORRBOTTENS LÄN</t>
        </is>
      </c>
      <c r="E2232" t="inlineStr">
        <is>
          <t>ÖVERTORNEÅ</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29589-2020</t>
        </is>
      </c>
      <c r="B2233" s="1" t="n">
        <v>44004</v>
      </c>
      <c r="C2233" s="1" t="n">
        <v>45798</v>
      </c>
      <c r="D2233" t="inlineStr">
        <is>
          <t>NORRBOTTENS LÄN</t>
        </is>
      </c>
      <c r="E2233" t="inlineStr">
        <is>
          <t>GÄLLIVARE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29567-2020</t>
        </is>
      </c>
      <c r="B2234" s="1" t="n">
        <v>44005</v>
      </c>
      <c r="C2234" s="1" t="n">
        <v>45798</v>
      </c>
      <c r="D2234" t="inlineStr">
        <is>
          <t>NORRBOTTENS LÄN</t>
        </is>
      </c>
      <c r="E2234" t="inlineStr">
        <is>
          <t>BODEN</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29610-2020</t>
        </is>
      </c>
      <c r="B2235" s="1" t="n">
        <v>44005</v>
      </c>
      <c r="C2235" s="1" t="n">
        <v>45798</v>
      </c>
      <c r="D2235" t="inlineStr">
        <is>
          <t>NORRBOTTENS LÄN</t>
        </is>
      </c>
      <c r="E2235" t="inlineStr">
        <is>
          <t>BODEN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29627-2020</t>
        </is>
      </c>
      <c r="B2236" s="1" t="n">
        <v>44005</v>
      </c>
      <c r="C2236" s="1" t="n">
        <v>45798</v>
      </c>
      <c r="D2236" t="inlineStr">
        <is>
          <t>NORRBOTTENS LÄN</t>
        </is>
      </c>
      <c r="E2236" t="inlineStr">
        <is>
          <t>KALIX</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29659-2020</t>
        </is>
      </c>
      <c r="B2237" s="1" t="n">
        <v>44005</v>
      </c>
      <c r="C2237" s="1" t="n">
        <v>45798</v>
      </c>
      <c r="D2237" t="inlineStr">
        <is>
          <t>NORRBOTTENS LÄN</t>
        </is>
      </c>
      <c r="E2237" t="inlineStr">
        <is>
          <t>BODEN</t>
        </is>
      </c>
      <c r="F2237" t="inlineStr">
        <is>
          <t>Sveaskog</t>
        </is>
      </c>
      <c r="G2237" t="n">
        <v>66.90000000000001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29622-2020</t>
        </is>
      </c>
      <c r="B2238" s="1" t="n">
        <v>44005</v>
      </c>
      <c r="C2238" s="1" t="n">
        <v>45798</v>
      </c>
      <c r="D2238" t="inlineStr">
        <is>
          <t>NORRBOTTENS LÄN</t>
        </is>
      </c>
      <c r="E2238" t="inlineStr">
        <is>
          <t>BODEN</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29798-2020</t>
        </is>
      </c>
      <c r="B2239" s="1" t="n">
        <v>44005</v>
      </c>
      <c r="C2239" s="1" t="n">
        <v>45798</v>
      </c>
      <c r="D2239" t="inlineStr">
        <is>
          <t>NORRBOTTENS LÄN</t>
        </is>
      </c>
      <c r="E2239" t="inlineStr">
        <is>
          <t>JOKKMOKK</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30119-2020</t>
        </is>
      </c>
      <c r="B2240" s="1" t="n">
        <v>44006</v>
      </c>
      <c r="C2240" s="1" t="n">
        <v>45798</v>
      </c>
      <c r="D2240" t="inlineStr">
        <is>
          <t>NORRBOTTENS LÄN</t>
        </is>
      </c>
      <c r="E2240" t="inlineStr">
        <is>
          <t>PITEÅ</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30049-2020</t>
        </is>
      </c>
      <c r="B2241" s="1" t="n">
        <v>44006</v>
      </c>
      <c r="C2241" s="1" t="n">
        <v>45798</v>
      </c>
      <c r="D2241" t="inlineStr">
        <is>
          <t>NORRBOTTENS LÄN</t>
        </is>
      </c>
      <c r="E2241" t="inlineStr">
        <is>
          <t>LULEÅ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29981-2020</t>
        </is>
      </c>
      <c r="B2242" s="1" t="n">
        <v>44006</v>
      </c>
      <c r="C2242" s="1" t="n">
        <v>45798</v>
      </c>
      <c r="D2242" t="inlineStr">
        <is>
          <t>NORRBOTTENS LÄN</t>
        </is>
      </c>
      <c r="E2242" t="inlineStr">
        <is>
          <t>GÄLLIVARE</t>
        </is>
      </c>
      <c r="F2242" t="inlineStr">
        <is>
          <t>Allmännings- och besparingsskogar</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30135-2020</t>
        </is>
      </c>
      <c r="B2243" s="1" t="n">
        <v>44006</v>
      </c>
      <c r="C2243" s="1" t="n">
        <v>45798</v>
      </c>
      <c r="D2243" t="inlineStr">
        <is>
          <t>NORRBOTTENS LÄN</t>
        </is>
      </c>
      <c r="E2243" t="inlineStr">
        <is>
          <t>PITEÅ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30276-2020</t>
        </is>
      </c>
      <c r="B2244" s="1" t="n">
        <v>44007</v>
      </c>
      <c r="C2244" s="1" t="n">
        <v>45798</v>
      </c>
      <c r="D2244" t="inlineStr">
        <is>
          <t>NORRBOTTENS LÄN</t>
        </is>
      </c>
      <c r="E2244" t="inlineStr">
        <is>
          <t>KALIX</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30283-2020</t>
        </is>
      </c>
      <c r="B2245" s="1" t="n">
        <v>44007</v>
      </c>
      <c r="C2245" s="1" t="n">
        <v>45798</v>
      </c>
      <c r="D2245" t="inlineStr">
        <is>
          <t>NORRBOTTENS LÄN</t>
        </is>
      </c>
      <c r="E2245" t="inlineStr">
        <is>
          <t>PITEÅ</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30334-2020</t>
        </is>
      </c>
      <c r="B2246" s="1" t="n">
        <v>44007</v>
      </c>
      <c r="C2246" s="1" t="n">
        <v>45798</v>
      </c>
      <c r="D2246" t="inlineStr">
        <is>
          <t>NORRBOTTENS LÄN</t>
        </is>
      </c>
      <c r="E2246" t="inlineStr">
        <is>
          <t>BODEN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30307-2020</t>
        </is>
      </c>
      <c r="B2247" s="1" t="n">
        <v>44007</v>
      </c>
      <c r="C2247" s="1" t="n">
        <v>45798</v>
      </c>
      <c r="D2247" t="inlineStr">
        <is>
          <t>NORRBOTTENS LÄN</t>
        </is>
      </c>
      <c r="E2247" t="inlineStr">
        <is>
          <t>BODEN</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30326-2020</t>
        </is>
      </c>
      <c r="B2248" s="1" t="n">
        <v>44007</v>
      </c>
      <c r="C2248" s="1" t="n">
        <v>45798</v>
      </c>
      <c r="D2248" t="inlineStr">
        <is>
          <t>NORRBOTTENS LÄN</t>
        </is>
      </c>
      <c r="E2248" t="inlineStr">
        <is>
          <t>BODEN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30336-2020</t>
        </is>
      </c>
      <c r="B2249" s="1" t="n">
        <v>44007</v>
      </c>
      <c r="C2249" s="1" t="n">
        <v>45798</v>
      </c>
      <c r="D2249" t="inlineStr">
        <is>
          <t>NORRBOTTENS LÄN</t>
        </is>
      </c>
      <c r="E2249" t="inlineStr">
        <is>
          <t>LULEÅ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30341-2020</t>
        </is>
      </c>
      <c r="B2250" s="1" t="n">
        <v>44007</v>
      </c>
      <c r="C2250" s="1" t="n">
        <v>45798</v>
      </c>
      <c r="D2250" t="inlineStr">
        <is>
          <t>NORRBOTTENS LÄN</t>
        </is>
      </c>
      <c r="E2250" t="inlineStr">
        <is>
          <t>LULEÅ</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30417-2020</t>
        </is>
      </c>
      <c r="B2251" s="1" t="n">
        <v>44007</v>
      </c>
      <c r="C2251" s="1" t="n">
        <v>45798</v>
      </c>
      <c r="D2251" t="inlineStr">
        <is>
          <t>NORRBOTTENS LÄN</t>
        </is>
      </c>
      <c r="E2251" t="inlineStr">
        <is>
          <t>HAPARANDA</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30397-2020</t>
        </is>
      </c>
      <c r="B2252" s="1" t="n">
        <v>44007</v>
      </c>
      <c r="C2252" s="1" t="n">
        <v>45798</v>
      </c>
      <c r="D2252" t="inlineStr">
        <is>
          <t>NORRBOTTENS LÄN</t>
        </is>
      </c>
      <c r="E2252" t="inlineStr">
        <is>
          <t>ARJEPLOG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30433-2020</t>
        </is>
      </c>
      <c r="B2253" s="1" t="n">
        <v>44007</v>
      </c>
      <c r="C2253" s="1" t="n">
        <v>45798</v>
      </c>
      <c r="D2253" t="inlineStr">
        <is>
          <t>NORRBOTTENS LÄN</t>
        </is>
      </c>
      <c r="E2253" t="inlineStr">
        <is>
          <t>PITEÅ</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30535-2020</t>
        </is>
      </c>
      <c r="B2254" s="1" t="n">
        <v>44007</v>
      </c>
      <c r="C2254" s="1" t="n">
        <v>45798</v>
      </c>
      <c r="D2254" t="inlineStr">
        <is>
          <t>NORRBOTTENS LÄN</t>
        </is>
      </c>
      <c r="E2254" t="inlineStr">
        <is>
          <t>KALIX</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30582-2020</t>
        </is>
      </c>
      <c r="B2255" s="1" t="n">
        <v>44008</v>
      </c>
      <c r="C2255" s="1" t="n">
        <v>45798</v>
      </c>
      <c r="D2255" t="inlineStr">
        <is>
          <t>NORRBOTTENS LÄN</t>
        </is>
      </c>
      <c r="E2255" t="inlineStr">
        <is>
          <t>ÖVERTORNEÅ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30565-2020</t>
        </is>
      </c>
      <c r="B2256" s="1" t="n">
        <v>44008</v>
      </c>
      <c r="C2256" s="1" t="n">
        <v>45798</v>
      </c>
      <c r="D2256" t="inlineStr">
        <is>
          <t>NORRBOTTENS LÄN</t>
        </is>
      </c>
      <c r="E2256" t="inlineStr">
        <is>
          <t>BODEN</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30583-2020</t>
        </is>
      </c>
      <c r="B2257" s="1" t="n">
        <v>44008</v>
      </c>
      <c r="C2257" s="1" t="n">
        <v>45798</v>
      </c>
      <c r="D2257" t="inlineStr">
        <is>
          <t>NORRBOTTENS LÄN</t>
        </is>
      </c>
      <c r="E2257" t="inlineStr">
        <is>
          <t>ÖVERTORNEÅ</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30837-2020</t>
        </is>
      </c>
      <c r="B2258" s="1" t="n">
        <v>44008</v>
      </c>
      <c r="C2258" s="1" t="n">
        <v>45798</v>
      </c>
      <c r="D2258" t="inlineStr">
        <is>
          <t>NORRBOTTENS LÄN</t>
        </is>
      </c>
      <c r="E2258" t="inlineStr">
        <is>
          <t>HAPARANDA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30971-2020</t>
        </is>
      </c>
      <c r="B2259" s="1" t="n">
        <v>44011</v>
      </c>
      <c r="C2259" s="1" t="n">
        <v>45798</v>
      </c>
      <c r="D2259" t="inlineStr">
        <is>
          <t>NORRBOTTENS LÄN</t>
        </is>
      </c>
      <c r="E2259" t="inlineStr">
        <is>
          <t>ÖVERKALIX</t>
        </is>
      </c>
      <c r="F2259" t="inlineStr">
        <is>
          <t>Sveaskog</t>
        </is>
      </c>
      <c r="G2259" t="n">
        <v>13.6</v>
      </c>
      <c r="H2259" t="n">
        <v>0</v>
      </c>
      <c r="I2259" t="n">
        <v>0</v>
      </c>
      <c r="J2259" t="n">
        <v>0</v>
      </c>
      <c r="K2259" t="n">
        <v>0</v>
      </c>
      <c r="L2259" t="n">
        <v>0</v>
      </c>
      <c r="M2259" t="n">
        <v>0</v>
      </c>
      <c r="N2259" t="n">
        <v>0</v>
      </c>
      <c r="O2259" t="n">
        <v>0</v>
      </c>
      <c r="P2259" t="n">
        <v>0</v>
      </c>
      <c r="Q2259" t="n">
        <v>0</v>
      </c>
      <c r="R2259" s="2" t="inlineStr"/>
    </row>
    <row r="2260" ht="15" customHeight="1">
      <c r="A2260" t="inlineStr">
        <is>
          <t>A 31195-2020</t>
        </is>
      </c>
      <c r="B2260" s="1" t="n">
        <v>44011</v>
      </c>
      <c r="C2260" s="1" t="n">
        <v>45798</v>
      </c>
      <c r="D2260" t="inlineStr">
        <is>
          <t>NORRBOTTENS LÄN</t>
        </is>
      </c>
      <c r="E2260" t="inlineStr">
        <is>
          <t>PITEÅ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30809-2020</t>
        </is>
      </c>
      <c r="B2261" s="1" t="n">
        <v>44011</v>
      </c>
      <c r="C2261" s="1" t="n">
        <v>45798</v>
      </c>
      <c r="D2261" t="inlineStr">
        <is>
          <t>NORRBOTTENS LÄN</t>
        </is>
      </c>
      <c r="E2261" t="inlineStr">
        <is>
          <t>JOKKMOKK</t>
        </is>
      </c>
      <c r="F2261" t="inlineStr">
        <is>
          <t>Sveaskog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31065-2020</t>
        </is>
      </c>
      <c r="B2262" s="1" t="n">
        <v>44012</v>
      </c>
      <c r="C2262" s="1" t="n">
        <v>45798</v>
      </c>
      <c r="D2262" t="inlineStr">
        <is>
          <t>NORRBOTTENS LÄN</t>
        </is>
      </c>
      <c r="E2262" t="inlineStr">
        <is>
          <t>ÖVERKALIX</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31218-2020</t>
        </is>
      </c>
      <c r="B2263" s="1" t="n">
        <v>44012</v>
      </c>
      <c r="C2263" s="1" t="n">
        <v>45798</v>
      </c>
      <c r="D2263" t="inlineStr">
        <is>
          <t>NORRBOTTENS LÄN</t>
        </is>
      </c>
      <c r="E2263" t="inlineStr">
        <is>
          <t>PAJALA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31241-2020</t>
        </is>
      </c>
      <c r="B2264" s="1" t="n">
        <v>44012</v>
      </c>
      <c r="C2264" s="1" t="n">
        <v>45798</v>
      </c>
      <c r="D2264" t="inlineStr">
        <is>
          <t>NORRBOTTENS LÄN</t>
        </is>
      </c>
      <c r="E2264" t="inlineStr">
        <is>
          <t>ÄLVSBYN</t>
        </is>
      </c>
      <c r="F2264" t="inlineStr">
        <is>
          <t>Sveaskog</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31178-2020</t>
        </is>
      </c>
      <c r="B2265" s="1" t="n">
        <v>44012</v>
      </c>
      <c r="C2265" s="1" t="n">
        <v>45798</v>
      </c>
      <c r="D2265" t="inlineStr">
        <is>
          <t>NORRBOTTENS LÄN</t>
        </is>
      </c>
      <c r="E2265" t="inlineStr">
        <is>
          <t>PAJALA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31200-2020</t>
        </is>
      </c>
      <c r="B2266" s="1" t="n">
        <v>44012</v>
      </c>
      <c r="C2266" s="1" t="n">
        <v>45798</v>
      </c>
      <c r="D2266" t="inlineStr">
        <is>
          <t>NORRBOTTENS LÄN</t>
        </is>
      </c>
      <c r="E2266" t="inlineStr">
        <is>
          <t>HAPARANDA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31326-2020</t>
        </is>
      </c>
      <c r="B2267" s="1" t="n">
        <v>44012</v>
      </c>
      <c r="C2267" s="1" t="n">
        <v>45798</v>
      </c>
      <c r="D2267" t="inlineStr">
        <is>
          <t>NORRBOTTENS LÄN</t>
        </is>
      </c>
      <c r="E2267" t="inlineStr">
        <is>
          <t>PITEÅ</t>
        </is>
      </c>
      <c r="F2267" t="inlineStr">
        <is>
          <t>SCA</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31333-2020</t>
        </is>
      </c>
      <c r="B2268" s="1" t="n">
        <v>44012</v>
      </c>
      <c r="C2268" s="1" t="n">
        <v>45798</v>
      </c>
      <c r="D2268" t="inlineStr">
        <is>
          <t>NORRBOTTENS LÄN</t>
        </is>
      </c>
      <c r="E2268" t="inlineStr">
        <is>
          <t>ARVIDSJAUR</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31412-2020</t>
        </is>
      </c>
      <c r="B2269" s="1" t="n">
        <v>44012</v>
      </c>
      <c r="C2269" s="1" t="n">
        <v>45798</v>
      </c>
      <c r="D2269" t="inlineStr">
        <is>
          <t>NORRBOTTENS LÄN</t>
        </is>
      </c>
      <c r="E2269" t="inlineStr">
        <is>
          <t>KALIX</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31177-2020</t>
        </is>
      </c>
      <c r="B2270" s="1" t="n">
        <v>44012</v>
      </c>
      <c r="C2270" s="1" t="n">
        <v>45798</v>
      </c>
      <c r="D2270" t="inlineStr">
        <is>
          <t>NORRBOTTENS LÄN</t>
        </is>
      </c>
      <c r="E2270" t="inlineStr">
        <is>
          <t>PAJALA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31429-2020</t>
        </is>
      </c>
      <c r="B2271" s="1" t="n">
        <v>44013</v>
      </c>
      <c r="C2271" s="1" t="n">
        <v>45798</v>
      </c>
      <c r="D2271" t="inlineStr">
        <is>
          <t>NORRBOTTENS LÄN</t>
        </is>
      </c>
      <c r="E2271" t="inlineStr">
        <is>
          <t>BODEN</t>
        </is>
      </c>
      <c r="F2271" t="inlineStr">
        <is>
          <t>Kommuner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31555-2020</t>
        </is>
      </c>
      <c r="B2272" s="1" t="n">
        <v>44013</v>
      </c>
      <c r="C2272" s="1" t="n">
        <v>45798</v>
      </c>
      <c r="D2272" t="inlineStr">
        <is>
          <t>NORRBOTTENS LÄN</t>
        </is>
      </c>
      <c r="E2272" t="inlineStr">
        <is>
          <t>ÖVERTORNEÅ</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31544-2020</t>
        </is>
      </c>
      <c r="B2273" s="1" t="n">
        <v>44013</v>
      </c>
      <c r="C2273" s="1" t="n">
        <v>45798</v>
      </c>
      <c r="D2273" t="inlineStr">
        <is>
          <t>NORRBOTTENS LÄN</t>
        </is>
      </c>
      <c r="E2273" t="inlineStr">
        <is>
          <t>KALIX</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31972-2020</t>
        </is>
      </c>
      <c r="B2274" s="1" t="n">
        <v>44014</v>
      </c>
      <c r="C2274" s="1" t="n">
        <v>45798</v>
      </c>
      <c r="D2274" t="inlineStr">
        <is>
          <t>NORRBOTTENS LÄN</t>
        </is>
      </c>
      <c r="E2274" t="inlineStr">
        <is>
          <t>LULEÅ</t>
        </is>
      </c>
      <c r="F2274" t="inlineStr">
        <is>
          <t>SCA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31978-2020</t>
        </is>
      </c>
      <c r="B2275" s="1" t="n">
        <v>44015</v>
      </c>
      <c r="C2275" s="1" t="n">
        <v>45798</v>
      </c>
      <c r="D2275" t="inlineStr">
        <is>
          <t>NORRBOTTENS LÄN</t>
        </is>
      </c>
      <c r="E2275" t="inlineStr">
        <is>
          <t>BODEN</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32141-2020</t>
        </is>
      </c>
      <c r="B2276" s="1" t="n">
        <v>44015</v>
      </c>
      <c r="C2276" s="1" t="n">
        <v>45798</v>
      </c>
      <c r="D2276" t="inlineStr">
        <is>
          <t>NORRBOTTENS LÄN</t>
        </is>
      </c>
      <c r="E2276" t="inlineStr">
        <is>
          <t>PAJALA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32075-2020</t>
        </is>
      </c>
      <c r="B2277" s="1" t="n">
        <v>44015</v>
      </c>
      <c r="C2277" s="1" t="n">
        <v>45798</v>
      </c>
      <c r="D2277" t="inlineStr">
        <is>
          <t>NORRBOTTENS LÄN</t>
        </is>
      </c>
      <c r="E2277" t="inlineStr">
        <is>
          <t>ÖVERTORNEÅ</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32151-2020</t>
        </is>
      </c>
      <c r="B2278" s="1" t="n">
        <v>44015</v>
      </c>
      <c r="C2278" s="1" t="n">
        <v>45798</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32190-2020</t>
        </is>
      </c>
      <c r="B2279" s="1" t="n">
        <v>44015</v>
      </c>
      <c r="C2279" s="1" t="n">
        <v>45798</v>
      </c>
      <c r="D2279" t="inlineStr">
        <is>
          <t>NORRBOTTENS LÄN</t>
        </is>
      </c>
      <c r="E2279" t="inlineStr">
        <is>
          <t>ARVIDSJAUR</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32424-2020</t>
        </is>
      </c>
      <c r="B2280" s="1" t="n">
        <v>44015</v>
      </c>
      <c r="C2280" s="1" t="n">
        <v>45798</v>
      </c>
      <c r="D2280" t="inlineStr">
        <is>
          <t>NORRBOTTENS LÄN</t>
        </is>
      </c>
      <c r="E2280" t="inlineStr">
        <is>
          <t>BODEN</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32381-2020</t>
        </is>
      </c>
      <c r="B2281" s="1" t="n">
        <v>44018</v>
      </c>
      <c r="C2281" s="1" t="n">
        <v>45798</v>
      </c>
      <c r="D2281" t="inlineStr">
        <is>
          <t>NORRBOTTENS LÄN</t>
        </is>
      </c>
      <c r="E2281" t="inlineStr">
        <is>
          <t>KALIX</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32700-2020</t>
        </is>
      </c>
      <c r="B2282" s="1" t="n">
        <v>44018</v>
      </c>
      <c r="C2282" s="1" t="n">
        <v>45798</v>
      </c>
      <c r="D2282" t="inlineStr">
        <is>
          <t>NORRBOTTENS LÄN</t>
        </is>
      </c>
      <c r="E2282" t="inlineStr">
        <is>
          <t>PAJALA</t>
        </is>
      </c>
      <c r="F2282" t="inlineStr">
        <is>
          <t>Allmännings- och besparingsskogar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32679-2020</t>
        </is>
      </c>
      <c r="B2283" s="1" t="n">
        <v>44018</v>
      </c>
      <c r="C2283" s="1" t="n">
        <v>45798</v>
      </c>
      <c r="D2283" t="inlineStr">
        <is>
          <t>NORRBOTTENS LÄN</t>
        </is>
      </c>
      <c r="E2283" t="inlineStr">
        <is>
          <t>KALIX</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32683-2020</t>
        </is>
      </c>
      <c r="B2284" s="1" t="n">
        <v>44018</v>
      </c>
      <c r="C2284" s="1" t="n">
        <v>45798</v>
      </c>
      <c r="D2284" t="inlineStr">
        <is>
          <t>NORRBOTTENS LÄN</t>
        </is>
      </c>
      <c r="E2284" t="inlineStr">
        <is>
          <t>KALIX</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32761-2020</t>
        </is>
      </c>
      <c r="B2285" s="1" t="n">
        <v>44020</v>
      </c>
      <c r="C2285" s="1" t="n">
        <v>45798</v>
      </c>
      <c r="D2285" t="inlineStr">
        <is>
          <t>NORRBOTTENS LÄN</t>
        </is>
      </c>
      <c r="E2285" t="inlineStr">
        <is>
          <t>LULEÅ</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32776-2020</t>
        </is>
      </c>
      <c r="B2286" s="1" t="n">
        <v>44019</v>
      </c>
      <c r="C2286" s="1" t="n">
        <v>45798</v>
      </c>
      <c r="D2286" t="inlineStr">
        <is>
          <t>NORRBOTTENS LÄN</t>
        </is>
      </c>
      <c r="E2286" t="inlineStr">
        <is>
          <t>GÄLLIVARE</t>
        </is>
      </c>
      <c r="F2286" t="inlineStr">
        <is>
          <t>SCA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32777-2020</t>
        </is>
      </c>
      <c r="B2287" s="1" t="n">
        <v>44020</v>
      </c>
      <c r="C2287" s="1" t="n">
        <v>45798</v>
      </c>
      <c r="D2287" t="inlineStr">
        <is>
          <t>NORRBOTTENS LÄN</t>
        </is>
      </c>
      <c r="E2287" t="inlineStr">
        <is>
          <t>PAJALA</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32911-2020</t>
        </is>
      </c>
      <c r="B2288" s="1" t="n">
        <v>44020</v>
      </c>
      <c r="C2288" s="1" t="n">
        <v>45798</v>
      </c>
      <c r="D2288" t="inlineStr">
        <is>
          <t>NORRBOTTENS LÄN</t>
        </is>
      </c>
      <c r="E2288" t="inlineStr">
        <is>
          <t>PITEÅ</t>
        </is>
      </c>
      <c r="F2288" t="inlineStr">
        <is>
          <t>Sveaskog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32985-2020</t>
        </is>
      </c>
      <c r="B2289" s="1" t="n">
        <v>44020</v>
      </c>
      <c r="C2289" s="1" t="n">
        <v>45798</v>
      </c>
      <c r="D2289" t="inlineStr">
        <is>
          <t>NORRBOTTENS LÄN</t>
        </is>
      </c>
      <c r="E2289" t="inlineStr">
        <is>
          <t>BODEN</t>
        </is>
      </c>
      <c r="F2289" t="inlineStr">
        <is>
          <t>Sveaskog</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33005-2020</t>
        </is>
      </c>
      <c r="B2290" s="1" t="n">
        <v>44020</v>
      </c>
      <c r="C2290" s="1" t="n">
        <v>45798</v>
      </c>
      <c r="D2290" t="inlineStr">
        <is>
          <t>NORRBOTTENS LÄN</t>
        </is>
      </c>
      <c r="E2290" t="inlineStr">
        <is>
          <t>PITEÅ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33219-2020</t>
        </is>
      </c>
      <c r="B2291" s="1" t="n">
        <v>44020</v>
      </c>
      <c r="C2291" s="1" t="n">
        <v>45798</v>
      </c>
      <c r="D2291" t="inlineStr">
        <is>
          <t>NORRBOTTENS LÄN</t>
        </is>
      </c>
      <c r="E2291" t="inlineStr">
        <is>
          <t>ARJEPLOG</t>
        </is>
      </c>
      <c r="F2291" t="inlineStr">
        <is>
          <t>Allmännings- och besparingsskogar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32920-2020</t>
        </is>
      </c>
      <c r="B2292" s="1" t="n">
        <v>44020</v>
      </c>
      <c r="C2292" s="1" t="n">
        <v>45798</v>
      </c>
      <c r="D2292" t="inlineStr">
        <is>
          <t>NORRBOTTENS LÄN</t>
        </is>
      </c>
      <c r="E2292" t="inlineStr">
        <is>
          <t>PITEÅ</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33034-2020</t>
        </is>
      </c>
      <c r="B2293" s="1" t="n">
        <v>44021</v>
      </c>
      <c r="C2293" s="1" t="n">
        <v>45798</v>
      </c>
      <c r="D2293" t="inlineStr">
        <is>
          <t>NORRBOTTENS LÄN</t>
        </is>
      </c>
      <c r="E2293" t="inlineStr">
        <is>
          <t>BODEN</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33130-2020</t>
        </is>
      </c>
      <c r="B2294" s="1" t="n">
        <v>44021</v>
      </c>
      <c r="C2294" s="1" t="n">
        <v>45798</v>
      </c>
      <c r="D2294" t="inlineStr">
        <is>
          <t>NORRBOTTENS LÄN</t>
        </is>
      </c>
      <c r="E2294" t="inlineStr">
        <is>
          <t>PAJALA</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33042-2020</t>
        </is>
      </c>
      <c r="B2295" s="1" t="n">
        <v>44021</v>
      </c>
      <c r="C2295" s="1" t="n">
        <v>45798</v>
      </c>
      <c r="D2295" t="inlineStr">
        <is>
          <t>NORRBOTTENS LÄN</t>
        </is>
      </c>
      <c r="E2295" t="inlineStr">
        <is>
          <t>ARVIDSJAUR</t>
        </is>
      </c>
      <c r="F2295" t="inlineStr">
        <is>
          <t>Sveaskog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33319-2020</t>
        </is>
      </c>
      <c r="B2296" s="1" t="n">
        <v>44022</v>
      </c>
      <c r="C2296" s="1" t="n">
        <v>45798</v>
      </c>
      <c r="D2296" t="inlineStr">
        <is>
          <t>NORRBOTTENS LÄN</t>
        </is>
      </c>
      <c r="E2296" t="inlineStr">
        <is>
          <t>BODEN</t>
        </is>
      </c>
      <c r="F2296" t="inlineStr">
        <is>
          <t>Sveaskog</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33730-2020</t>
        </is>
      </c>
      <c r="B2297" s="1" t="n">
        <v>44022</v>
      </c>
      <c r="C2297" s="1" t="n">
        <v>45798</v>
      </c>
      <c r="D2297" t="inlineStr">
        <is>
          <t>NORRBOTTENS LÄN</t>
        </is>
      </c>
      <c r="E2297" t="inlineStr">
        <is>
          <t>JOKKMOKK</t>
        </is>
      </c>
      <c r="F2297" t="inlineStr">
        <is>
          <t>Övriga Aktiebolag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33605-2020</t>
        </is>
      </c>
      <c r="B2298" s="1" t="n">
        <v>44025</v>
      </c>
      <c r="C2298" s="1" t="n">
        <v>45798</v>
      </c>
      <c r="D2298" t="inlineStr">
        <is>
          <t>NORRBOTTENS LÄN</t>
        </is>
      </c>
      <c r="E2298" t="inlineStr">
        <is>
          <t>PAJALA</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33601-2020</t>
        </is>
      </c>
      <c r="B2299" s="1" t="n">
        <v>44025</v>
      </c>
      <c r="C2299" s="1" t="n">
        <v>45798</v>
      </c>
      <c r="D2299" t="inlineStr">
        <is>
          <t>NORRBOTTENS LÄN</t>
        </is>
      </c>
      <c r="E2299" t="inlineStr">
        <is>
          <t>PAJALA</t>
        </is>
      </c>
      <c r="F2299" t="inlineStr">
        <is>
          <t>Sveaskog</t>
        </is>
      </c>
      <c r="G2299" t="n">
        <v>32.2</v>
      </c>
      <c r="H2299" t="n">
        <v>0</v>
      </c>
      <c r="I2299" t="n">
        <v>0</v>
      </c>
      <c r="J2299" t="n">
        <v>0</v>
      </c>
      <c r="K2299" t="n">
        <v>0</v>
      </c>
      <c r="L2299" t="n">
        <v>0</v>
      </c>
      <c r="M2299" t="n">
        <v>0</v>
      </c>
      <c r="N2299" t="n">
        <v>0</v>
      </c>
      <c r="O2299" t="n">
        <v>0</v>
      </c>
      <c r="P2299" t="n">
        <v>0</v>
      </c>
      <c r="Q2299" t="n">
        <v>0</v>
      </c>
      <c r="R2299" s="2" t="inlineStr"/>
    </row>
    <row r="2300" ht="15" customHeight="1">
      <c r="A2300" t="inlineStr">
        <is>
          <t>A 33603-2020</t>
        </is>
      </c>
      <c r="B2300" s="1" t="n">
        <v>44025</v>
      </c>
      <c r="C2300" s="1" t="n">
        <v>45798</v>
      </c>
      <c r="D2300" t="inlineStr">
        <is>
          <t>NORRBOTTENS LÄN</t>
        </is>
      </c>
      <c r="E2300" t="inlineStr">
        <is>
          <t>PAJALA</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33595-2020</t>
        </is>
      </c>
      <c r="B2301" s="1" t="n">
        <v>44025</v>
      </c>
      <c r="C2301" s="1" t="n">
        <v>45798</v>
      </c>
      <c r="D2301" t="inlineStr">
        <is>
          <t>NORRBOTTENS LÄN</t>
        </is>
      </c>
      <c r="E2301" t="inlineStr">
        <is>
          <t>GÄLLIVARE</t>
        </is>
      </c>
      <c r="F2301" t="inlineStr">
        <is>
          <t>Sveaskog</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33604-2020</t>
        </is>
      </c>
      <c r="B2302" s="1" t="n">
        <v>44025</v>
      </c>
      <c r="C2302" s="1" t="n">
        <v>45798</v>
      </c>
      <c r="D2302" t="inlineStr">
        <is>
          <t>NORRBOTTENS LÄN</t>
        </is>
      </c>
      <c r="E2302" t="inlineStr">
        <is>
          <t>PAJALA</t>
        </is>
      </c>
      <c r="F2302" t="inlineStr">
        <is>
          <t>Sveaskog</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33813-2020</t>
        </is>
      </c>
      <c r="B2303" s="1" t="n">
        <v>44025</v>
      </c>
      <c r="C2303" s="1" t="n">
        <v>45798</v>
      </c>
      <c r="D2303" t="inlineStr">
        <is>
          <t>NORRBOTTENS LÄN</t>
        </is>
      </c>
      <c r="E2303" t="inlineStr">
        <is>
          <t>PAJALA</t>
        </is>
      </c>
      <c r="G2303" t="n">
        <v>11.8</v>
      </c>
      <c r="H2303" t="n">
        <v>0</v>
      </c>
      <c r="I2303" t="n">
        <v>0</v>
      </c>
      <c r="J2303" t="n">
        <v>0</v>
      </c>
      <c r="K2303" t="n">
        <v>0</v>
      </c>
      <c r="L2303" t="n">
        <v>0</v>
      </c>
      <c r="M2303" t="n">
        <v>0</v>
      </c>
      <c r="N2303" t="n">
        <v>0</v>
      </c>
      <c r="O2303" t="n">
        <v>0</v>
      </c>
      <c r="P2303" t="n">
        <v>0</v>
      </c>
      <c r="Q2303" t="n">
        <v>0</v>
      </c>
      <c r="R2303" s="2" t="inlineStr"/>
    </row>
    <row r="2304" ht="15" customHeight="1">
      <c r="A2304" t="inlineStr">
        <is>
          <t>A 33704-2020</t>
        </is>
      </c>
      <c r="B2304" s="1" t="n">
        <v>44026</v>
      </c>
      <c r="C2304" s="1" t="n">
        <v>45798</v>
      </c>
      <c r="D2304" t="inlineStr">
        <is>
          <t>NORRBOTTENS LÄN</t>
        </is>
      </c>
      <c r="E2304" t="inlineStr">
        <is>
          <t>ÖVERKALIX</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33717-2020</t>
        </is>
      </c>
      <c r="B2305" s="1" t="n">
        <v>44026</v>
      </c>
      <c r="C2305" s="1" t="n">
        <v>45798</v>
      </c>
      <c r="D2305" t="inlineStr">
        <is>
          <t>NORRBOTTENS LÄN</t>
        </is>
      </c>
      <c r="E2305" t="inlineStr">
        <is>
          <t>ARJEPLOG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33718-2020</t>
        </is>
      </c>
      <c r="B2306" s="1" t="n">
        <v>44026</v>
      </c>
      <c r="C2306" s="1" t="n">
        <v>45798</v>
      </c>
      <c r="D2306" t="inlineStr">
        <is>
          <t>NORRBOTTENS LÄN</t>
        </is>
      </c>
      <c r="E2306" t="inlineStr">
        <is>
          <t>ÖVERKALIX</t>
        </is>
      </c>
      <c r="F2306" t="inlineStr">
        <is>
          <t>Sveaskog</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33720-2020</t>
        </is>
      </c>
      <c r="B2307" s="1" t="n">
        <v>44026</v>
      </c>
      <c r="C2307" s="1" t="n">
        <v>45798</v>
      </c>
      <c r="D2307" t="inlineStr">
        <is>
          <t>NORRBOTTENS LÄN</t>
        </is>
      </c>
      <c r="E2307" t="inlineStr">
        <is>
          <t>ARJEPLOG</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33794-2020</t>
        </is>
      </c>
      <c r="B2308" s="1" t="n">
        <v>44026</v>
      </c>
      <c r="C2308" s="1" t="n">
        <v>45798</v>
      </c>
      <c r="D2308" t="inlineStr">
        <is>
          <t>NORRBOTTENS LÄN</t>
        </is>
      </c>
      <c r="E2308" t="inlineStr">
        <is>
          <t>PITEÅ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33713-2020</t>
        </is>
      </c>
      <c r="B2309" s="1" t="n">
        <v>44026</v>
      </c>
      <c r="C2309" s="1" t="n">
        <v>45798</v>
      </c>
      <c r="D2309" t="inlineStr">
        <is>
          <t>NORRBOTTENS LÄN</t>
        </is>
      </c>
      <c r="E2309" t="inlineStr">
        <is>
          <t>ÖVERKALIX</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34348-2020</t>
        </is>
      </c>
      <c r="B2310" s="1" t="n">
        <v>44028</v>
      </c>
      <c r="C2310" s="1" t="n">
        <v>45798</v>
      </c>
      <c r="D2310" t="inlineStr">
        <is>
          <t>NORRBOTTENS LÄN</t>
        </is>
      </c>
      <c r="E2310" t="inlineStr">
        <is>
          <t>PAJALA</t>
        </is>
      </c>
      <c r="F2310" t="inlineStr">
        <is>
          <t>Allmännings- och besparingsskogar</t>
        </is>
      </c>
      <c r="G2310" t="n">
        <v>38.1</v>
      </c>
      <c r="H2310" t="n">
        <v>0</v>
      </c>
      <c r="I2310" t="n">
        <v>0</v>
      </c>
      <c r="J2310" t="n">
        <v>0</v>
      </c>
      <c r="K2310" t="n">
        <v>0</v>
      </c>
      <c r="L2310" t="n">
        <v>0</v>
      </c>
      <c r="M2310" t="n">
        <v>0</v>
      </c>
      <c r="N2310" t="n">
        <v>0</v>
      </c>
      <c r="O2310" t="n">
        <v>0</v>
      </c>
      <c r="P2310" t="n">
        <v>0</v>
      </c>
      <c r="Q2310" t="n">
        <v>0</v>
      </c>
      <c r="R2310" s="2" t="inlineStr"/>
    </row>
    <row r="2311" ht="15" customHeight="1">
      <c r="A2311" t="inlineStr">
        <is>
          <t>A 33981-2020</t>
        </is>
      </c>
      <c r="B2311" s="1" t="n">
        <v>44028</v>
      </c>
      <c r="C2311" s="1" t="n">
        <v>45798</v>
      </c>
      <c r="D2311" t="inlineStr">
        <is>
          <t>NORRBOTTENS LÄN</t>
        </is>
      </c>
      <c r="E2311" t="inlineStr">
        <is>
          <t>GÄLLIVARE</t>
        </is>
      </c>
      <c r="F2311" t="inlineStr">
        <is>
          <t>Sveaskog</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34264-2020</t>
        </is>
      </c>
      <c r="B2312" s="1" t="n">
        <v>44029</v>
      </c>
      <c r="C2312" s="1" t="n">
        <v>45798</v>
      </c>
      <c r="D2312" t="inlineStr">
        <is>
          <t>NORRBOTTENS LÄN</t>
        </is>
      </c>
      <c r="E2312" t="inlineStr">
        <is>
          <t>BODEN</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34256-2020</t>
        </is>
      </c>
      <c r="B2313" s="1" t="n">
        <v>44029</v>
      </c>
      <c r="C2313" s="1" t="n">
        <v>45798</v>
      </c>
      <c r="D2313" t="inlineStr">
        <is>
          <t>NORRBOTTENS LÄN</t>
        </is>
      </c>
      <c r="E2313" t="inlineStr">
        <is>
          <t>LULEÅ</t>
        </is>
      </c>
      <c r="F2313" t="inlineStr">
        <is>
          <t>SCA</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34267-2020</t>
        </is>
      </c>
      <c r="B2314" s="1" t="n">
        <v>44029</v>
      </c>
      <c r="C2314" s="1" t="n">
        <v>45798</v>
      </c>
      <c r="D2314" t="inlineStr">
        <is>
          <t>NORRBOTTENS LÄN</t>
        </is>
      </c>
      <c r="E2314" t="inlineStr">
        <is>
          <t>BODEN</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34445-2020</t>
        </is>
      </c>
      <c r="B2315" s="1" t="n">
        <v>44029</v>
      </c>
      <c r="C2315" s="1" t="n">
        <v>45798</v>
      </c>
      <c r="D2315" t="inlineStr">
        <is>
          <t>NORRBOTTENS LÄN</t>
        </is>
      </c>
      <c r="E2315" t="inlineStr">
        <is>
          <t>JOKKMOKK</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34257-2020</t>
        </is>
      </c>
      <c r="B2316" s="1" t="n">
        <v>44030</v>
      </c>
      <c r="C2316" s="1" t="n">
        <v>45798</v>
      </c>
      <c r="D2316" t="inlineStr">
        <is>
          <t>NORRBOTTENS LÄN</t>
        </is>
      </c>
      <c r="E2316" t="inlineStr">
        <is>
          <t>LULEÅ</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34266-2020</t>
        </is>
      </c>
      <c r="B2317" s="1" t="n">
        <v>44029</v>
      </c>
      <c r="C2317" s="1" t="n">
        <v>45798</v>
      </c>
      <c r="D2317" t="inlineStr">
        <is>
          <t>NORRBOTTENS LÄN</t>
        </is>
      </c>
      <c r="E2317" t="inlineStr">
        <is>
          <t>BODEN</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34645-2020</t>
        </is>
      </c>
      <c r="B2318" s="1" t="n">
        <v>44034</v>
      </c>
      <c r="C2318" s="1" t="n">
        <v>45798</v>
      </c>
      <c r="D2318" t="inlineStr">
        <is>
          <t>NORRBOTTENS LÄN</t>
        </is>
      </c>
      <c r="E2318" t="inlineStr">
        <is>
          <t>PAJALA</t>
        </is>
      </c>
      <c r="F2318" t="inlineStr">
        <is>
          <t>Allmännings- och besparingsskogar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34649-2020</t>
        </is>
      </c>
      <c r="B2319" s="1" t="n">
        <v>44034</v>
      </c>
      <c r="C2319" s="1" t="n">
        <v>45798</v>
      </c>
      <c r="D2319" t="inlineStr">
        <is>
          <t>NORRBOTTENS LÄN</t>
        </is>
      </c>
      <c r="E2319" t="inlineStr">
        <is>
          <t>PAJALA</t>
        </is>
      </c>
      <c r="F2319" t="inlineStr">
        <is>
          <t>Allmännings- och besparingsskogar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34643-2020</t>
        </is>
      </c>
      <c r="B2320" s="1" t="n">
        <v>44034</v>
      </c>
      <c r="C2320" s="1" t="n">
        <v>45798</v>
      </c>
      <c r="D2320" t="inlineStr">
        <is>
          <t>NORRBOTTENS LÄN</t>
        </is>
      </c>
      <c r="E2320" t="inlineStr">
        <is>
          <t>PAJALA</t>
        </is>
      </c>
      <c r="F2320" t="inlineStr">
        <is>
          <t>Allmännings- och besparingsskogar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34647-2020</t>
        </is>
      </c>
      <c r="B2321" s="1" t="n">
        <v>44034</v>
      </c>
      <c r="C2321" s="1" t="n">
        <v>45798</v>
      </c>
      <c r="D2321" t="inlineStr">
        <is>
          <t>NORRBOTTENS LÄN</t>
        </is>
      </c>
      <c r="E2321" t="inlineStr">
        <is>
          <t>PAJALA</t>
        </is>
      </c>
      <c r="F2321" t="inlineStr">
        <is>
          <t>Allmännings- och besparingsskogar</t>
        </is>
      </c>
      <c r="G2321" t="n">
        <v>30</v>
      </c>
      <c r="H2321" t="n">
        <v>0</v>
      </c>
      <c r="I2321" t="n">
        <v>0</v>
      </c>
      <c r="J2321" t="n">
        <v>0</v>
      </c>
      <c r="K2321" t="n">
        <v>0</v>
      </c>
      <c r="L2321" t="n">
        <v>0</v>
      </c>
      <c r="M2321" t="n">
        <v>0</v>
      </c>
      <c r="N2321" t="n">
        <v>0</v>
      </c>
      <c r="O2321" t="n">
        <v>0</v>
      </c>
      <c r="P2321" t="n">
        <v>0</v>
      </c>
      <c r="Q2321" t="n">
        <v>0</v>
      </c>
      <c r="R2321" s="2" t="inlineStr"/>
    </row>
    <row r="2322" ht="15" customHeight="1">
      <c r="A2322" t="inlineStr">
        <is>
          <t>A 34664-2020</t>
        </is>
      </c>
      <c r="B2322" s="1" t="n">
        <v>44034</v>
      </c>
      <c r="C2322" s="1" t="n">
        <v>45798</v>
      </c>
      <c r="D2322" t="inlineStr">
        <is>
          <t>NORRBOTTENS LÄN</t>
        </is>
      </c>
      <c r="E2322" t="inlineStr">
        <is>
          <t>ÖVERKALIX</t>
        </is>
      </c>
      <c r="F2322" t="inlineStr">
        <is>
          <t>SCA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34663-2020</t>
        </is>
      </c>
      <c r="B2323" s="1" t="n">
        <v>44034</v>
      </c>
      <c r="C2323" s="1" t="n">
        <v>45798</v>
      </c>
      <c r="D2323" t="inlineStr">
        <is>
          <t>NORRBOTTENS LÄN</t>
        </is>
      </c>
      <c r="E2323" t="inlineStr">
        <is>
          <t>GÄLLIVARE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34744-2020</t>
        </is>
      </c>
      <c r="B2324" s="1" t="n">
        <v>44035</v>
      </c>
      <c r="C2324" s="1" t="n">
        <v>45798</v>
      </c>
      <c r="D2324" t="inlineStr">
        <is>
          <t>NORRBOTTENS LÄN</t>
        </is>
      </c>
      <c r="E2324" t="inlineStr">
        <is>
          <t>PITEÅ</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34790-2020</t>
        </is>
      </c>
      <c r="B2325" s="1" t="n">
        <v>44035</v>
      </c>
      <c r="C2325" s="1" t="n">
        <v>45798</v>
      </c>
      <c r="D2325" t="inlineStr">
        <is>
          <t>NORRBOTTENS LÄN</t>
        </is>
      </c>
      <c r="E2325" t="inlineStr">
        <is>
          <t>BODEN</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34786-2020</t>
        </is>
      </c>
      <c r="B2326" s="1" t="n">
        <v>44035</v>
      </c>
      <c r="C2326" s="1" t="n">
        <v>45798</v>
      </c>
      <c r="D2326" t="inlineStr">
        <is>
          <t>NORRBOTTENS LÄN</t>
        </is>
      </c>
      <c r="E2326" t="inlineStr">
        <is>
          <t>BODEN</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34791-2020</t>
        </is>
      </c>
      <c r="B2327" s="1" t="n">
        <v>44035</v>
      </c>
      <c r="C2327" s="1" t="n">
        <v>45798</v>
      </c>
      <c r="D2327" t="inlineStr">
        <is>
          <t>NORRBOTTENS LÄN</t>
        </is>
      </c>
      <c r="E2327" t="inlineStr">
        <is>
          <t>BODEN</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34788-2020</t>
        </is>
      </c>
      <c r="B2328" s="1" t="n">
        <v>44035</v>
      </c>
      <c r="C2328" s="1" t="n">
        <v>45798</v>
      </c>
      <c r="D2328" t="inlineStr">
        <is>
          <t>NORRBOTTENS LÄN</t>
        </is>
      </c>
      <c r="E2328" t="inlineStr">
        <is>
          <t>BODEN</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34792-2020</t>
        </is>
      </c>
      <c r="B2329" s="1" t="n">
        <v>44035</v>
      </c>
      <c r="C2329" s="1" t="n">
        <v>45798</v>
      </c>
      <c r="D2329" t="inlineStr">
        <is>
          <t>NORRBOTTENS LÄN</t>
        </is>
      </c>
      <c r="E2329" t="inlineStr">
        <is>
          <t>BODEN</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34795-2020</t>
        </is>
      </c>
      <c r="B2330" s="1" t="n">
        <v>44035</v>
      </c>
      <c r="C2330" s="1" t="n">
        <v>45798</v>
      </c>
      <c r="D2330" t="inlineStr">
        <is>
          <t>NORRBOTTENS LÄN</t>
        </is>
      </c>
      <c r="E2330" t="inlineStr">
        <is>
          <t>BODEN</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34789-2020</t>
        </is>
      </c>
      <c r="B2331" s="1" t="n">
        <v>44035</v>
      </c>
      <c r="C2331" s="1" t="n">
        <v>45798</v>
      </c>
      <c r="D2331" t="inlineStr">
        <is>
          <t>NORRBOTTENS LÄN</t>
        </is>
      </c>
      <c r="E2331" t="inlineStr">
        <is>
          <t>BODEN</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34793-2020</t>
        </is>
      </c>
      <c r="B2332" s="1" t="n">
        <v>44035</v>
      </c>
      <c r="C2332" s="1" t="n">
        <v>45798</v>
      </c>
      <c r="D2332" t="inlineStr">
        <is>
          <t>NORRBOTTENS LÄN</t>
        </is>
      </c>
      <c r="E2332" t="inlineStr">
        <is>
          <t>BODEN</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35013-2020</t>
        </is>
      </c>
      <c r="B2333" s="1" t="n">
        <v>44039</v>
      </c>
      <c r="C2333" s="1" t="n">
        <v>45798</v>
      </c>
      <c r="D2333" t="inlineStr">
        <is>
          <t>NORRBOTTENS LÄN</t>
        </is>
      </c>
      <c r="E2333" t="inlineStr">
        <is>
          <t>PAJALA</t>
        </is>
      </c>
      <c r="F2333" t="inlineStr">
        <is>
          <t>Allmännings- och besparingsskogar</t>
        </is>
      </c>
      <c r="G2333" t="n">
        <v>23.3</v>
      </c>
      <c r="H2333" t="n">
        <v>0</v>
      </c>
      <c r="I2333" t="n">
        <v>0</v>
      </c>
      <c r="J2333" t="n">
        <v>0</v>
      </c>
      <c r="K2333" t="n">
        <v>0</v>
      </c>
      <c r="L2333" t="n">
        <v>0</v>
      </c>
      <c r="M2333" t="n">
        <v>0</v>
      </c>
      <c r="N2333" t="n">
        <v>0</v>
      </c>
      <c r="O2333" t="n">
        <v>0</v>
      </c>
      <c r="P2333" t="n">
        <v>0</v>
      </c>
      <c r="Q2333" t="n">
        <v>0</v>
      </c>
      <c r="R2333" s="2" t="inlineStr"/>
    </row>
    <row r="2334" ht="15" customHeight="1">
      <c r="A2334" t="inlineStr">
        <is>
          <t>A 35323-2020</t>
        </is>
      </c>
      <c r="B2334" s="1" t="n">
        <v>44041</v>
      </c>
      <c r="C2334" s="1" t="n">
        <v>45798</v>
      </c>
      <c r="D2334" t="inlineStr">
        <is>
          <t>NORRBOTTENS LÄN</t>
        </is>
      </c>
      <c r="E2334" t="inlineStr">
        <is>
          <t>ÄLVSBYN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35701-2020</t>
        </is>
      </c>
      <c r="B2335" s="1" t="n">
        <v>44046</v>
      </c>
      <c r="C2335" s="1" t="n">
        <v>45798</v>
      </c>
      <c r="D2335" t="inlineStr">
        <is>
          <t>NORRBOTTENS LÄN</t>
        </is>
      </c>
      <c r="E2335" t="inlineStr">
        <is>
          <t>BODEN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35784-2020</t>
        </is>
      </c>
      <c r="B2336" s="1" t="n">
        <v>44046</v>
      </c>
      <c r="C2336" s="1" t="n">
        <v>45798</v>
      </c>
      <c r="D2336" t="inlineStr">
        <is>
          <t>NORRBOTTENS LÄN</t>
        </is>
      </c>
      <c r="E2336" t="inlineStr">
        <is>
          <t>ARVIDSJAUR</t>
        </is>
      </c>
      <c r="F2336" t="inlineStr">
        <is>
          <t>Övriga Aktiebolag</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35903-2020</t>
        </is>
      </c>
      <c r="B2337" s="1" t="n">
        <v>44047</v>
      </c>
      <c r="C2337" s="1" t="n">
        <v>45798</v>
      </c>
      <c r="D2337" t="inlineStr">
        <is>
          <t>NORRBOTTENS LÄN</t>
        </is>
      </c>
      <c r="E2337" t="inlineStr">
        <is>
          <t>BODEN</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36084-2020</t>
        </is>
      </c>
      <c r="B2338" s="1" t="n">
        <v>44048</v>
      </c>
      <c r="C2338" s="1" t="n">
        <v>45798</v>
      </c>
      <c r="D2338" t="inlineStr">
        <is>
          <t>NORRBOTTENS LÄN</t>
        </is>
      </c>
      <c r="E2338" t="inlineStr">
        <is>
          <t>PAJALA</t>
        </is>
      </c>
      <c r="F2338" t="inlineStr">
        <is>
          <t>Allmännings- och besparingsskogar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36211-2020</t>
        </is>
      </c>
      <c r="B2339" s="1" t="n">
        <v>44048</v>
      </c>
      <c r="C2339" s="1" t="n">
        <v>45798</v>
      </c>
      <c r="D2339" t="inlineStr">
        <is>
          <t>NORRBOTTENS LÄN</t>
        </is>
      </c>
      <c r="E2339" t="inlineStr">
        <is>
          <t>PAJALA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36333-2020</t>
        </is>
      </c>
      <c r="B2340" s="1" t="n">
        <v>44049</v>
      </c>
      <c r="C2340" s="1" t="n">
        <v>45798</v>
      </c>
      <c r="D2340" t="inlineStr">
        <is>
          <t>NORRBOTTENS LÄN</t>
        </is>
      </c>
      <c r="E2340" t="inlineStr">
        <is>
          <t>GÄLLIVARE</t>
        </is>
      </c>
      <c r="F2340" t="inlineStr">
        <is>
          <t>Sveaskog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36416-2020</t>
        </is>
      </c>
      <c r="B2341" s="1" t="n">
        <v>44049</v>
      </c>
      <c r="C2341" s="1" t="n">
        <v>45798</v>
      </c>
      <c r="D2341" t="inlineStr">
        <is>
          <t>NORRBOTTENS LÄN</t>
        </is>
      </c>
      <c r="E2341" t="inlineStr">
        <is>
          <t>PITEÅ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36530-2020</t>
        </is>
      </c>
      <c r="B2342" s="1" t="n">
        <v>44050</v>
      </c>
      <c r="C2342" s="1" t="n">
        <v>45798</v>
      </c>
      <c r="D2342" t="inlineStr">
        <is>
          <t>NORRBOTTENS LÄN</t>
        </is>
      </c>
      <c r="E2342" t="inlineStr">
        <is>
          <t>KALIX</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36651-2020</t>
        </is>
      </c>
      <c r="B2343" s="1" t="n">
        <v>44050</v>
      </c>
      <c r="C2343" s="1" t="n">
        <v>45798</v>
      </c>
      <c r="D2343" t="inlineStr">
        <is>
          <t>NORRBOTTENS LÄN</t>
        </is>
      </c>
      <c r="E2343" t="inlineStr">
        <is>
          <t>BODEN</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36515-2020</t>
        </is>
      </c>
      <c r="B2344" s="1" t="n">
        <v>44050</v>
      </c>
      <c r="C2344" s="1" t="n">
        <v>45798</v>
      </c>
      <c r="D2344" t="inlineStr">
        <is>
          <t>NORRBOTTENS LÄN</t>
        </is>
      </c>
      <c r="E2344" t="inlineStr">
        <is>
          <t>BODEN</t>
        </is>
      </c>
      <c r="F2344" t="inlineStr">
        <is>
          <t>Sveaskog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36578-2020</t>
        </is>
      </c>
      <c r="B2345" s="1" t="n">
        <v>44050</v>
      </c>
      <c r="C2345" s="1" t="n">
        <v>45798</v>
      </c>
      <c r="D2345" t="inlineStr">
        <is>
          <t>NORRBOTTENS LÄN</t>
        </is>
      </c>
      <c r="E2345" t="inlineStr">
        <is>
          <t>GÄLLIVARE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36653-2020</t>
        </is>
      </c>
      <c r="B2346" s="1" t="n">
        <v>44051</v>
      </c>
      <c r="C2346" s="1" t="n">
        <v>45798</v>
      </c>
      <c r="D2346" t="inlineStr">
        <is>
          <t>NORRBOTTENS LÄN</t>
        </is>
      </c>
      <c r="E2346" t="inlineStr">
        <is>
          <t>BODEN</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36549-2020</t>
        </is>
      </c>
      <c r="B2347" s="1" t="n">
        <v>44050</v>
      </c>
      <c r="C2347" s="1" t="n">
        <v>45798</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36649-2020</t>
        </is>
      </c>
      <c r="B2348" s="1" t="n">
        <v>44051</v>
      </c>
      <c r="C2348" s="1" t="n">
        <v>45798</v>
      </c>
      <c r="D2348" t="inlineStr">
        <is>
          <t>NORRBOTTENS LÄN</t>
        </is>
      </c>
      <c r="E2348" t="inlineStr">
        <is>
          <t>ÖVERKALIX</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36929-2020</t>
        </is>
      </c>
      <c r="B2349" s="1" t="n">
        <v>44053</v>
      </c>
      <c r="C2349" s="1" t="n">
        <v>45798</v>
      </c>
      <c r="D2349" t="inlineStr">
        <is>
          <t>NORRBOTTENS LÄN</t>
        </is>
      </c>
      <c r="E2349" t="inlineStr">
        <is>
          <t>LULEÅ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36960-2020</t>
        </is>
      </c>
      <c r="B2350" s="1" t="n">
        <v>44053</v>
      </c>
      <c r="C2350" s="1" t="n">
        <v>45798</v>
      </c>
      <c r="D2350" t="inlineStr">
        <is>
          <t>NORRBOTTENS LÄN</t>
        </is>
      </c>
      <c r="E2350" t="inlineStr">
        <is>
          <t>BODEN</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36984-2020</t>
        </is>
      </c>
      <c r="B2351" s="1" t="n">
        <v>44054</v>
      </c>
      <c r="C2351" s="1" t="n">
        <v>45798</v>
      </c>
      <c r="D2351" t="inlineStr">
        <is>
          <t>NORRBOTTENS LÄN</t>
        </is>
      </c>
      <c r="E2351" t="inlineStr">
        <is>
          <t>BODEN</t>
        </is>
      </c>
      <c r="F2351" t="inlineStr">
        <is>
          <t>Övriga Aktiebolag</t>
        </is>
      </c>
      <c r="G2351" t="n">
        <v>44.4</v>
      </c>
      <c r="H2351" t="n">
        <v>0</v>
      </c>
      <c r="I2351" t="n">
        <v>0</v>
      </c>
      <c r="J2351" t="n">
        <v>0</v>
      </c>
      <c r="K2351" t="n">
        <v>0</v>
      </c>
      <c r="L2351" t="n">
        <v>0</v>
      </c>
      <c r="M2351" t="n">
        <v>0</v>
      </c>
      <c r="N2351" t="n">
        <v>0</v>
      </c>
      <c r="O2351" t="n">
        <v>0</v>
      </c>
      <c r="P2351" t="n">
        <v>0</v>
      </c>
      <c r="Q2351" t="n">
        <v>0</v>
      </c>
      <c r="R2351" s="2" t="inlineStr"/>
    </row>
    <row r="2352" ht="15" customHeight="1">
      <c r="A2352" t="inlineStr">
        <is>
          <t>A 37195-2020</t>
        </is>
      </c>
      <c r="B2352" s="1" t="n">
        <v>44054</v>
      </c>
      <c r="C2352" s="1" t="n">
        <v>45798</v>
      </c>
      <c r="D2352" t="inlineStr">
        <is>
          <t>NORRBOTTENS LÄN</t>
        </is>
      </c>
      <c r="E2352" t="inlineStr">
        <is>
          <t>KALIX</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37392-2020</t>
        </is>
      </c>
      <c r="B2353" s="1" t="n">
        <v>44055</v>
      </c>
      <c r="C2353" s="1" t="n">
        <v>45798</v>
      </c>
      <c r="D2353" t="inlineStr">
        <is>
          <t>NORRBOTTENS LÄN</t>
        </is>
      </c>
      <c r="E2353" t="inlineStr">
        <is>
          <t>GÄLLIVARE</t>
        </is>
      </c>
      <c r="F2353" t="inlineStr">
        <is>
          <t>Allmännings- och besparingsskogar</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37727-2020</t>
        </is>
      </c>
      <c r="B2354" s="1" t="n">
        <v>44056</v>
      </c>
      <c r="C2354" s="1" t="n">
        <v>45798</v>
      </c>
      <c r="D2354" t="inlineStr">
        <is>
          <t>NORRBOTTENS LÄN</t>
        </is>
      </c>
      <c r="E2354" t="inlineStr">
        <is>
          <t>ARVIDSJAUR</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37886-2020</t>
        </is>
      </c>
      <c r="B2355" s="1" t="n">
        <v>44057</v>
      </c>
      <c r="C2355" s="1" t="n">
        <v>45798</v>
      </c>
      <c r="D2355" t="inlineStr">
        <is>
          <t>NORRBOTTENS LÄN</t>
        </is>
      </c>
      <c r="E2355" t="inlineStr">
        <is>
          <t>BODEN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37955-2020</t>
        </is>
      </c>
      <c r="B2356" s="1" t="n">
        <v>44057</v>
      </c>
      <c r="C2356" s="1" t="n">
        <v>45798</v>
      </c>
      <c r="D2356" t="inlineStr">
        <is>
          <t>NORRBOTTENS LÄN</t>
        </is>
      </c>
      <c r="E2356" t="inlineStr">
        <is>
          <t>ÄLVSBYN</t>
        </is>
      </c>
      <c r="F2356" t="inlineStr">
        <is>
          <t>Sveaskog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38115-2020</t>
        </is>
      </c>
      <c r="B2357" s="1" t="n">
        <v>44058</v>
      </c>
      <c r="C2357" s="1" t="n">
        <v>45798</v>
      </c>
      <c r="D2357" t="inlineStr">
        <is>
          <t>NORRBOTTENS LÄN</t>
        </is>
      </c>
      <c r="E2357" t="inlineStr">
        <is>
          <t>GÄLLIVARE</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38114-2020</t>
        </is>
      </c>
      <c r="B2358" s="1" t="n">
        <v>44058</v>
      </c>
      <c r="C2358" s="1" t="n">
        <v>45798</v>
      </c>
      <c r="D2358" t="inlineStr">
        <is>
          <t>NORRBOTTENS LÄN</t>
        </is>
      </c>
      <c r="E2358" t="inlineStr">
        <is>
          <t>GÄLLIVARE</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38241-2020</t>
        </is>
      </c>
      <c r="B2359" s="1" t="n">
        <v>44060</v>
      </c>
      <c r="C2359" s="1" t="n">
        <v>45798</v>
      </c>
      <c r="D2359" t="inlineStr">
        <is>
          <t>NORRBOTTENS LÄN</t>
        </is>
      </c>
      <c r="E2359" t="inlineStr">
        <is>
          <t>ÖVERTORNEÅ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38337-2020</t>
        </is>
      </c>
      <c r="B2360" s="1" t="n">
        <v>44060</v>
      </c>
      <c r="C2360" s="1" t="n">
        <v>45798</v>
      </c>
      <c r="D2360" t="inlineStr">
        <is>
          <t>NORRBOTTENS LÄN</t>
        </is>
      </c>
      <c r="E2360" t="inlineStr">
        <is>
          <t>PAJALA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38254-2020</t>
        </is>
      </c>
      <c r="B2361" s="1" t="n">
        <v>44060</v>
      </c>
      <c r="C2361" s="1" t="n">
        <v>45798</v>
      </c>
      <c r="D2361" t="inlineStr">
        <is>
          <t>NORRBOTTENS LÄN</t>
        </is>
      </c>
      <c r="E2361" t="inlineStr">
        <is>
          <t>JOKKMOKK</t>
        </is>
      </c>
      <c r="F2361" t="inlineStr">
        <is>
          <t>Allmännings- och besparingsskogar</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38331-2020</t>
        </is>
      </c>
      <c r="B2362" s="1" t="n">
        <v>44060</v>
      </c>
      <c r="C2362" s="1" t="n">
        <v>45798</v>
      </c>
      <c r="D2362" t="inlineStr">
        <is>
          <t>NORRBOTTENS LÄN</t>
        </is>
      </c>
      <c r="E2362" t="inlineStr">
        <is>
          <t>KIRUNA</t>
        </is>
      </c>
      <c r="F2362" t="inlineStr">
        <is>
          <t>Allmännings- och besparingsskogar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38638-2020</t>
        </is>
      </c>
      <c r="B2363" s="1" t="n">
        <v>44061</v>
      </c>
      <c r="C2363" s="1" t="n">
        <v>45798</v>
      </c>
      <c r="D2363" t="inlineStr">
        <is>
          <t>NORRBOTTENS LÄN</t>
        </is>
      </c>
      <c r="E2363" t="inlineStr">
        <is>
          <t>JOKKMOKK</t>
        </is>
      </c>
      <c r="F2363" t="inlineStr">
        <is>
          <t>Övriga Aktiebolag</t>
        </is>
      </c>
      <c r="G2363" t="n">
        <v>22.2</v>
      </c>
      <c r="H2363" t="n">
        <v>0</v>
      </c>
      <c r="I2363" t="n">
        <v>0</v>
      </c>
      <c r="J2363" t="n">
        <v>0</v>
      </c>
      <c r="K2363" t="n">
        <v>0</v>
      </c>
      <c r="L2363" t="n">
        <v>0</v>
      </c>
      <c r="M2363" t="n">
        <v>0</v>
      </c>
      <c r="N2363" t="n">
        <v>0</v>
      </c>
      <c r="O2363" t="n">
        <v>0</v>
      </c>
      <c r="P2363" t="n">
        <v>0</v>
      </c>
      <c r="Q2363" t="n">
        <v>0</v>
      </c>
      <c r="R2363" s="2" t="inlineStr"/>
    </row>
    <row r="2364" ht="15" customHeight="1">
      <c r="A2364" t="inlineStr">
        <is>
          <t>A 38711-2020</t>
        </is>
      </c>
      <c r="B2364" s="1" t="n">
        <v>44061</v>
      </c>
      <c r="C2364" s="1" t="n">
        <v>45798</v>
      </c>
      <c r="D2364" t="inlineStr">
        <is>
          <t>NORRBOTTENS LÄN</t>
        </is>
      </c>
      <c r="E2364" t="inlineStr">
        <is>
          <t>JOKKMOKK</t>
        </is>
      </c>
      <c r="F2364" t="inlineStr">
        <is>
          <t>Övriga statliga verk och myndigheter</t>
        </is>
      </c>
      <c r="G2364" t="n">
        <v>16.1</v>
      </c>
      <c r="H2364" t="n">
        <v>0</v>
      </c>
      <c r="I2364" t="n">
        <v>0</v>
      </c>
      <c r="J2364" t="n">
        <v>0</v>
      </c>
      <c r="K2364" t="n">
        <v>0</v>
      </c>
      <c r="L2364" t="n">
        <v>0</v>
      </c>
      <c r="M2364" t="n">
        <v>0</v>
      </c>
      <c r="N2364" t="n">
        <v>0</v>
      </c>
      <c r="O2364" t="n">
        <v>0</v>
      </c>
      <c r="P2364" t="n">
        <v>0</v>
      </c>
      <c r="Q2364" t="n">
        <v>0</v>
      </c>
      <c r="R2364" s="2" t="inlineStr"/>
    </row>
    <row r="2365" ht="15" customHeight="1">
      <c r="A2365" t="inlineStr">
        <is>
          <t>A 38733-2020</t>
        </is>
      </c>
      <c r="B2365" s="1" t="n">
        <v>44061</v>
      </c>
      <c r="C2365" s="1" t="n">
        <v>45798</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38813-2020</t>
        </is>
      </c>
      <c r="B2366" s="1" t="n">
        <v>44061</v>
      </c>
      <c r="C2366" s="1" t="n">
        <v>45798</v>
      </c>
      <c r="D2366" t="inlineStr">
        <is>
          <t>NORRBOTTENS LÄN</t>
        </is>
      </c>
      <c r="E2366" t="inlineStr">
        <is>
          <t>KIRUNA</t>
        </is>
      </c>
      <c r="G2366" t="n">
        <v>26.9</v>
      </c>
      <c r="H2366" t="n">
        <v>0</v>
      </c>
      <c r="I2366" t="n">
        <v>0</v>
      </c>
      <c r="J2366" t="n">
        <v>0</v>
      </c>
      <c r="K2366" t="n">
        <v>0</v>
      </c>
      <c r="L2366" t="n">
        <v>0</v>
      </c>
      <c r="M2366" t="n">
        <v>0</v>
      </c>
      <c r="N2366" t="n">
        <v>0</v>
      </c>
      <c r="O2366" t="n">
        <v>0</v>
      </c>
      <c r="P2366" t="n">
        <v>0</v>
      </c>
      <c r="Q2366" t="n">
        <v>0</v>
      </c>
      <c r="R2366" s="2" t="inlineStr"/>
    </row>
    <row r="2367" ht="15" customHeight="1">
      <c r="A2367" t="inlineStr">
        <is>
          <t>A 39020-2020</t>
        </is>
      </c>
      <c r="B2367" s="1" t="n">
        <v>44062</v>
      </c>
      <c r="C2367" s="1" t="n">
        <v>45798</v>
      </c>
      <c r="D2367" t="inlineStr">
        <is>
          <t>NORRBOTTENS LÄN</t>
        </is>
      </c>
      <c r="E2367" t="inlineStr">
        <is>
          <t>PAJALA</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38878-2020</t>
        </is>
      </c>
      <c r="B2368" s="1" t="n">
        <v>44062</v>
      </c>
      <c r="C2368" s="1" t="n">
        <v>45798</v>
      </c>
      <c r="D2368" t="inlineStr">
        <is>
          <t>NORRBOTTENS LÄN</t>
        </is>
      </c>
      <c r="E2368" t="inlineStr">
        <is>
          <t>PAJALA</t>
        </is>
      </c>
      <c r="F2368" t="inlineStr">
        <is>
          <t>Allmännings- och besparingsskogar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38991-2020</t>
        </is>
      </c>
      <c r="B2369" s="1" t="n">
        <v>44062</v>
      </c>
      <c r="C2369" s="1" t="n">
        <v>45798</v>
      </c>
      <c r="D2369" t="inlineStr">
        <is>
          <t>NORRBOTTENS LÄN</t>
        </is>
      </c>
      <c r="E2369" t="inlineStr">
        <is>
          <t>BODEN</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39085-2020</t>
        </is>
      </c>
      <c r="B2370" s="1" t="n">
        <v>44062</v>
      </c>
      <c r="C2370" s="1" t="n">
        <v>45798</v>
      </c>
      <c r="D2370" t="inlineStr">
        <is>
          <t>NORRBOTTENS LÄN</t>
        </is>
      </c>
      <c r="E2370" t="inlineStr">
        <is>
          <t>JOKKMOKK</t>
        </is>
      </c>
      <c r="F2370" t="inlineStr">
        <is>
          <t>SCA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39046-2020</t>
        </is>
      </c>
      <c r="B2371" s="1" t="n">
        <v>44063</v>
      </c>
      <c r="C2371" s="1" t="n">
        <v>45798</v>
      </c>
      <c r="D2371" t="inlineStr">
        <is>
          <t>NORRBOTTENS LÄN</t>
        </is>
      </c>
      <c r="E2371" t="inlineStr">
        <is>
          <t>PITEÅ</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39099-2020</t>
        </is>
      </c>
      <c r="B2372" s="1" t="n">
        <v>44063</v>
      </c>
      <c r="C2372" s="1" t="n">
        <v>45798</v>
      </c>
      <c r="D2372" t="inlineStr">
        <is>
          <t>NORRBOTTENS LÄN</t>
        </is>
      </c>
      <c r="E2372" t="inlineStr">
        <is>
          <t>PAJALA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39169-2020</t>
        </is>
      </c>
      <c r="B2373" s="1" t="n">
        <v>44063</v>
      </c>
      <c r="C2373" s="1" t="n">
        <v>45798</v>
      </c>
      <c r="D2373" t="inlineStr">
        <is>
          <t>NORRBOTTENS LÄN</t>
        </is>
      </c>
      <c r="E2373" t="inlineStr">
        <is>
          <t>LULEÅ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39248-2020</t>
        </is>
      </c>
      <c r="B2374" s="1" t="n">
        <v>44063</v>
      </c>
      <c r="C2374" s="1" t="n">
        <v>45798</v>
      </c>
      <c r="D2374" t="inlineStr">
        <is>
          <t>NORRBOTTENS LÄN</t>
        </is>
      </c>
      <c r="E2374" t="inlineStr">
        <is>
          <t>GÄLLIVARE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39319-2020</t>
        </is>
      </c>
      <c r="B2375" s="1" t="n">
        <v>44063</v>
      </c>
      <c r="C2375" s="1" t="n">
        <v>45798</v>
      </c>
      <c r="D2375" t="inlineStr">
        <is>
          <t>NORRBOTTENS LÄN</t>
        </is>
      </c>
      <c r="E2375" t="inlineStr">
        <is>
          <t>GÄLLIVARE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39330-2020</t>
        </is>
      </c>
      <c r="B2376" s="1" t="n">
        <v>44063</v>
      </c>
      <c r="C2376" s="1" t="n">
        <v>45798</v>
      </c>
      <c r="D2376" t="inlineStr">
        <is>
          <t>NORRBOTTENS LÄN</t>
        </is>
      </c>
      <c r="E2376" t="inlineStr">
        <is>
          <t>GÄLLIVARE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39331-2020</t>
        </is>
      </c>
      <c r="B2377" s="1" t="n">
        <v>44063</v>
      </c>
      <c r="C2377" s="1" t="n">
        <v>45798</v>
      </c>
      <c r="D2377" t="inlineStr">
        <is>
          <t>NORRBOTTENS LÄN</t>
        </is>
      </c>
      <c r="E2377" t="inlineStr">
        <is>
          <t>GÄLLIVARE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39416-2020</t>
        </is>
      </c>
      <c r="B2378" s="1" t="n">
        <v>44064</v>
      </c>
      <c r="C2378" s="1" t="n">
        <v>45798</v>
      </c>
      <c r="D2378" t="inlineStr">
        <is>
          <t>NORRBOTTENS LÄN</t>
        </is>
      </c>
      <c r="E2378" t="inlineStr">
        <is>
          <t>KALIX</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39843-2020</t>
        </is>
      </c>
      <c r="B2379" s="1" t="n">
        <v>44064</v>
      </c>
      <c r="C2379" s="1" t="n">
        <v>45798</v>
      </c>
      <c r="D2379" t="inlineStr">
        <is>
          <t>NORRBOTTENS LÄN</t>
        </is>
      </c>
      <c r="E2379" t="inlineStr">
        <is>
          <t>BODEN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40058-2020</t>
        </is>
      </c>
      <c r="B2380" s="1" t="n">
        <v>44067</v>
      </c>
      <c r="C2380" s="1" t="n">
        <v>45798</v>
      </c>
      <c r="D2380" t="inlineStr">
        <is>
          <t>NORRBOTTENS LÄN</t>
        </is>
      </c>
      <c r="E2380" t="inlineStr">
        <is>
          <t>PITEÅ</t>
        </is>
      </c>
      <c r="F2380" t="inlineStr">
        <is>
          <t>SCA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40076-2020</t>
        </is>
      </c>
      <c r="B2381" s="1" t="n">
        <v>44067</v>
      </c>
      <c r="C2381" s="1" t="n">
        <v>45798</v>
      </c>
      <c r="D2381" t="inlineStr">
        <is>
          <t>NORRBOTTENS LÄN</t>
        </is>
      </c>
      <c r="E2381" t="inlineStr">
        <is>
          <t>PITEÅ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40110-2020</t>
        </is>
      </c>
      <c r="B2382" s="1" t="n">
        <v>44067</v>
      </c>
      <c r="C2382" s="1" t="n">
        <v>45798</v>
      </c>
      <c r="D2382" t="inlineStr">
        <is>
          <t>NORRBOTTENS LÄN</t>
        </is>
      </c>
      <c r="E2382" t="inlineStr">
        <is>
          <t>JOKKMOKK</t>
        </is>
      </c>
      <c r="F2382" t="inlineStr">
        <is>
          <t>Övriga Aktiebolag</t>
        </is>
      </c>
      <c r="G2382" t="n">
        <v>14.4</v>
      </c>
      <c r="H2382" t="n">
        <v>0</v>
      </c>
      <c r="I2382" t="n">
        <v>0</v>
      </c>
      <c r="J2382" t="n">
        <v>0</v>
      </c>
      <c r="K2382" t="n">
        <v>0</v>
      </c>
      <c r="L2382" t="n">
        <v>0</v>
      </c>
      <c r="M2382" t="n">
        <v>0</v>
      </c>
      <c r="N2382" t="n">
        <v>0</v>
      </c>
      <c r="O2382" t="n">
        <v>0</v>
      </c>
      <c r="P2382" t="n">
        <v>0</v>
      </c>
      <c r="Q2382" t="n">
        <v>0</v>
      </c>
      <c r="R2382" s="2" t="inlineStr"/>
    </row>
    <row r="2383" ht="15" customHeight="1">
      <c r="A2383" t="inlineStr">
        <is>
          <t>A 40282-2020</t>
        </is>
      </c>
      <c r="B2383" s="1" t="n">
        <v>44067</v>
      </c>
      <c r="C2383" s="1" t="n">
        <v>45798</v>
      </c>
      <c r="D2383" t="inlineStr">
        <is>
          <t>NORRBOTTENS LÄN</t>
        </is>
      </c>
      <c r="E2383" t="inlineStr">
        <is>
          <t>BODEN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40122-2020</t>
        </is>
      </c>
      <c r="B2384" s="1" t="n">
        <v>44068</v>
      </c>
      <c r="C2384" s="1" t="n">
        <v>45798</v>
      </c>
      <c r="D2384" t="inlineStr">
        <is>
          <t>NORRBOTTENS LÄN</t>
        </is>
      </c>
      <c r="E2384" t="inlineStr">
        <is>
          <t>PITEÅ</t>
        </is>
      </c>
      <c r="F2384" t="inlineStr">
        <is>
          <t>Sveaskog</t>
        </is>
      </c>
      <c r="G2384" t="n">
        <v>36.9</v>
      </c>
      <c r="H2384" t="n">
        <v>0</v>
      </c>
      <c r="I2384" t="n">
        <v>0</v>
      </c>
      <c r="J2384" t="n">
        <v>0</v>
      </c>
      <c r="K2384" t="n">
        <v>0</v>
      </c>
      <c r="L2384" t="n">
        <v>0</v>
      </c>
      <c r="M2384" t="n">
        <v>0</v>
      </c>
      <c r="N2384" t="n">
        <v>0</v>
      </c>
      <c r="O2384" t="n">
        <v>0</v>
      </c>
      <c r="P2384" t="n">
        <v>0</v>
      </c>
      <c r="Q2384" t="n">
        <v>0</v>
      </c>
      <c r="R2384" s="2" t="inlineStr"/>
    </row>
    <row r="2385" ht="15" customHeight="1">
      <c r="A2385" t="inlineStr">
        <is>
          <t>A 41466-2020</t>
        </is>
      </c>
      <c r="B2385" s="1" t="n">
        <v>44069</v>
      </c>
      <c r="C2385" s="1" t="n">
        <v>45798</v>
      </c>
      <c r="D2385" t="inlineStr">
        <is>
          <t>NORRBOTTENS LÄN</t>
        </is>
      </c>
      <c r="E2385" t="inlineStr">
        <is>
          <t>PITEÅ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41072-2020</t>
        </is>
      </c>
      <c r="B2386" s="1" t="n">
        <v>44069</v>
      </c>
      <c r="C2386" s="1" t="n">
        <v>45798</v>
      </c>
      <c r="D2386" t="inlineStr">
        <is>
          <t>NORRBOTTENS LÄN</t>
        </is>
      </c>
      <c r="E2386" t="inlineStr">
        <is>
          <t>LULEÅ</t>
        </is>
      </c>
      <c r="G2386" t="n">
        <v>21.3</v>
      </c>
      <c r="H2386" t="n">
        <v>0</v>
      </c>
      <c r="I2386" t="n">
        <v>0</v>
      </c>
      <c r="J2386" t="n">
        <v>0</v>
      </c>
      <c r="K2386" t="n">
        <v>0</v>
      </c>
      <c r="L2386" t="n">
        <v>0</v>
      </c>
      <c r="M2386" t="n">
        <v>0</v>
      </c>
      <c r="N2386" t="n">
        <v>0</v>
      </c>
      <c r="O2386" t="n">
        <v>0</v>
      </c>
      <c r="P2386" t="n">
        <v>0</v>
      </c>
      <c r="Q2386" t="n">
        <v>0</v>
      </c>
      <c r="R2386" s="2" t="inlineStr"/>
    </row>
    <row r="2387" ht="15" customHeight="1">
      <c r="A2387" t="inlineStr">
        <is>
          <t>A 40896-2020</t>
        </is>
      </c>
      <c r="B2387" s="1" t="n">
        <v>44070</v>
      </c>
      <c r="C2387" s="1" t="n">
        <v>45798</v>
      </c>
      <c r="D2387" t="inlineStr">
        <is>
          <t>NORRBOTTENS LÄN</t>
        </is>
      </c>
      <c r="E2387" t="inlineStr">
        <is>
          <t>LULEÅ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40899-2020</t>
        </is>
      </c>
      <c r="B2388" s="1" t="n">
        <v>44070</v>
      </c>
      <c r="C2388" s="1" t="n">
        <v>45798</v>
      </c>
      <c r="D2388" t="inlineStr">
        <is>
          <t>NORRBOTTENS LÄN</t>
        </is>
      </c>
      <c r="E2388" t="inlineStr">
        <is>
          <t>GÄLLIVARE</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41021-2020</t>
        </is>
      </c>
      <c r="B2389" s="1" t="n">
        <v>44070</v>
      </c>
      <c r="C2389" s="1" t="n">
        <v>45798</v>
      </c>
      <c r="D2389" t="inlineStr">
        <is>
          <t>NORRBOTTENS LÄN</t>
        </is>
      </c>
      <c r="E2389" t="inlineStr">
        <is>
          <t>BODEN</t>
        </is>
      </c>
      <c r="F2389" t="inlineStr">
        <is>
          <t>Sveaskog</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41736-2020</t>
        </is>
      </c>
      <c r="B2390" s="1" t="n">
        <v>44070</v>
      </c>
      <c r="C2390" s="1" t="n">
        <v>45798</v>
      </c>
      <c r="D2390" t="inlineStr">
        <is>
          <t>NORRBOTTENS LÄN</t>
        </is>
      </c>
      <c r="E2390" t="inlineStr">
        <is>
          <t>GÄLLIVARE</t>
        </is>
      </c>
      <c r="F2390" t="inlineStr">
        <is>
          <t>Allmännings- och besparingsskogar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41728-2020</t>
        </is>
      </c>
      <c r="B2391" s="1" t="n">
        <v>44070</v>
      </c>
      <c r="C2391" s="1" t="n">
        <v>45798</v>
      </c>
      <c r="D2391" t="inlineStr">
        <is>
          <t>NORRBOTTENS LÄN</t>
        </is>
      </c>
      <c r="E2391" t="inlineStr">
        <is>
          <t>PITEÅ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41692-2020</t>
        </is>
      </c>
      <c r="B2392" s="1" t="n">
        <v>44070</v>
      </c>
      <c r="C2392" s="1" t="n">
        <v>45798</v>
      </c>
      <c r="D2392" t="inlineStr">
        <is>
          <t>NORRBOTTENS LÄN</t>
        </is>
      </c>
      <c r="E2392" t="inlineStr">
        <is>
          <t>GÄLLIVARE</t>
        </is>
      </c>
      <c r="F2392" t="inlineStr">
        <is>
          <t>Allmännings- och besparingsskogar</t>
        </is>
      </c>
      <c r="G2392" t="n">
        <v>27.7</v>
      </c>
      <c r="H2392" t="n">
        <v>0</v>
      </c>
      <c r="I2392" t="n">
        <v>0</v>
      </c>
      <c r="J2392" t="n">
        <v>0</v>
      </c>
      <c r="K2392" t="n">
        <v>0</v>
      </c>
      <c r="L2392" t="n">
        <v>0</v>
      </c>
      <c r="M2392" t="n">
        <v>0</v>
      </c>
      <c r="N2392" t="n">
        <v>0</v>
      </c>
      <c r="O2392" t="n">
        <v>0</v>
      </c>
      <c r="P2392" t="n">
        <v>0</v>
      </c>
      <c r="Q2392" t="n">
        <v>0</v>
      </c>
      <c r="R2392" s="2" t="inlineStr"/>
    </row>
    <row r="2393" ht="15" customHeight="1">
      <c r="A2393" t="inlineStr">
        <is>
          <t>A 41915-2020</t>
        </is>
      </c>
      <c r="B2393" s="1" t="n">
        <v>44071</v>
      </c>
      <c r="C2393" s="1" t="n">
        <v>45798</v>
      </c>
      <c r="D2393" t="inlineStr">
        <is>
          <t>NORRBOTTENS LÄN</t>
        </is>
      </c>
      <c r="E2393" t="inlineStr">
        <is>
          <t>HAPARANDA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41922-2020</t>
        </is>
      </c>
      <c r="B2394" s="1" t="n">
        <v>44071</v>
      </c>
      <c r="C2394" s="1" t="n">
        <v>45798</v>
      </c>
      <c r="D2394" t="inlineStr">
        <is>
          <t>NORRBOTTENS LÄN</t>
        </is>
      </c>
      <c r="E2394" t="inlineStr">
        <is>
          <t>HAPARANDA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41796-2020</t>
        </is>
      </c>
      <c r="B2395" s="1" t="n">
        <v>44071</v>
      </c>
      <c r="C2395" s="1" t="n">
        <v>45798</v>
      </c>
      <c r="D2395" t="inlineStr">
        <is>
          <t>NORRBOTTENS LÄN</t>
        </is>
      </c>
      <c r="E2395" t="inlineStr">
        <is>
          <t>PAJALA</t>
        </is>
      </c>
      <c r="F2395" t="inlineStr">
        <is>
          <t>Allmännings- och besparingsskogar</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41651-2020</t>
        </is>
      </c>
      <c r="B2396" s="1" t="n">
        <v>44074</v>
      </c>
      <c r="C2396" s="1" t="n">
        <v>45798</v>
      </c>
      <c r="D2396" t="inlineStr">
        <is>
          <t>NORRBOTTENS LÄN</t>
        </is>
      </c>
      <c r="E2396" t="inlineStr">
        <is>
          <t>ÖVERTORNEÅ</t>
        </is>
      </c>
      <c r="F2396" t="inlineStr">
        <is>
          <t>Sveaskog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41787-2020</t>
        </is>
      </c>
      <c r="B2397" s="1" t="n">
        <v>44074</v>
      </c>
      <c r="C2397" s="1" t="n">
        <v>45798</v>
      </c>
      <c r="D2397" t="inlineStr">
        <is>
          <t>NORRBOTTENS LÄN</t>
        </is>
      </c>
      <c r="E2397" t="inlineStr">
        <is>
          <t>PAJALA</t>
        </is>
      </c>
      <c r="F2397" t="inlineStr">
        <is>
          <t>Sveaskog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41864-2020</t>
        </is>
      </c>
      <c r="B2398" s="1" t="n">
        <v>44074</v>
      </c>
      <c r="C2398" s="1" t="n">
        <v>45798</v>
      </c>
      <c r="D2398" t="inlineStr">
        <is>
          <t>NORRBOTTENS LÄN</t>
        </is>
      </c>
      <c r="E2398" t="inlineStr">
        <is>
          <t>LULEÅ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42390-2020</t>
        </is>
      </c>
      <c r="B2399" s="1" t="n">
        <v>44074</v>
      </c>
      <c r="C2399" s="1" t="n">
        <v>45798</v>
      </c>
      <c r="D2399" t="inlineStr">
        <is>
          <t>NORRBOTTENS LÄN</t>
        </is>
      </c>
      <c r="E2399" t="inlineStr">
        <is>
          <t>PITEÅ</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41990-2020</t>
        </is>
      </c>
      <c r="B2400" s="1" t="n">
        <v>44075</v>
      </c>
      <c r="C2400" s="1" t="n">
        <v>45798</v>
      </c>
      <c r="D2400" t="inlineStr">
        <is>
          <t>NORRBOTTENS LÄN</t>
        </is>
      </c>
      <c r="E2400" t="inlineStr">
        <is>
          <t>LULEÅ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41985-2020</t>
        </is>
      </c>
      <c r="B2401" s="1" t="n">
        <v>44075</v>
      </c>
      <c r="C2401" s="1" t="n">
        <v>45798</v>
      </c>
      <c r="D2401" t="inlineStr">
        <is>
          <t>NORRBOTTENS LÄN</t>
        </is>
      </c>
      <c r="E2401" t="inlineStr">
        <is>
          <t>BODEN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42177-2020</t>
        </is>
      </c>
      <c r="B2402" s="1" t="n">
        <v>44075</v>
      </c>
      <c r="C2402" s="1" t="n">
        <v>45798</v>
      </c>
      <c r="D2402" t="inlineStr">
        <is>
          <t>NORRBOTTENS LÄN</t>
        </is>
      </c>
      <c r="E2402" t="inlineStr">
        <is>
          <t>LULEÅ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42684-2020</t>
        </is>
      </c>
      <c r="B2403" s="1" t="n">
        <v>44075</v>
      </c>
      <c r="C2403" s="1" t="n">
        <v>45798</v>
      </c>
      <c r="D2403" t="inlineStr">
        <is>
          <t>NORRBOTTENS LÄN</t>
        </is>
      </c>
      <c r="E2403" t="inlineStr">
        <is>
          <t>ARVIDSJAUR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42176-2020</t>
        </is>
      </c>
      <c r="B2404" s="1" t="n">
        <v>44075</v>
      </c>
      <c r="C2404" s="1" t="n">
        <v>45798</v>
      </c>
      <c r="D2404" t="inlineStr">
        <is>
          <t>NORRBOTTENS LÄN</t>
        </is>
      </c>
      <c r="E2404" t="inlineStr">
        <is>
          <t>LULEÅ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42691-2020</t>
        </is>
      </c>
      <c r="B2405" s="1" t="n">
        <v>44075</v>
      </c>
      <c r="C2405" s="1" t="n">
        <v>45798</v>
      </c>
      <c r="D2405" t="inlineStr">
        <is>
          <t>NORRBOTTENS LÄN</t>
        </is>
      </c>
      <c r="E2405" t="inlineStr">
        <is>
          <t>PITEÅ</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42394-2020</t>
        </is>
      </c>
      <c r="B2406" s="1" t="n">
        <v>44076</v>
      </c>
      <c r="C2406" s="1" t="n">
        <v>45798</v>
      </c>
      <c r="D2406" t="inlineStr">
        <is>
          <t>NORRBOTTENS LÄN</t>
        </is>
      </c>
      <c r="E2406" t="inlineStr">
        <is>
          <t>ARVIDSJAUR</t>
        </is>
      </c>
      <c r="F2406" t="inlineStr">
        <is>
          <t>Sveaskog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42227-2020</t>
        </is>
      </c>
      <c r="B2407" s="1" t="n">
        <v>44076</v>
      </c>
      <c r="C2407" s="1" t="n">
        <v>45798</v>
      </c>
      <c r="D2407" t="inlineStr">
        <is>
          <t>NORRBOTTENS LÄN</t>
        </is>
      </c>
      <c r="E2407" t="inlineStr">
        <is>
          <t>ARVIDSJAUR</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42704-2020</t>
        </is>
      </c>
      <c r="B2408" s="1" t="n">
        <v>44077</v>
      </c>
      <c r="C2408" s="1" t="n">
        <v>45798</v>
      </c>
      <c r="D2408" t="inlineStr">
        <is>
          <t>NORRBOTTENS LÄN</t>
        </is>
      </c>
      <c r="E2408" t="inlineStr">
        <is>
          <t>KALIX</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42624-2020</t>
        </is>
      </c>
      <c r="B2409" s="1" t="n">
        <v>44077</v>
      </c>
      <c r="C2409" s="1" t="n">
        <v>45798</v>
      </c>
      <c r="D2409" t="inlineStr">
        <is>
          <t>NORRBOTTENS LÄN</t>
        </is>
      </c>
      <c r="E2409" t="inlineStr">
        <is>
          <t>BODEN</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42618-2020</t>
        </is>
      </c>
      <c r="B2410" s="1" t="n">
        <v>44077</v>
      </c>
      <c r="C2410" s="1" t="n">
        <v>45798</v>
      </c>
      <c r="D2410" t="inlineStr">
        <is>
          <t>NORRBOTTENS LÄN</t>
        </is>
      </c>
      <c r="E2410" t="inlineStr">
        <is>
          <t>BODEN</t>
        </is>
      </c>
      <c r="F2410" t="inlineStr">
        <is>
          <t>Sveaskog</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43562-2020</t>
        </is>
      </c>
      <c r="B2411" s="1" t="n">
        <v>44077</v>
      </c>
      <c r="C2411" s="1" t="n">
        <v>45798</v>
      </c>
      <c r="D2411" t="inlineStr">
        <is>
          <t>NORRBOTTENS LÄN</t>
        </is>
      </c>
      <c r="E2411" t="inlineStr">
        <is>
          <t>ÖVERTORNEÅ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43556-2020</t>
        </is>
      </c>
      <c r="B2412" s="1" t="n">
        <v>44077</v>
      </c>
      <c r="C2412" s="1" t="n">
        <v>45798</v>
      </c>
      <c r="D2412" t="inlineStr">
        <is>
          <t>NORRBOTTENS LÄN</t>
        </is>
      </c>
      <c r="E2412" t="inlineStr">
        <is>
          <t>LULEÅ</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42781-2020</t>
        </is>
      </c>
      <c r="B2413" s="1" t="n">
        <v>44078</v>
      </c>
      <c r="C2413" s="1" t="n">
        <v>45798</v>
      </c>
      <c r="D2413" t="inlineStr">
        <is>
          <t>NORRBOTTENS LÄN</t>
        </is>
      </c>
      <c r="E2413" t="inlineStr">
        <is>
          <t>HAPARANDA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42911-2020</t>
        </is>
      </c>
      <c r="B2414" s="1" t="n">
        <v>44078</v>
      </c>
      <c r="C2414" s="1" t="n">
        <v>45798</v>
      </c>
      <c r="D2414" t="inlineStr">
        <is>
          <t>NORRBOTTENS LÄN</t>
        </is>
      </c>
      <c r="E2414" t="inlineStr">
        <is>
          <t>PITEÅ</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42939-2020</t>
        </is>
      </c>
      <c r="B2415" s="1" t="n">
        <v>44078</v>
      </c>
      <c r="C2415" s="1" t="n">
        <v>45798</v>
      </c>
      <c r="D2415" t="inlineStr">
        <is>
          <t>NORRBOTTENS LÄN</t>
        </is>
      </c>
      <c r="E2415" t="inlineStr">
        <is>
          <t>LULEÅ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43121-2020</t>
        </is>
      </c>
      <c r="B2416" s="1" t="n">
        <v>44079</v>
      </c>
      <c r="C2416" s="1" t="n">
        <v>45798</v>
      </c>
      <c r="D2416" t="inlineStr">
        <is>
          <t>NORRBOTTENS LÄN</t>
        </is>
      </c>
      <c r="E2416" t="inlineStr">
        <is>
          <t>PAJALA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43125-2020</t>
        </is>
      </c>
      <c r="B2417" s="1" t="n">
        <v>44079</v>
      </c>
      <c r="C2417" s="1" t="n">
        <v>45798</v>
      </c>
      <c r="D2417" t="inlineStr">
        <is>
          <t>NORRBOTTENS LÄN</t>
        </is>
      </c>
      <c r="E2417" t="inlineStr">
        <is>
          <t>PAJALA</t>
        </is>
      </c>
      <c r="G2417" t="n">
        <v>7.5</v>
      </c>
      <c r="H2417" t="n">
        <v>0</v>
      </c>
      <c r="I2417" t="n">
        <v>0</v>
      </c>
      <c r="J2417" t="n">
        <v>0</v>
      </c>
      <c r="K2417" t="n">
        <v>0</v>
      </c>
      <c r="L2417" t="n">
        <v>0</v>
      </c>
      <c r="M2417" t="n">
        <v>0</v>
      </c>
      <c r="N2417" t="n">
        <v>0</v>
      </c>
      <c r="O2417" t="n">
        <v>0</v>
      </c>
      <c r="P2417" t="n">
        <v>0</v>
      </c>
      <c r="Q2417" t="n">
        <v>0</v>
      </c>
      <c r="R2417" s="2" t="inlineStr"/>
    </row>
    <row r="2418" ht="15" customHeight="1">
      <c r="A2418" t="inlineStr">
        <is>
          <t>A 43123-2020</t>
        </is>
      </c>
      <c r="B2418" s="1" t="n">
        <v>44079</v>
      </c>
      <c r="C2418" s="1" t="n">
        <v>45798</v>
      </c>
      <c r="D2418" t="inlineStr">
        <is>
          <t>NORRBOTTENS LÄN</t>
        </is>
      </c>
      <c r="E2418" t="inlineStr">
        <is>
          <t>PAJALA</t>
        </is>
      </c>
      <c r="G2418" t="n">
        <v>14.3</v>
      </c>
      <c r="H2418" t="n">
        <v>0</v>
      </c>
      <c r="I2418" t="n">
        <v>0</v>
      </c>
      <c r="J2418" t="n">
        <v>0</v>
      </c>
      <c r="K2418" t="n">
        <v>0</v>
      </c>
      <c r="L2418" t="n">
        <v>0</v>
      </c>
      <c r="M2418" t="n">
        <v>0</v>
      </c>
      <c r="N2418" t="n">
        <v>0</v>
      </c>
      <c r="O2418" t="n">
        <v>0</v>
      </c>
      <c r="P2418" t="n">
        <v>0</v>
      </c>
      <c r="Q2418" t="n">
        <v>0</v>
      </c>
      <c r="R2418" s="2" t="inlineStr"/>
    </row>
    <row r="2419" ht="15" customHeight="1">
      <c r="A2419" t="inlineStr">
        <is>
          <t>A 43120-2020</t>
        </is>
      </c>
      <c r="B2419" s="1" t="n">
        <v>44079</v>
      </c>
      <c r="C2419" s="1" t="n">
        <v>45798</v>
      </c>
      <c r="D2419" t="inlineStr">
        <is>
          <t>NORRBOTTENS LÄN</t>
        </is>
      </c>
      <c r="E2419" t="inlineStr">
        <is>
          <t>PAJALA</t>
        </is>
      </c>
      <c r="G2419" t="n">
        <v>14.5</v>
      </c>
      <c r="H2419" t="n">
        <v>0</v>
      </c>
      <c r="I2419" t="n">
        <v>0</v>
      </c>
      <c r="J2419" t="n">
        <v>0</v>
      </c>
      <c r="K2419" t="n">
        <v>0</v>
      </c>
      <c r="L2419" t="n">
        <v>0</v>
      </c>
      <c r="M2419" t="n">
        <v>0</v>
      </c>
      <c r="N2419" t="n">
        <v>0</v>
      </c>
      <c r="O2419" t="n">
        <v>0</v>
      </c>
      <c r="P2419" t="n">
        <v>0</v>
      </c>
      <c r="Q2419" t="n">
        <v>0</v>
      </c>
      <c r="R2419" s="2" t="inlineStr"/>
    </row>
    <row r="2420" ht="15" customHeight="1">
      <c r="A2420" t="inlineStr">
        <is>
          <t>A 43124-2020</t>
        </is>
      </c>
      <c r="B2420" s="1" t="n">
        <v>44079</v>
      </c>
      <c r="C2420" s="1" t="n">
        <v>45798</v>
      </c>
      <c r="D2420" t="inlineStr">
        <is>
          <t>NORRBOTTENS LÄN</t>
        </is>
      </c>
      <c r="E2420" t="inlineStr">
        <is>
          <t>PAJALA</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43122-2020</t>
        </is>
      </c>
      <c r="B2421" s="1" t="n">
        <v>44079</v>
      </c>
      <c r="C2421" s="1" t="n">
        <v>45798</v>
      </c>
      <c r="D2421" t="inlineStr">
        <is>
          <t>NORRBOTTENS LÄN</t>
        </is>
      </c>
      <c r="E2421" t="inlineStr">
        <is>
          <t>PAJALA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43437-2020</t>
        </is>
      </c>
      <c r="B2422" s="1" t="n">
        <v>44081</v>
      </c>
      <c r="C2422" s="1" t="n">
        <v>45798</v>
      </c>
      <c r="D2422" t="inlineStr">
        <is>
          <t>NORRBOTTENS LÄN</t>
        </is>
      </c>
      <c r="E2422" t="inlineStr">
        <is>
          <t>PAJALA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43453-2020</t>
        </is>
      </c>
      <c r="B2423" s="1" t="n">
        <v>44082</v>
      </c>
      <c r="C2423" s="1" t="n">
        <v>45798</v>
      </c>
      <c r="D2423" t="inlineStr">
        <is>
          <t>NORRBOTTENS LÄN</t>
        </is>
      </c>
      <c r="E2423" t="inlineStr">
        <is>
          <t>ÖVERKALIX</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43909-2020</t>
        </is>
      </c>
      <c r="B2424" s="1" t="n">
        <v>44081</v>
      </c>
      <c r="C2424" s="1" t="n">
        <v>45798</v>
      </c>
      <c r="D2424" t="inlineStr">
        <is>
          <t>NORRBOTTENS LÄN</t>
        </is>
      </c>
      <c r="E2424" t="inlineStr">
        <is>
          <t>GÄLLIVARE</t>
        </is>
      </c>
      <c r="G2424" t="n">
        <v>14.2</v>
      </c>
      <c r="H2424" t="n">
        <v>0</v>
      </c>
      <c r="I2424" t="n">
        <v>0</v>
      </c>
      <c r="J2424" t="n">
        <v>0</v>
      </c>
      <c r="K2424" t="n">
        <v>0</v>
      </c>
      <c r="L2424" t="n">
        <v>0</v>
      </c>
      <c r="M2424" t="n">
        <v>0</v>
      </c>
      <c r="N2424" t="n">
        <v>0</v>
      </c>
      <c r="O2424" t="n">
        <v>0</v>
      </c>
      <c r="P2424" t="n">
        <v>0</v>
      </c>
      <c r="Q2424" t="n">
        <v>0</v>
      </c>
      <c r="R2424" s="2" t="inlineStr"/>
    </row>
    <row r="2425" ht="15" customHeight="1">
      <c r="A2425" t="inlineStr">
        <is>
          <t>A 43910-2020</t>
        </is>
      </c>
      <c r="B2425" s="1" t="n">
        <v>44081</v>
      </c>
      <c r="C2425" s="1" t="n">
        <v>45798</v>
      </c>
      <c r="D2425" t="inlineStr">
        <is>
          <t>NORRBOTTENS LÄN</t>
        </is>
      </c>
      <c r="E2425" t="inlineStr">
        <is>
          <t>GÄLLIVARE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44087-2020</t>
        </is>
      </c>
      <c r="B2426" s="1" t="n">
        <v>44081</v>
      </c>
      <c r="C2426" s="1" t="n">
        <v>45798</v>
      </c>
      <c r="D2426" t="inlineStr">
        <is>
          <t>NORRBOTTENS LÄN</t>
        </is>
      </c>
      <c r="E2426" t="inlineStr">
        <is>
          <t>ARVIDSJAUR</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43771-2020</t>
        </is>
      </c>
      <c r="B2427" s="1" t="n">
        <v>44082</v>
      </c>
      <c r="C2427" s="1" t="n">
        <v>45798</v>
      </c>
      <c r="D2427" t="inlineStr">
        <is>
          <t>NORRBOTTENS LÄN</t>
        </is>
      </c>
      <c r="E2427" t="inlineStr">
        <is>
          <t>PAJALA</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43475-2020</t>
        </is>
      </c>
      <c r="B2428" s="1" t="n">
        <v>44082</v>
      </c>
      <c r="C2428" s="1" t="n">
        <v>45798</v>
      </c>
      <c r="D2428" t="inlineStr">
        <is>
          <t>NORRBOTTENS LÄN</t>
        </is>
      </c>
      <c r="E2428" t="inlineStr">
        <is>
          <t>ARVIDSJAUR</t>
        </is>
      </c>
      <c r="F2428" t="inlineStr">
        <is>
          <t>Sveaskog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43661-2020</t>
        </is>
      </c>
      <c r="B2429" s="1" t="n">
        <v>44082</v>
      </c>
      <c r="C2429" s="1" t="n">
        <v>45798</v>
      </c>
      <c r="D2429" t="inlineStr">
        <is>
          <t>NORRBOTTENS LÄN</t>
        </is>
      </c>
      <c r="E2429" t="inlineStr">
        <is>
          <t>ÖVERKALIX</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43753-2020</t>
        </is>
      </c>
      <c r="B2430" s="1" t="n">
        <v>44082</v>
      </c>
      <c r="C2430" s="1" t="n">
        <v>45798</v>
      </c>
      <c r="D2430" t="inlineStr">
        <is>
          <t>NORRBOTTENS LÄN</t>
        </is>
      </c>
      <c r="E2430" t="inlineStr">
        <is>
          <t>ARVIDSJAUR</t>
        </is>
      </c>
      <c r="F2430" t="inlineStr">
        <is>
          <t>Sveaskog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43836-2020</t>
        </is>
      </c>
      <c r="B2431" s="1" t="n">
        <v>44082</v>
      </c>
      <c r="C2431" s="1" t="n">
        <v>45798</v>
      </c>
      <c r="D2431" t="inlineStr">
        <is>
          <t>NORRBOTTENS LÄN</t>
        </is>
      </c>
      <c r="E2431" t="inlineStr">
        <is>
          <t>ÖVERKALIX</t>
        </is>
      </c>
      <c r="F2431" t="inlineStr">
        <is>
          <t>SCA</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45041-2020</t>
        </is>
      </c>
      <c r="B2432" s="1" t="n">
        <v>44083</v>
      </c>
      <c r="C2432" s="1" t="n">
        <v>45798</v>
      </c>
      <c r="D2432" t="inlineStr">
        <is>
          <t>NORRBOTTENS LÄN</t>
        </is>
      </c>
      <c r="E2432" t="inlineStr">
        <is>
          <t>PITEÅ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45002-2020</t>
        </is>
      </c>
      <c r="B2433" s="1" t="n">
        <v>44083</v>
      </c>
      <c r="C2433" s="1" t="n">
        <v>45798</v>
      </c>
      <c r="D2433" t="inlineStr">
        <is>
          <t>NORRBOTTENS LÄN</t>
        </is>
      </c>
      <c r="E2433" t="inlineStr">
        <is>
          <t>PAJALA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45017-2020</t>
        </is>
      </c>
      <c r="B2434" s="1" t="n">
        <v>44083</v>
      </c>
      <c r="C2434" s="1" t="n">
        <v>45798</v>
      </c>
      <c r="D2434" t="inlineStr">
        <is>
          <t>NORRBOTTENS LÄN</t>
        </is>
      </c>
      <c r="E2434" t="inlineStr">
        <is>
          <t>PITEÅ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44294-2020</t>
        </is>
      </c>
      <c r="B2435" s="1" t="n">
        <v>44084</v>
      </c>
      <c r="C2435" s="1" t="n">
        <v>45798</v>
      </c>
      <c r="D2435" t="inlineStr">
        <is>
          <t>NORRBOTTENS LÄN</t>
        </is>
      </c>
      <c r="E2435" t="inlineStr">
        <is>
          <t>KALIX</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44523-2020</t>
        </is>
      </c>
      <c r="B2436" s="1" t="n">
        <v>44085</v>
      </c>
      <c r="C2436" s="1" t="n">
        <v>45798</v>
      </c>
      <c r="D2436" t="inlineStr">
        <is>
          <t>NORRBOTTENS LÄN</t>
        </is>
      </c>
      <c r="E2436" t="inlineStr">
        <is>
          <t>ÄLVSBYN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44685-2020</t>
        </is>
      </c>
      <c r="B2437" s="1" t="n">
        <v>44085</v>
      </c>
      <c r="C2437" s="1" t="n">
        <v>45798</v>
      </c>
      <c r="D2437" t="inlineStr">
        <is>
          <t>NORRBOTTENS LÄN</t>
        </is>
      </c>
      <c r="E2437" t="inlineStr">
        <is>
          <t>ÄLVSBYN</t>
        </is>
      </c>
      <c r="F2437" t="inlineStr">
        <is>
          <t>Sveaskog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44682-2020</t>
        </is>
      </c>
      <c r="B2438" s="1" t="n">
        <v>44085</v>
      </c>
      <c r="C2438" s="1" t="n">
        <v>45798</v>
      </c>
      <c r="D2438" t="inlineStr">
        <is>
          <t>NORRBOTTENS LÄN</t>
        </is>
      </c>
      <c r="E2438" t="inlineStr">
        <is>
          <t>ÄLVSBYN</t>
        </is>
      </c>
      <c r="F2438" t="inlineStr">
        <is>
          <t>Sveaskog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44716-2020</t>
        </is>
      </c>
      <c r="B2439" s="1" t="n">
        <v>44085</v>
      </c>
      <c r="C2439" s="1" t="n">
        <v>45798</v>
      </c>
      <c r="D2439" t="inlineStr">
        <is>
          <t>NORRBOTTENS LÄN</t>
        </is>
      </c>
      <c r="E2439" t="inlineStr">
        <is>
          <t>ÄLVSBYN</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45353-2020</t>
        </is>
      </c>
      <c r="B2440" s="1" t="n">
        <v>44085</v>
      </c>
      <c r="C2440" s="1" t="n">
        <v>45798</v>
      </c>
      <c r="D2440" t="inlineStr">
        <is>
          <t>NORRBOTTENS LÄN</t>
        </is>
      </c>
      <c r="E2440" t="inlineStr">
        <is>
          <t>KALIX</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44756-2020</t>
        </is>
      </c>
      <c r="B2441" s="1" t="n">
        <v>44085</v>
      </c>
      <c r="C2441" s="1" t="n">
        <v>45798</v>
      </c>
      <c r="D2441" t="inlineStr">
        <is>
          <t>NORRBOTTENS LÄN</t>
        </is>
      </c>
      <c r="E2441" t="inlineStr">
        <is>
          <t>ÄLVSBYN</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44758-2020</t>
        </is>
      </c>
      <c r="B2442" s="1" t="n">
        <v>44085</v>
      </c>
      <c r="C2442" s="1" t="n">
        <v>45798</v>
      </c>
      <c r="D2442" t="inlineStr">
        <is>
          <t>NORRBOTTENS LÄN</t>
        </is>
      </c>
      <c r="E2442" t="inlineStr">
        <is>
          <t>ÄLVSBYN</t>
        </is>
      </c>
      <c r="F2442" t="inlineStr">
        <is>
          <t>Sveaskog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45361-2020</t>
        </is>
      </c>
      <c r="B2443" s="1" t="n">
        <v>44085</v>
      </c>
      <c r="C2443" s="1" t="n">
        <v>45798</v>
      </c>
      <c r="D2443" t="inlineStr">
        <is>
          <t>NORRBOTTENS LÄN</t>
        </is>
      </c>
      <c r="E2443" t="inlineStr">
        <is>
          <t>ÖVERKALIX</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44862-2020</t>
        </is>
      </c>
      <c r="B2444" s="1" t="n">
        <v>44087</v>
      </c>
      <c r="C2444" s="1" t="n">
        <v>45798</v>
      </c>
      <c r="D2444" t="inlineStr">
        <is>
          <t>NORRBOTTENS LÄN</t>
        </is>
      </c>
      <c r="E2444" t="inlineStr">
        <is>
          <t>PITEÅ</t>
        </is>
      </c>
      <c r="G2444" t="n">
        <v>19.4</v>
      </c>
      <c r="H2444" t="n">
        <v>0</v>
      </c>
      <c r="I2444" t="n">
        <v>0</v>
      </c>
      <c r="J2444" t="n">
        <v>0</v>
      </c>
      <c r="K2444" t="n">
        <v>0</v>
      </c>
      <c r="L2444" t="n">
        <v>0</v>
      </c>
      <c r="M2444" t="n">
        <v>0</v>
      </c>
      <c r="N2444" t="n">
        <v>0</v>
      </c>
      <c r="O2444" t="n">
        <v>0</v>
      </c>
      <c r="P2444" t="n">
        <v>0</v>
      </c>
      <c r="Q2444" t="n">
        <v>0</v>
      </c>
      <c r="R2444" s="2" t="inlineStr"/>
    </row>
    <row r="2445" ht="15" customHeight="1">
      <c r="A2445" t="inlineStr">
        <is>
          <t>A 44942-2020</t>
        </is>
      </c>
      <c r="B2445" s="1" t="n">
        <v>44088</v>
      </c>
      <c r="C2445" s="1" t="n">
        <v>45798</v>
      </c>
      <c r="D2445" t="inlineStr">
        <is>
          <t>NORRBOTTENS LÄN</t>
        </is>
      </c>
      <c r="E2445" t="inlineStr">
        <is>
          <t>PAJALA</t>
        </is>
      </c>
      <c r="G2445" t="n">
        <v>21.5</v>
      </c>
      <c r="H2445" t="n">
        <v>0</v>
      </c>
      <c r="I2445" t="n">
        <v>0</v>
      </c>
      <c r="J2445" t="n">
        <v>0</v>
      </c>
      <c r="K2445" t="n">
        <v>0</v>
      </c>
      <c r="L2445" t="n">
        <v>0</v>
      </c>
      <c r="M2445" t="n">
        <v>0</v>
      </c>
      <c r="N2445" t="n">
        <v>0</v>
      </c>
      <c r="O2445" t="n">
        <v>0</v>
      </c>
      <c r="P2445" t="n">
        <v>0</v>
      </c>
      <c r="Q2445" t="n">
        <v>0</v>
      </c>
      <c r="R2445" s="2" t="inlineStr"/>
    </row>
    <row r="2446" ht="15" customHeight="1">
      <c r="A2446" t="inlineStr">
        <is>
          <t>A 45245-2020</t>
        </is>
      </c>
      <c r="B2446" s="1" t="n">
        <v>44088</v>
      </c>
      <c r="C2446" s="1" t="n">
        <v>45798</v>
      </c>
      <c r="D2446" t="inlineStr">
        <is>
          <t>NORRBOTTENS LÄN</t>
        </is>
      </c>
      <c r="E2446" t="inlineStr">
        <is>
          <t>PITEÅ</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45945-2020</t>
        </is>
      </c>
      <c r="B2447" s="1" t="n">
        <v>44088</v>
      </c>
      <c r="C2447" s="1" t="n">
        <v>45798</v>
      </c>
      <c r="D2447" t="inlineStr">
        <is>
          <t>NORRBOTTENS LÄN</t>
        </is>
      </c>
      <c r="E2447" t="inlineStr">
        <is>
          <t>PITEÅ</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45246-2020</t>
        </is>
      </c>
      <c r="B2448" s="1" t="n">
        <v>44088</v>
      </c>
      <c r="C2448" s="1" t="n">
        <v>45798</v>
      </c>
      <c r="D2448" t="inlineStr">
        <is>
          <t>NORRBOTTENS LÄN</t>
        </is>
      </c>
      <c r="E2448" t="inlineStr">
        <is>
          <t>PITEÅ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46097-2020</t>
        </is>
      </c>
      <c r="B2449" s="1" t="n">
        <v>44088</v>
      </c>
      <c r="C2449" s="1" t="n">
        <v>45798</v>
      </c>
      <c r="D2449" t="inlineStr">
        <is>
          <t>NORRBOTTENS LÄN</t>
        </is>
      </c>
      <c r="E2449" t="inlineStr">
        <is>
          <t>JOKKMOKK</t>
        </is>
      </c>
      <c r="F2449" t="inlineStr">
        <is>
          <t>Övriga Aktiebolag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45916-2020</t>
        </is>
      </c>
      <c r="B2450" s="1" t="n">
        <v>44088</v>
      </c>
      <c r="C2450" s="1" t="n">
        <v>45798</v>
      </c>
      <c r="D2450" t="inlineStr">
        <is>
          <t>NORRBOTTENS LÄN</t>
        </is>
      </c>
      <c r="E2450" t="inlineStr">
        <is>
          <t>KALIX</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46904-2020</t>
        </is>
      </c>
      <c r="B2451" s="1" t="n">
        <v>44089</v>
      </c>
      <c r="C2451" s="1" t="n">
        <v>45798</v>
      </c>
      <c r="D2451" t="inlineStr">
        <is>
          <t>NORRBOTTENS LÄN</t>
        </is>
      </c>
      <c r="E2451" t="inlineStr">
        <is>
          <t>ARVIDSJAUR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45627-2020</t>
        </is>
      </c>
      <c r="B2452" s="1" t="n">
        <v>44090</v>
      </c>
      <c r="C2452" s="1" t="n">
        <v>45798</v>
      </c>
      <c r="D2452" t="inlineStr">
        <is>
          <t>NORRBOTTENS LÄN</t>
        </is>
      </c>
      <c r="E2452" t="inlineStr">
        <is>
          <t>ÄLVSBYN</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45673-2020</t>
        </is>
      </c>
      <c r="B2453" s="1" t="n">
        <v>44090</v>
      </c>
      <c r="C2453" s="1" t="n">
        <v>45798</v>
      </c>
      <c r="D2453" t="inlineStr">
        <is>
          <t>NORRBOTTENS LÄN</t>
        </is>
      </c>
      <c r="E2453" t="inlineStr">
        <is>
          <t>ÖVERTORNEÅ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45716-2020</t>
        </is>
      </c>
      <c r="B2454" s="1" t="n">
        <v>44090</v>
      </c>
      <c r="C2454" s="1" t="n">
        <v>45798</v>
      </c>
      <c r="D2454" t="inlineStr">
        <is>
          <t>NORRBOTTENS LÄN</t>
        </is>
      </c>
      <c r="E2454" t="inlineStr">
        <is>
          <t>ÖVERTORNEÅ</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45676-2020</t>
        </is>
      </c>
      <c r="B2455" s="1" t="n">
        <v>44090</v>
      </c>
      <c r="C2455" s="1" t="n">
        <v>45798</v>
      </c>
      <c r="D2455" t="inlineStr">
        <is>
          <t>NORRBOTTENS LÄN</t>
        </is>
      </c>
      <c r="E2455" t="inlineStr">
        <is>
          <t>BODEN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46779-2020</t>
        </is>
      </c>
      <c r="B2456" s="1" t="n">
        <v>44090</v>
      </c>
      <c r="C2456" s="1" t="n">
        <v>45798</v>
      </c>
      <c r="D2456" t="inlineStr">
        <is>
          <t>NORRBOTTENS LÄN</t>
        </is>
      </c>
      <c r="E2456" t="inlineStr">
        <is>
          <t>JOKKMOKK</t>
        </is>
      </c>
      <c r="F2456" t="inlineStr">
        <is>
          <t>Allmännings- och besparingsskogar</t>
        </is>
      </c>
      <c r="G2456" t="n">
        <v>21.7</v>
      </c>
      <c r="H2456" t="n">
        <v>0</v>
      </c>
      <c r="I2456" t="n">
        <v>0</v>
      </c>
      <c r="J2456" t="n">
        <v>0</v>
      </c>
      <c r="K2456" t="n">
        <v>0</v>
      </c>
      <c r="L2456" t="n">
        <v>0</v>
      </c>
      <c r="M2456" t="n">
        <v>0</v>
      </c>
      <c r="N2456" t="n">
        <v>0</v>
      </c>
      <c r="O2456" t="n">
        <v>0</v>
      </c>
      <c r="P2456" t="n">
        <v>0</v>
      </c>
      <c r="Q2456" t="n">
        <v>0</v>
      </c>
      <c r="R2456" s="2" t="inlineStr"/>
    </row>
    <row r="2457" ht="15" customHeight="1">
      <c r="A2457" t="inlineStr">
        <is>
          <t>A 46133-2020</t>
        </is>
      </c>
      <c r="B2457" s="1" t="n">
        <v>44091</v>
      </c>
      <c r="C2457" s="1" t="n">
        <v>45798</v>
      </c>
      <c r="D2457" t="inlineStr">
        <is>
          <t>NORRBOTTENS LÄN</t>
        </is>
      </c>
      <c r="E2457" t="inlineStr">
        <is>
          <t>GÄLLIVARE</t>
        </is>
      </c>
      <c r="F2457" t="inlineStr">
        <is>
          <t>SCA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45860-2020</t>
        </is>
      </c>
      <c r="B2458" s="1" t="n">
        <v>44091</v>
      </c>
      <c r="C2458" s="1" t="n">
        <v>45798</v>
      </c>
      <c r="D2458" t="inlineStr">
        <is>
          <t>NORRBOTTENS LÄN</t>
        </is>
      </c>
      <c r="E2458" t="inlineStr">
        <is>
          <t>PAJALA</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46131-2020</t>
        </is>
      </c>
      <c r="B2459" s="1" t="n">
        <v>44091</v>
      </c>
      <c r="C2459" s="1" t="n">
        <v>45798</v>
      </c>
      <c r="D2459" t="inlineStr">
        <is>
          <t>NORRBOTTENS LÄN</t>
        </is>
      </c>
      <c r="E2459" t="inlineStr">
        <is>
          <t>GÄLLIVARE</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46299-2020</t>
        </is>
      </c>
      <c r="B2460" s="1" t="n">
        <v>44092</v>
      </c>
      <c r="C2460" s="1" t="n">
        <v>45798</v>
      </c>
      <c r="D2460" t="inlineStr">
        <is>
          <t>NORRBOTTENS LÄN</t>
        </is>
      </c>
      <c r="E2460" t="inlineStr">
        <is>
          <t>ÄLVSBYN</t>
        </is>
      </c>
      <c r="F2460" t="inlineStr">
        <is>
          <t>Sveaskog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46292-2020</t>
        </is>
      </c>
      <c r="B2461" s="1" t="n">
        <v>44092</v>
      </c>
      <c r="C2461" s="1" t="n">
        <v>45798</v>
      </c>
      <c r="D2461" t="inlineStr">
        <is>
          <t>NORRBOTTENS LÄN</t>
        </is>
      </c>
      <c r="E2461" t="inlineStr">
        <is>
          <t>BODEN</t>
        </is>
      </c>
      <c r="F2461" t="inlineStr">
        <is>
          <t>Sveaskog</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46333-2020</t>
        </is>
      </c>
      <c r="B2462" s="1" t="n">
        <v>44092</v>
      </c>
      <c r="C2462" s="1" t="n">
        <v>45798</v>
      </c>
      <c r="D2462" t="inlineStr">
        <is>
          <t>NORRBOTTENS LÄN</t>
        </is>
      </c>
      <c r="E2462" t="inlineStr">
        <is>
          <t>ARVIDSJAUR</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46368-2020</t>
        </is>
      </c>
      <c r="B2463" s="1" t="n">
        <v>44092</v>
      </c>
      <c r="C2463" s="1" t="n">
        <v>45798</v>
      </c>
      <c r="D2463" t="inlineStr">
        <is>
          <t>NORRBOTTENS LÄN</t>
        </is>
      </c>
      <c r="E2463" t="inlineStr">
        <is>
          <t>GÄLLIVARE</t>
        </is>
      </c>
      <c r="F2463" t="inlineStr">
        <is>
          <t>SCA</t>
        </is>
      </c>
      <c r="G2463" t="n">
        <v>45.9</v>
      </c>
      <c r="H2463" t="n">
        <v>0</v>
      </c>
      <c r="I2463" t="n">
        <v>0</v>
      </c>
      <c r="J2463" t="n">
        <v>0</v>
      </c>
      <c r="K2463" t="n">
        <v>0</v>
      </c>
      <c r="L2463" t="n">
        <v>0</v>
      </c>
      <c r="M2463" t="n">
        <v>0</v>
      </c>
      <c r="N2463" t="n">
        <v>0</v>
      </c>
      <c r="O2463" t="n">
        <v>0</v>
      </c>
      <c r="P2463" t="n">
        <v>0</v>
      </c>
      <c r="Q2463" t="n">
        <v>0</v>
      </c>
      <c r="R2463" s="2" t="inlineStr"/>
    </row>
    <row r="2464" ht="15" customHeight="1">
      <c r="A2464" t="inlineStr">
        <is>
          <t>A 46375-2020</t>
        </is>
      </c>
      <c r="B2464" s="1" t="n">
        <v>44092</v>
      </c>
      <c r="C2464" s="1" t="n">
        <v>45798</v>
      </c>
      <c r="D2464" t="inlineStr">
        <is>
          <t>NORRBOTTENS LÄN</t>
        </is>
      </c>
      <c r="E2464" t="inlineStr">
        <is>
          <t>JOKKMOKK</t>
        </is>
      </c>
      <c r="F2464" t="inlineStr">
        <is>
          <t>SCA</t>
        </is>
      </c>
      <c r="G2464" t="n">
        <v>25.4</v>
      </c>
      <c r="H2464" t="n">
        <v>0</v>
      </c>
      <c r="I2464" t="n">
        <v>0</v>
      </c>
      <c r="J2464" t="n">
        <v>0</v>
      </c>
      <c r="K2464" t="n">
        <v>0</v>
      </c>
      <c r="L2464" t="n">
        <v>0</v>
      </c>
      <c r="M2464" t="n">
        <v>0</v>
      </c>
      <c r="N2464" t="n">
        <v>0</v>
      </c>
      <c r="O2464" t="n">
        <v>0</v>
      </c>
      <c r="P2464" t="n">
        <v>0</v>
      </c>
      <c r="Q2464" t="n">
        <v>0</v>
      </c>
      <c r="R2464" s="2" t="inlineStr"/>
    </row>
    <row r="2465" ht="15" customHeight="1">
      <c r="A2465" t="inlineStr">
        <is>
          <t>A 46330-2020</t>
        </is>
      </c>
      <c r="B2465" s="1" t="n">
        <v>44092</v>
      </c>
      <c r="C2465" s="1" t="n">
        <v>45798</v>
      </c>
      <c r="D2465" t="inlineStr">
        <is>
          <t>NORRBOTTENS LÄN</t>
        </is>
      </c>
      <c r="E2465" t="inlineStr">
        <is>
          <t>ARVIDSJAUR</t>
        </is>
      </c>
      <c r="F2465" t="inlineStr">
        <is>
          <t>Sveaskog</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46343-2020</t>
        </is>
      </c>
      <c r="B2466" s="1" t="n">
        <v>44092</v>
      </c>
      <c r="C2466" s="1" t="n">
        <v>45798</v>
      </c>
      <c r="D2466" t="inlineStr">
        <is>
          <t>NORRBOTTENS LÄN</t>
        </is>
      </c>
      <c r="E2466" t="inlineStr">
        <is>
          <t>KIRUNA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46372-2020</t>
        </is>
      </c>
      <c r="B2467" s="1" t="n">
        <v>44092</v>
      </c>
      <c r="C2467" s="1" t="n">
        <v>45798</v>
      </c>
      <c r="D2467" t="inlineStr">
        <is>
          <t>NORRBOTTENS LÄN</t>
        </is>
      </c>
      <c r="E2467" t="inlineStr">
        <is>
          <t>ÖVERKALIX</t>
        </is>
      </c>
      <c r="F2467" t="inlineStr">
        <is>
          <t>SCA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47189-2020</t>
        </is>
      </c>
      <c r="B2468" s="1" t="n">
        <v>44092</v>
      </c>
      <c r="C2468" s="1" t="n">
        <v>45798</v>
      </c>
      <c r="D2468" t="inlineStr">
        <is>
          <t>NORRBOTTENS LÄN</t>
        </is>
      </c>
      <c r="E2468" t="inlineStr">
        <is>
          <t>ARVIDSJAUR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47356-2020</t>
        </is>
      </c>
      <c r="B2469" s="1" t="n">
        <v>44092</v>
      </c>
      <c r="C2469" s="1" t="n">
        <v>45798</v>
      </c>
      <c r="D2469" t="inlineStr">
        <is>
          <t>NORRBOTTENS LÄN</t>
        </is>
      </c>
      <c r="E2469" t="inlineStr">
        <is>
          <t>PITEÅ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47343-2020</t>
        </is>
      </c>
      <c r="B2470" s="1" t="n">
        <v>44092</v>
      </c>
      <c r="C2470" s="1" t="n">
        <v>45798</v>
      </c>
      <c r="D2470" t="inlineStr">
        <is>
          <t>NORRBOTTENS LÄN</t>
        </is>
      </c>
      <c r="E2470" t="inlineStr">
        <is>
          <t>PITEÅ</t>
        </is>
      </c>
      <c r="G2470" t="n">
        <v>16.5</v>
      </c>
      <c r="H2470" t="n">
        <v>0</v>
      </c>
      <c r="I2470" t="n">
        <v>0</v>
      </c>
      <c r="J2470" t="n">
        <v>0</v>
      </c>
      <c r="K2470" t="n">
        <v>0</v>
      </c>
      <c r="L2470" t="n">
        <v>0</v>
      </c>
      <c r="M2470" t="n">
        <v>0</v>
      </c>
      <c r="N2470" t="n">
        <v>0</v>
      </c>
      <c r="O2470" t="n">
        <v>0</v>
      </c>
      <c r="P2470" t="n">
        <v>0</v>
      </c>
      <c r="Q2470" t="n">
        <v>0</v>
      </c>
      <c r="R2470" s="2" t="inlineStr"/>
    </row>
    <row r="2471" ht="15" customHeight="1">
      <c r="A2471" t="inlineStr">
        <is>
          <t>A 47365-2020</t>
        </is>
      </c>
      <c r="B2471" s="1" t="n">
        <v>44092</v>
      </c>
      <c r="C2471" s="1" t="n">
        <v>45798</v>
      </c>
      <c r="D2471" t="inlineStr">
        <is>
          <t>NORRBOTTENS LÄN</t>
        </is>
      </c>
      <c r="E2471" t="inlineStr">
        <is>
          <t>PITEÅ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46395-2020</t>
        </is>
      </c>
      <c r="B2472" s="1" t="n">
        <v>44094</v>
      </c>
      <c r="C2472" s="1" t="n">
        <v>45798</v>
      </c>
      <c r="D2472" t="inlineStr">
        <is>
          <t>NORRBOTTENS LÄN</t>
        </is>
      </c>
      <c r="E2472" t="inlineStr">
        <is>
          <t>LULEÅ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47397-2020</t>
        </is>
      </c>
      <c r="B2473" s="1" t="n">
        <v>44095</v>
      </c>
      <c r="C2473" s="1" t="n">
        <v>45798</v>
      </c>
      <c r="D2473" t="inlineStr">
        <is>
          <t>NORRBOTTENS LÄN</t>
        </is>
      </c>
      <c r="E2473" t="inlineStr">
        <is>
          <t>JOKKMOKK</t>
        </is>
      </c>
      <c r="F2473" t="inlineStr">
        <is>
          <t>Allmännings- och besparingsskogar</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47591-2020</t>
        </is>
      </c>
      <c r="B2474" s="1" t="n">
        <v>44095</v>
      </c>
      <c r="C2474" s="1" t="n">
        <v>45798</v>
      </c>
      <c r="D2474" t="inlineStr">
        <is>
          <t>NORRBOTTENS LÄN</t>
        </is>
      </c>
      <c r="E2474" t="inlineStr">
        <is>
          <t>PITEÅ</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47311-2020</t>
        </is>
      </c>
      <c r="B2475" s="1" t="n">
        <v>44095</v>
      </c>
      <c r="C2475" s="1" t="n">
        <v>45798</v>
      </c>
      <c r="D2475" t="inlineStr">
        <is>
          <t>NORRBOTTENS LÄN</t>
        </is>
      </c>
      <c r="E2475" t="inlineStr">
        <is>
          <t>GÄLLIVARE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46781-2020</t>
        </is>
      </c>
      <c r="B2476" s="1" t="n">
        <v>44096</v>
      </c>
      <c r="C2476" s="1" t="n">
        <v>45798</v>
      </c>
      <c r="D2476" t="inlineStr">
        <is>
          <t>NORRBOTTENS LÄN</t>
        </is>
      </c>
      <c r="E2476" t="inlineStr">
        <is>
          <t>PAJALA</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47252-2020</t>
        </is>
      </c>
      <c r="B2477" s="1" t="n">
        <v>44096</v>
      </c>
      <c r="C2477" s="1" t="n">
        <v>45798</v>
      </c>
      <c r="D2477" t="inlineStr">
        <is>
          <t>NORRBOTTENS LÄN</t>
        </is>
      </c>
      <c r="E2477" t="inlineStr">
        <is>
          <t>JOKKMOKK</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47063-2020</t>
        </is>
      </c>
      <c r="B2478" s="1" t="n">
        <v>44096</v>
      </c>
      <c r="C2478" s="1" t="n">
        <v>45798</v>
      </c>
      <c r="D2478" t="inlineStr">
        <is>
          <t>NORRBOTTENS LÄN</t>
        </is>
      </c>
      <c r="E2478" t="inlineStr">
        <is>
          <t>LULEÅ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47379-2020</t>
        </is>
      </c>
      <c r="B2479" s="1" t="n">
        <v>44097</v>
      </c>
      <c r="C2479" s="1" t="n">
        <v>45798</v>
      </c>
      <c r="D2479" t="inlineStr">
        <is>
          <t>NORRBOTTENS LÄN</t>
        </is>
      </c>
      <c r="E2479" t="inlineStr">
        <is>
          <t>GÄLLIVARE</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48215-2020</t>
        </is>
      </c>
      <c r="B2480" s="1" t="n">
        <v>44097</v>
      </c>
      <c r="C2480" s="1" t="n">
        <v>45798</v>
      </c>
      <c r="D2480" t="inlineStr">
        <is>
          <t>NORRBOTTENS LÄN</t>
        </is>
      </c>
      <c r="E2480" t="inlineStr">
        <is>
          <t>PAJALA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48547-2020</t>
        </is>
      </c>
      <c r="B2481" s="1" t="n">
        <v>44098</v>
      </c>
      <c r="C2481" s="1" t="n">
        <v>45798</v>
      </c>
      <c r="D2481" t="inlineStr">
        <is>
          <t>NORRBOTTENS LÄN</t>
        </is>
      </c>
      <c r="E2481" t="inlineStr">
        <is>
          <t>KALIX</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48544-2020</t>
        </is>
      </c>
      <c r="B2482" s="1" t="n">
        <v>44098</v>
      </c>
      <c r="C2482" s="1" t="n">
        <v>45798</v>
      </c>
      <c r="D2482" t="inlineStr">
        <is>
          <t>NORRBOTTENS LÄN</t>
        </is>
      </c>
      <c r="E2482" t="inlineStr">
        <is>
          <t>KALIX</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48585-2020</t>
        </is>
      </c>
      <c r="B2483" s="1" t="n">
        <v>44098</v>
      </c>
      <c r="C2483" s="1" t="n">
        <v>45798</v>
      </c>
      <c r="D2483" t="inlineStr">
        <is>
          <t>NORRBOTTENS LÄN</t>
        </is>
      </c>
      <c r="E2483" t="inlineStr">
        <is>
          <t>ÖVERKALIX</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48338-2020</t>
        </is>
      </c>
      <c r="B2484" s="1" t="n">
        <v>44098</v>
      </c>
      <c r="C2484" s="1" t="n">
        <v>45798</v>
      </c>
      <c r="D2484" t="inlineStr">
        <is>
          <t>NORRBOTTENS LÄN</t>
        </is>
      </c>
      <c r="E2484" t="inlineStr">
        <is>
          <t>JOKKMOKK</t>
        </is>
      </c>
      <c r="F2484" t="inlineStr">
        <is>
          <t>Allmännings- och besparingsskogar</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48771-2020</t>
        </is>
      </c>
      <c r="B2485" s="1" t="n">
        <v>44099</v>
      </c>
      <c r="C2485" s="1" t="n">
        <v>45798</v>
      </c>
      <c r="D2485" t="inlineStr">
        <is>
          <t>NORRBOTTENS LÄN</t>
        </is>
      </c>
      <c r="E2485" t="inlineStr">
        <is>
          <t>PITEÅ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49210-2020</t>
        </is>
      </c>
      <c r="B2486" s="1" t="n">
        <v>44099</v>
      </c>
      <c r="C2486" s="1" t="n">
        <v>45798</v>
      </c>
      <c r="D2486" t="inlineStr">
        <is>
          <t>NORRBOTTENS LÄN</t>
        </is>
      </c>
      <c r="E2486" t="inlineStr">
        <is>
          <t>KALIX</t>
        </is>
      </c>
      <c r="G2486" t="n">
        <v>12.2</v>
      </c>
      <c r="H2486" t="n">
        <v>0</v>
      </c>
      <c r="I2486" t="n">
        <v>0</v>
      </c>
      <c r="J2486" t="n">
        <v>0</v>
      </c>
      <c r="K2486" t="n">
        <v>0</v>
      </c>
      <c r="L2486" t="n">
        <v>0</v>
      </c>
      <c r="M2486" t="n">
        <v>0</v>
      </c>
      <c r="N2486" t="n">
        <v>0</v>
      </c>
      <c r="O2486" t="n">
        <v>0</v>
      </c>
      <c r="P2486" t="n">
        <v>0</v>
      </c>
      <c r="Q2486" t="n">
        <v>0</v>
      </c>
      <c r="R2486" s="2" t="inlineStr"/>
    </row>
    <row r="2487" ht="15" customHeight="1">
      <c r="A2487" t="inlineStr">
        <is>
          <t>A 48777-2020</t>
        </is>
      </c>
      <c r="B2487" s="1" t="n">
        <v>44099</v>
      </c>
      <c r="C2487" s="1" t="n">
        <v>45798</v>
      </c>
      <c r="D2487" t="inlineStr">
        <is>
          <t>NORRBOTTENS LÄN</t>
        </is>
      </c>
      <c r="E2487" t="inlineStr">
        <is>
          <t>BODEN</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48770-2020</t>
        </is>
      </c>
      <c r="B2488" s="1" t="n">
        <v>44099</v>
      </c>
      <c r="C2488" s="1" t="n">
        <v>45798</v>
      </c>
      <c r="D2488" t="inlineStr">
        <is>
          <t>NORRBOTTENS LÄN</t>
        </is>
      </c>
      <c r="E2488" t="inlineStr">
        <is>
          <t>PITEÅ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48778-2020</t>
        </is>
      </c>
      <c r="B2489" s="1" t="n">
        <v>44099</v>
      </c>
      <c r="C2489" s="1" t="n">
        <v>45798</v>
      </c>
      <c r="D2489" t="inlineStr">
        <is>
          <t>NORRBOTTENS LÄN</t>
        </is>
      </c>
      <c r="E2489" t="inlineStr">
        <is>
          <t>PITEÅ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49575-2020</t>
        </is>
      </c>
      <c r="B2490" s="1" t="n">
        <v>44099</v>
      </c>
      <c r="C2490" s="1" t="n">
        <v>45798</v>
      </c>
      <c r="D2490" t="inlineStr">
        <is>
          <t>NORRBOTTENS LÄN</t>
        </is>
      </c>
      <c r="E2490" t="inlineStr">
        <is>
          <t>HAPARANDA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48769-2020</t>
        </is>
      </c>
      <c r="B2491" s="1" t="n">
        <v>44099</v>
      </c>
      <c r="C2491" s="1" t="n">
        <v>45798</v>
      </c>
      <c r="D2491" t="inlineStr">
        <is>
          <t>NORRBOTTENS LÄN</t>
        </is>
      </c>
      <c r="E2491" t="inlineStr">
        <is>
          <t>PITEÅ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49586-2020</t>
        </is>
      </c>
      <c r="B2492" s="1" t="n">
        <v>44099</v>
      </c>
      <c r="C2492" s="1" t="n">
        <v>45798</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48463-2020</t>
        </is>
      </c>
      <c r="B2493" s="1" t="n">
        <v>44102</v>
      </c>
      <c r="C2493" s="1" t="n">
        <v>45798</v>
      </c>
      <c r="D2493" t="inlineStr">
        <is>
          <t>NORRBOTTENS LÄN</t>
        </is>
      </c>
      <c r="E2493" t="inlineStr">
        <is>
          <t>JOKKMOKK</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49319-2020</t>
        </is>
      </c>
      <c r="B2494" s="1" t="n">
        <v>44102</v>
      </c>
      <c r="C2494" s="1" t="n">
        <v>45798</v>
      </c>
      <c r="D2494" t="inlineStr">
        <is>
          <t>NORRBOTTENS LÄN</t>
        </is>
      </c>
      <c r="E2494" t="inlineStr">
        <is>
          <t>ÄLVSBYN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48790-2020</t>
        </is>
      </c>
      <c r="B2495" s="1" t="n">
        <v>44103</v>
      </c>
      <c r="C2495" s="1" t="n">
        <v>45798</v>
      </c>
      <c r="D2495" t="inlineStr">
        <is>
          <t>NORRBOTTENS LÄN</t>
        </is>
      </c>
      <c r="E2495" t="inlineStr">
        <is>
          <t>PITEÅ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49730-2020</t>
        </is>
      </c>
      <c r="B2496" s="1" t="n">
        <v>44103</v>
      </c>
      <c r="C2496" s="1" t="n">
        <v>45798</v>
      </c>
      <c r="D2496" t="inlineStr">
        <is>
          <t>NORRBOTTENS LÄN</t>
        </is>
      </c>
      <c r="E2496" t="inlineStr">
        <is>
          <t>ÄLVSBYN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49742-2020</t>
        </is>
      </c>
      <c r="B2497" s="1" t="n">
        <v>44103</v>
      </c>
      <c r="C2497" s="1" t="n">
        <v>45798</v>
      </c>
      <c r="D2497" t="inlineStr">
        <is>
          <t>NORRBOTTENS LÄN</t>
        </is>
      </c>
      <c r="E2497" t="inlineStr">
        <is>
          <t>PITEÅ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50054-2020</t>
        </is>
      </c>
      <c r="B2498" s="1" t="n">
        <v>44104</v>
      </c>
      <c r="C2498" s="1" t="n">
        <v>45798</v>
      </c>
      <c r="D2498" t="inlineStr">
        <is>
          <t>NORRBOTTENS LÄN</t>
        </is>
      </c>
      <c r="E2498" t="inlineStr">
        <is>
          <t>KALIX</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49013-2020</t>
        </is>
      </c>
      <c r="B2499" s="1" t="n">
        <v>44104</v>
      </c>
      <c r="C2499" s="1" t="n">
        <v>45798</v>
      </c>
      <c r="D2499" t="inlineStr">
        <is>
          <t>NORRBOTTENS LÄN</t>
        </is>
      </c>
      <c r="E2499" t="inlineStr">
        <is>
          <t>GÄLLIVARE</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49019-2020</t>
        </is>
      </c>
      <c r="B2500" s="1" t="n">
        <v>44104</v>
      </c>
      <c r="C2500" s="1" t="n">
        <v>45798</v>
      </c>
      <c r="D2500" t="inlineStr">
        <is>
          <t>NORRBOTTENS LÄN</t>
        </is>
      </c>
      <c r="E2500" t="inlineStr">
        <is>
          <t>GÄLLIVARE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48971-2020</t>
        </is>
      </c>
      <c r="B2501" s="1" t="n">
        <v>44105</v>
      </c>
      <c r="C2501" s="1" t="n">
        <v>45798</v>
      </c>
      <c r="D2501" t="inlineStr">
        <is>
          <t>NORRBOTTENS LÄN</t>
        </is>
      </c>
      <c r="E2501" t="inlineStr">
        <is>
          <t>ÄLVSBYN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50902-2020</t>
        </is>
      </c>
      <c r="B2502" s="1" t="n">
        <v>44106</v>
      </c>
      <c r="C2502" s="1" t="n">
        <v>45798</v>
      </c>
      <c r="D2502" t="inlineStr">
        <is>
          <t>NORRBOTTENS LÄN</t>
        </is>
      </c>
      <c r="E2502" t="inlineStr">
        <is>
          <t>PITEÅ</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50931-2020</t>
        </is>
      </c>
      <c r="B2503" s="1" t="n">
        <v>44106</v>
      </c>
      <c r="C2503" s="1" t="n">
        <v>45798</v>
      </c>
      <c r="D2503" t="inlineStr">
        <is>
          <t>NORRBOTTENS LÄN</t>
        </is>
      </c>
      <c r="E2503" t="inlineStr">
        <is>
          <t>HAPARANDA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50933-2020</t>
        </is>
      </c>
      <c r="B2504" s="1" t="n">
        <v>44106</v>
      </c>
      <c r="C2504" s="1" t="n">
        <v>45798</v>
      </c>
      <c r="D2504" t="inlineStr">
        <is>
          <t>NORRBOTTENS LÄN</t>
        </is>
      </c>
      <c r="E2504" t="inlineStr">
        <is>
          <t>HAPARANDA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51992-2020</t>
        </is>
      </c>
      <c r="B2505" s="1" t="n">
        <v>44109</v>
      </c>
      <c r="C2505" s="1" t="n">
        <v>45798</v>
      </c>
      <c r="D2505" t="inlineStr">
        <is>
          <t>NORRBOTTENS LÄN</t>
        </is>
      </c>
      <c r="E2505" t="inlineStr">
        <is>
          <t>GÄLLIVARE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50526-2020</t>
        </is>
      </c>
      <c r="B2506" s="1" t="n">
        <v>44110</v>
      </c>
      <c r="C2506" s="1" t="n">
        <v>45798</v>
      </c>
      <c r="D2506" t="inlineStr">
        <is>
          <t>NORRBOTTENS LÄN</t>
        </is>
      </c>
      <c r="E2506" t="inlineStr">
        <is>
          <t>BODEN</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50545-2020</t>
        </is>
      </c>
      <c r="B2507" s="1" t="n">
        <v>44110</v>
      </c>
      <c r="C2507" s="1" t="n">
        <v>45798</v>
      </c>
      <c r="D2507" t="inlineStr">
        <is>
          <t>NORRBOTTENS LÄN</t>
        </is>
      </c>
      <c r="E2507" t="inlineStr">
        <is>
          <t>BODEN</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50621-2020</t>
        </is>
      </c>
      <c r="B2508" s="1" t="n">
        <v>44110</v>
      </c>
      <c r="C2508" s="1" t="n">
        <v>45798</v>
      </c>
      <c r="D2508" t="inlineStr">
        <is>
          <t>NORRBOTTENS LÄN</t>
        </is>
      </c>
      <c r="E2508" t="inlineStr">
        <is>
          <t>BODEN</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50618-2020</t>
        </is>
      </c>
      <c r="B2509" s="1" t="n">
        <v>44110</v>
      </c>
      <c r="C2509" s="1" t="n">
        <v>45798</v>
      </c>
      <c r="D2509" t="inlineStr">
        <is>
          <t>NORRBOTTENS LÄN</t>
        </is>
      </c>
      <c r="E2509" t="inlineStr">
        <is>
          <t>BODEN</t>
        </is>
      </c>
      <c r="F2509" t="inlineStr">
        <is>
          <t>SCA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50623-2020</t>
        </is>
      </c>
      <c r="B2510" s="1" t="n">
        <v>44110</v>
      </c>
      <c r="C2510" s="1" t="n">
        <v>45798</v>
      </c>
      <c r="D2510" t="inlineStr">
        <is>
          <t>NORRBOTTENS LÄN</t>
        </is>
      </c>
      <c r="E2510" t="inlineStr">
        <is>
          <t>BODEN</t>
        </is>
      </c>
      <c r="F2510" t="inlineStr">
        <is>
          <t>SCA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50619-2020</t>
        </is>
      </c>
      <c r="B2511" s="1" t="n">
        <v>44110</v>
      </c>
      <c r="C2511" s="1" t="n">
        <v>45798</v>
      </c>
      <c r="D2511" t="inlineStr">
        <is>
          <t>NORRBOTTENS LÄN</t>
        </is>
      </c>
      <c r="E2511" t="inlineStr">
        <is>
          <t>KALIX</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50617-2020</t>
        </is>
      </c>
      <c r="B2512" s="1" t="n">
        <v>44110</v>
      </c>
      <c r="C2512" s="1" t="n">
        <v>45798</v>
      </c>
      <c r="D2512" t="inlineStr">
        <is>
          <t>NORRBOTTENS LÄN</t>
        </is>
      </c>
      <c r="E2512" t="inlineStr">
        <is>
          <t>BODEN</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50622-2020</t>
        </is>
      </c>
      <c r="B2513" s="1" t="n">
        <v>44110</v>
      </c>
      <c r="C2513" s="1" t="n">
        <v>45798</v>
      </c>
      <c r="D2513" t="inlineStr">
        <is>
          <t>NORRBOTTENS LÄN</t>
        </is>
      </c>
      <c r="E2513" t="inlineStr">
        <is>
          <t>LULEÅ</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50778-2020</t>
        </is>
      </c>
      <c r="B2514" s="1" t="n">
        <v>44111</v>
      </c>
      <c r="C2514" s="1" t="n">
        <v>45798</v>
      </c>
      <c r="D2514" t="inlineStr">
        <is>
          <t>NORRBOTTENS LÄN</t>
        </is>
      </c>
      <c r="E2514" t="inlineStr">
        <is>
          <t>LULEÅ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50736-2020</t>
        </is>
      </c>
      <c r="B2515" s="1" t="n">
        <v>44111</v>
      </c>
      <c r="C2515" s="1" t="n">
        <v>45798</v>
      </c>
      <c r="D2515" t="inlineStr">
        <is>
          <t>NORRBOTTENS LÄN</t>
        </is>
      </c>
      <c r="E2515" t="inlineStr">
        <is>
          <t>BODEN</t>
        </is>
      </c>
      <c r="F2515" t="inlineStr">
        <is>
          <t>Sveaskog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50905-2020</t>
        </is>
      </c>
      <c r="B2516" s="1" t="n">
        <v>44111</v>
      </c>
      <c r="C2516" s="1" t="n">
        <v>45798</v>
      </c>
      <c r="D2516" t="inlineStr">
        <is>
          <t>NORRBOTTENS LÄN</t>
        </is>
      </c>
      <c r="E2516" t="inlineStr">
        <is>
          <t>PITEÅ</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50667-2020</t>
        </is>
      </c>
      <c r="B2517" s="1" t="n">
        <v>44111</v>
      </c>
      <c r="C2517" s="1" t="n">
        <v>45798</v>
      </c>
      <c r="D2517" t="inlineStr">
        <is>
          <t>NORRBOTTENS LÄN</t>
        </is>
      </c>
      <c r="E2517" t="inlineStr">
        <is>
          <t>ARVIDSJAUR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50678-2020</t>
        </is>
      </c>
      <c r="B2518" s="1" t="n">
        <v>44111</v>
      </c>
      <c r="C2518" s="1" t="n">
        <v>45798</v>
      </c>
      <c r="D2518" t="inlineStr">
        <is>
          <t>NORRBOTTENS LÄN</t>
        </is>
      </c>
      <c r="E2518" t="inlineStr">
        <is>
          <t>PAJALA</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50909-2020</t>
        </is>
      </c>
      <c r="B2519" s="1" t="n">
        <v>44111</v>
      </c>
      <c r="C2519" s="1" t="n">
        <v>45798</v>
      </c>
      <c r="D2519" t="inlineStr">
        <is>
          <t>NORRBOTTENS LÄN</t>
        </is>
      </c>
      <c r="E2519" t="inlineStr">
        <is>
          <t>PITEÅ</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50705-2020</t>
        </is>
      </c>
      <c r="B2520" s="1" t="n">
        <v>44111</v>
      </c>
      <c r="C2520" s="1" t="n">
        <v>45798</v>
      </c>
      <c r="D2520" t="inlineStr">
        <is>
          <t>NORRBOTTENS LÄN</t>
        </is>
      </c>
      <c r="E2520" t="inlineStr">
        <is>
          <t>LULEÅ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51020-2020</t>
        </is>
      </c>
      <c r="B2521" s="1" t="n">
        <v>44112</v>
      </c>
      <c r="C2521" s="1" t="n">
        <v>45798</v>
      </c>
      <c r="D2521" t="inlineStr">
        <is>
          <t>NORRBOTTENS LÄN</t>
        </is>
      </c>
      <c r="E2521" t="inlineStr">
        <is>
          <t>KALIX</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51128-2020</t>
        </is>
      </c>
      <c r="B2522" s="1" t="n">
        <v>44112</v>
      </c>
      <c r="C2522" s="1" t="n">
        <v>45798</v>
      </c>
      <c r="D2522" t="inlineStr">
        <is>
          <t>NORRBOTTENS LÄN</t>
        </is>
      </c>
      <c r="E2522" t="inlineStr">
        <is>
          <t>LULEÅ</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51117-2020</t>
        </is>
      </c>
      <c r="B2523" s="1" t="n">
        <v>44112</v>
      </c>
      <c r="C2523" s="1" t="n">
        <v>45798</v>
      </c>
      <c r="D2523" t="inlineStr">
        <is>
          <t>NORRBOTTENS LÄN</t>
        </is>
      </c>
      <c r="E2523" t="inlineStr">
        <is>
          <t>LULEÅ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51210-2020</t>
        </is>
      </c>
      <c r="B2524" s="1" t="n">
        <v>44112</v>
      </c>
      <c r="C2524" s="1" t="n">
        <v>45798</v>
      </c>
      <c r="D2524" t="inlineStr">
        <is>
          <t>NORRBOTTENS LÄN</t>
        </is>
      </c>
      <c r="E2524" t="inlineStr">
        <is>
          <t>LULEÅ</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51582-2020</t>
        </is>
      </c>
      <c r="B2525" s="1" t="n">
        <v>44113</v>
      </c>
      <c r="C2525" s="1" t="n">
        <v>45798</v>
      </c>
      <c r="D2525" t="inlineStr">
        <is>
          <t>NORRBOTTENS LÄN</t>
        </is>
      </c>
      <c r="E2525" t="inlineStr">
        <is>
          <t>ÖVERTORNEÅ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51438-2020</t>
        </is>
      </c>
      <c r="B2526" s="1" t="n">
        <v>44113</v>
      </c>
      <c r="C2526" s="1" t="n">
        <v>45798</v>
      </c>
      <c r="D2526" t="inlineStr">
        <is>
          <t>NORRBOTTENS LÄN</t>
        </is>
      </c>
      <c r="E2526" t="inlineStr">
        <is>
          <t>JOKKMOKK</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51436-2020</t>
        </is>
      </c>
      <c r="B2527" s="1" t="n">
        <v>44113</v>
      </c>
      <c r="C2527" s="1" t="n">
        <v>45798</v>
      </c>
      <c r="D2527" t="inlineStr">
        <is>
          <t>NORRBOTTENS LÄN</t>
        </is>
      </c>
      <c r="E2527" t="inlineStr">
        <is>
          <t>JOKKMOKK</t>
        </is>
      </c>
      <c r="F2527" t="inlineStr">
        <is>
          <t>Sveaskog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51701-2020</t>
        </is>
      </c>
      <c r="B2528" s="1" t="n">
        <v>44113</v>
      </c>
      <c r="C2528" s="1" t="n">
        <v>45798</v>
      </c>
      <c r="D2528" t="inlineStr">
        <is>
          <t>NORRBOTTENS LÄN</t>
        </is>
      </c>
      <c r="E2528" t="inlineStr">
        <is>
          <t>GÄLLIVARE</t>
        </is>
      </c>
      <c r="F2528" t="inlineStr">
        <is>
          <t>SCA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51706-2020</t>
        </is>
      </c>
      <c r="B2529" s="1" t="n">
        <v>44113</v>
      </c>
      <c r="C2529" s="1" t="n">
        <v>45798</v>
      </c>
      <c r="D2529" t="inlineStr">
        <is>
          <t>NORRBOTTENS LÄN</t>
        </is>
      </c>
      <c r="E2529" t="inlineStr">
        <is>
          <t>GÄLLIVARE</t>
        </is>
      </c>
      <c r="F2529" t="inlineStr">
        <is>
          <t>SCA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51700-2020</t>
        </is>
      </c>
      <c r="B2530" s="1" t="n">
        <v>44113</v>
      </c>
      <c r="C2530" s="1" t="n">
        <v>45798</v>
      </c>
      <c r="D2530" t="inlineStr">
        <is>
          <t>NORRBOTTENS LÄN</t>
        </is>
      </c>
      <c r="E2530" t="inlineStr">
        <is>
          <t>GÄLLIVARE</t>
        </is>
      </c>
      <c r="F2530" t="inlineStr">
        <is>
          <t>SCA</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51713-2020</t>
        </is>
      </c>
      <c r="B2531" s="1" t="n">
        <v>44113</v>
      </c>
      <c r="C2531" s="1" t="n">
        <v>45798</v>
      </c>
      <c r="D2531" t="inlineStr">
        <is>
          <t>NORRBOTTENS LÄN</t>
        </is>
      </c>
      <c r="E2531" t="inlineStr">
        <is>
          <t>GÄLLIVARE</t>
        </is>
      </c>
      <c r="F2531" t="inlineStr">
        <is>
          <t>SCA</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52043-2020</t>
        </is>
      </c>
      <c r="B2532" s="1" t="n">
        <v>44116</v>
      </c>
      <c r="C2532" s="1" t="n">
        <v>45798</v>
      </c>
      <c r="D2532" t="inlineStr">
        <is>
          <t>NORRBOTTENS LÄN</t>
        </is>
      </c>
      <c r="E2532" t="inlineStr">
        <is>
          <t>JOKKMOKK</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52061-2020</t>
        </is>
      </c>
      <c r="B2533" s="1" t="n">
        <v>44116</v>
      </c>
      <c r="C2533" s="1" t="n">
        <v>45798</v>
      </c>
      <c r="D2533" t="inlineStr">
        <is>
          <t>NORRBOTTENS LÄN</t>
        </is>
      </c>
      <c r="E2533" t="inlineStr">
        <is>
          <t>GÄLLIVARE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52055-2020</t>
        </is>
      </c>
      <c r="B2534" s="1" t="n">
        <v>44116</v>
      </c>
      <c r="C2534" s="1" t="n">
        <v>45798</v>
      </c>
      <c r="D2534" t="inlineStr">
        <is>
          <t>NORRBOTTENS LÄN</t>
        </is>
      </c>
      <c r="E2534" t="inlineStr">
        <is>
          <t>GÄLLIVARE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52047-2020</t>
        </is>
      </c>
      <c r="B2535" s="1" t="n">
        <v>44117</v>
      </c>
      <c r="C2535" s="1" t="n">
        <v>45798</v>
      </c>
      <c r="D2535" t="inlineStr">
        <is>
          <t>NORRBOTTENS LÄN</t>
        </is>
      </c>
      <c r="E2535" t="inlineStr">
        <is>
          <t>JOKKMOKK</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52468-2020</t>
        </is>
      </c>
      <c r="B2536" s="1" t="n">
        <v>44116</v>
      </c>
      <c r="C2536" s="1" t="n">
        <v>45798</v>
      </c>
      <c r="D2536" t="inlineStr">
        <is>
          <t>NORRBOTTENS LÄN</t>
        </is>
      </c>
      <c r="E2536" t="inlineStr">
        <is>
          <t>HAPARANDA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52459-2020</t>
        </is>
      </c>
      <c r="B2537" s="1" t="n">
        <v>44116</v>
      </c>
      <c r="C2537" s="1" t="n">
        <v>45798</v>
      </c>
      <c r="D2537" t="inlineStr">
        <is>
          <t>NORRBOTTENS LÄN</t>
        </is>
      </c>
      <c r="E2537" t="inlineStr">
        <is>
          <t>ARVIDSJAUR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52591-2020</t>
        </is>
      </c>
      <c r="B2538" s="1" t="n">
        <v>44116</v>
      </c>
      <c r="C2538" s="1" t="n">
        <v>45798</v>
      </c>
      <c r="D2538" t="inlineStr">
        <is>
          <t>NORRBOTTENS LÄN</t>
        </is>
      </c>
      <c r="E2538" t="inlineStr">
        <is>
          <t>BODEN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52728-2020</t>
        </is>
      </c>
      <c r="B2539" s="1" t="n">
        <v>44117</v>
      </c>
      <c r="C2539" s="1" t="n">
        <v>45798</v>
      </c>
      <c r="D2539" t="inlineStr">
        <is>
          <t>NORRBOTTENS LÄN</t>
        </is>
      </c>
      <c r="E2539" t="inlineStr">
        <is>
          <t>PAJALA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52583-2020</t>
        </is>
      </c>
      <c r="B2540" s="1" t="n">
        <v>44118</v>
      </c>
      <c r="C2540" s="1" t="n">
        <v>45798</v>
      </c>
      <c r="D2540" t="inlineStr">
        <is>
          <t>NORRBOTTENS LÄN</t>
        </is>
      </c>
      <c r="E2540" t="inlineStr">
        <is>
          <t>HAPARANDA</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52903-2020</t>
        </is>
      </c>
      <c r="B2541" s="1" t="n">
        <v>44119</v>
      </c>
      <c r="C2541" s="1" t="n">
        <v>45798</v>
      </c>
      <c r="D2541" t="inlineStr">
        <is>
          <t>NORRBOTTENS LÄN</t>
        </is>
      </c>
      <c r="E2541" t="inlineStr">
        <is>
          <t>BODEN</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53102-2020</t>
        </is>
      </c>
      <c r="B2542" s="1" t="n">
        <v>44120</v>
      </c>
      <c r="C2542" s="1" t="n">
        <v>45798</v>
      </c>
      <c r="D2542" t="inlineStr">
        <is>
          <t>NORRBOTTENS LÄN</t>
        </is>
      </c>
      <c r="E2542" t="inlineStr">
        <is>
          <t>BODEN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53065-2020</t>
        </is>
      </c>
      <c r="B2543" s="1" t="n">
        <v>44120</v>
      </c>
      <c r="C2543" s="1" t="n">
        <v>45798</v>
      </c>
      <c r="D2543" t="inlineStr">
        <is>
          <t>NORRBOTTENS LÄN</t>
        </is>
      </c>
      <c r="E2543" t="inlineStr">
        <is>
          <t>BODEN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53069-2020</t>
        </is>
      </c>
      <c r="B2544" s="1" t="n">
        <v>44120</v>
      </c>
      <c r="C2544" s="1" t="n">
        <v>45798</v>
      </c>
      <c r="D2544" t="inlineStr">
        <is>
          <t>NORRBOTTENS LÄN</t>
        </is>
      </c>
      <c r="E2544" t="inlineStr">
        <is>
          <t>BODEN</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53118-2020</t>
        </is>
      </c>
      <c r="B2545" s="1" t="n">
        <v>44120</v>
      </c>
      <c r="C2545" s="1" t="n">
        <v>45798</v>
      </c>
      <c r="D2545" t="inlineStr">
        <is>
          <t>NORRBOTTENS LÄN</t>
        </is>
      </c>
      <c r="E2545" t="inlineStr">
        <is>
          <t>LULEÅ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53105-2020</t>
        </is>
      </c>
      <c r="B2546" s="1" t="n">
        <v>44120</v>
      </c>
      <c r="C2546" s="1" t="n">
        <v>45798</v>
      </c>
      <c r="D2546" t="inlineStr">
        <is>
          <t>NORRBOTTENS LÄN</t>
        </is>
      </c>
      <c r="E2546" t="inlineStr">
        <is>
          <t>LULEÅ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53398-2020</t>
        </is>
      </c>
      <c r="B2547" s="1" t="n">
        <v>44123</v>
      </c>
      <c r="C2547" s="1" t="n">
        <v>45798</v>
      </c>
      <c r="D2547" t="inlineStr">
        <is>
          <t>NORRBOTTENS LÄN</t>
        </is>
      </c>
      <c r="E2547" t="inlineStr">
        <is>
          <t>ARVIDSJAUR</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53481-2020</t>
        </is>
      </c>
      <c r="B2548" s="1" t="n">
        <v>44123</v>
      </c>
      <c r="C2548" s="1" t="n">
        <v>45798</v>
      </c>
      <c r="D2548" t="inlineStr">
        <is>
          <t>NORRBOTTENS LÄN</t>
        </is>
      </c>
      <c r="E2548" t="inlineStr">
        <is>
          <t>ÖVERTORNEÅ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53699-2020</t>
        </is>
      </c>
      <c r="B2549" s="1" t="n">
        <v>44123</v>
      </c>
      <c r="C2549" s="1" t="n">
        <v>45798</v>
      </c>
      <c r="D2549" t="inlineStr">
        <is>
          <t>NORRBOTTENS LÄN</t>
        </is>
      </c>
      <c r="E2549" t="inlineStr">
        <is>
          <t>PAJALA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53496-2020</t>
        </is>
      </c>
      <c r="B2550" s="1" t="n">
        <v>44123</v>
      </c>
      <c r="C2550" s="1" t="n">
        <v>45798</v>
      </c>
      <c r="D2550" t="inlineStr">
        <is>
          <t>NORRBOTTENS LÄN</t>
        </is>
      </c>
      <c r="E2550" t="inlineStr">
        <is>
          <t>PITEÅ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53747-2020</t>
        </is>
      </c>
      <c r="B2551" s="1" t="n">
        <v>44124</v>
      </c>
      <c r="C2551" s="1" t="n">
        <v>45798</v>
      </c>
      <c r="D2551" t="inlineStr">
        <is>
          <t>NORRBOTTENS LÄN</t>
        </is>
      </c>
      <c r="E2551" t="inlineStr">
        <is>
          <t>ÖVERKALIX</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53829-2020</t>
        </is>
      </c>
      <c r="B2552" s="1" t="n">
        <v>44124</v>
      </c>
      <c r="C2552" s="1" t="n">
        <v>45798</v>
      </c>
      <c r="D2552" t="inlineStr">
        <is>
          <t>NORRBOTTENS LÄN</t>
        </is>
      </c>
      <c r="E2552" t="inlineStr">
        <is>
          <t>BODEN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53744-2020</t>
        </is>
      </c>
      <c r="B2553" s="1" t="n">
        <v>44124</v>
      </c>
      <c r="C2553" s="1" t="n">
        <v>45798</v>
      </c>
      <c r="D2553" t="inlineStr">
        <is>
          <t>NORRBOTTENS LÄN</t>
        </is>
      </c>
      <c r="E2553" t="inlineStr">
        <is>
          <t>BODEN</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54177-2020</t>
        </is>
      </c>
      <c r="B2554" s="1" t="n">
        <v>44125</v>
      </c>
      <c r="C2554" s="1" t="n">
        <v>45798</v>
      </c>
      <c r="D2554" t="inlineStr">
        <is>
          <t>NORRBOTTENS LÄN</t>
        </is>
      </c>
      <c r="E2554" t="inlineStr">
        <is>
          <t>PAJALA</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54172-2020</t>
        </is>
      </c>
      <c r="B2555" s="1" t="n">
        <v>44125</v>
      </c>
      <c r="C2555" s="1" t="n">
        <v>45798</v>
      </c>
      <c r="D2555" t="inlineStr">
        <is>
          <t>NORRBOTTENS LÄN</t>
        </is>
      </c>
      <c r="E2555" t="inlineStr">
        <is>
          <t>PAJALA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54173-2020</t>
        </is>
      </c>
      <c r="B2556" s="1" t="n">
        <v>44125</v>
      </c>
      <c r="C2556" s="1" t="n">
        <v>45798</v>
      </c>
      <c r="D2556" t="inlineStr">
        <is>
          <t>NORRBOTTENS LÄN</t>
        </is>
      </c>
      <c r="E2556" t="inlineStr">
        <is>
          <t>PAJALA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54418-2020</t>
        </is>
      </c>
      <c r="B2557" s="1" t="n">
        <v>44125</v>
      </c>
      <c r="C2557" s="1" t="n">
        <v>45798</v>
      </c>
      <c r="D2557" t="inlineStr">
        <is>
          <t>NORRBOTTENS LÄN</t>
        </is>
      </c>
      <c r="E2557" t="inlineStr">
        <is>
          <t>ÄLVSBYN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53859-2020</t>
        </is>
      </c>
      <c r="B2558" s="1" t="n">
        <v>44125</v>
      </c>
      <c r="C2558" s="1" t="n">
        <v>45798</v>
      </c>
      <c r="D2558" t="inlineStr">
        <is>
          <t>NORRBOTTENS LÄN</t>
        </is>
      </c>
      <c r="E2558" t="inlineStr">
        <is>
          <t>BODEN</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54175-2020</t>
        </is>
      </c>
      <c r="B2559" s="1" t="n">
        <v>44125</v>
      </c>
      <c r="C2559" s="1" t="n">
        <v>45798</v>
      </c>
      <c r="D2559" t="inlineStr">
        <is>
          <t>NORRBOTTENS LÄN</t>
        </is>
      </c>
      <c r="E2559" t="inlineStr">
        <is>
          <t>PAJALA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54312-2020</t>
        </is>
      </c>
      <c r="B2560" s="1" t="n">
        <v>44125</v>
      </c>
      <c r="C2560" s="1" t="n">
        <v>45798</v>
      </c>
      <c r="D2560" t="inlineStr">
        <is>
          <t>NORRBOTTENS LÄN</t>
        </is>
      </c>
      <c r="E2560" t="inlineStr">
        <is>
          <t>HAPARANDA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54412-2020</t>
        </is>
      </c>
      <c r="B2561" s="1" t="n">
        <v>44125</v>
      </c>
      <c r="C2561" s="1" t="n">
        <v>45798</v>
      </c>
      <c r="D2561" t="inlineStr">
        <is>
          <t>NORRBOTTENS LÄN</t>
        </is>
      </c>
      <c r="E2561" t="inlineStr">
        <is>
          <t>ÄLVSBYN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54303-2020</t>
        </is>
      </c>
      <c r="B2562" s="1" t="n">
        <v>44126</v>
      </c>
      <c r="C2562" s="1" t="n">
        <v>45798</v>
      </c>
      <c r="D2562" t="inlineStr">
        <is>
          <t>NORRBOTTENS LÄN</t>
        </is>
      </c>
      <c r="E2562" t="inlineStr">
        <is>
          <t>PAJALA</t>
        </is>
      </c>
      <c r="G2562" t="n">
        <v>26.2</v>
      </c>
      <c r="H2562" t="n">
        <v>0</v>
      </c>
      <c r="I2562" t="n">
        <v>0</v>
      </c>
      <c r="J2562" t="n">
        <v>0</v>
      </c>
      <c r="K2562" t="n">
        <v>0</v>
      </c>
      <c r="L2562" t="n">
        <v>0</v>
      </c>
      <c r="M2562" t="n">
        <v>0</v>
      </c>
      <c r="N2562" t="n">
        <v>0</v>
      </c>
      <c r="O2562" t="n">
        <v>0</v>
      </c>
      <c r="P2562" t="n">
        <v>0</v>
      </c>
      <c r="Q2562" t="n">
        <v>0</v>
      </c>
      <c r="R2562" s="2" t="inlineStr"/>
    </row>
    <row r="2563" ht="15" customHeight="1">
      <c r="A2563" t="inlineStr">
        <is>
          <t>A 54451-2020</t>
        </is>
      </c>
      <c r="B2563" s="1" t="n">
        <v>44126</v>
      </c>
      <c r="C2563" s="1" t="n">
        <v>45798</v>
      </c>
      <c r="D2563" t="inlineStr">
        <is>
          <t>NORRBOTTENS LÄN</t>
        </is>
      </c>
      <c r="E2563" t="inlineStr">
        <is>
          <t>BODEN</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54538-2020</t>
        </is>
      </c>
      <c r="B2564" s="1" t="n">
        <v>44126</v>
      </c>
      <c r="C2564" s="1" t="n">
        <v>45798</v>
      </c>
      <c r="D2564" t="inlineStr">
        <is>
          <t>NORRBOTTENS LÄN</t>
        </is>
      </c>
      <c r="E2564" t="inlineStr">
        <is>
          <t>LULEÅ</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54594-2020</t>
        </is>
      </c>
      <c r="B2565" s="1" t="n">
        <v>44126</v>
      </c>
      <c r="C2565" s="1" t="n">
        <v>45798</v>
      </c>
      <c r="D2565" t="inlineStr">
        <is>
          <t>NORRBOTTENS LÄN</t>
        </is>
      </c>
      <c r="E2565" t="inlineStr">
        <is>
          <t>LULEÅ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54842-2020</t>
        </is>
      </c>
      <c r="B2566" s="1" t="n">
        <v>44126</v>
      </c>
      <c r="C2566" s="1" t="n">
        <v>45798</v>
      </c>
      <c r="D2566" t="inlineStr">
        <is>
          <t>NORRBOTTENS LÄN</t>
        </is>
      </c>
      <c r="E2566" t="inlineStr">
        <is>
          <t>ARVIDSJAUR</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54863-2020</t>
        </is>
      </c>
      <c r="B2567" s="1" t="n">
        <v>44126</v>
      </c>
      <c r="C2567" s="1" t="n">
        <v>45798</v>
      </c>
      <c r="D2567" t="inlineStr">
        <is>
          <t>NORRBOTTENS LÄN</t>
        </is>
      </c>
      <c r="E2567" t="inlineStr">
        <is>
          <t>JOKKMOKK</t>
        </is>
      </c>
      <c r="F2567" t="inlineStr">
        <is>
          <t>Allmännings- och besparingsskogar</t>
        </is>
      </c>
      <c r="G2567" t="n">
        <v>43.3</v>
      </c>
      <c r="H2567" t="n">
        <v>0</v>
      </c>
      <c r="I2567" t="n">
        <v>0</v>
      </c>
      <c r="J2567" t="n">
        <v>0</v>
      </c>
      <c r="K2567" t="n">
        <v>0</v>
      </c>
      <c r="L2567" t="n">
        <v>0</v>
      </c>
      <c r="M2567" t="n">
        <v>0</v>
      </c>
      <c r="N2567" t="n">
        <v>0</v>
      </c>
      <c r="O2567" t="n">
        <v>0</v>
      </c>
      <c r="P2567" t="n">
        <v>0</v>
      </c>
      <c r="Q2567" t="n">
        <v>0</v>
      </c>
      <c r="R2567" s="2" t="inlineStr"/>
    </row>
    <row r="2568" ht="15" customHeight="1">
      <c r="A2568" t="inlineStr">
        <is>
          <t>A 54911-2020</t>
        </is>
      </c>
      <c r="B2568" s="1" t="n">
        <v>44127</v>
      </c>
      <c r="C2568" s="1" t="n">
        <v>45798</v>
      </c>
      <c r="D2568" t="inlineStr">
        <is>
          <t>NORRBOTTENS LÄN</t>
        </is>
      </c>
      <c r="E2568" t="inlineStr">
        <is>
          <t>ÖVERTORNEÅ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54614-2020</t>
        </is>
      </c>
      <c r="B2569" s="1" t="n">
        <v>44127</v>
      </c>
      <c r="C2569" s="1" t="n">
        <v>45798</v>
      </c>
      <c r="D2569" t="inlineStr">
        <is>
          <t>NORRBOTTENS LÄN</t>
        </is>
      </c>
      <c r="E2569" t="inlineStr">
        <is>
          <t>BODEN</t>
        </is>
      </c>
      <c r="G2569" t="n">
        <v>49.1</v>
      </c>
      <c r="H2569" t="n">
        <v>0</v>
      </c>
      <c r="I2569" t="n">
        <v>0</v>
      </c>
      <c r="J2569" t="n">
        <v>0</v>
      </c>
      <c r="K2569" t="n">
        <v>0</v>
      </c>
      <c r="L2569" t="n">
        <v>0</v>
      </c>
      <c r="M2569" t="n">
        <v>0</v>
      </c>
      <c r="N2569" t="n">
        <v>0</v>
      </c>
      <c r="O2569" t="n">
        <v>0</v>
      </c>
      <c r="P2569" t="n">
        <v>0</v>
      </c>
      <c r="Q2569" t="n">
        <v>0</v>
      </c>
      <c r="R2569" s="2" t="inlineStr"/>
    </row>
    <row r="2570" ht="15" customHeight="1">
      <c r="A2570" t="inlineStr">
        <is>
          <t>A 54726-2020</t>
        </is>
      </c>
      <c r="B2570" s="1" t="n">
        <v>44127</v>
      </c>
      <c r="C2570" s="1" t="n">
        <v>45798</v>
      </c>
      <c r="D2570" t="inlineStr">
        <is>
          <t>NORRBOTTENS LÄN</t>
        </is>
      </c>
      <c r="E2570" t="inlineStr">
        <is>
          <t>PITEÅ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55012-2020</t>
        </is>
      </c>
      <c r="B2571" s="1" t="n">
        <v>44130</v>
      </c>
      <c r="C2571" s="1" t="n">
        <v>45798</v>
      </c>
      <c r="D2571" t="inlineStr">
        <is>
          <t>NORRBOTTENS LÄN</t>
        </is>
      </c>
      <c r="E2571" t="inlineStr">
        <is>
          <t>HAPARANDA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55059-2020</t>
        </is>
      </c>
      <c r="B2572" s="1" t="n">
        <v>44130</v>
      </c>
      <c r="C2572" s="1" t="n">
        <v>45798</v>
      </c>
      <c r="D2572" t="inlineStr">
        <is>
          <t>NORRBOTTENS LÄN</t>
        </is>
      </c>
      <c r="E2572" t="inlineStr">
        <is>
          <t>BODEN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54991-2020</t>
        </is>
      </c>
      <c r="B2573" s="1" t="n">
        <v>44130</v>
      </c>
      <c r="C2573" s="1" t="n">
        <v>45798</v>
      </c>
      <c r="D2573" t="inlineStr">
        <is>
          <t>NORRBOTTENS LÄN</t>
        </is>
      </c>
      <c r="E2573" t="inlineStr">
        <is>
          <t>HAPARANDA</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55098-2020</t>
        </is>
      </c>
      <c r="B2574" s="1" t="n">
        <v>44130</v>
      </c>
      <c r="C2574" s="1" t="n">
        <v>45798</v>
      </c>
      <c r="D2574" t="inlineStr">
        <is>
          <t>NORRBOTTENS LÄN</t>
        </is>
      </c>
      <c r="E2574" t="inlineStr">
        <is>
          <t>KALIX</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55168-2020</t>
        </is>
      </c>
      <c r="B2575" s="1" t="n">
        <v>44130</v>
      </c>
      <c r="C2575" s="1" t="n">
        <v>45798</v>
      </c>
      <c r="D2575" t="inlineStr">
        <is>
          <t>NORRBOTTENS LÄN</t>
        </is>
      </c>
      <c r="E2575" t="inlineStr">
        <is>
          <t>GÄLLIVARE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55180-2020</t>
        </is>
      </c>
      <c r="B2576" s="1" t="n">
        <v>44130</v>
      </c>
      <c r="C2576" s="1" t="n">
        <v>45798</v>
      </c>
      <c r="D2576" t="inlineStr">
        <is>
          <t>NORRBOTTENS LÄN</t>
        </is>
      </c>
      <c r="E2576" t="inlineStr">
        <is>
          <t>GÄLLIVARE</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55230-2020</t>
        </is>
      </c>
      <c r="B2577" s="1" t="n">
        <v>44130</v>
      </c>
      <c r="C2577" s="1" t="n">
        <v>45798</v>
      </c>
      <c r="D2577" t="inlineStr">
        <is>
          <t>NORRBOTTENS LÄN</t>
        </is>
      </c>
      <c r="E2577" t="inlineStr">
        <is>
          <t>ÖVERTORNEÅ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55222-2020</t>
        </is>
      </c>
      <c r="B2578" s="1" t="n">
        <v>44130</v>
      </c>
      <c r="C2578" s="1" t="n">
        <v>45798</v>
      </c>
      <c r="D2578" t="inlineStr">
        <is>
          <t>NORRBOTTENS LÄN</t>
        </is>
      </c>
      <c r="E2578" t="inlineStr">
        <is>
          <t>ÖVERTORNEÅ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55105-2020</t>
        </is>
      </c>
      <c r="B2579" s="1" t="n">
        <v>44130</v>
      </c>
      <c r="C2579" s="1" t="n">
        <v>45798</v>
      </c>
      <c r="D2579" t="inlineStr">
        <is>
          <t>NORRBOTTENS LÄN</t>
        </is>
      </c>
      <c r="E2579" t="inlineStr">
        <is>
          <t>KALIX</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55300-2020</t>
        </is>
      </c>
      <c r="B2580" s="1" t="n">
        <v>44130</v>
      </c>
      <c r="C2580" s="1" t="n">
        <v>45798</v>
      </c>
      <c r="D2580" t="inlineStr">
        <is>
          <t>NORRBOTTENS LÄN</t>
        </is>
      </c>
      <c r="E2580" t="inlineStr">
        <is>
          <t>KALIX</t>
        </is>
      </c>
      <c r="G2580" t="n">
        <v>16.4</v>
      </c>
      <c r="H2580" t="n">
        <v>0</v>
      </c>
      <c r="I2580" t="n">
        <v>0</v>
      </c>
      <c r="J2580" t="n">
        <v>0</v>
      </c>
      <c r="K2580" t="n">
        <v>0</v>
      </c>
      <c r="L2580" t="n">
        <v>0</v>
      </c>
      <c r="M2580" t="n">
        <v>0</v>
      </c>
      <c r="N2580" t="n">
        <v>0</v>
      </c>
      <c r="O2580" t="n">
        <v>0</v>
      </c>
      <c r="P2580" t="n">
        <v>0</v>
      </c>
      <c r="Q2580" t="n">
        <v>0</v>
      </c>
      <c r="R2580" s="2" t="inlineStr"/>
    </row>
    <row r="2581" ht="15" customHeight="1">
      <c r="A2581" t="inlineStr">
        <is>
          <t>A 55518-2020</t>
        </is>
      </c>
      <c r="B2581" s="1" t="n">
        <v>44130</v>
      </c>
      <c r="C2581" s="1" t="n">
        <v>45798</v>
      </c>
      <c r="D2581" t="inlineStr">
        <is>
          <t>NORRBOTTENS LÄN</t>
        </is>
      </c>
      <c r="E2581" t="inlineStr">
        <is>
          <t>ÖVERTORNEÅ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55361-2020</t>
        </is>
      </c>
      <c r="B2582" s="1" t="n">
        <v>44131</v>
      </c>
      <c r="C2582" s="1" t="n">
        <v>45798</v>
      </c>
      <c r="D2582" t="inlineStr">
        <is>
          <t>NORRBOTTENS LÄN</t>
        </is>
      </c>
      <c r="E2582" t="inlineStr">
        <is>
          <t>KALIX</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55542-2020</t>
        </is>
      </c>
      <c r="B2583" s="1" t="n">
        <v>44131</v>
      </c>
      <c r="C2583" s="1" t="n">
        <v>45798</v>
      </c>
      <c r="D2583" t="inlineStr">
        <is>
          <t>NORRBOTTENS LÄN</t>
        </is>
      </c>
      <c r="E2583" t="inlineStr">
        <is>
          <t>ARVIDSJAUR</t>
        </is>
      </c>
      <c r="F2583" t="inlineStr">
        <is>
          <t>Sveaskog</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55545-2020</t>
        </is>
      </c>
      <c r="B2584" s="1" t="n">
        <v>44131</v>
      </c>
      <c r="C2584" s="1" t="n">
        <v>45798</v>
      </c>
      <c r="D2584" t="inlineStr">
        <is>
          <t>NORRBOTTENS LÄN</t>
        </is>
      </c>
      <c r="E2584" t="inlineStr">
        <is>
          <t>PAJALA</t>
        </is>
      </c>
      <c r="G2584" t="n">
        <v>12.4</v>
      </c>
      <c r="H2584" t="n">
        <v>0</v>
      </c>
      <c r="I2584" t="n">
        <v>0</v>
      </c>
      <c r="J2584" t="n">
        <v>0</v>
      </c>
      <c r="K2584" t="n">
        <v>0</v>
      </c>
      <c r="L2584" t="n">
        <v>0</v>
      </c>
      <c r="M2584" t="n">
        <v>0</v>
      </c>
      <c r="N2584" t="n">
        <v>0</v>
      </c>
      <c r="O2584" t="n">
        <v>0</v>
      </c>
      <c r="P2584" t="n">
        <v>0</v>
      </c>
      <c r="Q2584" t="n">
        <v>0</v>
      </c>
      <c r="R2584" s="2" t="inlineStr"/>
    </row>
    <row r="2585" ht="15" customHeight="1">
      <c r="A2585" t="inlineStr">
        <is>
          <t>A 55873-2020</t>
        </is>
      </c>
      <c r="B2585" s="1" t="n">
        <v>44131</v>
      </c>
      <c r="C2585" s="1" t="n">
        <v>45798</v>
      </c>
      <c r="D2585" t="inlineStr">
        <is>
          <t>NORRBOTTENS LÄN</t>
        </is>
      </c>
      <c r="E2585" t="inlineStr">
        <is>
          <t>ÄLVSBYN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55785-2020</t>
        </is>
      </c>
      <c r="B2586" s="1" t="n">
        <v>44131</v>
      </c>
      <c r="C2586" s="1" t="n">
        <v>45798</v>
      </c>
      <c r="D2586" t="inlineStr">
        <is>
          <t>NORRBOTTENS LÄN</t>
        </is>
      </c>
      <c r="E2586" t="inlineStr">
        <is>
          <t>PAJALA</t>
        </is>
      </c>
      <c r="G2586" t="n">
        <v>22.2</v>
      </c>
      <c r="H2586" t="n">
        <v>0</v>
      </c>
      <c r="I2586" t="n">
        <v>0</v>
      </c>
      <c r="J2586" t="n">
        <v>0</v>
      </c>
      <c r="K2586" t="n">
        <v>0</v>
      </c>
      <c r="L2586" t="n">
        <v>0</v>
      </c>
      <c r="M2586" t="n">
        <v>0</v>
      </c>
      <c r="N2586" t="n">
        <v>0</v>
      </c>
      <c r="O2586" t="n">
        <v>0</v>
      </c>
      <c r="P2586" t="n">
        <v>0</v>
      </c>
      <c r="Q2586" t="n">
        <v>0</v>
      </c>
      <c r="R2586" s="2" t="inlineStr"/>
    </row>
    <row r="2587" ht="15" customHeight="1">
      <c r="A2587" t="inlineStr">
        <is>
          <t>A 55702-2020</t>
        </is>
      </c>
      <c r="B2587" s="1" t="n">
        <v>44132</v>
      </c>
      <c r="C2587" s="1" t="n">
        <v>45798</v>
      </c>
      <c r="D2587" t="inlineStr">
        <is>
          <t>NORRBOTTENS LÄN</t>
        </is>
      </c>
      <c r="E2587" t="inlineStr">
        <is>
          <t>ARVIDSJAUR</t>
        </is>
      </c>
      <c r="F2587" t="inlineStr">
        <is>
          <t>Övriga Aktiebolag</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55830-2020</t>
        </is>
      </c>
      <c r="B2588" s="1" t="n">
        <v>44132</v>
      </c>
      <c r="C2588" s="1" t="n">
        <v>45798</v>
      </c>
      <c r="D2588" t="inlineStr">
        <is>
          <t>NORRBOTTENS LÄN</t>
        </is>
      </c>
      <c r="E2588" t="inlineStr">
        <is>
          <t>ARVIDSJAUR</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56024-2020</t>
        </is>
      </c>
      <c r="B2589" s="1" t="n">
        <v>44132</v>
      </c>
      <c r="C2589" s="1" t="n">
        <v>45798</v>
      </c>
      <c r="D2589" t="inlineStr">
        <is>
          <t>NORRBOTTENS LÄN</t>
        </is>
      </c>
      <c r="E2589" t="inlineStr">
        <is>
          <t>ÖVERTORNEÅ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3735-2021</t>
        </is>
      </c>
      <c r="B2590" s="1" t="n">
        <v>44132</v>
      </c>
      <c r="C2590" s="1" t="n">
        <v>45798</v>
      </c>
      <c r="D2590" t="inlineStr">
        <is>
          <t>NORRBOTTENS LÄN</t>
        </is>
      </c>
      <c r="E2590" t="inlineStr">
        <is>
          <t>PAJALA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56093-2020</t>
        </is>
      </c>
      <c r="B2591" s="1" t="n">
        <v>44132</v>
      </c>
      <c r="C2591" s="1" t="n">
        <v>45798</v>
      </c>
      <c r="D2591" t="inlineStr">
        <is>
          <t>NORRBOTTENS LÄN</t>
        </is>
      </c>
      <c r="E2591" t="inlineStr">
        <is>
          <t>PITEÅ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56125-2020</t>
        </is>
      </c>
      <c r="B2592" s="1" t="n">
        <v>44133</v>
      </c>
      <c r="C2592" s="1" t="n">
        <v>45798</v>
      </c>
      <c r="D2592" t="inlineStr">
        <is>
          <t>NORRBOTTENS LÄN</t>
        </is>
      </c>
      <c r="E2592" t="inlineStr">
        <is>
          <t>HAPARANDA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56137-2020</t>
        </is>
      </c>
      <c r="B2593" s="1" t="n">
        <v>44133</v>
      </c>
      <c r="C2593" s="1" t="n">
        <v>45798</v>
      </c>
      <c r="D2593" t="inlineStr">
        <is>
          <t>NORRBOTTENS LÄN</t>
        </is>
      </c>
      <c r="E2593" t="inlineStr">
        <is>
          <t>HAPARANDA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56116-2020</t>
        </is>
      </c>
      <c r="B2594" s="1" t="n">
        <v>44133</v>
      </c>
      <c r="C2594" s="1" t="n">
        <v>45798</v>
      </c>
      <c r="D2594" t="inlineStr">
        <is>
          <t>NORRBOTTENS LÄN</t>
        </is>
      </c>
      <c r="E2594" t="inlineStr">
        <is>
          <t>HAPARANDA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56143-2020</t>
        </is>
      </c>
      <c r="B2595" s="1" t="n">
        <v>44133</v>
      </c>
      <c r="C2595" s="1" t="n">
        <v>45798</v>
      </c>
      <c r="D2595" t="inlineStr">
        <is>
          <t>NORRBOTTENS LÄN</t>
        </is>
      </c>
      <c r="E2595" t="inlineStr">
        <is>
          <t>HAPARANDA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56086-2020</t>
        </is>
      </c>
      <c r="B2596" s="1" t="n">
        <v>44133</v>
      </c>
      <c r="C2596" s="1" t="n">
        <v>45798</v>
      </c>
      <c r="D2596" t="inlineStr">
        <is>
          <t>NORRBOTTENS LÄN</t>
        </is>
      </c>
      <c r="E2596" t="inlineStr">
        <is>
          <t>HAPARANDA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56111-2020</t>
        </is>
      </c>
      <c r="B2597" s="1" t="n">
        <v>44133</v>
      </c>
      <c r="C2597" s="1" t="n">
        <v>45798</v>
      </c>
      <c r="D2597" t="inlineStr">
        <is>
          <t>NORRBOTTENS LÄN</t>
        </is>
      </c>
      <c r="E2597" t="inlineStr">
        <is>
          <t>HAPARANDA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56131-2020</t>
        </is>
      </c>
      <c r="B2598" s="1" t="n">
        <v>44133</v>
      </c>
      <c r="C2598" s="1" t="n">
        <v>45798</v>
      </c>
      <c r="D2598" t="inlineStr">
        <is>
          <t>NORRBOTTENS LÄN</t>
        </is>
      </c>
      <c r="E2598" t="inlineStr">
        <is>
          <t>HAPARANDA</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56851-2020</t>
        </is>
      </c>
      <c r="B2599" s="1" t="n">
        <v>44133</v>
      </c>
      <c r="C2599" s="1" t="n">
        <v>45798</v>
      </c>
      <c r="D2599" t="inlineStr">
        <is>
          <t>NORRBOTTENS LÄN</t>
        </is>
      </c>
      <c r="E2599" t="inlineStr">
        <is>
          <t>JOKKMOKK</t>
        </is>
      </c>
      <c r="F2599" t="inlineStr">
        <is>
          <t>Övriga Aktiebolag</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56363-2020</t>
        </is>
      </c>
      <c r="B2600" s="1" t="n">
        <v>44135</v>
      </c>
      <c r="C2600" s="1" t="n">
        <v>45798</v>
      </c>
      <c r="D2600" t="inlineStr">
        <is>
          <t>NORRBOTTENS LÄN</t>
        </is>
      </c>
      <c r="E2600" t="inlineStr">
        <is>
          <t>ÖVERTORNEÅ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57090-2020</t>
        </is>
      </c>
      <c r="B2601" s="1" t="n">
        <v>44138</v>
      </c>
      <c r="C2601" s="1" t="n">
        <v>45798</v>
      </c>
      <c r="D2601" t="inlineStr">
        <is>
          <t>NORRBOTTENS LÄN</t>
        </is>
      </c>
      <c r="E2601" t="inlineStr">
        <is>
          <t>KALIX</t>
        </is>
      </c>
      <c r="F2601" t="inlineStr">
        <is>
          <t>SCA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57183-2020</t>
        </is>
      </c>
      <c r="B2602" s="1" t="n">
        <v>44138</v>
      </c>
      <c r="C2602" s="1" t="n">
        <v>45798</v>
      </c>
      <c r="D2602" t="inlineStr">
        <is>
          <t>NORRBOTTENS LÄN</t>
        </is>
      </c>
      <c r="E2602" t="inlineStr">
        <is>
          <t>JOKKMOKK</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57089-2020</t>
        </is>
      </c>
      <c r="B2603" s="1" t="n">
        <v>44138</v>
      </c>
      <c r="C2603" s="1" t="n">
        <v>45798</v>
      </c>
      <c r="D2603" t="inlineStr">
        <is>
          <t>NORRBOTTENS LÄN</t>
        </is>
      </c>
      <c r="E2603" t="inlineStr">
        <is>
          <t>BODEN</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57485-2020</t>
        </is>
      </c>
      <c r="B2604" s="1" t="n">
        <v>44139</v>
      </c>
      <c r="C2604" s="1" t="n">
        <v>45798</v>
      </c>
      <c r="D2604" t="inlineStr">
        <is>
          <t>NORRBOTTENS LÄN</t>
        </is>
      </c>
      <c r="E2604" t="inlineStr">
        <is>
          <t>PITEÅ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57737-2020</t>
        </is>
      </c>
      <c r="B2605" s="1" t="n">
        <v>44140</v>
      </c>
      <c r="C2605" s="1" t="n">
        <v>45798</v>
      </c>
      <c r="D2605" t="inlineStr">
        <is>
          <t>NORRBOTTENS LÄN</t>
        </is>
      </c>
      <c r="E2605" t="inlineStr">
        <is>
          <t>JOKKMOKK</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58346-2020</t>
        </is>
      </c>
      <c r="B2606" s="1" t="n">
        <v>44141</v>
      </c>
      <c r="C2606" s="1" t="n">
        <v>45798</v>
      </c>
      <c r="D2606" t="inlineStr">
        <is>
          <t>NORRBOTTENS LÄN</t>
        </is>
      </c>
      <c r="E2606" t="inlineStr">
        <is>
          <t>PITEÅ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58337-2020</t>
        </is>
      </c>
      <c r="B2607" s="1" t="n">
        <v>44141</v>
      </c>
      <c r="C2607" s="1" t="n">
        <v>45798</v>
      </c>
      <c r="D2607" t="inlineStr">
        <is>
          <t>NORRBOTTENS LÄN</t>
        </is>
      </c>
      <c r="E2607" t="inlineStr">
        <is>
          <t>PITEÅ</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57988-2020</t>
        </is>
      </c>
      <c r="B2608" s="1" t="n">
        <v>44143</v>
      </c>
      <c r="C2608" s="1" t="n">
        <v>45798</v>
      </c>
      <c r="D2608" t="inlineStr">
        <is>
          <t>NORRBOTTENS LÄN</t>
        </is>
      </c>
      <c r="E2608" t="inlineStr">
        <is>
          <t>BODEN</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58384-2020</t>
        </is>
      </c>
      <c r="B2609" s="1" t="n">
        <v>44144</v>
      </c>
      <c r="C2609" s="1" t="n">
        <v>45798</v>
      </c>
      <c r="D2609" t="inlineStr">
        <is>
          <t>NORRBOTTENS LÄN</t>
        </is>
      </c>
      <c r="E2609" t="inlineStr">
        <is>
          <t>GÄLLIVARE</t>
        </is>
      </c>
      <c r="F2609" t="inlineStr">
        <is>
          <t>Allmännings- och besparingsskogar</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58468-2020</t>
        </is>
      </c>
      <c r="B2610" s="1" t="n">
        <v>44144</v>
      </c>
      <c r="C2610" s="1" t="n">
        <v>45798</v>
      </c>
      <c r="D2610" t="inlineStr">
        <is>
          <t>NORRBOTTENS LÄN</t>
        </is>
      </c>
      <c r="E2610" t="inlineStr">
        <is>
          <t>HAPARANDA</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58578-2020</t>
        </is>
      </c>
      <c r="B2611" s="1" t="n">
        <v>44144</v>
      </c>
      <c r="C2611" s="1" t="n">
        <v>45798</v>
      </c>
      <c r="D2611" t="inlineStr">
        <is>
          <t>NORRBOTTENS LÄN</t>
        </is>
      </c>
      <c r="E2611" t="inlineStr">
        <is>
          <t>JOKKMOKK</t>
        </is>
      </c>
      <c r="F2611" t="inlineStr">
        <is>
          <t>Övriga statliga verk och myndigheter</t>
        </is>
      </c>
      <c r="G2611" t="n">
        <v>20.4</v>
      </c>
      <c r="H2611" t="n">
        <v>0</v>
      </c>
      <c r="I2611" t="n">
        <v>0</v>
      </c>
      <c r="J2611" t="n">
        <v>0</v>
      </c>
      <c r="K2611" t="n">
        <v>0</v>
      </c>
      <c r="L2611" t="n">
        <v>0</v>
      </c>
      <c r="M2611" t="n">
        <v>0</v>
      </c>
      <c r="N2611" t="n">
        <v>0</v>
      </c>
      <c r="O2611" t="n">
        <v>0</v>
      </c>
      <c r="P2611" t="n">
        <v>0</v>
      </c>
      <c r="Q2611" t="n">
        <v>0</v>
      </c>
      <c r="R2611" s="2" t="inlineStr"/>
    </row>
    <row r="2612" ht="15" customHeight="1">
      <c r="A2612" t="inlineStr">
        <is>
          <t>A 58409-2020</t>
        </is>
      </c>
      <c r="B2612" s="1" t="n">
        <v>44144</v>
      </c>
      <c r="C2612" s="1" t="n">
        <v>45798</v>
      </c>
      <c r="D2612" t="inlineStr">
        <is>
          <t>NORRBOTTENS LÄN</t>
        </is>
      </c>
      <c r="E2612" t="inlineStr">
        <is>
          <t>GÄLLIVARE</t>
        </is>
      </c>
      <c r="F2612" t="inlineStr">
        <is>
          <t>Allmännings- och besparingsskogar</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59103-2020</t>
        </is>
      </c>
      <c r="B2613" s="1" t="n">
        <v>44147</v>
      </c>
      <c r="C2613" s="1" t="n">
        <v>45798</v>
      </c>
      <c r="D2613" t="inlineStr">
        <is>
          <t>NORRBOTTENS LÄN</t>
        </is>
      </c>
      <c r="E2613" t="inlineStr">
        <is>
          <t>JOKKMOKK</t>
        </is>
      </c>
      <c r="F2613" t="inlineStr">
        <is>
          <t>Allmännings- och besparingsskogar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59122-2020</t>
        </is>
      </c>
      <c r="B2614" s="1" t="n">
        <v>44147</v>
      </c>
      <c r="C2614" s="1" t="n">
        <v>45798</v>
      </c>
      <c r="D2614" t="inlineStr">
        <is>
          <t>NORRBOTTENS LÄN</t>
        </is>
      </c>
      <c r="E2614" t="inlineStr">
        <is>
          <t>PAJALA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59128-2020</t>
        </is>
      </c>
      <c r="B2615" s="1" t="n">
        <v>44147</v>
      </c>
      <c r="C2615" s="1" t="n">
        <v>45798</v>
      </c>
      <c r="D2615" t="inlineStr">
        <is>
          <t>NORRBOTTENS LÄN</t>
        </is>
      </c>
      <c r="E2615" t="inlineStr">
        <is>
          <t>PAJALA</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59153-2020</t>
        </is>
      </c>
      <c r="B2616" s="1" t="n">
        <v>44147</v>
      </c>
      <c r="C2616" s="1" t="n">
        <v>45798</v>
      </c>
      <c r="D2616" t="inlineStr">
        <is>
          <t>NORRBOTTENS LÄN</t>
        </is>
      </c>
      <c r="E2616" t="inlineStr">
        <is>
          <t>ÄLVSBYN</t>
        </is>
      </c>
      <c r="F2616" t="inlineStr">
        <is>
          <t>Sveaskog</t>
        </is>
      </c>
      <c r="G2616" t="n">
        <v>10.9</v>
      </c>
      <c r="H2616" t="n">
        <v>0</v>
      </c>
      <c r="I2616" t="n">
        <v>0</v>
      </c>
      <c r="J2616" t="n">
        <v>0</v>
      </c>
      <c r="K2616" t="n">
        <v>0</v>
      </c>
      <c r="L2616" t="n">
        <v>0</v>
      </c>
      <c r="M2616" t="n">
        <v>0</v>
      </c>
      <c r="N2616" t="n">
        <v>0</v>
      </c>
      <c r="O2616" t="n">
        <v>0</v>
      </c>
      <c r="P2616" t="n">
        <v>0</v>
      </c>
      <c r="Q2616" t="n">
        <v>0</v>
      </c>
      <c r="R2616" s="2" t="inlineStr"/>
    </row>
    <row r="2617" ht="15" customHeight="1">
      <c r="A2617" t="inlineStr">
        <is>
          <t>A 59126-2020</t>
        </is>
      </c>
      <c r="B2617" s="1" t="n">
        <v>44147</v>
      </c>
      <c r="C2617" s="1" t="n">
        <v>45798</v>
      </c>
      <c r="D2617" t="inlineStr">
        <is>
          <t>NORRBOTTENS LÄN</t>
        </is>
      </c>
      <c r="E2617" t="inlineStr">
        <is>
          <t>PAJALA</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59282-2020</t>
        </is>
      </c>
      <c r="B2618" s="1" t="n">
        <v>44147</v>
      </c>
      <c r="C2618" s="1" t="n">
        <v>45798</v>
      </c>
      <c r="D2618" t="inlineStr">
        <is>
          <t>NORRBOTTENS LÄN</t>
        </is>
      </c>
      <c r="E2618" t="inlineStr">
        <is>
          <t>PAJALA</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59464-2020</t>
        </is>
      </c>
      <c r="B2619" s="1" t="n">
        <v>44148</v>
      </c>
      <c r="C2619" s="1" t="n">
        <v>45798</v>
      </c>
      <c r="D2619" t="inlineStr">
        <is>
          <t>NORRBOTTENS LÄN</t>
        </is>
      </c>
      <c r="E2619" t="inlineStr">
        <is>
          <t>ÄLVSBYN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59922-2020</t>
        </is>
      </c>
      <c r="B2620" s="1" t="n">
        <v>44148</v>
      </c>
      <c r="C2620" s="1" t="n">
        <v>45798</v>
      </c>
      <c r="D2620" t="inlineStr">
        <is>
          <t>NORRBOTTENS LÄN</t>
        </is>
      </c>
      <c r="E2620" t="inlineStr">
        <is>
          <t>ARVIDSJAUR</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59747-2020</t>
        </is>
      </c>
      <c r="B2621" s="1" t="n">
        <v>44148</v>
      </c>
      <c r="C2621" s="1" t="n">
        <v>45798</v>
      </c>
      <c r="D2621" t="inlineStr">
        <is>
          <t>NORRBOTTENS LÄN</t>
        </is>
      </c>
      <c r="E2621" t="inlineStr">
        <is>
          <t>LULEÅ</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59858-2020</t>
        </is>
      </c>
      <c r="B2622" s="1" t="n">
        <v>44148</v>
      </c>
      <c r="C2622" s="1" t="n">
        <v>45798</v>
      </c>
      <c r="D2622" t="inlineStr">
        <is>
          <t>NORRBOTTENS LÄN</t>
        </is>
      </c>
      <c r="E2622" t="inlineStr">
        <is>
          <t>LULEÅ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59929-2020</t>
        </is>
      </c>
      <c r="B2623" s="1" t="n">
        <v>44148</v>
      </c>
      <c r="C2623" s="1" t="n">
        <v>45798</v>
      </c>
      <c r="D2623" t="inlineStr">
        <is>
          <t>NORRBOTTENS LÄN</t>
        </is>
      </c>
      <c r="E2623" t="inlineStr">
        <is>
          <t>ARVIDSJAUR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59775-2020</t>
        </is>
      </c>
      <c r="B2624" s="1" t="n">
        <v>44151</v>
      </c>
      <c r="C2624" s="1" t="n">
        <v>45798</v>
      </c>
      <c r="D2624" t="inlineStr">
        <is>
          <t>NORRBOTTENS LÄN</t>
        </is>
      </c>
      <c r="E2624" t="inlineStr">
        <is>
          <t>BODEN</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60142-2020</t>
        </is>
      </c>
      <c r="B2625" s="1" t="n">
        <v>44151</v>
      </c>
      <c r="C2625" s="1" t="n">
        <v>45798</v>
      </c>
      <c r="D2625" t="inlineStr">
        <is>
          <t>NORRBOTTENS LÄN</t>
        </is>
      </c>
      <c r="E2625" t="inlineStr">
        <is>
          <t>JOKKMOKK</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60121-2020</t>
        </is>
      </c>
      <c r="B2626" s="1" t="n">
        <v>44151</v>
      </c>
      <c r="C2626" s="1" t="n">
        <v>45798</v>
      </c>
      <c r="D2626" t="inlineStr">
        <is>
          <t>NORRBOTTENS LÄN</t>
        </is>
      </c>
      <c r="E2626" t="inlineStr">
        <is>
          <t>PAJALA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60106-2020</t>
        </is>
      </c>
      <c r="B2627" s="1" t="n">
        <v>44151</v>
      </c>
      <c r="C2627" s="1" t="n">
        <v>45798</v>
      </c>
      <c r="D2627" t="inlineStr">
        <is>
          <t>NORRBOTTENS LÄN</t>
        </is>
      </c>
      <c r="E2627" t="inlineStr">
        <is>
          <t>PAJALA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60047-2020</t>
        </is>
      </c>
      <c r="B2628" s="1" t="n">
        <v>44151</v>
      </c>
      <c r="C2628" s="1" t="n">
        <v>45798</v>
      </c>
      <c r="D2628" t="inlineStr">
        <is>
          <t>NORRBOTTENS LÄN</t>
        </is>
      </c>
      <c r="E2628" t="inlineStr">
        <is>
          <t>BODEN</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59926-2020</t>
        </is>
      </c>
      <c r="B2629" s="1" t="n">
        <v>44151</v>
      </c>
      <c r="C2629" s="1" t="n">
        <v>45798</v>
      </c>
      <c r="D2629" t="inlineStr">
        <is>
          <t>NORRBOTTENS LÄN</t>
        </is>
      </c>
      <c r="E2629" t="inlineStr">
        <is>
          <t>ARVIDSJAUR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60115-2020</t>
        </is>
      </c>
      <c r="B2630" s="1" t="n">
        <v>44151</v>
      </c>
      <c r="C2630" s="1" t="n">
        <v>45798</v>
      </c>
      <c r="D2630" t="inlineStr">
        <is>
          <t>NORRBOTTENS LÄN</t>
        </is>
      </c>
      <c r="E2630" t="inlineStr">
        <is>
          <t>PAJALA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60642-2020</t>
        </is>
      </c>
      <c r="B2631" s="1" t="n">
        <v>44152</v>
      </c>
      <c r="C2631" s="1" t="n">
        <v>45798</v>
      </c>
      <c r="D2631" t="inlineStr">
        <is>
          <t>NORRBOTTENS LÄN</t>
        </is>
      </c>
      <c r="E2631" t="inlineStr">
        <is>
          <t>LULEÅ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60602-2020</t>
        </is>
      </c>
      <c r="B2632" s="1" t="n">
        <v>44153</v>
      </c>
      <c r="C2632" s="1" t="n">
        <v>45798</v>
      </c>
      <c r="D2632" t="inlineStr">
        <is>
          <t>NORRBOTTENS LÄN</t>
        </is>
      </c>
      <c r="E2632" t="inlineStr">
        <is>
          <t>ÖVERKALIX</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60984-2020</t>
        </is>
      </c>
      <c r="B2633" s="1" t="n">
        <v>44153</v>
      </c>
      <c r="C2633" s="1" t="n">
        <v>45798</v>
      </c>
      <c r="D2633" t="inlineStr">
        <is>
          <t>NORRBOTTENS LÄN</t>
        </is>
      </c>
      <c r="E2633" t="inlineStr">
        <is>
          <t>BODEN</t>
        </is>
      </c>
      <c r="F2633" t="inlineStr">
        <is>
          <t>Kyrkan</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60919-2020</t>
        </is>
      </c>
      <c r="B2634" s="1" t="n">
        <v>44153</v>
      </c>
      <c r="C2634" s="1" t="n">
        <v>45798</v>
      </c>
      <c r="D2634" t="inlineStr">
        <is>
          <t>NORRBOTTENS LÄN</t>
        </is>
      </c>
      <c r="E2634" t="inlineStr">
        <is>
          <t>ÖVERTORNEÅ</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60801-2020</t>
        </is>
      </c>
      <c r="B2635" s="1" t="n">
        <v>44154</v>
      </c>
      <c r="C2635" s="1" t="n">
        <v>45798</v>
      </c>
      <c r="D2635" t="inlineStr">
        <is>
          <t>NORRBOTTENS LÄN</t>
        </is>
      </c>
      <c r="E2635" t="inlineStr">
        <is>
          <t>HAPARANDA</t>
        </is>
      </c>
      <c r="G2635" t="n">
        <v>16.6</v>
      </c>
      <c r="H2635" t="n">
        <v>0</v>
      </c>
      <c r="I2635" t="n">
        <v>0</v>
      </c>
      <c r="J2635" t="n">
        <v>0</v>
      </c>
      <c r="K2635" t="n">
        <v>0</v>
      </c>
      <c r="L2635" t="n">
        <v>0</v>
      </c>
      <c r="M2635" t="n">
        <v>0</v>
      </c>
      <c r="N2635" t="n">
        <v>0</v>
      </c>
      <c r="O2635" t="n">
        <v>0</v>
      </c>
      <c r="P2635" t="n">
        <v>0</v>
      </c>
      <c r="Q2635" t="n">
        <v>0</v>
      </c>
      <c r="R2635" s="2" t="inlineStr"/>
    </row>
    <row r="2636" ht="15" customHeight="1">
      <c r="A2636" t="inlineStr">
        <is>
          <t>A 60979-2020</t>
        </is>
      </c>
      <c r="B2636" s="1" t="n">
        <v>44154</v>
      </c>
      <c r="C2636" s="1" t="n">
        <v>45798</v>
      </c>
      <c r="D2636" t="inlineStr">
        <is>
          <t>NORRBOTTENS LÄN</t>
        </is>
      </c>
      <c r="E2636" t="inlineStr">
        <is>
          <t>KIRUNA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60807-2020</t>
        </is>
      </c>
      <c r="B2637" s="1" t="n">
        <v>44154</v>
      </c>
      <c r="C2637" s="1" t="n">
        <v>45798</v>
      </c>
      <c r="D2637" t="inlineStr">
        <is>
          <t>NORRBOTTENS LÄN</t>
        </is>
      </c>
      <c r="E2637" t="inlineStr">
        <is>
          <t>HAPARANDA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61072-2020</t>
        </is>
      </c>
      <c r="B2638" s="1" t="n">
        <v>44154</v>
      </c>
      <c r="C2638" s="1" t="n">
        <v>45798</v>
      </c>
      <c r="D2638" t="inlineStr">
        <is>
          <t>NORRBOTTENS LÄN</t>
        </is>
      </c>
      <c r="E2638" t="inlineStr">
        <is>
          <t>LULEÅ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61328-2020</t>
        </is>
      </c>
      <c r="B2639" s="1" t="n">
        <v>44154</v>
      </c>
      <c r="C2639" s="1" t="n">
        <v>45798</v>
      </c>
      <c r="D2639" t="inlineStr">
        <is>
          <t>NORRBOTTENS LÄN</t>
        </is>
      </c>
      <c r="E2639" t="inlineStr">
        <is>
          <t>BODEN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61272-2020</t>
        </is>
      </c>
      <c r="B2640" s="1" t="n">
        <v>44154</v>
      </c>
      <c r="C2640" s="1" t="n">
        <v>45798</v>
      </c>
      <c r="D2640" t="inlineStr">
        <is>
          <t>NORRBOTTENS LÄN</t>
        </is>
      </c>
      <c r="E2640" t="inlineStr">
        <is>
          <t>ARJEPLOG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61050-2020</t>
        </is>
      </c>
      <c r="B2641" s="1" t="n">
        <v>44154</v>
      </c>
      <c r="C2641" s="1" t="n">
        <v>45798</v>
      </c>
      <c r="D2641" t="inlineStr">
        <is>
          <t>NORRBOTTENS LÄN</t>
        </is>
      </c>
      <c r="E2641" t="inlineStr">
        <is>
          <t>ARJEPLOG</t>
        </is>
      </c>
      <c r="F2641" t="inlineStr">
        <is>
          <t>Övriga statliga verk och myndigheter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61598-2020</t>
        </is>
      </c>
      <c r="B2642" s="1" t="n">
        <v>44154</v>
      </c>
      <c r="C2642" s="1" t="n">
        <v>45798</v>
      </c>
      <c r="D2642" t="inlineStr">
        <is>
          <t>NORRBOTTENS LÄN</t>
        </is>
      </c>
      <c r="E2642" t="inlineStr">
        <is>
          <t>LULEÅ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61600-2020</t>
        </is>
      </c>
      <c r="B2643" s="1" t="n">
        <v>44154</v>
      </c>
      <c r="C2643" s="1" t="n">
        <v>45798</v>
      </c>
      <c r="D2643" t="inlineStr">
        <is>
          <t>NORRBOTTENS LÄN</t>
        </is>
      </c>
      <c r="E2643" t="inlineStr">
        <is>
          <t>LULEÅ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61895-2020</t>
        </is>
      </c>
      <c r="B2644" s="1" t="n">
        <v>44155</v>
      </c>
      <c r="C2644" s="1" t="n">
        <v>45798</v>
      </c>
      <c r="D2644" t="inlineStr">
        <is>
          <t>NORRBOTTENS LÄN</t>
        </is>
      </c>
      <c r="E2644" t="inlineStr">
        <is>
          <t>PAJALA</t>
        </is>
      </c>
      <c r="G2644" t="n">
        <v>20.1</v>
      </c>
      <c r="H2644" t="n">
        <v>0</v>
      </c>
      <c r="I2644" t="n">
        <v>0</v>
      </c>
      <c r="J2644" t="n">
        <v>0</v>
      </c>
      <c r="K2644" t="n">
        <v>0</v>
      </c>
      <c r="L2644" t="n">
        <v>0</v>
      </c>
      <c r="M2644" t="n">
        <v>0</v>
      </c>
      <c r="N2644" t="n">
        <v>0</v>
      </c>
      <c r="O2644" t="n">
        <v>0</v>
      </c>
      <c r="P2644" t="n">
        <v>0</v>
      </c>
      <c r="Q2644" t="n">
        <v>0</v>
      </c>
      <c r="R2644" s="2" t="inlineStr"/>
    </row>
    <row r="2645" ht="15" customHeight="1">
      <c r="A2645" t="inlineStr">
        <is>
          <t>A 61948-2020</t>
        </is>
      </c>
      <c r="B2645" s="1" t="n">
        <v>44155</v>
      </c>
      <c r="C2645" s="1" t="n">
        <v>45798</v>
      </c>
      <c r="D2645" t="inlineStr">
        <is>
          <t>NORRBOTTENS LÄN</t>
        </is>
      </c>
      <c r="E2645" t="inlineStr">
        <is>
          <t>PITEÅ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61490-2020</t>
        </is>
      </c>
      <c r="B2646" s="1" t="n">
        <v>44158</v>
      </c>
      <c r="C2646" s="1" t="n">
        <v>45798</v>
      </c>
      <c r="D2646" t="inlineStr">
        <is>
          <t>NORRBOTTENS LÄN</t>
        </is>
      </c>
      <c r="E2646" t="inlineStr">
        <is>
          <t>LULEÅ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62066-2020</t>
        </is>
      </c>
      <c r="B2647" s="1" t="n">
        <v>44158</v>
      </c>
      <c r="C2647" s="1" t="n">
        <v>45798</v>
      </c>
      <c r="D2647" t="inlineStr">
        <is>
          <t>NORRBOTTENS LÄN</t>
        </is>
      </c>
      <c r="E2647" t="inlineStr">
        <is>
          <t>BODEN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61831-2020</t>
        </is>
      </c>
      <c r="B2648" s="1" t="n">
        <v>44158</v>
      </c>
      <c r="C2648" s="1" t="n">
        <v>45798</v>
      </c>
      <c r="D2648" t="inlineStr">
        <is>
          <t>NORRBOTTENS LÄN</t>
        </is>
      </c>
      <c r="E2648" t="inlineStr">
        <is>
          <t>PAJALA</t>
        </is>
      </c>
      <c r="G2648" t="n">
        <v>22.2</v>
      </c>
      <c r="H2648" t="n">
        <v>0</v>
      </c>
      <c r="I2648" t="n">
        <v>0</v>
      </c>
      <c r="J2648" t="n">
        <v>0</v>
      </c>
      <c r="K2648" t="n">
        <v>0</v>
      </c>
      <c r="L2648" t="n">
        <v>0</v>
      </c>
      <c r="M2648" t="n">
        <v>0</v>
      </c>
      <c r="N2648" t="n">
        <v>0</v>
      </c>
      <c r="O2648" t="n">
        <v>0</v>
      </c>
      <c r="P2648" t="n">
        <v>0</v>
      </c>
      <c r="Q2648" t="n">
        <v>0</v>
      </c>
      <c r="R2648" s="2" t="inlineStr"/>
    </row>
    <row r="2649" ht="15" customHeight="1">
      <c r="A2649" t="inlineStr">
        <is>
          <t>A 62038-2020</t>
        </is>
      </c>
      <c r="B2649" s="1" t="n">
        <v>44158</v>
      </c>
      <c r="C2649" s="1" t="n">
        <v>45798</v>
      </c>
      <c r="D2649" t="inlineStr">
        <is>
          <t>NORRBOTTENS LÄN</t>
        </is>
      </c>
      <c r="E2649" t="inlineStr">
        <is>
          <t>JOKKMOKK</t>
        </is>
      </c>
      <c r="F2649" t="inlineStr">
        <is>
          <t>Övriga Aktiebolag</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62079-2020</t>
        </is>
      </c>
      <c r="B2650" s="1" t="n">
        <v>44158</v>
      </c>
      <c r="C2650" s="1" t="n">
        <v>45798</v>
      </c>
      <c r="D2650" t="inlineStr">
        <is>
          <t>NORRBOTTENS LÄN</t>
        </is>
      </c>
      <c r="E2650" t="inlineStr">
        <is>
          <t>BODEN</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62321-2020</t>
        </is>
      </c>
      <c r="B2651" s="1" t="n">
        <v>44158</v>
      </c>
      <c r="C2651" s="1" t="n">
        <v>45798</v>
      </c>
      <c r="D2651" t="inlineStr">
        <is>
          <t>NORRBOTTENS LÄN</t>
        </is>
      </c>
      <c r="E2651" t="inlineStr">
        <is>
          <t>BODEN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62068-2020</t>
        </is>
      </c>
      <c r="B2652" s="1" t="n">
        <v>44158</v>
      </c>
      <c r="C2652" s="1" t="n">
        <v>45798</v>
      </c>
      <c r="D2652" t="inlineStr">
        <is>
          <t>NORRBOTTENS LÄN</t>
        </is>
      </c>
      <c r="E2652" t="inlineStr">
        <is>
          <t>BODEN</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62022-2020</t>
        </is>
      </c>
      <c r="B2653" s="1" t="n">
        <v>44159</v>
      </c>
      <c r="C2653" s="1" t="n">
        <v>45798</v>
      </c>
      <c r="D2653" t="inlineStr">
        <is>
          <t>NORRBOTTENS LÄN</t>
        </is>
      </c>
      <c r="E2653" t="inlineStr">
        <is>
          <t>ÖVERKALIX</t>
        </is>
      </c>
      <c r="F2653" t="inlineStr">
        <is>
          <t>Sveaskog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62233-2020</t>
        </is>
      </c>
      <c r="B2654" s="1" t="n">
        <v>44159</v>
      </c>
      <c r="C2654" s="1" t="n">
        <v>45798</v>
      </c>
      <c r="D2654" t="inlineStr">
        <is>
          <t>NORRBOTTENS LÄN</t>
        </is>
      </c>
      <c r="E2654" t="inlineStr">
        <is>
          <t>JOKKMOKK</t>
        </is>
      </c>
      <c r="F2654" t="inlineStr">
        <is>
          <t>SCA</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62241-2020</t>
        </is>
      </c>
      <c r="B2655" s="1" t="n">
        <v>44160</v>
      </c>
      <c r="C2655" s="1" t="n">
        <v>45798</v>
      </c>
      <c r="D2655" t="inlineStr">
        <is>
          <t>NORRBOTTENS LÄN</t>
        </is>
      </c>
      <c r="E2655" t="inlineStr">
        <is>
          <t>ÖVERKALIX</t>
        </is>
      </c>
      <c r="F2655" t="inlineStr">
        <is>
          <t>Sveaskog</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62948-2020</t>
        </is>
      </c>
      <c r="B2656" s="1" t="n">
        <v>44160</v>
      </c>
      <c r="C2656" s="1" t="n">
        <v>45798</v>
      </c>
      <c r="D2656" t="inlineStr">
        <is>
          <t>NORRBOTTENS LÄN</t>
        </is>
      </c>
      <c r="E2656" t="inlineStr">
        <is>
          <t>KALIX</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62757-2020</t>
        </is>
      </c>
      <c r="B2657" s="1" t="n">
        <v>44161</v>
      </c>
      <c r="C2657" s="1" t="n">
        <v>45798</v>
      </c>
      <c r="D2657" t="inlineStr">
        <is>
          <t>NORRBOTTENS LÄN</t>
        </is>
      </c>
      <c r="E2657" t="inlineStr">
        <is>
          <t>JOKKMOKK</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62759-2020</t>
        </is>
      </c>
      <c r="B2658" s="1" t="n">
        <v>44161</v>
      </c>
      <c r="C2658" s="1" t="n">
        <v>45798</v>
      </c>
      <c r="D2658" t="inlineStr">
        <is>
          <t>NORRBOTTENS LÄN</t>
        </is>
      </c>
      <c r="E2658" t="inlineStr">
        <is>
          <t>JOKKMOKK</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62649-2020</t>
        </is>
      </c>
      <c r="B2659" s="1" t="n">
        <v>44161</v>
      </c>
      <c r="C2659" s="1" t="n">
        <v>45798</v>
      </c>
      <c r="D2659" t="inlineStr">
        <is>
          <t>NORRBOTTENS LÄN</t>
        </is>
      </c>
      <c r="E2659" t="inlineStr">
        <is>
          <t>KALIX</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63024-2020</t>
        </is>
      </c>
      <c r="B2660" s="1" t="n">
        <v>44162</v>
      </c>
      <c r="C2660" s="1" t="n">
        <v>45798</v>
      </c>
      <c r="D2660" t="inlineStr">
        <is>
          <t>NORRBOTTENS LÄN</t>
        </is>
      </c>
      <c r="E2660" t="inlineStr">
        <is>
          <t>LULEÅ</t>
        </is>
      </c>
      <c r="F2660" t="inlineStr">
        <is>
          <t>Kyrkan</t>
        </is>
      </c>
      <c r="G2660" t="n">
        <v>27.4</v>
      </c>
      <c r="H2660" t="n">
        <v>0</v>
      </c>
      <c r="I2660" t="n">
        <v>0</v>
      </c>
      <c r="J2660" t="n">
        <v>0</v>
      </c>
      <c r="K2660" t="n">
        <v>0</v>
      </c>
      <c r="L2660" t="n">
        <v>0</v>
      </c>
      <c r="M2660" t="n">
        <v>0</v>
      </c>
      <c r="N2660" t="n">
        <v>0</v>
      </c>
      <c r="O2660" t="n">
        <v>0</v>
      </c>
      <c r="P2660" t="n">
        <v>0</v>
      </c>
      <c r="Q2660" t="n">
        <v>0</v>
      </c>
      <c r="R2660" s="2" t="inlineStr"/>
    </row>
    <row r="2661" ht="15" customHeight="1">
      <c r="A2661" t="inlineStr">
        <is>
          <t>A 63112-2020</t>
        </is>
      </c>
      <c r="B2661" s="1" t="n">
        <v>44162</v>
      </c>
      <c r="C2661" s="1" t="n">
        <v>45798</v>
      </c>
      <c r="D2661" t="inlineStr">
        <is>
          <t>NORRBOTTENS LÄN</t>
        </is>
      </c>
      <c r="E2661" t="inlineStr">
        <is>
          <t>PITEÅ</t>
        </is>
      </c>
      <c r="F2661" t="inlineStr">
        <is>
          <t>Sveaskog</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63638-2020</t>
        </is>
      </c>
      <c r="B2662" s="1" t="n">
        <v>44162</v>
      </c>
      <c r="C2662" s="1" t="n">
        <v>45798</v>
      </c>
      <c r="D2662" t="inlineStr">
        <is>
          <t>NORRBOTTENS LÄN</t>
        </is>
      </c>
      <c r="E2662" t="inlineStr">
        <is>
          <t>ARVIDSJAUR</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63264-2020</t>
        </is>
      </c>
      <c r="B2663" s="1" t="n">
        <v>44164</v>
      </c>
      <c r="C2663" s="1" t="n">
        <v>45798</v>
      </c>
      <c r="D2663" t="inlineStr">
        <is>
          <t>NORRBOTTENS LÄN</t>
        </is>
      </c>
      <c r="E2663" t="inlineStr">
        <is>
          <t>BODEN</t>
        </is>
      </c>
      <c r="F2663" t="inlineStr">
        <is>
          <t>Kommuner</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63286-2020</t>
        </is>
      </c>
      <c r="B2664" s="1" t="n">
        <v>44165</v>
      </c>
      <c r="C2664" s="1" t="n">
        <v>45798</v>
      </c>
      <c r="D2664" t="inlineStr">
        <is>
          <t>NORRBOTTENS LÄN</t>
        </is>
      </c>
      <c r="E2664" t="inlineStr">
        <is>
          <t>BODEN</t>
        </is>
      </c>
      <c r="F2664" t="inlineStr">
        <is>
          <t>Sveaskog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63345-2020</t>
        </is>
      </c>
      <c r="B2665" s="1" t="n">
        <v>44165</v>
      </c>
      <c r="C2665" s="1" t="n">
        <v>45798</v>
      </c>
      <c r="D2665" t="inlineStr">
        <is>
          <t>NORRBOTTENS LÄN</t>
        </is>
      </c>
      <c r="E2665" t="inlineStr">
        <is>
          <t>KIRUNA</t>
        </is>
      </c>
      <c r="G2665" t="n">
        <v>80.09999999999999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63825-2020</t>
        </is>
      </c>
      <c r="B2666" s="1" t="n">
        <v>44165</v>
      </c>
      <c r="C2666" s="1" t="n">
        <v>45798</v>
      </c>
      <c r="D2666" t="inlineStr">
        <is>
          <t>NORRBOTTENS LÄN</t>
        </is>
      </c>
      <c r="E2666" t="inlineStr">
        <is>
          <t>LULEÅ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63772-2020</t>
        </is>
      </c>
      <c r="B2667" s="1" t="n">
        <v>44165</v>
      </c>
      <c r="C2667" s="1" t="n">
        <v>45798</v>
      </c>
      <c r="D2667" t="inlineStr">
        <is>
          <t>NORRBOTTENS LÄN</t>
        </is>
      </c>
      <c r="E2667" t="inlineStr">
        <is>
          <t>BODEN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63815-2020</t>
        </is>
      </c>
      <c r="B2668" s="1" t="n">
        <v>44165</v>
      </c>
      <c r="C2668" s="1" t="n">
        <v>45798</v>
      </c>
      <c r="D2668" t="inlineStr">
        <is>
          <t>NORRBOTTENS LÄN</t>
        </is>
      </c>
      <c r="E2668" t="inlineStr">
        <is>
          <t>HAPARANDA</t>
        </is>
      </c>
      <c r="G2668" t="n">
        <v>31.5</v>
      </c>
      <c r="H2668" t="n">
        <v>0</v>
      </c>
      <c r="I2668" t="n">
        <v>0</v>
      </c>
      <c r="J2668" t="n">
        <v>0</v>
      </c>
      <c r="K2668" t="n">
        <v>0</v>
      </c>
      <c r="L2668" t="n">
        <v>0</v>
      </c>
      <c r="M2668" t="n">
        <v>0</v>
      </c>
      <c r="N2668" t="n">
        <v>0</v>
      </c>
      <c r="O2668" t="n">
        <v>0</v>
      </c>
      <c r="P2668" t="n">
        <v>0</v>
      </c>
      <c r="Q2668" t="n">
        <v>0</v>
      </c>
      <c r="R2668" s="2" t="inlineStr"/>
    </row>
    <row r="2669" ht="15" customHeight="1">
      <c r="A2669" t="inlineStr">
        <is>
          <t>A 63828-2020</t>
        </is>
      </c>
      <c r="B2669" s="1" t="n">
        <v>44165</v>
      </c>
      <c r="C2669" s="1" t="n">
        <v>45798</v>
      </c>
      <c r="D2669" t="inlineStr">
        <is>
          <t>NORRBOTTENS LÄN</t>
        </is>
      </c>
      <c r="E2669" t="inlineStr">
        <is>
          <t>LULEÅ</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63944-2020</t>
        </is>
      </c>
      <c r="B2670" s="1" t="n">
        <v>44165</v>
      </c>
      <c r="C2670" s="1" t="n">
        <v>45798</v>
      </c>
      <c r="D2670" t="inlineStr">
        <is>
          <t>NORRBOTTENS LÄN</t>
        </is>
      </c>
      <c r="E2670" t="inlineStr">
        <is>
          <t>KALIX</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63802-2020</t>
        </is>
      </c>
      <c r="B2671" s="1" t="n">
        <v>44165</v>
      </c>
      <c r="C2671" s="1" t="n">
        <v>45798</v>
      </c>
      <c r="D2671" t="inlineStr">
        <is>
          <t>NORRBOTTENS LÄN</t>
        </is>
      </c>
      <c r="E2671" t="inlineStr">
        <is>
          <t>HAPARANDA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63901-2020</t>
        </is>
      </c>
      <c r="B2672" s="1" t="n">
        <v>44165</v>
      </c>
      <c r="C2672" s="1" t="n">
        <v>45798</v>
      </c>
      <c r="D2672" t="inlineStr">
        <is>
          <t>NORRBOTTENS LÄN</t>
        </is>
      </c>
      <c r="E2672" t="inlineStr">
        <is>
          <t>LULEÅ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63853-2020</t>
        </is>
      </c>
      <c r="B2673" s="1" t="n">
        <v>44166</v>
      </c>
      <c r="C2673" s="1" t="n">
        <v>45798</v>
      </c>
      <c r="D2673" t="inlineStr">
        <is>
          <t>NORRBOTTENS LÄN</t>
        </is>
      </c>
      <c r="E2673" t="inlineStr">
        <is>
          <t>PITEÅ</t>
        </is>
      </c>
      <c r="F2673" t="inlineStr">
        <is>
          <t>Sveaskog</t>
        </is>
      </c>
      <c r="G2673" t="n">
        <v>13.4</v>
      </c>
      <c r="H2673" t="n">
        <v>0</v>
      </c>
      <c r="I2673" t="n">
        <v>0</v>
      </c>
      <c r="J2673" t="n">
        <v>0</v>
      </c>
      <c r="K2673" t="n">
        <v>0</v>
      </c>
      <c r="L2673" t="n">
        <v>0</v>
      </c>
      <c r="M2673" t="n">
        <v>0</v>
      </c>
      <c r="N2673" t="n">
        <v>0</v>
      </c>
      <c r="O2673" t="n">
        <v>0</v>
      </c>
      <c r="P2673" t="n">
        <v>0</v>
      </c>
      <c r="Q2673" t="n">
        <v>0</v>
      </c>
      <c r="R2673" s="2" t="inlineStr"/>
    </row>
    <row r="2674" ht="15" customHeight="1">
      <c r="A2674" t="inlineStr">
        <is>
          <t>A 64678-2020</t>
        </is>
      </c>
      <c r="B2674" s="1" t="n">
        <v>44166</v>
      </c>
      <c r="C2674" s="1" t="n">
        <v>45798</v>
      </c>
      <c r="D2674" t="inlineStr">
        <is>
          <t>NORRBOTTENS LÄN</t>
        </is>
      </c>
      <c r="E2674" t="inlineStr">
        <is>
          <t>LULEÅ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64527-2020</t>
        </is>
      </c>
      <c r="B2675" s="1" t="n">
        <v>44166</v>
      </c>
      <c r="C2675" s="1" t="n">
        <v>45798</v>
      </c>
      <c r="D2675" t="inlineStr">
        <is>
          <t>NORRBOTTENS LÄN</t>
        </is>
      </c>
      <c r="E2675" t="inlineStr">
        <is>
          <t>LULEÅ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64354-2020</t>
        </is>
      </c>
      <c r="B2676" s="1" t="n">
        <v>44168</v>
      </c>
      <c r="C2676" s="1" t="n">
        <v>45798</v>
      </c>
      <c r="D2676" t="inlineStr">
        <is>
          <t>NORRBOTTENS LÄN</t>
        </is>
      </c>
      <c r="E2676" t="inlineStr">
        <is>
          <t>BODEN</t>
        </is>
      </c>
      <c r="F2676" t="inlineStr">
        <is>
          <t>Sveaskog</t>
        </is>
      </c>
      <c r="G2676" t="n">
        <v>58.6</v>
      </c>
      <c r="H2676" t="n">
        <v>0</v>
      </c>
      <c r="I2676" t="n">
        <v>0</v>
      </c>
      <c r="J2676" t="n">
        <v>0</v>
      </c>
      <c r="K2676" t="n">
        <v>0</v>
      </c>
      <c r="L2676" t="n">
        <v>0</v>
      </c>
      <c r="M2676" t="n">
        <v>0</v>
      </c>
      <c r="N2676" t="n">
        <v>0</v>
      </c>
      <c r="O2676" t="n">
        <v>0</v>
      </c>
      <c r="P2676" t="n">
        <v>0</v>
      </c>
      <c r="Q2676" t="n">
        <v>0</v>
      </c>
      <c r="R2676" s="2" t="inlineStr"/>
    </row>
    <row r="2677" ht="15" customHeight="1">
      <c r="A2677" t="inlineStr">
        <is>
          <t>A 65378-2020</t>
        </is>
      </c>
      <c r="B2677" s="1" t="n">
        <v>44168</v>
      </c>
      <c r="C2677" s="1" t="n">
        <v>45798</v>
      </c>
      <c r="D2677" t="inlineStr">
        <is>
          <t>NORRBOTTENS LÄN</t>
        </is>
      </c>
      <c r="E2677" t="inlineStr">
        <is>
          <t>BODEN</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64639-2020</t>
        </is>
      </c>
      <c r="B2678" s="1" t="n">
        <v>44169</v>
      </c>
      <c r="C2678" s="1" t="n">
        <v>45798</v>
      </c>
      <c r="D2678" t="inlineStr">
        <is>
          <t>NORRBOTTENS LÄN</t>
        </is>
      </c>
      <c r="E2678" t="inlineStr">
        <is>
          <t>PAJALA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65315-2020</t>
        </is>
      </c>
      <c r="B2679" s="1" t="n">
        <v>44169</v>
      </c>
      <c r="C2679" s="1" t="n">
        <v>45798</v>
      </c>
      <c r="D2679" t="inlineStr">
        <is>
          <t>NORRBOTTENS LÄN</t>
        </is>
      </c>
      <c r="E2679" t="inlineStr">
        <is>
          <t>HAPARANDA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65484-2020</t>
        </is>
      </c>
      <c r="B2680" s="1" t="n">
        <v>44169</v>
      </c>
      <c r="C2680" s="1" t="n">
        <v>45798</v>
      </c>
      <c r="D2680" t="inlineStr">
        <is>
          <t>NORRBOTTENS LÄN</t>
        </is>
      </c>
      <c r="E2680" t="inlineStr">
        <is>
          <t>GÄLLIVARE</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64857-2020</t>
        </is>
      </c>
      <c r="B2681" s="1" t="n">
        <v>44171</v>
      </c>
      <c r="C2681" s="1" t="n">
        <v>45798</v>
      </c>
      <c r="D2681" t="inlineStr">
        <is>
          <t>NORRBOTTENS LÄN</t>
        </is>
      </c>
      <c r="E2681" t="inlineStr">
        <is>
          <t>ARJEPLOG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65543-2020</t>
        </is>
      </c>
      <c r="B2682" s="1" t="n">
        <v>44172</v>
      </c>
      <c r="C2682" s="1" t="n">
        <v>45798</v>
      </c>
      <c r="D2682" t="inlineStr">
        <is>
          <t>NORRBOTTENS LÄN</t>
        </is>
      </c>
      <c r="E2682" t="inlineStr">
        <is>
          <t>PAJALA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65652-2020</t>
        </is>
      </c>
      <c r="B2683" s="1" t="n">
        <v>44172</v>
      </c>
      <c r="C2683" s="1" t="n">
        <v>45798</v>
      </c>
      <c r="D2683" t="inlineStr">
        <is>
          <t>NORRBOTTENS LÄN</t>
        </is>
      </c>
      <c r="E2683" t="inlineStr">
        <is>
          <t>JOKKMOKK</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65252-2020</t>
        </is>
      </c>
      <c r="B2684" s="1" t="n">
        <v>44172</v>
      </c>
      <c r="C2684" s="1" t="n">
        <v>45798</v>
      </c>
      <c r="D2684" t="inlineStr">
        <is>
          <t>NORRBOTTENS LÄN</t>
        </is>
      </c>
      <c r="E2684" t="inlineStr">
        <is>
          <t>PITEÅ</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65648-2020</t>
        </is>
      </c>
      <c r="B2685" s="1" t="n">
        <v>44172</v>
      </c>
      <c r="C2685" s="1" t="n">
        <v>45798</v>
      </c>
      <c r="D2685" t="inlineStr">
        <is>
          <t>NORRBOTTENS LÄN</t>
        </is>
      </c>
      <c r="E2685" t="inlineStr">
        <is>
          <t>JOKKMOKK</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65771-2020</t>
        </is>
      </c>
      <c r="B2686" s="1" t="n">
        <v>44172</v>
      </c>
      <c r="C2686" s="1" t="n">
        <v>45798</v>
      </c>
      <c r="D2686" t="inlineStr">
        <is>
          <t>NORRBOTTENS LÄN</t>
        </is>
      </c>
      <c r="E2686" t="inlineStr">
        <is>
          <t>ÖVERTORNEÅ</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65343-2020</t>
        </is>
      </c>
      <c r="B2687" s="1" t="n">
        <v>44173</v>
      </c>
      <c r="C2687" s="1" t="n">
        <v>45798</v>
      </c>
      <c r="D2687" t="inlineStr">
        <is>
          <t>NORRBOTTENS LÄN</t>
        </is>
      </c>
      <c r="E2687" t="inlineStr">
        <is>
          <t>JOKKMOKK</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65542-2020</t>
        </is>
      </c>
      <c r="B2688" s="1" t="n">
        <v>44173</v>
      </c>
      <c r="C2688" s="1" t="n">
        <v>45798</v>
      </c>
      <c r="D2688" t="inlineStr">
        <is>
          <t>NORRBOTTENS LÄN</t>
        </is>
      </c>
      <c r="E2688" t="inlineStr">
        <is>
          <t>JOKKMOKK</t>
        </is>
      </c>
      <c r="F2688" t="inlineStr">
        <is>
          <t>Sveaskog</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65636-2020</t>
        </is>
      </c>
      <c r="B2689" s="1" t="n">
        <v>44173</v>
      </c>
      <c r="C2689" s="1" t="n">
        <v>45798</v>
      </c>
      <c r="D2689" t="inlineStr">
        <is>
          <t>NORRBOTTENS LÄN</t>
        </is>
      </c>
      <c r="E2689" t="inlineStr">
        <is>
          <t>PAJALA</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65634-2020</t>
        </is>
      </c>
      <c r="B2690" s="1" t="n">
        <v>44173</v>
      </c>
      <c r="C2690" s="1" t="n">
        <v>45798</v>
      </c>
      <c r="D2690" t="inlineStr">
        <is>
          <t>NORRBOTTENS LÄN</t>
        </is>
      </c>
      <c r="E2690" t="inlineStr">
        <is>
          <t>BODEN</t>
        </is>
      </c>
      <c r="F2690" t="inlineStr">
        <is>
          <t>SCA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65635-2020</t>
        </is>
      </c>
      <c r="B2691" s="1" t="n">
        <v>44173</v>
      </c>
      <c r="C2691" s="1" t="n">
        <v>45798</v>
      </c>
      <c r="D2691" t="inlineStr">
        <is>
          <t>NORRBOTTENS LÄN</t>
        </is>
      </c>
      <c r="E2691" t="inlineStr">
        <is>
          <t>BODEN</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65717-2020</t>
        </is>
      </c>
      <c r="B2692" s="1" t="n">
        <v>44174</v>
      </c>
      <c r="C2692" s="1" t="n">
        <v>45798</v>
      </c>
      <c r="D2692" t="inlineStr">
        <is>
          <t>NORRBOTTENS LÄN</t>
        </is>
      </c>
      <c r="E2692" t="inlineStr">
        <is>
          <t>BODEN</t>
        </is>
      </c>
      <c r="F2692" t="inlineStr">
        <is>
          <t>Sveaskog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65756-2020</t>
        </is>
      </c>
      <c r="B2693" s="1" t="n">
        <v>44174</v>
      </c>
      <c r="C2693" s="1" t="n">
        <v>45798</v>
      </c>
      <c r="D2693" t="inlineStr">
        <is>
          <t>NORRBOTTENS LÄN</t>
        </is>
      </c>
      <c r="E2693" t="inlineStr">
        <is>
          <t>PAJALA</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66296-2020</t>
        </is>
      </c>
      <c r="B2694" s="1" t="n">
        <v>44174</v>
      </c>
      <c r="C2694" s="1" t="n">
        <v>45798</v>
      </c>
      <c r="D2694" t="inlineStr">
        <is>
          <t>NORRBOTTENS LÄN</t>
        </is>
      </c>
      <c r="E2694" t="inlineStr">
        <is>
          <t>ÄLVSBYN</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66696-2020</t>
        </is>
      </c>
      <c r="B2695" s="1" t="n">
        <v>44174</v>
      </c>
      <c r="C2695" s="1" t="n">
        <v>45798</v>
      </c>
      <c r="D2695" t="inlineStr">
        <is>
          <t>NORRBOTTENS LÄN</t>
        </is>
      </c>
      <c r="E2695" t="inlineStr">
        <is>
          <t>BODEN</t>
        </is>
      </c>
      <c r="G2695" t="n">
        <v>1.6</v>
      </c>
      <c r="H2695" t="n">
        <v>0</v>
      </c>
      <c r="I2695" t="n">
        <v>0</v>
      </c>
      <c r="J2695" t="n">
        <v>0</v>
      </c>
      <c r="K2695" t="n">
        <v>0</v>
      </c>
      <c r="L2695" t="n">
        <v>0</v>
      </c>
      <c r="M2695" t="n">
        <v>0</v>
      </c>
      <c r="N2695" t="n">
        <v>0</v>
      </c>
      <c r="O2695" t="n">
        <v>0</v>
      </c>
      <c r="P2695" t="n">
        <v>0</v>
      </c>
      <c r="Q2695" t="n">
        <v>0</v>
      </c>
      <c r="R2695" s="2" t="inlineStr"/>
      <c r="U2695">
        <f>HYPERLINK("https://klasma.github.io/Logging_2582/knärot/A 66696-2020 karta knärot.png", "A 66696-2020")</f>
        <v/>
      </c>
      <c r="V2695">
        <f>HYPERLINK("https://klasma.github.io/Logging_2582/klagomål/A 66696-2020 FSC-klagomål.docx", "A 66696-2020")</f>
        <v/>
      </c>
      <c r="W2695">
        <f>HYPERLINK("https://klasma.github.io/Logging_2582/klagomålsmail/A 66696-2020 FSC-klagomål mail.docx", "A 66696-2020")</f>
        <v/>
      </c>
      <c r="X2695">
        <f>HYPERLINK("https://klasma.github.io/Logging_2582/tillsyn/A 66696-2020 tillsynsbegäran.docx", "A 66696-2020")</f>
        <v/>
      </c>
      <c r="Y2695">
        <f>HYPERLINK("https://klasma.github.io/Logging_2582/tillsynsmail/A 66696-2020 tillsynsbegäran mail.docx", "A 66696-2020")</f>
        <v/>
      </c>
    </row>
    <row r="2696" ht="15" customHeight="1">
      <c r="A2696" t="inlineStr">
        <is>
          <t>A 66925-2020</t>
        </is>
      </c>
      <c r="B2696" s="1" t="n">
        <v>44176</v>
      </c>
      <c r="C2696" s="1" t="n">
        <v>45798</v>
      </c>
      <c r="D2696" t="inlineStr">
        <is>
          <t>NORRBOTTENS LÄN</t>
        </is>
      </c>
      <c r="E2696" t="inlineStr">
        <is>
          <t>LULEÅ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66495-2020</t>
        </is>
      </c>
      <c r="B2697" s="1" t="n">
        <v>44178</v>
      </c>
      <c r="C2697" s="1" t="n">
        <v>45798</v>
      </c>
      <c r="D2697" t="inlineStr">
        <is>
          <t>NORRBOTTENS LÄN</t>
        </is>
      </c>
      <c r="E2697" t="inlineStr">
        <is>
          <t>KALIX</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67384-2020</t>
        </is>
      </c>
      <c r="B2698" s="1" t="n">
        <v>44179</v>
      </c>
      <c r="C2698" s="1" t="n">
        <v>45798</v>
      </c>
      <c r="D2698" t="inlineStr">
        <is>
          <t>NORRBOTTENS LÄN</t>
        </is>
      </c>
      <c r="E2698" t="inlineStr">
        <is>
          <t>ARVIDSJAUR</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67127-2020</t>
        </is>
      </c>
      <c r="B2699" s="1" t="n">
        <v>44180</v>
      </c>
      <c r="C2699" s="1" t="n">
        <v>45798</v>
      </c>
      <c r="D2699" t="inlineStr">
        <is>
          <t>NORRBOTTENS LÄN</t>
        </is>
      </c>
      <c r="E2699" t="inlineStr">
        <is>
          <t>ARVIDSJAUR</t>
        </is>
      </c>
      <c r="F2699" t="inlineStr">
        <is>
          <t>Sveaskog</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67658-2020</t>
        </is>
      </c>
      <c r="B2700" s="1" t="n">
        <v>44180</v>
      </c>
      <c r="C2700" s="1" t="n">
        <v>45798</v>
      </c>
      <c r="D2700" t="inlineStr">
        <is>
          <t>NORRBOTTENS LÄN</t>
        </is>
      </c>
      <c r="E2700" t="inlineStr">
        <is>
          <t>HAPARANDA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67431-2020</t>
        </is>
      </c>
      <c r="B2701" s="1" t="n">
        <v>44180</v>
      </c>
      <c r="C2701" s="1" t="n">
        <v>45798</v>
      </c>
      <c r="D2701" t="inlineStr">
        <is>
          <t>NORRBOTTENS LÄN</t>
        </is>
      </c>
      <c r="E2701" t="inlineStr">
        <is>
          <t>PITEÅ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67524-2020</t>
        </is>
      </c>
      <c r="B2702" s="1" t="n">
        <v>44180</v>
      </c>
      <c r="C2702" s="1" t="n">
        <v>45798</v>
      </c>
      <c r="D2702" t="inlineStr">
        <is>
          <t>NORRBOTTENS LÄN</t>
        </is>
      </c>
      <c r="E2702" t="inlineStr">
        <is>
          <t>PAJALA</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67325-2020</t>
        </is>
      </c>
      <c r="B2703" s="1" t="n">
        <v>44181</v>
      </c>
      <c r="C2703" s="1" t="n">
        <v>45798</v>
      </c>
      <c r="D2703" t="inlineStr">
        <is>
          <t>NORRBOTTENS LÄN</t>
        </is>
      </c>
      <c r="E2703" t="inlineStr">
        <is>
          <t>KALIX</t>
        </is>
      </c>
      <c r="F2703" t="inlineStr">
        <is>
          <t>Sveaskog</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67584-2020</t>
        </is>
      </c>
      <c r="B2704" s="1" t="n">
        <v>44181</v>
      </c>
      <c r="C2704" s="1" t="n">
        <v>45798</v>
      </c>
      <c r="D2704" t="inlineStr">
        <is>
          <t>NORRBOTTENS LÄN</t>
        </is>
      </c>
      <c r="E2704" t="inlineStr">
        <is>
          <t>ÖVERKALIX</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67323-2020</t>
        </is>
      </c>
      <c r="B2705" s="1" t="n">
        <v>44181</v>
      </c>
      <c r="C2705" s="1" t="n">
        <v>45798</v>
      </c>
      <c r="D2705" t="inlineStr">
        <is>
          <t>NORRBOTTENS LÄN</t>
        </is>
      </c>
      <c r="E2705" t="inlineStr">
        <is>
          <t>KALIX</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68205-2020</t>
        </is>
      </c>
      <c r="B2706" s="1" t="n">
        <v>44182</v>
      </c>
      <c r="C2706" s="1" t="n">
        <v>45798</v>
      </c>
      <c r="D2706" t="inlineStr">
        <is>
          <t>NORRBOTTENS LÄN</t>
        </is>
      </c>
      <c r="E2706" t="inlineStr">
        <is>
          <t>BODEN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67938-2020</t>
        </is>
      </c>
      <c r="B2707" s="1" t="n">
        <v>44182</v>
      </c>
      <c r="C2707" s="1" t="n">
        <v>45798</v>
      </c>
      <c r="D2707" t="inlineStr">
        <is>
          <t>NORRBOTTENS LÄN</t>
        </is>
      </c>
      <c r="E2707" t="inlineStr">
        <is>
          <t>LULEÅ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68210-2020</t>
        </is>
      </c>
      <c r="B2708" s="1" t="n">
        <v>44182</v>
      </c>
      <c r="C2708" s="1" t="n">
        <v>45798</v>
      </c>
      <c r="D2708" t="inlineStr">
        <is>
          <t>NORRBOTTENS LÄN</t>
        </is>
      </c>
      <c r="E2708" t="inlineStr">
        <is>
          <t>BODEN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68098-2020</t>
        </is>
      </c>
      <c r="B2709" s="1" t="n">
        <v>44182</v>
      </c>
      <c r="C2709" s="1" t="n">
        <v>45798</v>
      </c>
      <c r="D2709" t="inlineStr">
        <is>
          <t>NORRBOTTENS LÄN</t>
        </is>
      </c>
      <c r="E2709" t="inlineStr">
        <is>
          <t>BODEN</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68189-2020</t>
        </is>
      </c>
      <c r="B2710" s="1" t="n">
        <v>44182</v>
      </c>
      <c r="C2710" s="1" t="n">
        <v>45798</v>
      </c>
      <c r="D2710" t="inlineStr">
        <is>
          <t>NORRBOTTENS LÄN</t>
        </is>
      </c>
      <c r="E2710" t="inlineStr">
        <is>
          <t>ÖVERKALIX</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68267-2020</t>
        </is>
      </c>
      <c r="B2711" s="1" t="n">
        <v>44182</v>
      </c>
      <c r="C2711" s="1" t="n">
        <v>45798</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68109-2020</t>
        </is>
      </c>
      <c r="B2712" s="1" t="n">
        <v>44182</v>
      </c>
      <c r="C2712" s="1" t="n">
        <v>45798</v>
      </c>
      <c r="D2712" t="inlineStr">
        <is>
          <t>NORRBOTTENS LÄN</t>
        </is>
      </c>
      <c r="E2712" t="inlineStr">
        <is>
          <t>BODEN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68166-2020</t>
        </is>
      </c>
      <c r="B2713" s="1" t="n">
        <v>44183</v>
      </c>
      <c r="C2713" s="1" t="n">
        <v>45798</v>
      </c>
      <c r="D2713" t="inlineStr">
        <is>
          <t>NORRBOTTENS LÄN</t>
        </is>
      </c>
      <c r="E2713" t="inlineStr">
        <is>
          <t>ÖVERTORNEÅ</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68269-2020</t>
        </is>
      </c>
      <c r="B2714" s="1" t="n">
        <v>44183</v>
      </c>
      <c r="C2714" s="1" t="n">
        <v>45798</v>
      </c>
      <c r="D2714" t="inlineStr">
        <is>
          <t>NORRBOTTENS LÄN</t>
        </is>
      </c>
      <c r="E2714" t="inlineStr">
        <is>
          <t>LULEÅ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68583-2020</t>
        </is>
      </c>
      <c r="B2715" s="1" t="n">
        <v>44186</v>
      </c>
      <c r="C2715" s="1" t="n">
        <v>45798</v>
      </c>
      <c r="D2715" t="inlineStr">
        <is>
          <t>NORRBOTTENS LÄN</t>
        </is>
      </c>
      <c r="E2715" t="inlineStr">
        <is>
          <t>JOKKMOKK</t>
        </is>
      </c>
      <c r="F2715" t="inlineStr">
        <is>
          <t>Sveaskog</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68562-2020</t>
        </is>
      </c>
      <c r="B2716" s="1" t="n">
        <v>44186</v>
      </c>
      <c r="C2716" s="1" t="n">
        <v>45798</v>
      </c>
      <c r="D2716" t="inlineStr">
        <is>
          <t>NORRBOTTENS LÄN</t>
        </is>
      </c>
      <c r="E2716" t="inlineStr">
        <is>
          <t>PITEÅ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68636-2020</t>
        </is>
      </c>
      <c r="B2717" s="1" t="n">
        <v>44186</v>
      </c>
      <c r="C2717" s="1" t="n">
        <v>45798</v>
      </c>
      <c r="D2717" t="inlineStr">
        <is>
          <t>NORRBOTTENS LÄN</t>
        </is>
      </c>
      <c r="E2717" t="inlineStr">
        <is>
          <t>JOKKMOKK</t>
        </is>
      </c>
      <c r="F2717" t="inlineStr">
        <is>
          <t>SCA</t>
        </is>
      </c>
      <c r="G2717" t="n">
        <v>42.3</v>
      </c>
      <c r="H2717" t="n">
        <v>0</v>
      </c>
      <c r="I2717" t="n">
        <v>0</v>
      </c>
      <c r="J2717" t="n">
        <v>0</v>
      </c>
      <c r="K2717" t="n">
        <v>0</v>
      </c>
      <c r="L2717" t="n">
        <v>0</v>
      </c>
      <c r="M2717" t="n">
        <v>0</v>
      </c>
      <c r="N2717" t="n">
        <v>0</v>
      </c>
      <c r="O2717" t="n">
        <v>0</v>
      </c>
      <c r="P2717" t="n">
        <v>0</v>
      </c>
      <c r="Q2717" t="n">
        <v>0</v>
      </c>
      <c r="R2717" s="2" t="inlineStr"/>
    </row>
    <row r="2718" ht="15" customHeight="1">
      <c r="A2718" t="inlineStr">
        <is>
          <t>A 68701-2020</t>
        </is>
      </c>
      <c r="B2718" s="1" t="n">
        <v>44186</v>
      </c>
      <c r="C2718" s="1" t="n">
        <v>45798</v>
      </c>
      <c r="D2718" t="inlineStr">
        <is>
          <t>NORRBOTTENS LÄN</t>
        </is>
      </c>
      <c r="E2718" t="inlineStr">
        <is>
          <t>LULEÅ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68839-2020</t>
        </is>
      </c>
      <c r="B2719" s="1" t="n">
        <v>44186</v>
      </c>
      <c r="C2719" s="1" t="n">
        <v>45798</v>
      </c>
      <c r="D2719" t="inlineStr">
        <is>
          <t>NORRBOTTENS LÄN</t>
        </is>
      </c>
      <c r="E2719" t="inlineStr">
        <is>
          <t>HAPARANDA</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69039-2020</t>
        </is>
      </c>
      <c r="B2720" s="1" t="n">
        <v>44187</v>
      </c>
      <c r="C2720" s="1" t="n">
        <v>45798</v>
      </c>
      <c r="D2720" t="inlineStr">
        <is>
          <t>NORRBOTTENS LÄN</t>
        </is>
      </c>
      <c r="E2720" t="inlineStr">
        <is>
          <t>BODEN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69529-2020</t>
        </is>
      </c>
      <c r="B2721" s="1" t="n">
        <v>44194</v>
      </c>
      <c r="C2721" s="1" t="n">
        <v>45798</v>
      </c>
      <c r="D2721" t="inlineStr">
        <is>
          <t>NORRBOTTENS LÄN</t>
        </is>
      </c>
      <c r="E2721" t="inlineStr">
        <is>
          <t>ÖVERKALIX</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69534-2020</t>
        </is>
      </c>
      <c r="B2722" s="1" t="n">
        <v>44194</v>
      </c>
      <c r="C2722" s="1" t="n">
        <v>45798</v>
      </c>
      <c r="D2722" t="inlineStr">
        <is>
          <t>NORRBOTTENS LÄN</t>
        </is>
      </c>
      <c r="E2722" t="inlineStr">
        <is>
          <t>ÖVERKALIX</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291-2021</t>
        </is>
      </c>
      <c r="B2723" s="1" t="n">
        <v>44200</v>
      </c>
      <c r="C2723" s="1" t="n">
        <v>45798</v>
      </c>
      <c r="D2723" t="inlineStr">
        <is>
          <t>NORRBOTTENS LÄN</t>
        </is>
      </c>
      <c r="E2723" t="inlineStr">
        <is>
          <t>GÄLLIVARE</t>
        </is>
      </c>
      <c r="F2723" t="inlineStr">
        <is>
          <t>Allmännings- och besparingsskogar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920-2021</t>
        </is>
      </c>
      <c r="B2724" s="1" t="n">
        <v>44204</v>
      </c>
      <c r="C2724" s="1" t="n">
        <v>45798</v>
      </c>
      <c r="D2724" t="inlineStr">
        <is>
          <t>NORRBOTTENS LÄN</t>
        </is>
      </c>
      <c r="E2724" t="inlineStr">
        <is>
          <t>BODEN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954-2021</t>
        </is>
      </c>
      <c r="B2725" s="1" t="n">
        <v>44207</v>
      </c>
      <c r="C2725" s="1" t="n">
        <v>45798</v>
      </c>
      <c r="D2725" t="inlineStr">
        <is>
          <t>NORRBOTTENS LÄN</t>
        </is>
      </c>
      <c r="E2725" t="inlineStr">
        <is>
          <t>KALIX</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949-2021</t>
        </is>
      </c>
      <c r="B2726" s="1" t="n">
        <v>44207</v>
      </c>
      <c r="C2726" s="1" t="n">
        <v>45798</v>
      </c>
      <c r="D2726" t="inlineStr">
        <is>
          <t>NORRBOTTENS LÄN</t>
        </is>
      </c>
      <c r="E2726" t="inlineStr">
        <is>
          <t>KALIX</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1087-2021</t>
        </is>
      </c>
      <c r="B2727" s="1" t="n">
        <v>44207</v>
      </c>
      <c r="C2727" s="1" t="n">
        <v>45798</v>
      </c>
      <c r="D2727" t="inlineStr">
        <is>
          <t>NORRBOTTENS LÄN</t>
        </is>
      </c>
      <c r="E2727" t="inlineStr">
        <is>
          <t>BODEN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1144-2021</t>
        </is>
      </c>
      <c r="B2728" s="1" t="n">
        <v>44207</v>
      </c>
      <c r="C2728" s="1" t="n">
        <v>45798</v>
      </c>
      <c r="D2728" t="inlineStr">
        <is>
          <t>NORRBOTTENS LÄN</t>
        </is>
      </c>
      <c r="E2728" t="inlineStr">
        <is>
          <t>LULEÅ</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1147-2021</t>
        </is>
      </c>
      <c r="B2729" s="1" t="n">
        <v>44207</v>
      </c>
      <c r="C2729" s="1" t="n">
        <v>45798</v>
      </c>
      <c r="D2729" t="inlineStr">
        <is>
          <t>NORRBOTTENS LÄN</t>
        </is>
      </c>
      <c r="E2729" t="inlineStr">
        <is>
          <t>LULEÅ</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1481-2021</t>
        </is>
      </c>
      <c r="B2730" s="1" t="n">
        <v>44208</v>
      </c>
      <c r="C2730" s="1" t="n">
        <v>45798</v>
      </c>
      <c r="D2730" t="inlineStr">
        <is>
          <t>NORRBOTTENS LÄN</t>
        </is>
      </c>
      <c r="E2730" t="inlineStr">
        <is>
          <t>ÖVERKALIX</t>
        </is>
      </c>
      <c r="F2730" t="inlineStr">
        <is>
          <t>SCA</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1570-2021</t>
        </is>
      </c>
      <c r="B2731" s="1" t="n">
        <v>44209</v>
      </c>
      <c r="C2731" s="1" t="n">
        <v>45798</v>
      </c>
      <c r="D2731" t="inlineStr">
        <is>
          <t>NORRBOTTENS LÄN</t>
        </is>
      </c>
      <c r="E2731" t="inlineStr">
        <is>
          <t>KALIX</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1616-2021</t>
        </is>
      </c>
      <c r="B2732" s="1" t="n">
        <v>44209</v>
      </c>
      <c r="C2732" s="1" t="n">
        <v>45798</v>
      </c>
      <c r="D2732" t="inlineStr">
        <is>
          <t>NORRBOTTENS LÄN</t>
        </is>
      </c>
      <c r="E2732" t="inlineStr">
        <is>
          <t>PITEÅ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1925-2021</t>
        </is>
      </c>
      <c r="B2733" s="1" t="n">
        <v>44210</v>
      </c>
      <c r="C2733" s="1" t="n">
        <v>45798</v>
      </c>
      <c r="D2733" t="inlineStr">
        <is>
          <t>NORRBOTTENS LÄN</t>
        </is>
      </c>
      <c r="E2733" t="inlineStr">
        <is>
          <t>PAJALA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2238-2021</t>
        </is>
      </c>
      <c r="B2734" s="1" t="n">
        <v>44211</v>
      </c>
      <c r="C2734" s="1" t="n">
        <v>45798</v>
      </c>
      <c r="D2734" t="inlineStr">
        <is>
          <t>NORRBOTTENS LÄN</t>
        </is>
      </c>
      <c r="E2734" t="inlineStr">
        <is>
          <t>PITEÅ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2369-2021</t>
        </is>
      </c>
      <c r="B2735" s="1" t="n">
        <v>44211</v>
      </c>
      <c r="C2735" s="1" t="n">
        <v>45798</v>
      </c>
      <c r="D2735" t="inlineStr">
        <is>
          <t>NORRBOTTENS LÄN</t>
        </is>
      </c>
      <c r="E2735" t="inlineStr">
        <is>
          <t>LULEÅ</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2385-2021</t>
        </is>
      </c>
      <c r="B2736" s="1" t="n">
        <v>44211</v>
      </c>
      <c r="C2736" s="1" t="n">
        <v>45798</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2248-2021</t>
        </is>
      </c>
      <c r="B2737" s="1" t="n">
        <v>44211</v>
      </c>
      <c r="C2737" s="1" t="n">
        <v>45798</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2283-2021</t>
        </is>
      </c>
      <c r="B2738" s="1" t="n">
        <v>44211</v>
      </c>
      <c r="C2738" s="1" t="n">
        <v>45798</v>
      </c>
      <c r="D2738" t="inlineStr">
        <is>
          <t>NORRBOTTENS LÄN</t>
        </is>
      </c>
      <c r="E2738" t="inlineStr">
        <is>
          <t>PITEÅ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2380-2021</t>
        </is>
      </c>
      <c r="B2739" s="1" t="n">
        <v>44211</v>
      </c>
      <c r="C2739" s="1" t="n">
        <v>45798</v>
      </c>
      <c r="D2739" t="inlineStr">
        <is>
          <t>NORRBOTTENS LÄN</t>
        </is>
      </c>
      <c r="E2739" t="inlineStr">
        <is>
          <t>LULEÅ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2392-2021</t>
        </is>
      </c>
      <c r="B2740" s="1" t="n">
        <v>44211</v>
      </c>
      <c r="C2740" s="1" t="n">
        <v>45798</v>
      </c>
      <c r="D2740" t="inlineStr">
        <is>
          <t>NORRBOTTENS LÄN</t>
        </is>
      </c>
      <c r="E2740" t="inlineStr">
        <is>
          <t>LULEÅ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2403-2021</t>
        </is>
      </c>
      <c r="B2741" s="1" t="n">
        <v>44211</v>
      </c>
      <c r="C2741" s="1" t="n">
        <v>45798</v>
      </c>
      <c r="D2741" t="inlineStr">
        <is>
          <t>NORRBOTTENS LÄN</t>
        </is>
      </c>
      <c r="E2741" t="inlineStr">
        <is>
          <t>LULEÅ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2444-2021</t>
        </is>
      </c>
      <c r="B2742" s="1" t="n">
        <v>44211</v>
      </c>
      <c r="C2742" s="1" t="n">
        <v>45798</v>
      </c>
      <c r="D2742" t="inlineStr">
        <is>
          <t>NORRBOTTENS LÄN</t>
        </is>
      </c>
      <c r="E2742" t="inlineStr">
        <is>
          <t>BODEN</t>
        </is>
      </c>
      <c r="G2742" t="n">
        <v>16.4</v>
      </c>
      <c r="H2742" t="n">
        <v>0</v>
      </c>
      <c r="I2742" t="n">
        <v>0</v>
      </c>
      <c r="J2742" t="n">
        <v>0</v>
      </c>
      <c r="K2742" t="n">
        <v>0</v>
      </c>
      <c r="L2742" t="n">
        <v>0</v>
      </c>
      <c r="M2742" t="n">
        <v>0</v>
      </c>
      <c r="N2742" t="n">
        <v>0</v>
      </c>
      <c r="O2742" t="n">
        <v>0</v>
      </c>
      <c r="P2742" t="n">
        <v>0</v>
      </c>
      <c r="Q2742" t="n">
        <v>0</v>
      </c>
      <c r="R2742" s="2" t="inlineStr"/>
    </row>
    <row r="2743" ht="15" customHeight="1">
      <c r="A2743" t="inlineStr">
        <is>
          <t>A 2397-2021</t>
        </is>
      </c>
      <c r="B2743" s="1" t="n">
        <v>44211</v>
      </c>
      <c r="C2743" s="1" t="n">
        <v>45798</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2540-2021</t>
        </is>
      </c>
      <c r="B2744" s="1" t="n">
        <v>44214</v>
      </c>
      <c r="C2744" s="1" t="n">
        <v>45798</v>
      </c>
      <c r="D2744" t="inlineStr">
        <is>
          <t>NORRBOTTENS LÄN</t>
        </is>
      </c>
      <c r="E2744" t="inlineStr">
        <is>
          <t>GÄLLIVARE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2545-2021</t>
        </is>
      </c>
      <c r="B2745" s="1" t="n">
        <v>44214</v>
      </c>
      <c r="C2745" s="1" t="n">
        <v>45798</v>
      </c>
      <c r="D2745" t="inlineStr">
        <is>
          <t>NORRBOTTENS LÄN</t>
        </is>
      </c>
      <c r="E2745" t="inlineStr">
        <is>
          <t>GÄLLIVARE</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2538-2021</t>
        </is>
      </c>
      <c r="B2746" s="1" t="n">
        <v>44214</v>
      </c>
      <c r="C2746" s="1" t="n">
        <v>45798</v>
      </c>
      <c r="D2746" t="inlineStr">
        <is>
          <t>NORRBOTTENS LÄN</t>
        </is>
      </c>
      <c r="E2746" t="inlineStr">
        <is>
          <t>GÄLLIVARE</t>
        </is>
      </c>
      <c r="F2746" t="inlineStr">
        <is>
          <t>Kommuner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2544-2021</t>
        </is>
      </c>
      <c r="B2747" s="1" t="n">
        <v>44214</v>
      </c>
      <c r="C2747" s="1" t="n">
        <v>45798</v>
      </c>
      <c r="D2747" t="inlineStr">
        <is>
          <t>NORRBOTTENS LÄN</t>
        </is>
      </c>
      <c r="E2747" t="inlineStr">
        <is>
          <t>ÖVERTORNEÅ</t>
        </is>
      </c>
      <c r="G2747" t="n">
        <v>18.4</v>
      </c>
      <c r="H2747" t="n">
        <v>0</v>
      </c>
      <c r="I2747" t="n">
        <v>0</v>
      </c>
      <c r="J2747" t="n">
        <v>0</v>
      </c>
      <c r="K2747" t="n">
        <v>0</v>
      </c>
      <c r="L2747" t="n">
        <v>0</v>
      </c>
      <c r="M2747" t="n">
        <v>0</v>
      </c>
      <c r="N2747" t="n">
        <v>0</v>
      </c>
      <c r="O2747" t="n">
        <v>0</v>
      </c>
      <c r="P2747" t="n">
        <v>0</v>
      </c>
      <c r="Q2747" t="n">
        <v>0</v>
      </c>
      <c r="R2747" s="2" t="inlineStr"/>
    </row>
    <row r="2748" ht="15" customHeight="1">
      <c r="A2748" t="inlineStr">
        <is>
          <t>A 2548-2021</t>
        </is>
      </c>
      <c r="B2748" s="1" t="n">
        <v>44214</v>
      </c>
      <c r="C2748" s="1" t="n">
        <v>45798</v>
      </c>
      <c r="D2748" t="inlineStr">
        <is>
          <t>NORRBOTTENS LÄN</t>
        </is>
      </c>
      <c r="E2748" t="inlineStr">
        <is>
          <t>GÄLLIVARE</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2743-2021</t>
        </is>
      </c>
      <c r="B2749" s="1" t="n">
        <v>44214</v>
      </c>
      <c r="C2749" s="1" t="n">
        <v>45798</v>
      </c>
      <c r="D2749" t="inlineStr">
        <is>
          <t>NORRBOTTENS LÄN</t>
        </is>
      </c>
      <c r="E2749" t="inlineStr">
        <is>
          <t>ÖVERTORNEÅ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2693-2021</t>
        </is>
      </c>
      <c r="B2750" s="1" t="n">
        <v>44215</v>
      </c>
      <c r="C2750" s="1" t="n">
        <v>45798</v>
      </c>
      <c r="D2750" t="inlineStr">
        <is>
          <t>NORRBOTTENS LÄN</t>
        </is>
      </c>
      <c r="E2750" t="inlineStr">
        <is>
          <t>KALIX</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2707-2021</t>
        </is>
      </c>
      <c r="B2751" s="1" t="n">
        <v>44215</v>
      </c>
      <c r="C2751" s="1" t="n">
        <v>45798</v>
      </c>
      <c r="D2751" t="inlineStr">
        <is>
          <t>NORRBOTTENS LÄN</t>
        </is>
      </c>
      <c r="E2751" t="inlineStr">
        <is>
          <t>KALIX</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2748-2021</t>
        </is>
      </c>
      <c r="B2752" s="1" t="n">
        <v>44215</v>
      </c>
      <c r="C2752" s="1" t="n">
        <v>45798</v>
      </c>
      <c r="D2752" t="inlineStr">
        <is>
          <t>NORRBOTTENS LÄN</t>
        </is>
      </c>
      <c r="E2752" t="inlineStr">
        <is>
          <t>ARVIDSJAUR</t>
        </is>
      </c>
      <c r="F2752" t="inlineStr">
        <is>
          <t>Övriga Aktiebolag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2691-2021</t>
        </is>
      </c>
      <c r="B2753" s="1" t="n">
        <v>44215</v>
      </c>
      <c r="C2753" s="1" t="n">
        <v>45798</v>
      </c>
      <c r="D2753" t="inlineStr">
        <is>
          <t>NORRBOTTENS LÄN</t>
        </is>
      </c>
      <c r="E2753" t="inlineStr">
        <is>
          <t>KALIX</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2704-2021</t>
        </is>
      </c>
      <c r="B2754" s="1" t="n">
        <v>44215</v>
      </c>
      <c r="C2754" s="1" t="n">
        <v>45798</v>
      </c>
      <c r="D2754" t="inlineStr">
        <is>
          <t>NORRBOTTENS LÄN</t>
        </is>
      </c>
      <c r="E2754" t="inlineStr">
        <is>
          <t>KALIX</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2757-2021</t>
        </is>
      </c>
      <c r="B2755" s="1" t="n">
        <v>44215</v>
      </c>
      <c r="C2755" s="1" t="n">
        <v>45798</v>
      </c>
      <c r="D2755" t="inlineStr">
        <is>
          <t>NORRBOTTENS LÄN</t>
        </is>
      </c>
      <c r="E2755" t="inlineStr">
        <is>
          <t>KALIX</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2805-2021</t>
        </is>
      </c>
      <c r="B2756" s="1" t="n">
        <v>44215</v>
      </c>
      <c r="C2756" s="1" t="n">
        <v>45798</v>
      </c>
      <c r="D2756" t="inlineStr">
        <is>
          <t>NORRBOTTENS LÄN</t>
        </is>
      </c>
      <c r="E2756" t="inlineStr">
        <is>
          <t>KALIX</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2811-2021</t>
        </is>
      </c>
      <c r="B2757" s="1" t="n">
        <v>44215</v>
      </c>
      <c r="C2757" s="1" t="n">
        <v>45798</v>
      </c>
      <c r="D2757" t="inlineStr">
        <is>
          <t>NORRBOTTENS LÄN</t>
        </is>
      </c>
      <c r="E2757" t="inlineStr">
        <is>
          <t>KALIX</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2694-2021</t>
        </is>
      </c>
      <c r="B2758" s="1" t="n">
        <v>44215</v>
      </c>
      <c r="C2758" s="1" t="n">
        <v>45798</v>
      </c>
      <c r="D2758" t="inlineStr">
        <is>
          <t>NORRBOTTENS LÄN</t>
        </is>
      </c>
      <c r="E2758" t="inlineStr">
        <is>
          <t>KALIX</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2808-2021</t>
        </is>
      </c>
      <c r="B2759" s="1" t="n">
        <v>44215</v>
      </c>
      <c r="C2759" s="1" t="n">
        <v>45798</v>
      </c>
      <c r="D2759" t="inlineStr">
        <is>
          <t>NORRBOTTENS LÄN</t>
        </is>
      </c>
      <c r="E2759" t="inlineStr">
        <is>
          <t>KALIX</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3248-2021</t>
        </is>
      </c>
      <c r="B2760" s="1" t="n">
        <v>44215</v>
      </c>
      <c r="C2760" s="1" t="n">
        <v>45798</v>
      </c>
      <c r="D2760" t="inlineStr">
        <is>
          <t>NORRBOTTENS LÄN</t>
        </is>
      </c>
      <c r="E2760" t="inlineStr">
        <is>
          <t>BODEN</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2833-2021</t>
        </is>
      </c>
      <c r="B2761" s="1" t="n">
        <v>44215</v>
      </c>
      <c r="C2761" s="1" t="n">
        <v>45798</v>
      </c>
      <c r="D2761" t="inlineStr">
        <is>
          <t>NORRBOTTENS LÄN</t>
        </is>
      </c>
      <c r="E2761" t="inlineStr">
        <is>
          <t>PITEÅ</t>
        </is>
      </c>
      <c r="F2761" t="inlineStr">
        <is>
          <t>SCA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3037-2021</t>
        </is>
      </c>
      <c r="B2762" s="1" t="n">
        <v>44216</v>
      </c>
      <c r="C2762" s="1" t="n">
        <v>45798</v>
      </c>
      <c r="D2762" t="inlineStr">
        <is>
          <t>NORRBOTTENS LÄN</t>
        </is>
      </c>
      <c r="E2762" t="inlineStr">
        <is>
          <t>KALIX</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3438-2021</t>
        </is>
      </c>
      <c r="B2763" s="1" t="n">
        <v>44216</v>
      </c>
      <c r="C2763" s="1" t="n">
        <v>45798</v>
      </c>
      <c r="D2763" t="inlineStr">
        <is>
          <t>NORRBOTTENS LÄN</t>
        </is>
      </c>
      <c r="E2763" t="inlineStr">
        <is>
          <t>KIRUNA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3036-2021</t>
        </is>
      </c>
      <c r="B2764" s="1" t="n">
        <v>44216</v>
      </c>
      <c r="C2764" s="1" t="n">
        <v>45798</v>
      </c>
      <c r="D2764" t="inlineStr">
        <is>
          <t>NORRBOTTENS LÄN</t>
        </is>
      </c>
      <c r="E2764" t="inlineStr">
        <is>
          <t>KALIX</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3535-2021</t>
        </is>
      </c>
      <c r="B2765" s="1" t="n">
        <v>44216</v>
      </c>
      <c r="C2765" s="1" t="n">
        <v>45798</v>
      </c>
      <c r="D2765" t="inlineStr">
        <is>
          <t>NORRBOTTENS LÄN</t>
        </is>
      </c>
      <c r="E2765" t="inlineStr">
        <is>
          <t>BODEN</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3537-2021</t>
        </is>
      </c>
      <c r="B2766" s="1" t="n">
        <v>44216</v>
      </c>
      <c r="C2766" s="1" t="n">
        <v>45798</v>
      </c>
      <c r="D2766" t="inlineStr">
        <is>
          <t>NORRBOTTENS LÄN</t>
        </is>
      </c>
      <c r="E2766" t="inlineStr">
        <is>
          <t>BODEN</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3777-2021</t>
        </is>
      </c>
      <c r="B2767" s="1" t="n">
        <v>44217</v>
      </c>
      <c r="C2767" s="1" t="n">
        <v>45798</v>
      </c>
      <c r="D2767" t="inlineStr">
        <is>
          <t>NORRBOTTENS LÄN</t>
        </is>
      </c>
      <c r="E2767" t="inlineStr">
        <is>
          <t>BODEN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3779-2021</t>
        </is>
      </c>
      <c r="B2768" s="1" t="n">
        <v>44217</v>
      </c>
      <c r="C2768" s="1" t="n">
        <v>45798</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3778-2021</t>
        </is>
      </c>
      <c r="B2769" s="1" t="n">
        <v>44217</v>
      </c>
      <c r="C2769" s="1" t="n">
        <v>45798</v>
      </c>
      <c r="D2769" t="inlineStr">
        <is>
          <t>NORRBOTTENS LÄN</t>
        </is>
      </c>
      <c r="E2769" t="inlineStr">
        <is>
          <t>BODEN</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3775-2021</t>
        </is>
      </c>
      <c r="B2770" s="1" t="n">
        <v>44217</v>
      </c>
      <c r="C2770" s="1" t="n">
        <v>45798</v>
      </c>
      <c r="D2770" t="inlineStr">
        <is>
          <t>NORRBOTTENS LÄN</t>
        </is>
      </c>
      <c r="E2770" t="inlineStr">
        <is>
          <t>ÖVERTORNEÅ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3584-2021</t>
        </is>
      </c>
      <c r="B2771" s="1" t="n">
        <v>44218</v>
      </c>
      <c r="C2771" s="1" t="n">
        <v>45798</v>
      </c>
      <c r="D2771" t="inlineStr">
        <is>
          <t>NORRBOTTENS LÄN</t>
        </is>
      </c>
      <c r="E2771" t="inlineStr">
        <is>
          <t>PAJALA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4005-2021</t>
        </is>
      </c>
      <c r="B2772" s="1" t="n">
        <v>44218</v>
      </c>
      <c r="C2772" s="1" t="n">
        <v>45798</v>
      </c>
      <c r="D2772" t="inlineStr">
        <is>
          <t>NORRBOTTENS LÄN</t>
        </is>
      </c>
      <c r="E2772" t="inlineStr">
        <is>
          <t>KALIX</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3812-2021</t>
        </is>
      </c>
      <c r="B2773" s="1" t="n">
        <v>44221</v>
      </c>
      <c r="C2773" s="1" t="n">
        <v>45798</v>
      </c>
      <c r="D2773" t="inlineStr">
        <is>
          <t>NORRBOTTENS LÄN</t>
        </is>
      </c>
      <c r="E2773" t="inlineStr">
        <is>
          <t>PITEÅ</t>
        </is>
      </c>
      <c r="F2773" t="inlineStr">
        <is>
          <t>SCA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4274-2021</t>
        </is>
      </c>
      <c r="B2774" s="1" t="n">
        <v>44223</v>
      </c>
      <c r="C2774" s="1" t="n">
        <v>45798</v>
      </c>
      <c r="D2774" t="inlineStr">
        <is>
          <t>NORRBOTTENS LÄN</t>
        </is>
      </c>
      <c r="E2774" t="inlineStr">
        <is>
          <t>BODEN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4247-2021</t>
        </is>
      </c>
      <c r="B2775" s="1" t="n">
        <v>44223</v>
      </c>
      <c r="C2775" s="1" t="n">
        <v>45798</v>
      </c>
      <c r="D2775" t="inlineStr">
        <is>
          <t>NORRBOTTENS LÄN</t>
        </is>
      </c>
      <c r="E2775" t="inlineStr">
        <is>
          <t>BODEN</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4856-2021</t>
        </is>
      </c>
      <c r="B2776" s="1" t="n">
        <v>44223</v>
      </c>
      <c r="C2776" s="1" t="n">
        <v>45798</v>
      </c>
      <c r="D2776" t="inlineStr">
        <is>
          <t>NORRBOTTENS LÄN</t>
        </is>
      </c>
      <c r="E2776" t="inlineStr">
        <is>
          <t>PAJALA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4822-2021</t>
        </is>
      </c>
      <c r="B2777" s="1" t="n">
        <v>44223</v>
      </c>
      <c r="C2777" s="1" t="n">
        <v>45798</v>
      </c>
      <c r="D2777" t="inlineStr">
        <is>
          <t>NORRBOTTENS LÄN</t>
        </is>
      </c>
      <c r="E2777" t="inlineStr">
        <is>
          <t>PAJALA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4458-2021</t>
        </is>
      </c>
      <c r="B2778" s="1" t="n">
        <v>44224</v>
      </c>
      <c r="C2778" s="1" t="n">
        <v>45798</v>
      </c>
      <c r="D2778" t="inlineStr">
        <is>
          <t>NORRBOTTENS LÄN</t>
        </is>
      </c>
      <c r="E2778" t="inlineStr">
        <is>
          <t>KALIX</t>
        </is>
      </c>
      <c r="F2778" t="inlineStr">
        <is>
          <t>Sveaskog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4792-2021</t>
        </is>
      </c>
      <c r="B2779" s="1" t="n">
        <v>44225</v>
      </c>
      <c r="C2779" s="1" t="n">
        <v>45798</v>
      </c>
      <c r="D2779" t="inlineStr">
        <is>
          <t>NORRBOTTENS LÄN</t>
        </is>
      </c>
      <c r="E2779" t="inlineStr">
        <is>
          <t>ÖVERTORNEÅ</t>
        </is>
      </c>
      <c r="G2779" t="n">
        <v>48.7</v>
      </c>
      <c r="H2779" t="n">
        <v>0</v>
      </c>
      <c r="I2779" t="n">
        <v>0</v>
      </c>
      <c r="J2779" t="n">
        <v>0</v>
      </c>
      <c r="K2779" t="n">
        <v>0</v>
      </c>
      <c r="L2779" t="n">
        <v>0</v>
      </c>
      <c r="M2779" t="n">
        <v>0</v>
      </c>
      <c r="N2779" t="n">
        <v>0</v>
      </c>
      <c r="O2779" t="n">
        <v>0</v>
      </c>
      <c r="P2779" t="n">
        <v>0</v>
      </c>
      <c r="Q2779" t="n">
        <v>0</v>
      </c>
      <c r="R2779" s="2" t="inlineStr"/>
    </row>
    <row r="2780" ht="15" customHeight="1">
      <c r="A2780" t="inlineStr">
        <is>
          <t>A 5455-2021</t>
        </is>
      </c>
      <c r="B2780" s="1" t="n">
        <v>44229</v>
      </c>
      <c r="C2780" s="1" t="n">
        <v>45798</v>
      </c>
      <c r="D2780" t="inlineStr">
        <is>
          <t>NORRBOTTENS LÄN</t>
        </is>
      </c>
      <c r="E2780" t="inlineStr">
        <is>
          <t>ÄLVSBYN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5410-2021</t>
        </is>
      </c>
      <c r="B2781" s="1" t="n">
        <v>44229</v>
      </c>
      <c r="C2781" s="1" t="n">
        <v>45798</v>
      </c>
      <c r="D2781" t="inlineStr">
        <is>
          <t>NORRBOTTENS LÄN</t>
        </is>
      </c>
      <c r="E2781" t="inlineStr">
        <is>
          <t>ÄLVSBYN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5559-2021</t>
        </is>
      </c>
      <c r="B2782" s="1" t="n">
        <v>44229</v>
      </c>
      <c r="C2782" s="1" t="n">
        <v>45798</v>
      </c>
      <c r="D2782" t="inlineStr">
        <is>
          <t>NORRBOTTENS LÄN</t>
        </is>
      </c>
      <c r="E2782" t="inlineStr">
        <is>
          <t>LULEÅ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5937-2021</t>
        </is>
      </c>
      <c r="B2783" s="1" t="n">
        <v>44229</v>
      </c>
      <c r="C2783" s="1" t="n">
        <v>45798</v>
      </c>
      <c r="D2783" t="inlineStr">
        <is>
          <t>NORRBOTTENS LÄN</t>
        </is>
      </c>
      <c r="E2783" t="inlineStr">
        <is>
          <t>KALIX</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5938-2021</t>
        </is>
      </c>
      <c r="B2784" s="1" t="n">
        <v>44231</v>
      </c>
      <c r="C2784" s="1" t="n">
        <v>45798</v>
      </c>
      <c r="D2784" t="inlineStr">
        <is>
          <t>NORRBOTTENS LÄN</t>
        </is>
      </c>
      <c r="E2784" t="inlineStr">
        <is>
          <t>PAJALA</t>
        </is>
      </c>
      <c r="G2784" t="n">
        <v>24.5</v>
      </c>
      <c r="H2784" t="n">
        <v>0</v>
      </c>
      <c r="I2784" t="n">
        <v>0</v>
      </c>
      <c r="J2784" t="n">
        <v>0</v>
      </c>
      <c r="K2784" t="n">
        <v>0</v>
      </c>
      <c r="L2784" t="n">
        <v>0</v>
      </c>
      <c r="M2784" t="n">
        <v>0</v>
      </c>
      <c r="N2784" t="n">
        <v>0</v>
      </c>
      <c r="O2784" t="n">
        <v>0</v>
      </c>
      <c r="P2784" t="n">
        <v>0</v>
      </c>
      <c r="Q2784" t="n">
        <v>0</v>
      </c>
      <c r="R2784" s="2" t="inlineStr"/>
    </row>
    <row r="2785" ht="15" customHeight="1">
      <c r="A2785" t="inlineStr">
        <is>
          <t>A 6018-2021</t>
        </is>
      </c>
      <c r="B2785" s="1" t="n">
        <v>44231</v>
      </c>
      <c r="C2785" s="1" t="n">
        <v>45798</v>
      </c>
      <c r="D2785" t="inlineStr">
        <is>
          <t>NORRBOTTENS LÄN</t>
        </is>
      </c>
      <c r="E2785" t="inlineStr">
        <is>
          <t>LULEÅ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6488-2021</t>
        </is>
      </c>
      <c r="B2786" s="1" t="n">
        <v>44235</v>
      </c>
      <c r="C2786" s="1" t="n">
        <v>45798</v>
      </c>
      <c r="D2786" t="inlineStr">
        <is>
          <t>NORRBOTTENS LÄN</t>
        </is>
      </c>
      <c r="E2786" t="inlineStr">
        <is>
          <t>LULEÅ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6887-2021</t>
        </is>
      </c>
      <c r="B2787" s="1" t="n">
        <v>44237</v>
      </c>
      <c r="C2787" s="1" t="n">
        <v>45798</v>
      </c>
      <c r="D2787" t="inlineStr">
        <is>
          <t>NORRBOTTENS LÄN</t>
        </is>
      </c>
      <c r="E2787" t="inlineStr">
        <is>
          <t>KIRUNA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6882-2021</t>
        </is>
      </c>
      <c r="B2788" s="1" t="n">
        <v>44237</v>
      </c>
      <c r="C2788" s="1" t="n">
        <v>45798</v>
      </c>
      <c r="D2788" t="inlineStr">
        <is>
          <t>NORRBOTTENS LÄN</t>
        </is>
      </c>
      <c r="E2788" t="inlineStr">
        <is>
          <t>KIRUNA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6918-2021</t>
        </is>
      </c>
      <c r="B2789" s="1" t="n">
        <v>44237</v>
      </c>
      <c r="C2789" s="1" t="n">
        <v>45798</v>
      </c>
      <c r="D2789" t="inlineStr">
        <is>
          <t>NORRBOTTENS LÄN</t>
        </is>
      </c>
      <c r="E2789" t="inlineStr">
        <is>
          <t>PAJALA</t>
        </is>
      </c>
      <c r="F2789" t="inlineStr">
        <is>
          <t>Allmännings- och besparingsskogar</t>
        </is>
      </c>
      <c r="G2789" t="n">
        <v>18.1</v>
      </c>
      <c r="H2789" t="n">
        <v>0</v>
      </c>
      <c r="I2789" t="n">
        <v>0</v>
      </c>
      <c r="J2789" t="n">
        <v>0</v>
      </c>
      <c r="K2789" t="n">
        <v>0</v>
      </c>
      <c r="L2789" t="n">
        <v>0</v>
      </c>
      <c r="M2789" t="n">
        <v>0</v>
      </c>
      <c r="N2789" t="n">
        <v>0</v>
      </c>
      <c r="O2789" t="n">
        <v>0</v>
      </c>
      <c r="P2789" t="n">
        <v>0</v>
      </c>
      <c r="Q2789" t="n">
        <v>0</v>
      </c>
      <c r="R2789" s="2" t="inlineStr"/>
    </row>
    <row r="2790" ht="15" customHeight="1">
      <c r="A2790" t="inlineStr">
        <is>
          <t>A 7082-2021</t>
        </is>
      </c>
      <c r="B2790" s="1" t="n">
        <v>44237</v>
      </c>
      <c r="C2790" s="1" t="n">
        <v>45798</v>
      </c>
      <c r="D2790" t="inlineStr">
        <is>
          <t>NORRBOTTENS LÄN</t>
        </is>
      </c>
      <c r="E2790" t="inlineStr">
        <is>
          <t>PITEÅ</t>
        </is>
      </c>
      <c r="F2790" t="inlineStr">
        <is>
          <t>SCA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7108-2021</t>
        </is>
      </c>
      <c r="B2791" s="1" t="n">
        <v>44238</v>
      </c>
      <c r="C2791" s="1" t="n">
        <v>45798</v>
      </c>
      <c r="D2791" t="inlineStr">
        <is>
          <t>NORRBOTTENS LÄN</t>
        </is>
      </c>
      <c r="E2791" t="inlineStr">
        <is>
          <t>BODEN</t>
        </is>
      </c>
      <c r="G2791" t="n">
        <v>18.1</v>
      </c>
      <c r="H2791" t="n">
        <v>0</v>
      </c>
      <c r="I2791" t="n">
        <v>0</v>
      </c>
      <c r="J2791" t="n">
        <v>0</v>
      </c>
      <c r="K2791" t="n">
        <v>0</v>
      </c>
      <c r="L2791" t="n">
        <v>0</v>
      </c>
      <c r="M2791" t="n">
        <v>0</v>
      </c>
      <c r="N2791" t="n">
        <v>0</v>
      </c>
      <c r="O2791" t="n">
        <v>0</v>
      </c>
      <c r="P2791" t="n">
        <v>0</v>
      </c>
      <c r="Q2791" t="n">
        <v>0</v>
      </c>
      <c r="R2791" s="2" t="inlineStr"/>
    </row>
    <row r="2792" ht="15" customHeight="1">
      <c r="A2792" t="inlineStr">
        <is>
          <t>A 7315-2021</t>
        </is>
      </c>
      <c r="B2792" s="1" t="n">
        <v>44238</v>
      </c>
      <c r="C2792" s="1" t="n">
        <v>45798</v>
      </c>
      <c r="D2792" t="inlineStr">
        <is>
          <t>NORRBOTTENS LÄN</t>
        </is>
      </c>
      <c r="E2792" t="inlineStr">
        <is>
          <t>PITEÅ</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7472-2021</t>
        </is>
      </c>
      <c r="B2793" s="1" t="n">
        <v>44238</v>
      </c>
      <c r="C2793" s="1" t="n">
        <v>45798</v>
      </c>
      <c r="D2793" t="inlineStr">
        <is>
          <t>NORRBOTTENS LÄN</t>
        </is>
      </c>
      <c r="E2793" t="inlineStr">
        <is>
          <t>ÖVERTORNEÅ</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7273-2021</t>
        </is>
      </c>
      <c r="B2794" s="1" t="n">
        <v>44238</v>
      </c>
      <c r="C2794" s="1" t="n">
        <v>45798</v>
      </c>
      <c r="D2794" t="inlineStr">
        <is>
          <t>NORRBOTTENS LÄN</t>
        </is>
      </c>
      <c r="E2794" t="inlineStr">
        <is>
          <t>JOKKMOKK</t>
        </is>
      </c>
      <c r="F2794" t="inlineStr">
        <is>
          <t>Övriga statliga verk och myndigheter</t>
        </is>
      </c>
      <c r="G2794" t="n">
        <v>19.8</v>
      </c>
      <c r="H2794" t="n">
        <v>0</v>
      </c>
      <c r="I2794" t="n">
        <v>0</v>
      </c>
      <c r="J2794" t="n">
        <v>0</v>
      </c>
      <c r="K2794" t="n">
        <v>0</v>
      </c>
      <c r="L2794" t="n">
        <v>0</v>
      </c>
      <c r="M2794" t="n">
        <v>0</v>
      </c>
      <c r="N2794" t="n">
        <v>0</v>
      </c>
      <c r="O2794" t="n">
        <v>0</v>
      </c>
      <c r="P2794" t="n">
        <v>0</v>
      </c>
      <c r="Q2794" t="n">
        <v>0</v>
      </c>
      <c r="R2794" s="2" t="inlineStr"/>
    </row>
    <row r="2795" ht="15" customHeight="1">
      <c r="A2795" t="inlineStr">
        <is>
          <t>A 7470-2021</t>
        </is>
      </c>
      <c r="B2795" s="1" t="n">
        <v>44238</v>
      </c>
      <c r="C2795" s="1" t="n">
        <v>45798</v>
      </c>
      <c r="D2795" t="inlineStr">
        <is>
          <t>NORRBOTTENS LÄN</t>
        </is>
      </c>
      <c r="E2795" t="inlineStr">
        <is>
          <t>ÖVERTORNEÅ</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7469-2021</t>
        </is>
      </c>
      <c r="B2796" s="1" t="n">
        <v>44238</v>
      </c>
      <c r="C2796" s="1" t="n">
        <v>45798</v>
      </c>
      <c r="D2796" t="inlineStr">
        <is>
          <t>NORRBOTTENS LÄN</t>
        </is>
      </c>
      <c r="E2796" t="inlineStr">
        <is>
          <t>ÖVERTORNEÅ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7421-2021</t>
        </is>
      </c>
      <c r="B2797" s="1" t="n">
        <v>44239</v>
      </c>
      <c r="C2797" s="1" t="n">
        <v>45798</v>
      </c>
      <c r="D2797" t="inlineStr">
        <is>
          <t>NORRBOTTENS LÄN</t>
        </is>
      </c>
      <c r="E2797" t="inlineStr">
        <is>
          <t>LULEÅ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7417-2021</t>
        </is>
      </c>
      <c r="B2798" s="1" t="n">
        <v>44239</v>
      </c>
      <c r="C2798" s="1" t="n">
        <v>45798</v>
      </c>
      <c r="D2798" t="inlineStr">
        <is>
          <t>NORRBOTTENS LÄN</t>
        </is>
      </c>
      <c r="E2798" t="inlineStr">
        <is>
          <t>LULEÅ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7429-2021</t>
        </is>
      </c>
      <c r="B2799" s="1" t="n">
        <v>44239</v>
      </c>
      <c r="C2799" s="1" t="n">
        <v>45798</v>
      </c>
      <c r="D2799" t="inlineStr">
        <is>
          <t>NORRBOTTENS LÄN</t>
        </is>
      </c>
      <c r="E2799" t="inlineStr">
        <is>
          <t>LULEÅ</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7468-2021</t>
        </is>
      </c>
      <c r="B2800" s="1" t="n">
        <v>44239</v>
      </c>
      <c r="C2800" s="1" t="n">
        <v>45798</v>
      </c>
      <c r="D2800" t="inlineStr">
        <is>
          <t>NORRBOTTENS LÄN</t>
        </is>
      </c>
      <c r="E2800" t="inlineStr">
        <is>
          <t>LULEÅ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7726-2021</t>
        </is>
      </c>
      <c r="B2801" s="1" t="n">
        <v>44239</v>
      </c>
      <c r="C2801" s="1" t="n">
        <v>45798</v>
      </c>
      <c r="D2801" t="inlineStr">
        <is>
          <t>NORRBOTTENS LÄN</t>
        </is>
      </c>
      <c r="E2801" t="inlineStr">
        <is>
          <t>LULEÅ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7744-2021</t>
        </is>
      </c>
      <c r="B2802" s="1" t="n">
        <v>44242</v>
      </c>
      <c r="C2802" s="1" t="n">
        <v>45798</v>
      </c>
      <c r="D2802" t="inlineStr">
        <is>
          <t>NORRBOTTENS LÄN</t>
        </is>
      </c>
      <c r="E2802" t="inlineStr">
        <is>
          <t>ÖVERKALIX</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8164-2021</t>
        </is>
      </c>
      <c r="B2803" s="1" t="n">
        <v>44243</v>
      </c>
      <c r="C2803" s="1" t="n">
        <v>45798</v>
      </c>
      <c r="D2803" t="inlineStr">
        <is>
          <t>NORRBOTTENS LÄN</t>
        </is>
      </c>
      <c r="E2803" t="inlineStr">
        <is>
          <t>LULEÅ</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7956-2021</t>
        </is>
      </c>
      <c r="B2804" s="1" t="n">
        <v>44243</v>
      </c>
      <c r="C2804" s="1" t="n">
        <v>45798</v>
      </c>
      <c r="D2804" t="inlineStr">
        <is>
          <t>NORRBOTTENS LÄN</t>
        </is>
      </c>
      <c r="E2804" t="inlineStr">
        <is>
          <t>LULEÅ</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8161-2021</t>
        </is>
      </c>
      <c r="B2805" s="1" t="n">
        <v>44243</v>
      </c>
      <c r="C2805" s="1" t="n">
        <v>45798</v>
      </c>
      <c r="D2805" t="inlineStr">
        <is>
          <t>NORRBOTTENS LÄN</t>
        </is>
      </c>
      <c r="E2805" t="inlineStr">
        <is>
          <t>LULEÅ</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8224-2021</t>
        </is>
      </c>
      <c r="B2806" s="1" t="n">
        <v>44244</v>
      </c>
      <c r="C2806" s="1" t="n">
        <v>45798</v>
      </c>
      <c r="D2806" t="inlineStr">
        <is>
          <t>NORRBOTTENS LÄN</t>
        </is>
      </c>
      <c r="E2806" t="inlineStr">
        <is>
          <t>ÖVERKALIX</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8350-2021</t>
        </is>
      </c>
      <c r="B2807" s="1" t="n">
        <v>44244</v>
      </c>
      <c r="C2807" s="1" t="n">
        <v>45798</v>
      </c>
      <c r="D2807" t="inlineStr">
        <is>
          <t>NORRBOTTENS LÄN</t>
        </is>
      </c>
      <c r="E2807" t="inlineStr">
        <is>
          <t>JOKKMOKK</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8357-2021</t>
        </is>
      </c>
      <c r="B2808" s="1" t="n">
        <v>44244</v>
      </c>
      <c r="C2808" s="1" t="n">
        <v>45798</v>
      </c>
      <c r="D2808" t="inlineStr">
        <is>
          <t>NORRBOTTENS LÄN</t>
        </is>
      </c>
      <c r="E2808" t="inlineStr">
        <is>
          <t>JOKKMOKK</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8258-2021</t>
        </is>
      </c>
      <c r="B2809" s="1" t="n">
        <v>44244</v>
      </c>
      <c r="C2809" s="1" t="n">
        <v>45798</v>
      </c>
      <c r="D2809" t="inlineStr">
        <is>
          <t>NORRBOTTENS LÄN</t>
        </is>
      </c>
      <c r="E2809" t="inlineStr">
        <is>
          <t>KALIX</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8269-2021</t>
        </is>
      </c>
      <c r="B2810" s="1" t="n">
        <v>44244</v>
      </c>
      <c r="C2810" s="1" t="n">
        <v>45798</v>
      </c>
      <c r="D2810" t="inlineStr">
        <is>
          <t>NORRBOTTENS LÄN</t>
        </is>
      </c>
      <c r="E2810" t="inlineStr">
        <is>
          <t>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8483-2021</t>
        </is>
      </c>
      <c r="B2811" s="1" t="n">
        <v>44244</v>
      </c>
      <c r="C2811" s="1" t="n">
        <v>45798</v>
      </c>
      <c r="D2811" t="inlineStr">
        <is>
          <t>NORRBOTTENS LÄN</t>
        </is>
      </c>
      <c r="E2811" t="inlineStr">
        <is>
          <t>ARVIDSJAUR</t>
        </is>
      </c>
      <c r="G2811" t="n">
        <v>33.1</v>
      </c>
      <c r="H2811" t="n">
        <v>0</v>
      </c>
      <c r="I2811" t="n">
        <v>0</v>
      </c>
      <c r="J2811" t="n">
        <v>0</v>
      </c>
      <c r="K2811" t="n">
        <v>0</v>
      </c>
      <c r="L2811" t="n">
        <v>0</v>
      </c>
      <c r="M2811" t="n">
        <v>0</v>
      </c>
      <c r="N2811" t="n">
        <v>0</v>
      </c>
      <c r="O2811" t="n">
        <v>0</v>
      </c>
      <c r="P2811" t="n">
        <v>0</v>
      </c>
      <c r="Q2811" t="n">
        <v>0</v>
      </c>
      <c r="R2811" s="2" t="inlineStr"/>
    </row>
    <row r="2812" ht="15" customHeight="1">
      <c r="A2812" t="inlineStr">
        <is>
          <t>A 8270-2021</t>
        </is>
      </c>
      <c r="B2812" s="1" t="n">
        <v>44244</v>
      </c>
      <c r="C2812" s="1" t="n">
        <v>45798</v>
      </c>
      <c r="D2812" t="inlineStr">
        <is>
          <t>NORRBOTTENS LÄN</t>
        </is>
      </c>
      <c r="E2812" t="inlineStr">
        <is>
          <t>KALIX</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8358-2021</t>
        </is>
      </c>
      <c r="B2813" s="1" t="n">
        <v>44244</v>
      </c>
      <c r="C2813" s="1" t="n">
        <v>45798</v>
      </c>
      <c r="D2813" t="inlineStr">
        <is>
          <t>NORRBOTTENS LÄN</t>
        </is>
      </c>
      <c r="E2813" t="inlineStr">
        <is>
          <t>JOKKMOKK</t>
        </is>
      </c>
      <c r="F2813" t="inlineStr">
        <is>
          <t>SCA</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8495-2021</t>
        </is>
      </c>
      <c r="B2814" s="1" t="n">
        <v>44244</v>
      </c>
      <c r="C2814" s="1" t="n">
        <v>45798</v>
      </c>
      <c r="D2814" t="inlineStr">
        <is>
          <t>NORRBOTTENS LÄN</t>
        </is>
      </c>
      <c r="E2814" t="inlineStr">
        <is>
          <t>ÖVERTORNEÅ</t>
        </is>
      </c>
      <c r="G2814" t="n">
        <v>18.5</v>
      </c>
      <c r="H2814" t="n">
        <v>0</v>
      </c>
      <c r="I2814" t="n">
        <v>0</v>
      </c>
      <c r="J2814" t="n">
        <v>0</v>
      </c>
      <c r="K2814" t="n">
        <v>0</v>
      </c>
      <c r="L2814" t="n">
        <v>0</v>
      </c>
      <c r="M2814" t="n">
        <v>0</v>
      </c>
      <c r="N2814" t="n">
        <v>0</v>
      </c>
      <c r="O2814" t="n">
        <v>0</v>
      </c>
      <c r="P2814" t="n">
        <v>0</v>
      </c>
      <c r="Q2814" t="n">
        <v>0</v>
      </c>
      <c r="R2814" s="2" t="inlineStr"/>
    </row>
    <row r="2815" ht="15" customHeight="1">
      <c r="A2815" t="inlineStr">
        <is>
          <t>A 8360-2021</t>
        </is>
      </c>
      <c r="B2815" s="1" t="n">
        <v>44244</v>
      </c>
      <c r="C2815" s="1" t="n">
        <v>45798</v>
      </c>
      <c r="D2815" t="inlineStr">
        <is>
          <t>NORRBOTTENS LÄN</t>
        </is>
      </c>
      <c r="E2815" t="inlineStr">
        <is>
          <t>JOKKMOKK</t>
        </is>
      </c>
      <c r="F2815" t="inlineStr">
        <is>
          <t>SCA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8354-2021</t>
        </is>
      </c>
      <c r="B2816" s="1" t="n">
        <v>44244</v>
      </c>
      <c r="C2816" s="1" t="n">
        <v>45798</v>
      </c>
      <c r="D2816" t="inlineStr">
        <is>
          <t>NORRBOTTENS LÄN</t>
        </is>
      </c>
      <c r="E2816" t="inlineStr">
        <is>
          <t>JOKKMOKK</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8511-2021</t>
        </is>
      </c>
      <c r="B2817" s="1" t="n">
        <v>44244</v>
      </c>
      <c r="C2817" s="1" t="n">
        <v>45798</v>
      </c>
      <c r="D2817" t="inlineStr">
        <is>
          <t>NORRBOTTENS LÄN</t>
        </is>
      </c>
      <c r="E2817" t="inlineStr">
        <is>
          <t>ÖVERTORNEÅ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8611-2021</t>
        </is>
      </c>
      <c r="B2818" s="1" t="n">
        <v>44245</v>
      </c>
      <c r="C2818" s="1" t="n">
        <v>45798</v>
      </c>
      <c r="D2818" t="inlineStr">
        <is>
          <t>NORRBOTTENS LÄN</t>
        </is>
      </c>
      <c r="E2818" t="inlineStr">
        <is>
          <t>KALIX</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8641-2021</t>
        </is>
      </c>
      <c r="B2819" s="1" t="n">
        <v>44245</v>
      </c>
      <c r="C2819" s="1" t="n">
        <v>45798</v>
      </c>
      <c r="D2819" t="inlineStr">
        <is>
          <t>NORRBOTTENS LÄN</t>
        </is>
      </c>
      <c r="E2819" t="inlineStr">
        <is>
          <t>JOKKMOKK</t>
        </is>
      </c>
      <c r="F2819" t="inlineStr">
        <is>
          <t>SCA</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8898-2021</t>
        </is>
      </c>
      <c r="B2820" s="1" t="n">
        <v>44245</v>
      </c>
      <c r="C2820" s="1" t="n">
        <v>45798</v>
      </c>
      <c r="D2820" t="inlineStr">
        <is>
          <t>NORRBOTTENS LÄN</t>
        </is>
      </c>
      <c r="E2820" t="inlineStr">
        <is>
          <t>ÖVERTORNEÅ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8834-2021</t>
        </is>
      </c>
      <c r="B2821" s="1" t="n">
        <v>44245</v>
      </c>
      <c r="C2821" s="1" t="n">
        <v>45798</v>
      </c>
      <c r="D2821" t="inlineStr">
        <is>
          <t>NORRBOTTENS LÄN</t>
        </is>
      </c>
      <c r="E2821" t="inlineStr">
        <is>
          <t>LULEÅ</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8855-2021</t>
        </is>
      </c>
      <c r="B2822" s="1" t="n">
        <v>44246</v>
      </c>
      <c r="C2822" s="1" t="n">
        <v>45798</v>
      </c>
      <c r="D2822" t="inlineStr">
        <is>
          <t>NORRBOTTENS LÄN</t>
        </is>
      </c>
      <c r="E2822" t="inlineStr">
        <is>
          <t>JOKKMOKK</t>
        </is>
      </c>
      <c r="F2822" t="inlineStr">
        <is>
          <t>SCA</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8727-2021</t>
        </is>
      </c>
      <c r="B2823" s="1" t="n">
        <v>44246</v>
      </c>
      <c r="C2823" s="1" t="n">
        <v>45798</v>
      </c>
      <c r="D2823" t="inlineStr">
        <is>
          <t>NORRBOTTENS LÄN</t>
        </is>
      </c>
      <c r="E2823" t="inlineStr">
        <is>
          <t>ARJEPLOG</t>
        </is>
      </c>
      <c r="F2823" t="inlineStr">
        <is>
          <t>Sveaskog</t>
        </is>
      </c>
      <c r="G2823" t="n">
        <v>12.9</v>
      </c>
      <c r="H2823" t="n">
        <v>0</v>
      </c>
      <c r="I2823" t="n">
        <v>0</v>
      </c>
      <c r="J2823" t="n">
        <v>0</v>
      </c>
      <c r="K2823" t="n">
        <v>0</v>
      </c>
      <c r="L2823" t="n">
        <v>0</v>
      </c>
      <c r="M2823" t="n">
        <v>0</v>
      </c>
      <c r="N2823" t="n">
        <v>0</v>
      </c>
      <c r="O2823" t="n">
        <v>0</v>
      </c>
      <c r="P2823" t="n">
        <v>0</v>
      </c>
      <c r="Q2823" t="n">
        <v>0</v>
      </c>
      <c r="R2823" s="2" t="inlineStr"/>
    </row>
    <row r="2824" ht="15" customHeight="1">
      <c r="A2824" t="inlineStr">
        <is>
          <t>A 8847-2021</t>
        </is>
      </c>
      <c r="B2824" s="1" t="n">
        <v>44246</v>
      </c>
      <c r="C2824" s="1" t="n">
        <v>45798</v>
      </c>
      <c r="D2824" t="inlineStr">
        <is>
          <t>NORRBOTTENS LÄN</t>
        </is>
      </c>
      <c r="E2824" t="inlineStr">
        <is>
          <t>ÄLVSBYN</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8721-2021</t>
        </is>
      </c>
      <c r="B2825" s="1" t="n">
        <v>44246</v>
      </c>
      <c r="C2825" s="1" t="n">
        <v>45798</v>
      </c>
      <c r="D2825" t="inlineStr">
        <is>
          <t>NORRBOTTENS LÄN</t>
        </is>
      </c>
      <c r="E2825" t="inlineStr">
        <is>
          <t>ARJEPLOG</t>
        </is>
      </c>
      <c r="F2825" t="inlineStr">
        <is>
          <t>Sveaskog</t>
        </is>
      </c>
      <c r="G2825" t="n">
        <v>48.3</v>
      </c>
      <c r="H2825" t="n">
        <v>0</v>
      </c>
      <c r="I2825" t="n">
        <v>0</v>
      </c>
      <c r="J2825" t="n">
        <v>0</v>
      </c>
      <c r="K2825" t="n">
        <v>0</v>
      </c>
      <c r="L2825" t="n">
        <v>0</v>
      </c>
      <c r="M2825" t="n">
        <v>0</v>
      </c>
      <c r="N2825" t="n">
        <v>0</v>
      </c>
      <c r="O2825" t="n">
        <v>0</v>
      </c>
      <c r="P2825" t="n">
        <v>0</v>
      </c>
      <c r="Q2825" t="n">
        <v>0</v>
      </c>
      <c r="R2825" s="2" t="inlineStr"/>
    </row>
    <row r="2826" ht="15" customHeight="1">
      <c r="A2826" t="inlineStr">
        <is>
          <t>A 8891-2021</t>
        </is>
      </c>
      <c r="B2826" s="1" t="n">
        <v>44248</v>
      </c>
      <c r="C2826" s="1" t="n">
        <v>45798</v>
      </c>
      <c r="D2826" t="inlineStr">
        <is>
          <t>NORRBOTTENS LÄN</t>
        </is>
      </c>
      <c r="E2826" t="inlineStr">
        <is>
          <t>BODEN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8889-2021</t>
        </is>
      </c>
      <c r="B2827" s="1" t="n">
        <v>44248</v>
      </c>
      <c r="C2827" s="1" t="n">
        <v>45798</v>
      </c>
      <c r="D2827" t="inlineStr">
        <is>
          <t>NORRBOTTENS LÄN</t>
        </is>
      </c>
      <c r="E2827" t="inlineStr">
        <is>
          <t>BODEN</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8886-2021</t>
        </is>
      </c>
      <c r="B2828" s="1" t="n">
        <v>44248</v>
      </c>
      <c r="C2828" s="1" t="n">
        <v>45798</v>
      </c>
      <c r="D2828" t="inlineStr">
        <is>
          <t>NORRBOTTENS LÄN</t>
        </is>
      </c>
      <c r="E2828" t="inlineStr">
        <is>
          <t>BODEN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9497-2021</t>
        </is>
      </c>
      <c r="B2829" s="1" t="n">
        <v>44251</v>
      </c>
      <c r="C2829" s="1" t="n">
        <v>45798</v>
      </c>
      <c r="D2829" t="inlineStr">
        <is>
          <t>NORRBOTTENS LÄN</t>
        </is>
      </c>
      <c r="E2829" t="inlineStr">
        <is>
          <t>HAPARANDA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9474-2021</t>
        </is>
      </c>
      <c r="B2830" s="1" t="n">
        <v>44251</v>
      </c>
      <c r="C2830" s="1" t="n">
        <v>45798</v>
      </c>
      <c r="D2830" t="inlineStr">
        <is>
          <t>NORRBOTTENS LÄN</t>
        </is>
      </c>
      <c r="E2830" t="inlineStr">
        <is>
          <t>HAPARANDA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9838-2021</t>
        </is>
      </c>
      <c r="B2831" s="1" t="n">
        <v>44252</v>
      </c>
      <c r="C2831" s="1" t="n">
        <v>45798</v>
      </c>
      <c r="D2831" t="inlineStr">
        <is>
          <t>NORRBOTTENS LÄN</t>
        </is>
      </c>
      <c r="E2831" t="inlineStr">
        <is>
          <t>ÖVERTORNEÅ</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9871-2021</t>
        </is>
      </c>
      <c r="B2832" s="1" t="n">
        <v>44252</v>
      </c>
      <c r="C2832" s="1" t="n">
        <v>45798</v>
      </c>
      <c r="D2832" t="inlineStr">
        <is>
          <t>NORRBOTTENS LÄN</t>
        </is>
      </c>
      <c r="E2832" t="inlineStr">
        <is>
          <t>ARVIDSJAUR</t>
        </is>
      </c>
      <c r="F2832" t="inlineStr">
        <is>
          <t>Allmännings- och besparingsskogar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9842-2021</t>
        </is>
      </c>
      <c r="B2833" s="1" t="n">
        <v>44252</v>
      </c>
      <c r="C2833" s="1" t="n">
        <v>45798</v>
      </c>
      <c r="D2833" t="inlineStr">
        <is>
          <t>NORRBOTTENS LÄN</t>
        </is>
      </c>
      <c r="E2833" t="inlineStr">
        <is>
          <t>ÖVERTORNEÅ</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9864-2021</t>
        </is>
      </c>
      <c r="B2834" s="1" t="n">
        <v>44252</v>
      </c>
      <c r="C2834" s="1" t="n">
        <v>45798</v>
      </c>
      <c r="D2834" t="inlineStr">
        <is>
          <t>NORRBOTTENS LÄN</t>
        </is>
      </c>
      <c r="E2834" t="inlineStr">
        <is>
          <t>ARVIDSJAUR</t>
        </is>
      </c>
      <c r="F2834" t="inlineStr">
        <is>
          <t>Allmännings- och besparingsskogar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10080-2021</t>
        </is>
      </c>
      <c r="B2835" s="1" t="n">
        <v>44256</v>
      </c>
      <c r="C2835" s="1" t="n">
        <v>45798</v>
      </c>
      <c r="D2835" t="inlineStr">
        <is>
          <t>NORRBOTTENS LÄN</t>
        </is>
      </c>
      <c r="E2835" t="inlineStr">
        <is>
          <t>PITEÅ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10188-2021</t>
        </is>
      </c>
      <c r="B2836" s="1" t="n">
        <v>44256</v>
      </c>
      <c r="C2836" s="1" t="n">
        <v>45798</v>
      </c>
      <c r="D2836" t="inlineStr">
        <is>
          <t>NORRBOTTENS LÄN</t>
        </is>
      </c>
      <c r="E2836" t="inlineStr">
        <is>
          <t>ÖVERTORNEÅ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10393-2021</t>
        </is>
      </c>
      <c r="B2837" s="1" t="n">
        <v>44257</v>
      </c>
      <c r="C2837" s="1" t="n">
        <v>45798</v>
      </c>
      <c r="D2837" t="inlineStr">
        <is>
          <t>NORRBOTTENS LÄN</t>
        </is>
      </c>
      <c r="E2837" t="inlineStr">
        <is>
          <t>PITEÅ</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10619-2021</t>
        </is>
      </c>
      <c r="B2838" s="1" t="n">
        <v>44258</v>
      </c>
      <c r="C2838" s="1" t="n">
        <v>45798</v>
      </c>
      <c r="D2838" t="inlineStr">
        <is>
          <t>NORRBOTTENS LÄN</t>
        </is>
      </c>
      <c r="E2838" t="inlineStr">
        <is>
          <t>ÖVERTORNEÅ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10757-2021</t>
        </is>
      </c>
      <c r="B2839" s="1" t="n">
        <v>44258</v>
      </c>
      <c r="C2839" s="1" t="n">
        <v>45798</v>
      </c>
      <c r="D2839" t="inlineStr">
        <is>
          <t>NORRBOTTENS LÄN</t>
        </is>
      </c>
      <c r="E2839" t="inlineStr">
        <is>
          <t>PITEÅ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10951-2021</t>
        </is>
      </c>
      <c r="B2840" s="1" t="n">
        <v>44259</v>
      </c>
      <c r="C2840" s="1" t="n">
        <v>45798</v>
      </c>
      <c r="D2840" t="inlineStr">
        <is>
          <t>NORRBOTTENS LÄN</t>
        </is>
      </c>
      <c r="E2840" t="inlineStr">
        <is>
          <t>LULEÅ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11076-2021</t>
        </is>
      </c>
      <c r="B2841" s="1" t="n">
        <v>44259</v>
      </c>
      <c r="C2841" s="1" t="n">
        <v>45798</v>
      </c>
      <c r="D2841" t="inlineStr">
        <is>
          <t>NORRBOTTENS LÄN</t>
        </is>
      </c>
      <c r="E2841" t="inlineStr">
        <is>
          <t>ARVIDSJAUR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11259-2021</t>
        </is>
      </c>
      <c r="B2842" s="1" t="n">
        <v>44260</v>
      </c>
      <c r="C2842" s="1" t="n">
        <v>45798</v>
      </c>
      <c r="D2842" t="inlineStr">
        <is>
          <t>NORRBOTTENS LÄN</t>
        </is>
      </c>
      <c r="E2842" t="inlineStr">
        <is>
          <t>KIRUNA</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11294-2021</t>
        </is>
      </c>
      <c r="B2843" s="1" t="n">
        <v>44263</v>
      </c>
      <c r="C2843" s="1" t="n">
        <v>45798</v>
      </c>
      <c r="D2843" t="inlineStr">
        <is>
          <t>NORRBOTTENS LÄN</t>
        </is>
      </c>
      <c r="E2843" t="inlineStr">
        <is>
          <t>KALIX</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11242-2021</t>
        </is>
      </c>
      <c r="B2844" s="1" t="n">
        <v>44263</v>
      </c>
      <c r="C2844" s="1" t="n">
        <v>45798</v>
      </c>
      <c r="D2844" t="inlineStr">
        <is>
          <t>NORRBOTTENS LÄN</t>
        </is>
      </c>
      <c r="E2844" t="inlineStr">
        <is>
          <t>LULEÅ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11734-2021</t>
        </is>
      </c>
      <c r="B2845" s="1" t="n">
        <v>44264</v>
      </c>
      <c r="C2845" s="1" t="n">
        <v>45798</v>
      </c>
      <c r="D2845" t="inlineStr">
        <is>
          <t>NORRBOTTENS LÄN</t>
        </is>
      </c>
      <c r="E2845" t="inlineStr">
        <is>
          <t>LULEÅ</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11848-2021</t>
        </is>
      </c>
      <c r="B2846" s="1" t="n">
        <v>44264</v>
      </c>
      <c r="C2846" s="1" t="n">
        <v>45798</v>
      </c>
      <c r="D2846" t="inlineStr">
        <is>
          <t>NORRBOTTENS LÄN</t>
        </is>
      </c>
      <c r="E2846" t="inlineStr">
        <is>
          <t>LULEÅ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11847-2021</t>
        </is>
      </c>
      <c r="B2847" s="1" t="n">
        <v>44264</v>
      </c>
      <c r="C2847" s="1" t="n">
        <v>45798</v>
      </c>
      <c r="D2847" t="inlineStr">
        <is>
          <t>NORRBOTTENS LÄN</t>
        </is>
      </c>
      <c r="E2847" t="inlineStr">
        <is>
          <t>LULEÅ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12950-2021</t>
        </is>
      </c>
      <c r="B2848" s="1" t="n">
        <v>44271</v>
      </c>
      <c r="C2848" s="1" t="n">
        <v>45798</v>
      </c>
      <c r="D2848" t="inlineStr">
        <is>
          <t>NORRBOTTENS LÄN</t>
        </is>
      </c>
      <c r="E2848" t="inlineStr">
        <is>
          <t>ÄLVSBYN</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13091-2021</t>
        </is>
      </c>
      <c r="B2849" s="1" t="n">
        <v>44271</v>
      </c>
      <c r="C2849" s="1" t="n">
        <v>45798</v>
      </c>
      <c r="D2849" t="inlineStr">
        <is>
          <t>NORRBOTTENS LÄN</t>
        </is>
      </c>
      <c r="E2849" t="inlineStr">
        <is>
          <t>HAPARANDA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13248-2021</t>
        </is>
      </c>
      <c r="B2850" s="1" t="n">
        <v>44272</v>
      </c>
      <c r="C2850" s="1" t="n">
        <v>45798</v>
      </c>
      <c r="D2850" t="inlineStr">
        <is>
          <t>NORRBOTTENS LÄN</t>
        </is>
      </c>
      <c r="E2850" t="inlineStr">
        <is>
          <t>LULEÅ</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13204-2021</t>
        </is>
      </c>
      <c r="B2851" s="1" t="n">
        <v>44272</v>
      </c>
      <c r="C2851" s="1" t="n">
        <v>45798</v>
      </c>
      <c r="D2851" t="inlineStr">
        <is>
          <t>NORRBOTTENS LÄN</t>
        </is>
      </c>
      <c r="E2851" t="inlineStr">
        <is>
          <t>GÄLLIVARE</t>
        </is>
      </c>
      <c r="G2851" t="n">
        <v>41.2</v>
      </c>
      <c r="H2851" t="n">
        <v>0</v>
      </c>
      <c r="I2851" t="n">
        <v>0</v>
      </c>
      <c r="J2851" t="n">
        <v>0</v>
      </c>
      <c r="K2851" t="n">
        <v>0</v>
      </c>
      <c r="L2851" t="n">
        <v>0</v>
      </c>
      <c r="M2851" t="n">
        <v>0</v>
      </c>
      <c r="N2851" t="n">
        <v>0</v>
      </c>
      <c r="O2851" t="n">
        <v>0</v>
      </c>
      <c r="P2851" t="n">
        <v>0</v>
      </c>
      <c r="Q2851" t="n">
        <v>0</v>
      </c>
      <c r="R2851" s="2" t="inlineStr"/>
    </row>
    <row r="2852" ht="15" customHeight="1">
      <c r="A2852" t="inlineStr">
        <is>
          <t>A 13576-2021</t>
        </is>
      </c>
      <c r="B2852" s="1" t="n">
        <v>44273</v>
      </c>
      <c r="C2852" s="1" t="n">
        <v>45798</v>
      </c>
      <c r="D2852" t="inlineStr">
        <is>
          <t>NORRBOTTENS LÄN</t>
        </is>
      </c>
      <c r="E2852" t="inlineStr">
        <is>
          <t>ÖVERTORNEÅ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13728-2021</t>
        </is>
      </c>
      <c r="B2853" s="1" t="n">
        <v>44274</v>
      </c>
      <c r="C2853" s="1" t="n">
        <v>45798</v>
      </c>
      <c r="D2853" t="inlineStr">
        <is>
          <t>NORRBOTTENS LÄN</t>
        </is>
      </c>
      <c r="E2853" t="inlineStr">
        <is>
          <t>BODEN</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13734-2021</t>
        </is>
      </c>
      <c r="B2854" s="1" t="n">
        <v>44274</v>
      </c>
      <c r="C2854" s="1" t="n">
        <v>45798</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13744-2021</t>
        </is>
      </c>
      <c r="B2855" s="1" t="n">
        <v>44274</v>
      </c>
      <c r="C2855" s="1" t="n">
        <v>45798</v>
      </c>
      <c r="D2855" t="inlineStr">
        <is>
          <t>NORRBOTTENS LÄN</t>
        </is>
      </c>
      <c r="E2855" t="inlineStr">
        <is>
          <t>BODEN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15491-2021</t>
        </is>
      </c>
      <c r="B2856" s="1" t="n">
        <v>44274</v>
      </c>
      <c r="C2856" s="1" t="n">
        <v>45798</v>
      </c>
      <c r="D2856" t="inlineStr">
        <is>
          <t>NORRBOTTENS LÄN</t>
        </is>
      </c>
      <c r="E2856" t="inlineStr">
        <is>
          <t>BODEN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13657-2021</t>
        </is>
      </c>
      <c r="B2857" s="1" t="n">
        <v>44274</v>
      </c>
      <c r="C2857" s="1" t="n">
        <v>45798</v>
      </c>
      <c r="D2857" t="inlineStr">
        <is>
          <t>NORRBOTTENS LÄN</t>
        </is>
      </c>
      <c r="E2857" t="inlineStr">
        <is>
          <t>BODEN</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13740-2021</t>
        </is>
      </c>
      <c r="B2858" s="1" t="n">
        <v>44274</v>
      </c>
      <c r="C2858" s="1" t="n">
        <v>45798</v>
      </c>
      <c r="D2858" t="inlineStr">
        <is>
          <t>NORRBOTTENS LÄN</t>
        </is>
      </c>
      <c r="E2858" t="inlineStr">
        <is>
          <t>BODEN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13866-2021</t>
        </is>
      </c>
      <c r="B2859" s="1" t="n">
        <v>44277</v>
      </c>
      <c r="C2859" s="1" t="n">
        <v>45798</v>
      </c>
      <c r="D2859" t="inlineStr">
        <is>
          <t>NORRBOTTENS LÄN</t>
        </is>
      </c>
      <c r="E2859" t="inlineStr">
        <is>
          <t>ÖVERTORNEÅ</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13864-2021</t>
        </is>
      </c>
      <c r="B2860" s="1" t="n">
        <v>44277</v>
      </c>
      <c r="C2860" s="1" t="n">
        <v>45798</v>
      </c>
      <c r="D2860" t="inlineStr">
        <is>
          <t>NORRBOTTENS LÄN</t>
        </is>
      </c>
      <c r="E2860" t="inlineStr">
        <is>
          <t>ÖVERTORNEÅ</t>
        </is>
      </c>
      <c r="G2860" t="n">
        <v>48.3</v>
      </c>
      <c r="H2860" t="n">
        <v>0</v>
      </c>
      <c r="I2860" t="n">
        <v>0</v>
      </c>
      <c r="J2860" t="n">
        <v>0</v>
      </c>
      <c r="K2860" t="n">
        <v>0</v>
      </c>
      <c r="L2860" t="n">
        <v>0</v>
      </c>
      <c r="M2860" t="n">
        <v>0</v>
      </c>
      <c r="N2860" t="n">
        <v>0</v>
      </c>
      <c r="O2860" t="n">
        <v>0</v>
      </c>
      <c r="P2860" t="n">
        <v>0</v>
      </c>
      <c r="Q2860" t="n">
        <v>0</v>
      </c>
      <c r="R2860" s="2" t="inlineStr"/>
    </row>
    <row r="2861" ht="15" customHeight="1">
      <c r="A2861" t="inlineStr">
        <is>
          <t>A 13861-2021</t>
        </is>
      </c>
      <c r="B2861" s="1" t="n">
        <v>44277</v>
      </c>
      <c r="C2861" s="1" t="n">
        <v>45798</v>
      </c>
      <c r="D2861" t="inlineStr">
        <is>
          <t>NORRBOTTENS LÄN</t>
        </is>
      </c>
      <c r="E2861" t="inlineStr">
        <is>
          <t>ÖVERTORNEÅ</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13870-2021</t>
        </is>
      </c>
      <c r="B2862" s="1" t="n">
        <v>44277</v>
      </c>
      <c r="C2862" s="1" t="n">
        <v>45798</v>
      </c>
      <c r="D2862" t="inlineStr">
        <is>
          <t>NORRBOTTENS LÄN</t>
        </is>
      </c>
      <c r="E2862" t="inlineStr">
        <is>
          <t>ÖVERTORNEÅ</t>
        </is>
      </c>
      <c r="G2862" t="n">
        <v>10.8</v>
      </c>
      <c r="H2862" t="n">
        <v>0</v>
      </c>
      <c r="I2862" t="n">
        <v>0</v>
      </c>
      <c r="J2862" t="n">
        <v>0</v>
      </c>
      <c r="K2862" t="n">
        <v>0</v>
      </c>
      <c r="L2862" t="n">
        <v>0</v>
      </c>
      <c r="M2862" t="n">
        <v>0</v>
      </c>
      <c r="N2862" t="n">
        <v>0</v>
      </c>
      <c r="O2862" t="n">
        <v>0</v>
      </c>
      <c r="P2862" t="n">
        <v>0</v>
      </c>
      <c r="Q2862" t="n">
        <v>0</v>
      </c>
      <c r="R2862" s="2" t="inlineStr"/>
    </row>
    <row r="2863" ht="15" customHeight="1">
      <c r="A2863" t="inlineStr">
        <is>
          <t>A 13919-2021</t>
        </is>
      </c>
      <c r="B2863" s="1" t="n">
        <v>44277</v>
      </c>
      <c r="C2863" s="1" t="n">
        <v>45798</v>
      </c>
      <c r="D2863" t="inlineStr">
        <is>
          <t>NORRBOTTENS LÄN</t>
        </is>
      </c>
      <c r="E2863" t="inlineStr">
        <is>
          <t>PAJALA</t>
        </is>
      </c>
      <c r="F2863" t="inlineStr">
        <is>
          <t>Allmännings- och besparingsskogar</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13859-2021</t>
        </is>
      </c>
      <c r="B2864" s="1" t="n">
        <v>44277</v>
      </c>
      <c r="C2864" s="1" t="n">
        <v>45798</v>
      </c>
      <c r="D2864" t="inlineStr">
        <is>
          <t>NORRBOTTENS LÄN</t>
        </is>
      </c>
      <c r="E2864" t="inlineStr">
        <is>
          <t>ÖVERTORNEÅ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13877-2021</t>
        </is>
      </c>
      <c r="B2865" s="1" t="n">
        <v>44277</v>
      </c>
      <c r="C2865" s="1" t="n">
        <v>45798</v>
      </c>
      <c r="D2865" t="inlineStr">
        <is>
          <t>NORRBOTTENS LÄN</t>
        </is>
      </c>
      <c r="E2865" t="inlineStr">
        <is>
          <t>ÖVERTORNEÅ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14309-2021</t>
        </is>
      </c>
      <c r="B2866" s="1" t="n">
        <v>44278</v>
      </c>
      <c r="C2866" s="1" t="n">
        <v>45798</v>
      </c>
      <c r="D2866" t="inlineStr">
        <is>
          <t>NORRBOTTENS LÄN</t>
        </is>
      </c>
      <c r="E2866" t="inlineStr">
        <is>
          <t>PAJALA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14340-2021</t>
        </is>
      </c>
      <c r="B2867" s="1" t="n">
        <v>44279</v>
      </c>
      <c r="C2867" s="1" t="n">
        <v>45798</v>
      </c>
      <c r="D2867" t="inlineStr">
        <is>
          <t>NORRBOTTENS LÄN</t>
        </is>
      </c>
      <c r="E2867" t="inlineStr">
        <is>
          <t>BODEN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14380-2021</t>
        </is>
      </c>
      <c r="B2868" s="1" t="n">
        <v>44279</v>
      </c>
      <c r="C2868" s="1" t="n">
        <v>45798</v>
      </c>
      <c r="D2868" t="inlineStr">
        <is>
          <t>NORRBOTTENS LÄN</t>
        </is>
      </c>
      <c r="E2868" t="inlineStr">
        <is>
          <t>BODEN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14375-2021</t>
        </is>
      </c>
      <c r="B2869" s="1" t="n">
        <v>44279</v>
      </c>
      <c r="C2869" s="1" t="n">
        <v>45798</v>
      </c>
      <c r="D2869" t="inlineStr">
        <is>
          <t>NORRBOTTENS LÄN</t>
        </is>
      </c>
      <c r="E2869" t="inlineStr">
        <is>
          <t>ARJEPLOG</t>
        </is>
      </c>
      <c r="F2869" t="inlineStr">
        <is>
          <t>Övriga statliga verk och myndigheter</t>
        </is>
      </c>
      <c r="G2869" t="n">
        <v>60</v>
      </c>
      <c r="H2869" t="n">
        <v>0</v>
      </c>
      <c r="I2869" t="n">
        <v>0</v>
      </c>
      <c r="J2869" t="n">
        <v>0</v>
      </c>
      <c r="K2869" t="n">
        <v>0</v>
      </c>
      <c r="L2869" t="n">
        <v>0</v>
      </c>
      <c r="M2869" t="n">
        <v>0</v>
      </c>
      <c r="N2869" t="n">
        <v>0</v>
      </c>
      <c r="O2869" t="n">
        <v>0</v>
      </c>
      <c r="P2869" t="n">
        <v>0</v>
      </c>
      <c r="Q2869" t="n">
        <v>0</v>
      </c>
      <c r="R2869" s="2" t="inlineStr"/>
    </row>
    <row r="2870" ht="15" customHeight="1">
      <c r="A2870" t="inlineStr">
        <is>
          <t>A 14562-2021</t>
        </is>
      </c>
      <c r="B2870" s="1" t="n">
        <v>44279</v>
      </c>
      <c r="C2870" s="1" t="n">
        <v>45798</v>
      </c>
      <c r="D2870" t="inlineStr">
        <is>
          <t>NORRBOTTENS LÄN</t>
        </is>
      </c>
      <c r="E2870" t="inlineStr">
        <is>
          <t>PAJALA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14513-2021</t>
        </is>
      </c>
      <c r="B2871" s="1" t="n">
        <v>44279</v>
      </c>
      <c r="C2871" s="1" t="n">
        <v>45798</v>
      </c>
      <c r="D2871" t="inlineStr">
        <is>
          <t>NORRBOTTENS LÄN</t>
        </is>
      </c>
      <c r="E2871" t="inlineStr">
        <is>
          <t>PAJALA</t>
        </is>
      </c>
      <c r="G2871" t="n">
        <v>25.5</v>
      </c>
      <c r="H2871" t="n">
        <v>0</v>
      </c>
      <c r="I2871" t="n">
        <v>0</v>
      </c>
      <c r="J2871" t="n">
        <v>0</v>
      </c>
      <c r="K2871" t="n">
        <v>0</v>
      </c>
      <c r="L2871" t="n">
        <v>0</v>
      </c>
      <c r="M2871" t="n">
        <v>0</v>
      </c>
      <c r="N2871" t="n">
        <v>0</v>
      </c>
      <c r="O2871" t="n">
        <v>0</v>
      </c>
      <c r="P2871" t="n">
        <v>0</v>
      </c>
      <c r="Q2871" t="n">
        <v>0</v>
      </c>
      <c r="R2871" s="2" t="inlineStr"/>
    </row>
    <row r="2872" ht="15" customHeight="1">
      <c r="A2872" t="inlineStr">
        <is>
          <t>A 14634-2021</t>
        </is>
      </c>
      <c r="B2872" s="1" t="n">
        <v>44279</v>
      </c>
      <c r="C2872" s="1" t="n">
        <v>45798</v>
      </c>
      <c r="D2872" t="inlineStr">
        <is>
          <t>NORRBOTTENS LÄN</t>
        </is>
      </c>
      <c r="E2872" t="inlineStr">
        <is>
          <t>PAJALA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14849-2021</t>
        </is>
      </c>
      <c r="B2873" s="1" t="n">
        <v>44280</v>
      </c>
      <c r="C2873" s="1" t="n">
        <v>45798</v>
      </c>
      <c r="D2873" t="inlineStr">
        <is>
          <t>NORRBOTTENS LÄN</t>
        </is>
      </c>
      <c r="E2873" t="inlineStr">
        <is>
          <t>PITEÅ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14680-2021</t>
        </is>
      </c>
      <c r="B2874" s="1" t="n">
        <v>44280</v>
      </c>
      <c r="C2874" s="1" t="n">
        <v>45798</v>
      </c>
      <c r="D2874" t="inlineStr">
        <is>
          <t>NORRBOTTENS LÄN</t>
        </is>
      </c>
      <c r="E2874" t="inlineStr">
        <is>
          <t>HAPARANDA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14891-2021</t>
        </is>
      </c>
      <c r="B2875" s="1" t="n">
        <v>44280</v>
      </c>
      <c r="C2875" s="1" t="n">
        <v>45798</v>
      </c>
      <c r="D2875" t="inlineStr">
        <is>
          <t>NORRBOTTENS LÄN</t>
        </is>
      </c>
      <c r="E2875" t="inlineStr">
        <is>
          <t>LULEÅ</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14866-2021</t>
        </is>
      </c>
      <c r="B2876" s="1" t="n">
        <v>44280</v>
      </c>
      <c r="C2876" s="1" t="n">
        <v>45798</v>
      </c>
      <c r="D2876" t="inlineStr">
        <is>
          <t>NORRBOTTENS LÄN</t>
        </is>
      </c>
      <c r="E2876" t="inlineStr">
        <is>
          <t>ÄLVSBYN</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14863-2021</t>
        </is>
      </c>
      <c r="B2877" s="1" t="n">
        <v>44280</v>
      </c>
      <c r="C2877" s="1" t="n">
        <v>45798</v>
      </c>
      <c r="D2877" t="inlineStr">
        <is>
          <t>NORRBOTTENS LÄN</t>
        </is>
      </c>
      <c r="E2877" t="inlineStr">
        <is>
          <t>ÄLVSBYN</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14864-2021</t>
        </is>
      </c>
      <c r="B2878" s="1" t="n">
        <v>44280</v>
      </c>
      <c r="C2878" s="1" t="n">
        <v>45798</v>
      </c>
      <c r="D2878" t="inlineStr">
        <is>
          <t>NORRBOTTENS LÄN</t>
        </is>
      </c>
      <c r="E2878" t="inlineStr">
        <is>
          <t>ÄLVSBYN</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14886-2021</t>
        </is>
      </c>
      <c r="B2879" s="1" t="n">
        <v>44280</v>
      </c>
      <c r="C2879" s="1" t="n">
        <v>45798</v>
      </c>
      <c r="D2879" t="inlineStr">
        <is>
          <t>NORRBOTTENS LÄN</t>
        </is>
      </c>
      <c r="E2879" t="inlineStr">
        <is>
          <t>LULEÅ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15065-2021</t>
        </is>
      </c>
      <c r="B2880" s="1" t="n">
        <v>44281</v>
      </c>
      <c r="C2880" s="1" t="n">
        <v>45798</v>
      </c>
      <c r="D2880" t="inlineStr">
        <is>
          <t>NORRBOTTENS LÄN</t>
        </is>
      </c>
      <c r="E2880" t="inlineStr">
        <is>
          <t>PITEÅ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15075-2021</t>
        </is>
      </c>
      <c r="B2881" s="1" t="n">
        <v>44281</v>
      </c>
      <c r="C2881" s="1" t="n">
        <v>45798</v>
      </c>
      <c r="D2881" t="inlineStr">
        <is>
          <t>NORRBOTTENS LÄN</t>
        </is>
      </c>
      <c r="E2881" t="inlineStr">
        <is>
          <t>ÖVERKALIX</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15080-2021</t>
        </is>
      </c>
      <c r="B2882" s="1" t="n">
        <v>44281</v>
      </c>
      <c r="C2882" s="1" t="n">
        <v>45798</v>
      </c>
      <c r="D2882" t="inlineStr">
        <is>
          <t>NORRBOTTENS LÄN</t>
        </is>
      </c>
      <c r="E2882" t="inlineStr">
        <is>
          <t>PITEÅ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15081-2021</t>
        </is>
      </c>
      <c r="B2883" s="1" t="n">
        <v>44281</v>
      </c>
      <c r="C2883" s="1" t="n">
        <v>45798</v>
      </c>
      <c r="D2883" t="inlineStr">
        <is>
          <t>NORRBOTTENS LÄN</t>
        </is>
      </c>
      <c r="E2883" t="inlineStr">
        <is>
          <t>PITEÅ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15159-2021</t>
        </is>
      </c>
      <c r="B2884" s="1" t="n">
        <v>44284</v>
      </c>
      <c r="C2884" s="1" t="n">
        <v>45798</v>
      </c>
      <c r="D2884" t="inlineStr">
        <is>
          <t>NORRBOTTENS LÄN</t>
        </is>
      </c>
      <c r="E2884" t="inlineStr">
        <is>
          <t>BODEN</t>
        </is>
      </c>
      <c r="F2884" t="inlineStr">
        <is>
          <t>Övriga statliga verk och myndigheter</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15157-2021</t>
        </is>
      </c>
      <c r="B2885" s="1" t="n">
        <v>44284</v>
      </c>
      <c r="C2885" s="1" t="n">
        <v>45798</v>
      </c>
      <c r="D2885" t="inlineStr">
        <is>
          <t>NORRBOTTENS LÄN</t>
        </is>
      </c>
      <c r="E2885" t="inlineStr">
        <is>
          <t>HAPARANDA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15238-2021</t>
        </is>
      </c>
      <c r="B2886" s="1" t="n">
        <v>44284</v>
      </c>
      <c r="C2886" s="1" t="n">
        <v>45798</v>
      </c>
      <c r="D2886" t="inlineStr">
        <is>
          <t>NORRBOTTENS LÄN</t>
        </is>
      </c>
      <c r="E2886" t="inlineStr">
        <is>
          <t>ÖVERTORNEÅ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15240-2021</t>
        </is>
      </c>
      <c r="B2887" s="1" t="n">
        <v>44284</v>
      </c>
      <c r="C2887" s="1" t="n">
        <v>45798</v>
      </c>
      <c r="D2887" t="inlineStr">
        <is>
          <t>NORRBOTTENS LÄN</t>
        </is>
      </c>
      <c r="E2887" t="inlineStr">
        <is>
          <t>ÖVERTORNEÅ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15239-2021</t>
        </is>
      </c>
      <c r="B2888" s="1" t="n">
        <v>44284</v>
      </c>
      <c r="C2888" s="1" t="n">
        <v>45798</v>
      </c>
      <c r="D2888" t="inlineStr">
        <is>
          <t>NORRBOTTENS LÄN</t>
        </is>
      </c>
      <c r="E2888" t="inlineStr">
        <is>
          <t>ÖVERTORNEÅ</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15246-2021</t>
        </is>
      </c>
      <c r="B2889" s="1" t="n">
        <v>44284</v>
      </c>
      <c r="C2889" s="1" t="n">
        <v>45798</v>
      </c>
      <c r="D2889" t="inlineStr">
        <is>
          <t>NORRBOTTENS LÄN</t>
        </is>
      </c>
      <c r="E2889" t="inlineStr">
        <is>
          <t>ÖVERTORNEÅ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15513-2021</t>
        </is>
      </c>
      <c r="B2890" s="1" t="n">
        <v>44285</v>
      </c>
      <c r="C2890" s="1" t="n">
        <v>45798</v>
      </c>
      <c r="D2890" t="inlineStr">
        <is>
          <t>NORRBOTTENS LÄN</t>
        </is>
      </c>
      <c r="E2890" t="inlineStr">
        <is>
          <t>PITEÅ</t>
        </is>
      </c>
      <c r="F2890" t="inlineStr">
        <is>
          <t>Sveaskog</t>
        </is>
      </c>
      <c r="G2890" t="n">
        <v>40.1</v>
      </c>
      <c r="H2890" t="n">
        <v>0</v>
      </c>
      <c r="I2890" t="n">
        <v>0</v>
      </c>
      <c r="J2890" t="n">
        <v>0</v>
      </c>
      <c r="K2890" t="n">
        <v>0</v>
      </c>
      <c r="L2890" t="n">
        <v>0</v>
      </c>
      <c r="M2890" t="n">
        <v>0</v>
      </c>
      <c r="N2890" t="n">
        <v>0</v>
      </c>
      <c r="O2890" t="n">
        <v>0</v>
      </c>
      <c r="P2890" t="n">
        <v>0</v>
      </c>
      <c r="Q2890" t="n">
        <v>0</v>
      </c>
      <c r="R2890" s="2" t="inlineStr"/>
    </row>
    <row r="2891" ht="15" customHeight="1">
      <c r="A2891" t="inlineStr">
        <is>
          <t>A 15638-2021</t>
        </is>
      </c>
      <c r="B2891" s="1" t="n">
        <v>44286</v>
      </c>
      <c r="C2891" s="1" t="n">
        <v>45798</v>
      </c>
      <c r="D2891" t="inlineStr">
        <is>
          <t>NORRBOTTENS LÄN</t>
        </is>
      </c>
      <c r="E2891" t="inlineStr">
        <is>
          <t>PITEÅ</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15880-2021</t>
        </is>
      </c>
      <c r="B2892" s="1" t="n">
        <v>44286</v>
      </c>
      <c r="C2892" s="1" t="n">
        <v>45798</v>
      </c>
      <c r="D2892" t="inlineStr">
        <is>
          <t>NORRBOTTENS LÄN</t>
        </is>
      </c>
      <c r="E2892" t="inlineStr">
        <is>
          <t>BODEN</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15885-2021</t>
        </is>
      </c>
      <c r="B2893" s="1" t="n">
        <v>44286</v>
      </c>
      <c r="C2893" s="1" t="n">
        <v>45798</v>
      </c>
      <c r="D2893" t="inlineStr">
        <is>
          <t>NORRBOTTENS LÄN</t>
        </is>
      </c>
      <c r="E2893" t="inlineStr">
        <is>
          <t>BODEN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15956-2021</t>
        </is>
      </c>
      <c r="B2894" s="1" t="n">
        <v>44286</v>
      </c>
      <c r="C2894" s="1" t="n">
        <v>45798</v>
      </c>
      <c r="D2894" t="inlineStr">
        <is>
          <t>NORRBOTTENS LÄN</t>
        </is>
      </c>
      <c r="E2894" t="inlineStr">
        <is>
          <t>KALIX</t>
        </is>
      </c>
      <c r="G2894" t="n">
        <v>16.8</v>
      </c>
      <c r="H2894" t="n">
        <v>0</v>
      </c>
      <c r="I2894" t="n">
        <v>0</v>
      </c>
      <c r="J2894" t="n">
        <v>0</v>
      </c>
      <c r="K2894" t="n">
        <v>0</v>
      </c>
      <c r="L2894" t="n">
        <v>0</v>
      </c>
      <c r="M2894" t="n">
        <v>0</v>
      </c>
      <c r="N2894" t="n">
        <v>0</v>
      </c>
      <c r="O2894" t="n">
        <v>0</v>
      </c>
      <c r="P2894" t="n">
        <v>0</v>
      </c>
      <c r="Q2894" t="n">
        <v>0</v>
      </c>
      <c r="R2894" s="2" t="inlineStr"/>
    </row>
    <row r="2895" ht="15" customHeight="1">
      <c r="A2895" t="inlineStr">
        <is>
          <t>A 15884-2021</t>
        </is>
      </c>
      <c r="B2895" s="1" t="n">
        <v>44286</v>
      </c>
      <c r="C2895" s="1" t="n">
        <v>45798</v>
      </c>
      <c r="D2895" t="inlineStr">
        <is>
          <t>NORRBOTTENS LÄN</t>
        </is>
      </c>
      <c r="E2895" t="inlineStr">
        <is>
          <t>BODEN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15958-2021</t>
        </is>
      </c>
      <c r="B2896" s="1" t="n">
        <v>44287</v>
      </c>
      <c r="C2896" s="1" t="n">
        <v>45798</v>
      </c>
      <c r="D2896" t="inlineStr">
        <is>
          <t>NORRBOTTENS LÄN</t>
        </is>
      </c>
      <c r="E2896" t="inlineStr">
        <is>
          <t>KALIX</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16111-2021</t>
        </is>
      </c>
      <c r="B2897" s="1" t="n">
        <v>44291</v>
      </c>
      <c r="C2897" s="1" t="n">
        <v>45798</v>
      </c>
      <c r="D2897" t="inlineStr">
        <is>
          <t>NORRBOTTENS LÄN</t>
        </is>
      </c>
      <c r="E2897" t="inlineStr">
        <is>
          <t>ÖVERTORNEÅ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16112-2021</t>
        </is>
      </c>
      <c r="B2898" s="1" t="n">
        <v>44291</v>
      </c>
      <c r="C2898" s="1" t="n">
        <v>45798</v>
      </c>
      <c r="D2898" t="inlineStr">
        <is>
          <t>NORRBOTTENS LÄN</t>
        </is>
      </c>
      <c r="E2898" t="inlineStr">
        <is>
          <t>ÖVERTORNEÅ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16265-2021</t>
        </is>
      </c>
      <c r="B2899" s="1" t="n">
        <v>44292</v>
      </c>
      <c r="C2899" s="1" t="n">
        <v>45798</v>
      </c>
      <c r="D2899" t="inlineStr">
        <is>
          <t>NORRBOTTENS LÄN</t>
        </is>
      </c>
      <c r="E2899" t="inlineStr">
        <is>
          <t>PITEÅ</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16213-2021</t>
        </is>
      </c>
      <c r="B2900" s="1" t="n">
        <v>44292</v>
      </c>
      <c r="C2900" s="1" t="n">
        <v>45798</v>
      </c>
      <c r="D2900" t="inlineStr">
        <is>
          <t>NORRBOTTENS LÄN</t>
        </is>
      </c>
      <c r="E2900" t="inlineStr">
        <is>
          <t>BODEN</t>
        </is>
      </c>
      <c r="G2900" t="n">
        <v>21.2</v>
      </c>
      <c r="H2900" t="n">
        <v>0</v>
      </c>
      <c r="I2900" t="n">
        <v>0</v>
      </c>
      <c r="J2900" t="n">
        <v>0</v>
      </c>
      <c r="K2900" t="n">
        <v>0</v>
      </c>
      <c r="L2900" t="n">
        <v>0</v>
      </c>
      <c r="M2900" t="n">
        <v>0</v>
      </c>
      <c r="N2900" t="n">
        <v>0</v>
      </c>
      <c r="O2900" t="n">
        <v>0</v>
      </c>
      <c r="P2900" t="n">
        <v>0</v>
      </c>
      <c r="Q2900" t="n">
        <v>0</v>
      </c>
      <c r="R2900" s="2" t="inlineStr"/>
    </row>
    <row r="2901" ht="15" customHeight="1">
      <c r="A2901" t="inlineStr">
        <is>
          <t>A 16562-2021</t>
        </is>
      </c>
      <c r="B2901" s="1" t="n">
        <v>44294</v>
      </c>
      <c r="C2901" s="1" t="n">
        <v>45798</v>
      </c>
      <c r="D2901" t="inlineStr">
        <is>
          <t>NORRBOTTENS LÄN</t>
        </is>
      </c>
      <c r="E2901" t="inlineStr">
        <is>
          <t>PITEÅ</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16554-2021</t>
        </is>
      </c>
      <c r="B2902" s="1" t="n">
        <v>44293</v>
      </c>
      <c r="C2902" s="1" t="n">
        <v>45798</v>
      </c>
      <c r="D2902" t="inlineStr">
        <is>
          <t>NORRBOTTENS LÄN</t>
        </is>
      </c>
      <c r="E2902" t="inlineStr">
        <is>
          <t>BODEN</t>
        </is>
      </c>
      <c r="F2902" t="inlineStr">
        <is>
          <t>Övriga statliga verk och myndigheter</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16755-2021</t>
        </is>
      </c>
      <c r="B2903" s="1" t="n">
        <v>44294</v>
      </c>
      <c r="C2903" s="1" t="n">
        <v>45798</v>
      </c>
      <c r="D2903" t="inlineStr">
        <is>
          <t>NORRBOTTENS LÄN</t>
        </is>
      </c>
      <c r="E2903" t="inlineStr">
        <is>
          <t>KIRUNA</t>
        </is>
      </c>
      <c r="G2903" t="n">
        <v>20.8</v>
      </c>
      <c r="H2903" t="n">
        <v>0</v>
      </c>
      <c r="I2903" t="n">
        <v>0</v>
      </c>
      <c r="J2903" t="n">
        <v>0</v>
      </c>
      <c r="K2903" t="n">
        <v>0</v>
      </c>
      <c r="L2903" t="n">
        <v>0</v>
      </c>
      <c r="M2903" t="n">
        <v>0</v>
      </c>
      <c r="N2903" t="n">
        <v>0</v>
      </c>
      <c r="O2903" t="n">
        <v>0</v>
      </c>
      <c r="P2903" t="n">
        <v>0</v>
      </c>
      <c r="Q2903" t="n">
        <v>0</v>
      </c>
      <c r="R2903" s="2" t="inlineStr"/>
    </row>
    <row r="2904" ht="15" customHeight="1">
      <c r="A2904" t="inlineStr">
        <is>
          <t>A 17313-2021</t>
        </is>
      </c>
      <c r="B2904" s="1" t="n">
        <v>44298</v>
      </c>
      <c r="C2904" s="1" t="n">
        <v>45798</v>
      </c>
      <c r="D2904" t="inlineStr">
        <is>
          <t>NORRBOTTENS LÄN</t>
        </is>
      </c>
      <c r="E2904" t="inlineStr">
        <is>
          <t>BODEN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17351-2021</t>
        </is>
      </c>
      <c r="B2905" s="1" t="n">
        <v>44298</v>
      </c>
      <c r="C2905" s="1" t="n">
        <v>45798</v>
      </c>
      <c r="D2905" t="inlineStr">
        <is>
          <t>NORRBOTTENS LÄN</t>
        </is>
      </c>
      <c r="E2905" t="inlineStr">
        <is>
          <t>KALIX</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17597-2021</t>
        </is>
      </c>
      <c r="B2906" s="1" t="n">
        <v>44299</v>
      </c>
      <c r="C2906" s="1" t="n">
        <v>45798</v>
      </c>
      <c r="D2906" t="inlineStr">
        <is>
          <t>NORRBOTTENS LÄN</t>
        </is>
      </c>
      <c r="E2906" t="inlineStr">
        <is>
          <t>BODEN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17781-2021</t>
        </is>
      </c>
      <c r="B2907" s="1" t="n">
        <v>44300</v>
      </c>
      <c r="C2907" s="1" t="n">
        <v>45798</v>
      </c>
      <c r="D2907" t="inlineStr">
        <is>
          <t>NORRBOTTENS LÄN</t>
        </is>
      </c>
      <c r="E2907" t="inlineStr">
        <is>
          <t>KALIX</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17650-2021</t>
        </is>
      </c>
      <c r="B2908" s="1" t="n">
        <v>44300</v>
      </c>
      <c r="C2908" s="1" t="n">
        <v>45798</v>
      </c>
      <c r="D2908" t="inlineStr">
        <is>
          <t>NORRBOTTENS LÄN</t>
        </is>
      </c>
      <c r="E2908" t="inlineStr">
        <is>
          <t>HAPARANDA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17784-2021</t>
        </is>
      </c>
      <c r="B2909" s="1" t="n">
        <v>44300</v>
      </c>
      <c r="C2909" s="1" t="n">
        <v>45798</v>
      </c>
      <c r="D2909" t="inlineStr">
        <is>
          <t>NORRBOTTENS LÄN</t>
        </is>
      </c>
      <c r="E2909" t="inlineStr">
        <is>
          <t>ÄLVSBYN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17980-2021</t>
        </is>
      </c>
      <c r="B2910" s="1" t="n">
        <v>44301</v>
      </c>
      <c r="C2910" s="1" t="n">
        <v>45798</v>
      </c>
      <c r="D2910" t="inlineStr">
        <is>
          <t>NORRBOTTENS LÄN</t>
        </is>
      </c>
      <c r="E2910" t="inlineStr">
        <is>
          <t>BODEN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18449-2021</t>
        </is>
      </c>
      <c r="B2911" s="1" t="n">
        <v>44305</v>
      </c>
      <c r="C2911" s="1" t="n">
        <v>45798</v>
      </c>
      <c r="D2911" t="inlineStr">
        <is>
          <t>NORRBOTTENS LÄN</t>
        </is>
      </c>
      <c r="E2911" t="inlineStr">
        <is>
          <t>ÖVERTORNEÅ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18575-2021</t>
        </is>
      </c>
      <c r="B2912" s="1" t="n">
        <v>44305</v>
      </c>
      <c r="C2912" s="1" t="n">
        <v>45798</v>
      </c>
      <c r="D2912" t="inlineStr">
        <is>
          <t>NORRBOTTENS LÄN</t>
        </is>
      </c>
      <c r="E2912" t="inlineStr">
        <is>
          <t>ÖVERTORNEÅ</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18566-2021</t>
        </is>
      </c>
      <c r="B2913" s="1" t="n">
        <v>44305</v>
      </c>
      <c r="C2913" s="1" t="n">
        <v>45798</v>
      </c>
      <c r="D2913" t="inlineStr">
        <is>
          <t>NORRBOTTENS LÄN</t>
        </is>
      </c>
      <c r="E2913" t="inlineStr">
        <is>
          <t>ÖVERTORNEÅ</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18578-2021</t>
        </is>
      </c>
      <c r="B2914" s="1" t="n">
        <v>44305</v>
      </c>
      <c r="C2914" s="1" t="n">
        <v>45798</v>
      </c>
      <c r="D2914" t="inlineStr">
        <is>
          <t>NORRBOTTENS LÄN</t>
        </is>
      </c>
      <c r="E2914" t="inlineStr">
        <is>
          <t>ÖVERTORNEÅ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18677-2021</t>
        </is>
      </c>
      <c r="B2915" s="1" t="n">
        <v>44307</v>
      </c>
      <c r="C2915" s="1" t="n">
        <v>45798</v>
      </c>
      <c r="D2915" t="inlineStr">
        <is>
          <t>NORRBOTTENS LÄN</t>
        </is>
      </c>
      <c r="E2915" t="inlineStr">
        <is>
          <t>GÄLLIVARE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18678-2021</t>
        </is>
      </c>
      <c r="B2916" s="1" t="n">
        <v>44307</v>
      </c>
      <c r="C2916" s="1" t="n">
        <v>45798</v>
      </c>
      <c r="D2916" t="inlineStr">
        <is>
          <t>NORRBOTTENS LÄN</t>
        </is>
      </c>
      <c r="E2916" t="inlineStr">
        <is>
          <t>GÄLLIVARE</t>
        </is>
      </c>
      <c r="F2916" t="inlineStr">
        <is>
          <t>SCA</t>
        </is>
      </c>
      <c r="G2916" t="n">
        <v>23.2</v>
      </c>
      <c r="H2916" t="n">
        <v>0</v>
      </c>
      <c r="I2916" t="n">
        <v>0</v>
      </c>
      <c r="J2916" t="n">
        <v>0</v>
      </c>
      <c r="K2916" t="n">
        <v>0</v>
      </c>
      <c r="L2916" t="n">
        <v>0</v>
      </c>
      <c r="M2916" t="n">
        <v>0</v>
      </c>
      <c r="N2916" t="n">
        <v>0</v>
      </c>
      <c r="O2916" t="n">
        <v>0</v>
      </c>
      <c r="P2916" t="n">
        <v>0</v>
      </c>
      <c r="Q2916" t="n">
        <v>0</v>
      </c>
      <c r="R2916" s="2" t="inlineStr"/>
    </row>
    <row r="2917" ht="15" customHeight="1">
      <c r="A2917" t="inlineStr">
        <is>
          <t>A 19362-2021</t>
        </is>
      </c>
      <c r="B2917" s="1" t="n">
        <v>44307</v>
      </c>
      <c r="C2917" s="1" t="n">
        <v>45798</v>
      </c>
      <c r="D2917" t="inlineStr">
        <is>
          <t>NORRBOTTENS LÄN</t>
        </is>
      </c>
      <c r="E2917" t="inlineStr">
        <is>
          <t>HAPARANDA</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19365-2021</t>
        </is>
      </c>
      <c r="B2918" s="1" t="n">
        <v>44307</v>
      </c>
      <c r="C2918" s="1" t="n">
        <v>45798</v>
      </c>
      <c r="D2918" t="inlineStr">
        <is>
          <t>NORRBOTTENS LÄN</t>
        </is>
      </c>
      <c r="E2918" t="inlineStr">
        <is>
          <t>HAPARANDA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19172-2021</t>
        </is>
      </c>
      <c r="B2919" s="1" t="n">
        <v>44308</v>
      </c>
      <c r="C2919" s="1" t="n">
        <v>45798</v>
      </c>
      <c r="D2919" t="inlineStr">
        <is>
          <t>NORRBOTTENS LÄN</t>
        </is>
      </c>
      <c r="E2919" t="inlineStr">
        <is>
          <t>PAJALA</t>
        </is>
      </c>
      <c r="G2919" t="n">
        <v>21.9</v>
      </c>
      <c r="H2919" t="n">
        <v>0</v>
      </c>
      <c r="I2919" t="n">
        <v>0</v>
      </c>
      <c r="J2919" t="n">
        <v>0</v>
      </c>
      <c r="K2919" t="n">
        <v>0</v>
      </c>
      <c r="L2919" t="n">
        <v>0</v>
      </c>
      <c r="M2919" t="n">
        <v>0</v>
      </c>
      <c r="N2919" t="n">
        <v>0</v>
      </c>
      <c r="O2919" t="n">
        <v>0</v>
      </c>
      <c r="P2919" t="n">
        <v>0</v>
      </c>
      <c r="Q2919" t="n">
        <v>0</v>
      </c>
      <c r="R2919" s="2" t="inlineStr"/>
    </row>
    <row r="2920" ht="15" customHeight="1">
      <c r="A2920" t="inlineStr">
        <is>
          <t>A 19132-2021</t>
        </is>
      </c>
      <c r="B2920" s="1" t="n">
        <v>44308</v>
      </c>
      <c r="C2920" s="1" t="n">
        <v>45798</v>
      </c>
      <c r="D2920" t="inlineStr">
        <is>
          <t>NORRBOTTENS LÄN</t>
        </is>
      </c>
      <c r="E2920" t="inlineStr">
        <is>
          <t>KALIX</t>
        </is>
      </c>
      <c r="F2920" t="inlineStr">
        <is>
          <t>Sveaskog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19294-2021</t>
        </is>
      </c>
      <c r="B2921" s="1" t="n">
        <v>44308</v>
      </c>
      <c r="C2921" s="1" t="n">
        <v>45798</v>
      </c>
      <c r="D2921" t="inlineStr">
        <is>
          <t>NORRBOTTENS LÄN</t>
        </is>
      </c>
      <c r="E2921" t="inlineStr">
        <is>
          <t>ÄLVSBYN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19270-2021</t>
        </is>
      </c>
      <c r="B2922" s="1" t="n">
        <v>44308</v>
      </c>
      <c r="C2922" s="1" t="n">
        <v>45798</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19401-2021</t>
        </is>
      </c>
      <c r="B2923" s="1" t="n">
        <v>44310</v>
      </c>
      <c r="C2923" s="1" t="n">
        <v>45798</v>
      </c>
      <c r="D2923" t="inlineStr">
        <is>
          <t>NORRBOTTENS LÄN</t>
        </is>
      </c>
      <c r="E2923" t="inlineStr">
        <is>
          <t>ÖVERTORNEÅ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19364-2021</t>
        </is>
      </c>
      <c r="B2924" s="1" t="n">
        <v>44309</v>
      </c>
      <c r="C2924" s="1" t="n">
        <v>45798</v>
      </c>
      <c r="D2924" t="inlineStr">
        <is>
          <t>NORRBOTTENS LÄN</t>
        </is>
      </c>
      <c r="E2924" t="inlineStr">
        <is>
          <t>PITEÅ</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19802-2021</t>
        </is>
      </c>
      <c r="B2925" s="1" t="n">
        <v>44312</v>
      </c>
      <c r="C2925" s="1" t="n">
        <v>45798</v>
      </c>
      <c r="D2925" t="inlineStr">
        <is>
          <t>NORRBOTTENS LÄN</t>
        </is>
      </c>
      <c r="E2925" t="inlineStr">
        <is>
          <t>ÖVERKALIX</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19889-2021</t>
        </is>
      </c>
      <c r="B2926" s="1" t="n">
        <v>44312</v>
      </c>
      <c r="C2926" s="1" t="n">
        <v>45798</v>
      </c>
      <c r="D2926" t="inlineStr">
        <is>
          <t>NORRBOTTENS LÄN</t>
        </is>
      </c>
      <c r="E2926" t="inlineStr">
        <is>
          <t>ARVIDSJAUR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19845-2021</t>
        </is>
      </c>
      <c r="B2927" s="1" t="n">
        <v>44312</v>
      </c>
      <c r="C2927" s="1" t="n">
        <v>45798</v>
      </c>
      <c r="D2927" t="inlineStr">
        <is>
          <t>NORRBOTTENS LÄN</t>
        </is>
      </c>
      <c r="E2927" t="inlineStr">
        <is>
          <t>ÖVERTORNEÅ</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19904-2021</t>
        </is>
      </c>
      <c r="B2928" s="1" t="n">
        <v>44312</v>
      </c>
      <c r="C2928" s="1" t="n">
        <v>45798</v>
      </c>
      <c r="D2928" t="inlineStr">
        <is>
          <t>NORRBOTTENS LÄN</t>
        </is>
      </c>
      <c r="E2928" t="inlineStr">
        <is>
          <t>ARVIDSJAUR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20738-2021</t>
        </is>
      </c>
      <c r="B2929" s="1" t="n">
        <v>44313</v>
      </c>
      <c r="C2929" s="1" t="n">
        <v>45798</v>
      </c>
      <c r="D2929" t="inlineStr">
        <is>
          <t>NORRBOTTENS LÄN</t>
        </is>
      </c>
      <c r="E2929" t="inlineStr">
        <is>
          <t>BODEN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20756-2021</t>
        </is>
      </c>
      <c r="B2930" s="1" t="n">
        <v>44313</v>
      </c>
      <c r="C2930" s="1" t="n">
        <v>45798</v>
      </c>
      <c r="D2930" t="inlineStr">
        <is>
          <t>NORRBOTTENS LÄN</t>
        </is>
      </c>
      <c r="E2930" t="inlineStr">
        <is>
          <t>BODEN</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20753-2021</t>
        </is>
      </c>
      <c r="B2931" s="1" t="n">
        <v>44313</v>
      </c>
      <c r="C2931" s="1" t="n">
        <v>45798</v>
      </c>
      <c r="D2931" t="inlineStr">
        <is>
          <t>NORRBOTTENS LÄN</t>
        </is>
      </c>
      <c r="E2931" t="inlineStr">
        <is>
          <t>BODEN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20754-2021</t>
        </is>
      </c>
      <c r="B2932" s="1" t="n">
        <v>44313</v>
      </c>
      <c r="C2932" s="1" t="n">
        <v>45798</v>
      </c>
      <c r="D2932" t="inlineStr">
        <is>
          <t>NORRBOTTENS LÄN</t>
        </is>
      </c>
      <c r="E2932" t="inlineStr">
        <is>
          <t>BODEN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20752-2021</t>
        </is>
      </c>
      <c r="B2933" s="1" t="n">
        <v>44313</v>
      </c>
      <c r="C2933" s="1" t="n">
        <v>45798</v>
      </c>
      <c r="D2933" t="inlineStr">
        <is>
          <t>NORRBOTTENS LÄN</t>
        </is>
      </c>
      <c r="E2933" t="inlineStr">
        <is>
          <t>BODEN</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20723-2021</t>
        </is>
      </c>
      <c r="B2934" s="1" t="n">
        <v>44316</v>
      </c>
      <c r="C2934" s="1" t="n">
        <v>45798</v>
      </c>
      <c r="D2934" t="inlineStr">
        <is>
          <t>NORRBOTTENS LÄN</t>
        </is>
      </c>
      <c r="E2934" t="inlineStr">
        <is>
          <t>LULEÅ</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21023-2021</t>
        </is>
      </c>
      <c r="B2935" s="1" t="n">
        <v>44319</v>
      </c>
      <c r="C2935" s="1" t="n">
        <v>45798</v>
      </c>
      <c r="D2935" t="inlineStr">
        <is>
          <t>NORRBOTTENS LÄN</t>
        </is>
      </c>
      <c r="E2935" t="inlineStr">
        <is>
          <t>HAPARANDA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21048-2021</t>
        </is>
      </c>
      <c r="B2936" s="1" t="n">
        <v>44319</v>
      </c>
      <c r="C2936" s="1" t="n">
        <v>45798</v>
      </c>
      <c r="D2936" t="inlineStr">
        <is>
          <t>NORRBOTTENS LÄN</t>
        </is>
      </c>
      <c r="E2936" t="inlineStr">
        <is>
          <t>PAJALA</t>
        </is>
      </c>
      <c r="F2936" t="inlineStr">
        <is>
          <t>Allmännings- och besparingsskogar</t>
        </is>
      </c>
      <c r="G2936" t="n">
        <v>26.5</v>
      </c>
      <c r="H2936" t="n">
        <v>0</v>
      </c>
      <c r="I2936" t="n">
        <v>0</v>
      </c>
      <c r="J2936" t="n">
        <v>0</v>
      </c>
      <c r="K2936" t="n">
        <v>0</v>
      </c>
      <c r="L2936" t="n">
        <v>0</v>
      </c>
      <c r="M2936" t="n">
        <v>0</v>
      </c>
      <c r="N2936" t="n">
        <v>0</v>
      </c>
      <c r="O2936" t="n">
        <v>0</v>
      </c>
      <c r="P2936" t="n">
        <v>0</v>
      </c>
      <c r="Q2936" t="n">
        <v>0</v>
      </c>
      <c r="R2936" s="2" t="inlineStr"/>
    </row>
    <row r="2937" ht="15" customHeight="1">
      <c r="A2937" t="inlineStr">
        <is>
          <t>A 21790-2021</t>
        </is>
      </c>
      <c r="B2937" s="1" t="n">
        <v>44319</v>
      </c>
      <c r="C2937" s="1" t="n">
        <v>45798</v>
      </c>
      <c r="D2937" t="inlineStr">
        <is>
          <t>NORRBOTTENS LÄN</t>
        </is>
      </c>
      <c r="E2937" t="inlineStr">
        <is>
          <t>KALIX</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21792-2021</t>
        </is>
      </c>
      <c r="B2938" s="1" t="n">
        <v>44319</v>
      </c>
      <c r="C2938" s="1" t="n">
        <v>45798</v>
      </c>
      <c r="D2938" t="inlineStr">
        <is>
          <t>NORRBOTTENS LÄN</t>
        </is>
      </c>
      <c r="E2938" t="inlineStr">
        <is>
          <t>KALIX</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21196-2021</t>
        </is>
      </c>
      <c r="B2939" s="1" t="n">
        <v>44319</v>
      </c>
      <c r="C2939" s="1" t="n">
        <v>45798</v>
      </c>
      <c r="D2939" t="inlineStr">
        <is>
          <t>NORRBOTTENS LÄN</t>
        </is>
      </c>
      <c r="E2939" t="inlineStr">
        <is>
          <t>PAJALA</t>
        </is>
      </c>
      <c r="F2939" t="inlineStr">
        <is>
          <t>Allmännings- och besparingsskogar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21787-2021</t>
        </is>
      </c>
      <c r="B2940" s="1" t="n">
        <v>44319</v>
      </c>
      <c r="C2940" s="1" t="n">
        <v>45798</v>
      </c>
      <c r="D2940" t="inlineStr">
        <is>
          <t>NORRBOTTENS LÄN</t>
        </is>
      </c>
      <c r="E2940" t="inlineStr">
        <is>
          <t>KALIX</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21174-2021</t>
        </is>
      </c>
      <c r="B2941" s="1" t="n">
        <v>44319</v>
      </c>
      <c r="C2941" s="1" t="n">
        <v>45798</v>
      </c>
      <c r="D2941" t="inlineStr">
        <is>
          <t>NORRBOTTENS LÄN</t>
        </is>
      </c>
      <c r="E2941" t="inlineStr">
        <is>
          <t>PAJALA</t>
        </is>
      </c>
      <c r="F2941" t="inlineStr">
        <is>
          <t>Allmännings- och besparingsskogar</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21270-2021</t>
        </is>
      </c>
      <c r="B2942" s="1" t="n">
        <v>44320</v>
      </c>
      <c r="C2942" s="1" t="n">
        <v>45798</v>
      </c>
      <c r="D2942" t="inlineStr">
        <is>
          <t>NORRBOTTENS LÄN</t>
        </is>
      </c>
      <c r="E2942" t="inlineStr">
        <is>
          <t>ARVIDSJAUR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21230-2021</t>
        </is>
      </c>
      <c r="B2943" s="1" t="n">
        <v>44320</v>
      </c>
      <c r="C2943" s="1" t="n">
        <v>45798</v>
      </c>
      <c r="D2943" t="inlineStr">
        <is>
          <t>NORRBOTTENS LÄN</t>
        </is>
      </c>
      <c r="E2943" t="inlineStr">
        <is>
          <t>PAJALA</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21226-2021</t>
        </is>
      </c>
      <c r="B2944" s="1" t="n">
        <v>44320</v>
      </c>
      <c r="C2944" s="1" t="n">
        <v>45798</v>
      </c>
      <c r="D2944" t="inlineStr">
        <is>
          <t>NORRBOTTENS LÄN</t>
        </is>
      </c>
      <c r="E2944" t="inlineStr">
        <is>
          <t>PAJALA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21271-2021</t>
        </is>
      </c>
      <c r="B2945" s="1" t="n">
        <v>44320</v>
      </c>
      <c r="C2945" s="1" t="n">
        <v>45798</v>
      </c>
      <c r="D2945" t="inlineStr">
        <is>
          <t>NORRBOTTENS LÄN</t>
        </is>
      </c>
      <c r="E2945" t="inlineStr">
        <is>
          <t>ARVIDSJAUR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21272-2021</t>
        </is>
      </c>
      <c r="B2946" s="1" t="n">
        <v>44320</v>
      </c>
      <c r="C2946" s="1" t="n">
        <v>45798</v>
      </c>
      <c r="D2946" t="inlineStr">
        <is>
          <t>NORRBOTTENS LÄN</t>
        </is>
      </c>
      <c r="E2946" t="inlineStr">
        <is>
          <t>ARVIDSJAUR</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21340-2021</t>
        </is>
      </c>
      <c r="B2947" s="1" t="n">
        <v>44320</v>
      </c>
      <c r="C2947" s="1" t="n">
        <v>45798</v>
      </c>
      <c r="D2947" t="inlineStr">
        <is>
          <t>NORRBOTTENS LÄN</t>
        </is>
      </c>
      <c r="E2947" t="inlineStr">
        <is>
          <t>PITEÅ</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21425-2021</t>
        </is>
      </c>
      <c r="B2948" s="1" t="n">
        <v>44321</v>
      </c>
      <c r="C2948" s="1" t="n">
        <v>45798</v>
      </c>
      <c r="D2948" t="inlineStr">
        <is>
          <t>NORRBOTTENS LÄN</t>
        </is>
      </c>
      <c r="E2948" t="inlineStr">
        <is>
          <t>GÄLLIVARE</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21441-2021</t>
        </is>
      </c>
      <c r="B2949" s="1" t="n">
        <v>44321</v>
      </c>
      <c r="C2949" s="1" t="n">
        <v>45798</v>
      </c>
      <c r="D2949" t="inlineStr">
        <is>
          <t>NORRBOTTENS LÄN</t>
        </is>
      </c>
      <c r="E2949" t="inlineStr">
        <is>
          <t>GÄLLIVARE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21652-2021</t>
        </is>
      </c>
      <c r="B2950" s="1" t="n">
        <v>44321</v>
      </c>
      <c r="C2950" s="1" t="n">
        <v>45798</v>
      </c>
      <c r="D2950" t="inlineStr">
        <is>
          <t>NORRBOTTENS LÄN</t>
        </is>
      </c>
      <c r="E2950" t="inlineStr">
        <is>
          <t>PITEÅ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22328-2021</t>
        </is>
      </c>
      <c r="B2951" s="1" t="n">
        <v>44321</v>
      </c>
      <c r="C2951" s="1" t="n">
        <v>45798</v>
      </c>
      <c r="D2951" t="inlineStr">
        <is>
          <t>NORRBOTTENS LÄN</t>
        </is>
      </c>
      <c r="E2951" t="inlineStr">
        <is>
          <t>ARVIDSJAUR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21646-2021</t>
        </is>
      </c>
      <c r="B2952" s="1" t="n">
        <v>44321</v>
      </c>
      <c r="C2952" s="1" t="n">
        <v>45798</v>
      </c>
      <c r="D2952" t="inlineStr">
        <is>
          <t>NORRBOTTENS LÄN</t>
        </is>
      </c>
      <c r="E2952" t="inlineStr">
        <is>
          <t>PITEÅ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21657-2021</t>
        </is>
      </c>
      <c r="B2953" s="1" t="n">
        <v>44322</v>
      </c>
      <c r="C2953" s="1" t="n">
        <v>45798</v>
      </c>
      <c r="D2953" t="inlineStr">
        <is>
          <t>NORRBOTTENS LÄN</t>
        </is>
      </c>
      <c r="E2953" t="inlineStr">
        <is>
          <t>PAJALA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21748-2021</t>
        </is>
      </c>
      <c r="B2954" s="1" t="n">
        <v>44322</v>
      </c>
      <c r="C2954" s="1" t="n">
        <v>45798</v>
      </c>
      <c r="D2954" t="inlineStr">
        <is>
          <t>NORRBOTTENS LÄN</t>
        </is>
      </c>
      <c r="E2954" t="inlineStr">
        <is>
          <t>HAPARANDA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21861-2021</t>
        </is>
      </c>
      <c r="B2955" s="1" t="n">
        <v>44322</v>
      </c>
      <c r="C2955" s="1" t="n">
        <v>45798</v>
      </c>
      <c r="D2955" t="inlineStr">
        <is>
          <t>NORRBOTTENS LÄN</t>
        </is>
      </c>
      <c r="E2955" t="inlineStr">
        <is>
          <t>BODEN</t>
        </is>
      </c>
      <c r="G2955" t="n">
        <v>34.6</v>
      </c>
      <c r="H2955" t="n">
        <v>0</v>
      </c>
      <c r="I2955" t="n">
        <v>0</v>
      </c>
      <c r="J2955" t="n">
        <v>0</v>
      </c>
      <c r="K2955" t="n">
        <v>0</v>
      </c>
      <c r="L2955" t="n">
        <v>0</v>
      </c>
      <c r="M2955" t="n">
        <v>0</v>
      </c>
      <c r="N2955" t="n">
        <v>0</v>
      </c>
      <c r="O2955" t="n">
        <v>0</v>
      </c>
      <c r="P2955" t="n">
        <v>0</v>
      </c>
      <c r="Q2955" t="n">
        <v>0</v>
      </c>
      <c r="R2955" s="2" t="inlineStr"/>
    </row>
    <row r="2956" ht="15" customHeight="1">
      <c r="A2956" t="inlineStr">
        <is>
          <t>A 21797-2021</t>
        </is>
      </c>
      <c r="B2956" s="1" t="n">
        <v>44322</v>
      </c>
      <c r="C2956" s="1" t="n">
        <v>45798</v>
      </c>
      <c r="D2956" t="inlineStr">
        <is>
          <t>NORRBOTTENS LÄN</t>
        </is>
      </c>
      <c r="E2956" t="inlineStr">
        <is>
          <t>ARVIDSJAUR</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22364-2021</t>
        </is>
      </c>
      <c r="B2957" s="1" t="n">
        <v>44322</v>
      </c>
      <c r="C2957" s="1" t="n">
        <v>45798</v>
      </c>
      <c r="D2957" t="inlineStr">
        <is>
          <t>NORRBOTTENS LÄN</t>
        </is>
      </c>
      <c r="E2957" t="inlineStr">
        <is>
          <t>LULEÅ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22278-2021</t>
        </is>
      </c>
      <c r="B2958" s="1" t="n">
        <v>44326</v>
      </c>
      <c r="C2958" s="1" t="n">
        <v>45798</v>
      </c>
      <c r="D2958" t="inlineStr">
        <is>
          <t>NORRBOTTENS LÄN</t>
        </is>
      </c>
      <c r="E2958" t="inlineStr">
        <is>
          <t>PITEÅ</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22394-2021</t>
        </is>
      </c>
      <c r="B2959" s="1" t="n">
        <v>44326</v>
      </c>
      <c r="C2959" s="1" t="n">
        <v>45798</v>
      </c>
      <c r="D2959" t="inlineStr">
        <is>
          <t>NORRBOTTENS LÄN</t>
        </is>
      </c>
      <c r="E2959" t="inlineStr">
        <is>
          <t>PITEÅ</t>
        </is>
      </c>
      <c r="F2959" t="inlineStr">
        <is>
          <t>Övriga Aktiebolag</t>
        </is>
      </c>
      <c r="G2959" t="n">
        <v>23.9</v>
      </c>
      <c r="H2959" t="n">
        <v>0</v>
      </c>
      <c r="I2959" t="n">
        <v>0</v>
      </c>
      <c r="J2959" t="n">
        <v>0</v>
      </c>
      <c r="K2959" t="n">
        <v>0</v>
      </c>
      <c r="L2959" t="n">
        <v>0</v>
      </c>
      <c r="M2959" t="n">
        <v>0</v>
      </c>
      <c r="N2959" t="n">
        <v>0</v>
      </c>
      <c r="O2959" t="n">
        <v>0</v>
      </c>
      <c r="P2959" t="n">
        <v>0</v>
      </c>
      <c r="Q2959" t="n">
        <v>0</v>
      </c>
      <c r="R2959" s="2" t="inlineStr"/>
    </row>
    <row r="2960" ht="15" customHeight="1">
      <c r="A2960" t="inlineStr">
        <is>
          <t>A 22837-2021</t>
        </is>
      </c>
      <c r="B2960" s="1" t="n">
        <v>44326</v>
      </c>
      <c r="C2960" s="1" t="n">
        <v>45798</v>
      </c>
      <c r="D2960" t="inlineStr">
        <is>
          <t>NORRBOTTENS LÄN</t>
        </is>
      </c>
      <c r="E2960" t="inlineStr">
        <is>
          <t>ARVIDSJAUR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22608-2021</t>
        </is>
      </c>
      <c r="B2961" s="1" t="n">
        <v>44327</v>
      </c>
      <c r="C2961" s="1" t="n">
        <v>45798</v>
      </c>
      <c r="D2961" t="inlineStr">
        <is>
          <t>NORRBOTTENS LÄN</t>
        </is>
      </c>
      <c r="E2961" t="inlineStr">
        <is>
          <t>KALIX</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22726-2021</t>
        </is>
      </c>
      <c r="B2962" s="1" t="n">
        <v>44327</v>
      </c>
      <c r="C2962" s="1" t="n">
        <v>45798</v>
      </c>
      <c r="D2962" t="inlineStr">
        <is>
          <t>NORRBOTTENS LÄN</t>
        </is>
      </c>
      <c r="E2962" t="inlineStr">
        <is>
          <t>ÖVERTORNEÅ</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22656-2021</t>
        </is>
      </c>
      <c r="B2963" s="1" t="n">
        <v>44327</v>
      </c>
      <c r="C2963" s="1" t="n">
        <v>45798</v>
      </c>
      <c r="D2963" t="inlineStr">
        <is>
          <t>NORRBOTTENS LÄN</t>
        </is>
      </c>
      <c r="E2963" t="inlineStr">
        <is>
          <t>LULEÅ</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23067-2021</t>
        </is>
      </c>
      <c r="B2964" s="1" t="n">
        <v>44330</v>
      </c>
      <c r="C2964" s="1" t="n">
        <v>45798</v>
      </c>
      <c r="D2964" t="inlineStr">
        <is>
          <t>NORRBOTTENS LÄN</t>
        </is>
      </c>
      <c r="E2964" t="inlineStr">
        <is>
          <t>ÖVERKALIX</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23065-2021</t>
        </is>
      </c>
      <c r="B2965" s="1" t="n">
        <v>44330</v>
      </c>
      <c r="C2965" s="1" t="n">
        <v>45798</v>
      </c>
      <c r="D2965" t="inlineStr">
        <is>
          <t>NORRBOTTENS LÄN</t>
        </is>
      </c>
      <c r="E2965" t="inlineStr">
        <is>
          <t>ÖVERKALIX</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23063-2021</t>
        </is>
      </c>
      <c r="B2966" s="1" t="n">
        <v>44329</v>
      </c>
      <c r="C2966" s="1" t="n">
        <v>45798</v>
      </c>
      <c r="D2966" t="inlineStr">
        <is>
          <t>NORRBOTTENS LÄN</t>
        </is>
      </c>
      <c r="E2966" t="inlineStr">
        <is>
          <t>ÄLVSBYN</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23073-2021</t>
        </is>
      </c>
      <c r="B2967" s="1" t="n">
        <v>44330</v>
      </c>
      <c r="C2967" s="1" t="n">
        <v>45798</v>
      </c>
      <c r="D2967" t="inlineStr">
        <is>
          <t>NORRBOTTENS LÄN</t>
        </is>
      </c>
      <c r="E2967" t="inlineStr">
        <is>
          <t>ÖVERKALIX</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23112-2021</t>
        </is>
      </c>
      <c r="B2968" s="1" t="n">
        <v>44330</v>
      </c>
      <c r="C2968" s="1" t="n">
        <v>45798</v>
      </c>
      <c r="D2968" t="inlineStr">
        <is>
          <t>NORRBOTTENS LÄN</t>
        </is>
      </c>
      <c r="E2968" t="inlineStr">
        <is>
          <t>PAJALA</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23131-2021</t>
        </is>
      </c>
      <c r="B2969" s="1" t="n">
        <v>44330</v>
      </c>
      <c r="C2969" s="1" t="n">
        <v>45798</v>
      </c>
      <c r="D2969" t="inlineStr">
        <is>
          <t>NORRBOTTENS LÄN</t>
        </is>
      </c>
      <c r="E2969" t="inlineStr">
        <is>
          <t>BODEN</t>
        </is>
      </c>
      <c r="G2969" t="n">
        <v>15.8</v>
      </c>
      <c r="H2969" t="n">
        <v>0</v>
      </c>
      <c r="I2969" t="n">
        <v>0</v>
      </c>
      <c r="J2969" t="n">
        <v>0</v>
      </c>
      <c r="K2969" t="n">
        <v>0</v>
      </c>
      <c r="L2969" t="n">
        <v>0</v>
      </c>
      <c r="M2969" t="n">
        <v>0</v>
      </c>
      <c r="N2969" t="n">
        <v>0</v>
      </c>
      <c r="O2969" t="n">
        <v>0</v>
      </c>
      <c r="P2969" t="n">
        <v>0</v>
      </c>
      <c r="Q2969" t="n">
        <v>0</v>
      </c>
      <c r="R2969" s="2" t="inlineStr"/>
    </row>
    <row r="2970" ht="15" customHeight="1">
      <c r="A2970" t="inlineStr">
        <is>
          <t>A 23454-2021</t>
        </is>
      </c>
      <c r="B2970" s="1" t="n">
        <v>44333</v>
      </c>
      <c r="C2970" s="1" t="n">
        <v>45798</v>
      </c>
      <c r="D2970" t="inlineStr">
        <is>
          <t>NORRBOTTENS LÄN</t>
        </is>
      </c>
      <c r="E2970" t="inlineStr">
        <is>
          <t>BODEN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23465-2021</t>
        </is>
      </c>
      <c r="B2971" s="1" t="n">
        <v>44334</v>
      </c>
      <c r="C2971" s="1" t="n">
        <v>45798</v>
      </c>
      <c r="D2971" t="inlineStr">
        <is>
          <t>NORRBOTTENS LÄN</t>
        </is>
      </c>
      <c r="E2971" t="inlineStr">
        <is>
          <t>PITEÅ</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23471-2021</t>
        </is>
      </c>
      <c r="B2972" s="1" t="n">
        <v>44334</v>
      </c>
      <c r="C2972" s="1" t="n">
        <v>45798</v>
      </c>
      <c r="D2972" t="inlineStr">
        <is>
          <t>NORRBOTTENS LÄN</t>
        </is>
      </c>
      <c r="E2972" t="inlineStr">
        <is>
          <t>LULEÅ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23586-2021</t>
        </is>
      </c>
      <c r="B2973" s="1" t="n">
        <v>44334</v>
      </c>
      <c r="C2973" s="1" t="n">
        <v>45798</v>
      </c>
      <c r="D2973" t="inlineStr">
        <is>
          <t>NORRBOTTENS LÄN</t>
        </is>
      </c>
      <c r="E2973" t="inlineStr">
        <is>
          <t>ARVIDSJAUR</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23632-2021</t>
        </is>
      </c>
      <c r="B2974" s="1" t="n">
        <v>44334</v>
      </c>
      <c r="C2974" s="1" t="n">
        <v>45798</v>
      </c>
      <c r="D2974" t="inlineStr">
        <is>
          <t>NORRBOTTENS LÄN</t>
        </is>
      </c>
      <c r="E2974" t="inlineStr">
        <is>
          <t>LULEÅ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23583-2021</t>
        </is>
      </c>
      <c r="B2975" s="1" t="n">
        <v>44334</v>
      </c>
      <c r="C2975" s="1" t="n">
        <v>45798</v>
      </c>
      <c r="D2975" t="inlineStr">
        <is>
          <t>NORRBOTTENS LÄN</t>
        </is>
      </c>
      <c r="E2975" t="inlineStr">
        <is>
          <t>ARVIDSJAUR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23588-2021</t>
        </is>
      </c>
      <c r="B2976" s="1" t="n">
        <v>44334</v>
      </c>
      <c r="C2976" s="1" t="n">
        <v>45798</v>
      </c>
      <c r="D2976" t="inlineStr">
        <is>
          <t>NORRBOTTENS LÄN</t>
        </is>
      </c>
      <c r="E2976" t="inlineStr">
        <is>
          <t>ARVIDSJAUR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23580-2021</t>
        </is>
      </c>
      <c r="B2977" s="1" t="n">
        <v>44334</v>
      </c>
      <c r="C2977" s="1" t="n">
        <v>45798</v>
      </c>
      <c r="D2977" t="inlineStr">
        <is>
          <t>NORRBOTTENS LÄN</t>
        </is>
      </c>
      <c r="E2977" t="inlineStr">
        <is>
          <t>ARVIDSJAUR</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23701-2021</t>
        </is>
      </c>
      <c r="B2978" s="1" t="n">
        <v>44334</v>
      </c>
      <c r="C2978" s="1" t="n">
        <v>45798</v>
      </c>
      <c r="D2978" t="inlineStr">
        <is>
          <t>NORRBOTTENS LÄN</t>
        </is>
      </c>
      <c r="E2978" t="inlineStr">
        <is>
          <t>KALIX</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23968-2021</t>
        </is>
      </c>
      <c r="B2979" s="1" t="n">
        <v>44335</v>
      </c>
      <c r="C2979" s="1" t="n">
        <v>45798</v>
      </c>
      <c r="D2979" t="inlineStr">
        <is>
          <t>NORRBOTTENS LÄN</t>
        </is>
      </c>
      <c r="E2979" t="inlineStr">
        <is>
          <t>KALIX</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24386-2021</t>
        </is>
      </c>
      <c r="B2980" s="1" t="n">
        <v>44337</v>
      </c>
      <c r="C2980" s="1" t="n">
        <v>45798</v>
      </c>
      <c r="D2980" t="inlineStr">
        <is>
          <t>NORRBOTTENS LÄN</t>
        </is>
      </c>
      <c r="E2980" t="inlineStr">
        <is>
          <t>HAPARANDA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24416-2021</t>
        </is>
      </c>
      <c r="B2981" s="1" t="n">
        <v>44337</v>
      </c>
      <c r="C2981" s="1" t="n">
        <v>45798</v>
      </c>
      <c r="D2981" t="inlineStr">
        <is>
          <t>NORRBOTTENS LÄN</t>
        </is>
      </c>
      <c r="E2981" t="inlineStr">
        <is>
          <t>ÖVERTORNEÅ</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24453-2021</t>
        </is>
      </c>
      <c r="B2982" s="1" t="n">
        <v>44337</v>
      </c>
      <c r="C2982" s="1" t="n">
        <v>45798</v>
      </c>
      <c r="D2982" t="inlineStr">
        <is>
          <t>NORRBOTTENS LÄN</t>
        </is>
      </c>
      <c r="E2982" t="inlineStr">
        <is>
          <t>LULEÅ</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24574-2021</t>
        </is>
      </c>
      <c r="B2983" s="1" t="n">
        <v>44339</v>
      </c>
      <c r="C2983" s="1" t="n">
        <v>45798</v>
      </c>
      <c r="D2983" t="inlineStr">
        <is>
          <t>NORRBOTTENS LÄN</t>
        </is>
      </c>
      <c r="E2983" t="inlineStr">
        <is>
          <t>PITEÅ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24578-2021</t>
        </is>
      </c>
      <c r="B2984" s="1" t="n">
        <v>44339</v>
      </c>
      <c r="C2984" s="1" t="n">
        <v>45798</v>
      </c>
      <c r="D2984" t="inlineStr">
        <is>
          <t>NORRBOTTENS LÄN</t>
        </is>
      </c>
      <c r="E2984" t="inlineStr">
        <is>
          <t>PITEÅ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24577-2021</t>
        </is>
      </c>
      <c r="B2985" s="1" t="n">
        <v>44339</v>
      </c>
      <c r="C2985" s="1" t="n">
        <v>45798</v>
      </c>
      <c r="D2985" t="inlineStr">
        <is>
          <t>NORRBOTTENS LÄN</t>
        </is>
      </c>
      <c r="E2985" t="inlineStr">
        <is>
          <t>PITEÅ</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24760-2021</t>
        </is>
      </c>
      <c r="B2986" s="1" t="n">
        <v>44340</v>
      </c>
      <c r="C2986" s="1" t="n">
        <v>45798</v>
      </c>
      <c r="D2986" t="inlineStr">
        <is>
          <t>NORRBOTTENS LÄN</t>
        </is>
      </c>
      <c r="E2986" t="inlineStr">
        <is>
          <t>KIRUNA</t>
        </is>
      </c>
      <c r="G2986" t="n">
        <v>22.6</v>
      </c>
      <c r="H2986" t="n">
        <v>0</v>
      </c>
      <c r="I2986" t="n">
        <v>0</v>
      </c>
      <c r="J2986" t="n">
        <v>0</v>
      </c>
      <c r="K2986" t="n">
        <v>0</v>
      </c>
      <c r="L2986" t="n">
        <v>0</v>
      </c>
      <c r="M2986" t="n">
        <v>0</v>
      </c>
      <c r="N2986" t="n">
        <v>0</v>
      </c>
      <c r="O2986" t="n">
        <v>0</v>
      </c>
      <c r="P2986" t="n">
        <v>0</v>
      </c>
      <c r="Q2986" t="n">
        <v>0</v>
      </c>
      <c r="R2986" s="2" t="inlineStr"/>
    </row>
    <row r="2987" ht="15" customHeight="1">
      <c r="A2987" t="inlineStr">
        <is>
          <t>A 24789-2021</t>
        </is>
      </c>
      <c r="B2987" s="1" t="n">
        <v>44340</v>
      </c>
      <c r="C2987" s="1" t="n">
        <v>45798</v>
      </c>
      <c r="D2987" t="inlineStr">
        <is>
          <t>NORRBOTTENS LÄN</t>
        </is>
      </c>
      <c r="E2987" t="inlineStr">
        <is>
          <t>KIRUNA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24802-2021</t>
        </is>
      </c>
      <c r="B2988" s="1" t="n">
        <v>44340</v>
      </c>
      <c r="C2988" s="1" t="n">
        <v>45798</v>
      </c>
      <c r="D2988" t="inlineStr">
        <is>
          <t>NORRBOTTENS LÄN</t>
        </is>
      </c>
      <c r="E2988" t="inlineStr">
        <is>
          <t>KALIX</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24990-2021</t>
        </is>
      </c>
      <c r="B2989" s="1" t="n">
        <v>44341</v>
      </c>
      <c r="C2989" s="1" t="n">
        <v>45798</v>
      </c>
      <c r="D2989" t="inlineStr">
        <is>
          <t>NORRBOTTENS LÄN</t>
        </is>
      </c>
      <c r="E2989" t="inlineStr">
        <is>
          <t>ÄLVSBYN</t>
        </is>
      </c>
      <c r="G2989" t="n">
        <v>10.2</v>
      </c>
      <c r="H2989" t="n">
        <v>0</v>
      </c>
      <c r="I2989" t="n">
        <v>0</v>
      </c>
      <c r="J2989" t="n">
        <v>0</v>
      </c>
      <c r="K2989" t="n">
        <v>0</v>
      </c>
      <c r="L2989" t="n">
        <v>0</v>
      </c>
      <c r="M2989" t="n">
        <v>0</v>
      </c>
      <c r="N2989" t="n">
        <v>0</v>
      </c>
      <c r="O2989" t="n">
        <v>0</v>
      </c>
      <c r="P2989" t="n">
        <v>0</v>
      </c>
      <c r="Q2989" t="n">
        <v>0</v>
      </c>
      <c r="R2989" s="2" t="inlineStr"/>
    </row>
    <row r="2990" ht="15" customHeight="1">
      <c r="A2990" t="inlineStr">
        <is>
          <t>A 25070-2021</t>
        </is>
      </c>
      <c r="B2990" s="1" t="n">
        <v>44341</v>
      </c>
      <c r="C2990" s="1" t="n">
        <v>45798</v>
      </c>
      <c r="D2990" t="inlineStr">
        <is>
          <t>NORRBOTTENS LÄN</t>
        </is>
      </c>
      <c r="E2990" t="inlineStr">
        <is>
          <t>ÖVERKALIX</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25360-2021</t>
        </is>
      </c>
      <c r="B2991" s="1" t="n">
        <v>44342</v>
      </c>
      <c r="C2991" s="1" t="n">
        <v>45798</v>
      </c>
      <c r="D2991" t="inlineStr">
        <is>
          <t>NORRBOTTENS LÄN</t>
        </is>
      </c>
      <c r="E2991" t="inlineStr">
        <is>
          <t>ÄLVSBYN</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25521-2021</t>
        </is>
      </c>
      <c r="B2992" s="1" t="n">
        <v>44342</v>
      </c>
      <c r="C2992" s="1" t="n">
        <v>45798</v>
      </c>
      <c r="D2992" t="inlineStr">
        <is>
          <t>NORRBOTTENS LÄN</t>
        </is>
      </c>
      <c r="E2992" t="inlineStr">
        <is>
          <t>PITEÅ</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25812-2021</t>
        </is>
      </c>
      <c r="B2993" s="1" t="n">
        <v>44343</v>
      </c>
      <c r="C2993" s="1" t="n">
        <v>45798</v>
      </c>
      <c r="D2993" t="inlineStr">
        <is>
          <t>NORRBOTTENS LÄN</t>
        </is>
      </c>
      <c r="E2993" t="inlineStr">
        <is>
          <t>LULEÅ</t>
        </is>
      </c>
      <c r="F2993" t="inlineStr">
        <is>
          <t>SCA</t>
        </is>
      </c>
      <c r="G2993" t="n">
        <v>23.2</v>
      </c>
      <c r="H2993" t="n">
        <v>0</v>
      </c>
      <c r="I2993" t="n">
        <v>0</v>
      </c>
      <c r="J2993" t="n">
        <v>0</v>
      </c>
      <c r="K2993" t="n">
        <v>0</v>
      </c>
      <c r="L2993" t="n">
        <v>0</v>
      </c>
      <c r="M2993" t="n">
        <v>0</v>
      </c>
      <c r="N2993" t="n">
        <v>0</v>
      </c>
      <c r="O2993" t="n">
        <v>0</v>
      </c>
      <c r="P2993" t="n">
        <v>0</v>
      </c>
      <c r="Q2993" t="n">
        <v>0</v>
      </c>
      <c r="R2993" s="2" t="inlineStr"/>
    </row>
    <row r="2994" ht="15" customHeight="1">
      <c r="A2994" t="inlineStr">
        <is>
          <t>A 26179-2021</t>
        </is>
      </c>
      <c r="B2994" s="1" t="n">
        <v>44344</v>
      </c>
      <c r="C2994" s="1" t="n">
        <v>45798</v>
      </c>
      <c r="D2994" t="inlineStr">
        <is>
          <t>NORRBOTTENS LÄN</t>
        </is>
      </c>
      <c r="E2994" t="inlineStr">
        <is>
          <t>KALIX</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26092-2021</t>
        </is>
      </c>
      <c r="B2995" s="1" t="n">
        <v>44344</v>
      </c>
      <c r="C2995" s="1" t="n">
        <v>45798</v>
      </c>
      <c r="D2995" t="inlineStr">
        <is>
          <t>NORRBOTTENS LÄN</t>
        </is>
      </c>
      <c r="E2995" t="inlineStr">
        <is>
          <t>PITEÅ</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26199-2021</t>
        </is>
      </c>
      <c r="B2996" s="1" t="n">
        <v>44347</v>
      </c>
      <c r="C2996" s="1" t="n">
        <v>45798</v>
      </c>
      <c r="D2996" t="inlineStr">
        <is>
          <t>NORRBOTTENS LÄN</t>
        </is>
      </c>
      <c r="E2996" t="inlineStr">
        <is>
          <t>BODEN</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26331-2021</t>
        </is>
      </c>
      <c r="B2997" s="1" t="n">
        <v>44347</v>
      </c>
      <c r="C2997" s="1" t="n">
        <v>45798</v>
      </c>
      <c r="D2997" t="inlineStr">
        <is>
          <t>NORRBOTTENS LÄN</t>
        </is>
      </c>
      <c r="E2997" t="inlineStr">
        <is>
          <t>BODEN</t>
        </is>
      </c>
      <c r="F2997" t="inlineStr">
        <is>
          <t>Sveaskog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26234-2021</t>
        </is>
      </c>
      <c r="B2998" s="1" t="n">
        <v>44347</v>
      </c>
      <c r="C2998" s="1" t="n">
        <v>45798</v>
      </c>
      <c r="D2998" t="inlineStr">
        <is>
          <t>NORRBOTTENS LÄN</t>
        </is>
      </c>
      <c r="E2998" t="inlineStr">
        <is>
          <t>LULEÅ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26362-2021</t>
        </is>
      </c>
      <c r="B2999" s="1" t="n">
        <v>44347</v>
      </c>
      <c r="C2999" s="1" t="n">
        <v>45798</v>
      </c>
      <c r="D2999" t="inlineStr">
        <is>
          <t>NORRBOTTENS LÄN</t>
        </is>
      </c>
      <c r="E2999" t="inlineStr">
        <is>
          <t>ÖVERKALIX</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26644-2021</t>
        </is>
      </c>
      <c r="B3000" s="1" t="n">
        <v>44348</v>
      </c>
      <c r="C3000" s="1" t="n">
        <v>45798</v>
      </c>
      <c r="D3000" t="inlineStr">
        <is>
          <t>NORRBOTTENS LÄN</t>
        </is>
      </c>
      <c r="E3000" t="inlineStr">
        <is>
          <t>ÖVERKALIX</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26885-2021</t>
        </is>
      </c>
      <c r="B3001" s="1" t="n">
        <v>44349</v>
      </c>
      <c r="C3001" s="1" t="n">
        <v>45798</v>
      </c>
      <c r="D3001" t="inlineStr">
        <is>
          <t>NORRBOTTENS LÄN</t>
        </is>
      </c>
      <c r="E3001" t="inlineStr">
        <is>
          <t>ÖVERKALIX</t>
        </is>
      </c>
      <c r="F3001" t="inlineStr">
        <is>
          <t>Sveaskog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27060-2021</t>
        </is>
      </c>
      <c r="B3002" s="1" t="n">
        <v>44350</v>
      </c>
      <c r="C3002" s="1" t="n">
        <v>45798</v>
      </c>
      <c r="D3002" t="inlineStr">
        <is>
          <t>NORRBOTTENS LÄN</t>
        </is>
      </c>
      <c r="E3002" t="inlineStr">
        <is>
          <t>KALIX</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26995-2021</t>
        </is>
      </c>
      <c r="B3003" s="1" t="n">
        <v>44350</v>
      </c>
      <c r="C3003" s="1" t="n">
        <v>45798</v>
      </c>
      <c r="D3003" t="inlineStr">
        <is>
          <t>NORRBOTTENS LÄN</t>
        </is>
      </c>
      <c r="E3003" t="inlineStr">
        <is>
          <t>HAPARANDA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27136-2021</t>
        </is>
      </c>
      <c r="B3004" s="1" t="n">
        <v>44350</v>
      </c>
      <c r="C3004" s="1" t="n">
        <v>45798</v>
      </c>
      <c r="D3004" t="inlineStr">
        <is>
          <t>NORRBOTTENS LÄN</t>
        </is>
      </c>
      <c r="E3004" t="inlineStr">
        <is>
          <t>BODEN</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27050-2021</t>
        </is>
      </c>
      <c r="B3005" s="1" t="n">
        <v>44350</v>
      </c>
      <c r="C3005" s="1" t="n">
        <v>45798</v>
      </c>
      <c r="D3005" t="inlineStr">
        <is>
          <t>NORRBOTTENS LÄN</t>
        </is>
      </c>
      <c r="E3005" t="inlineStr">
        <is>
          <t>KALIX</t>
        </is>
      </c>
      <c r="G3005" t="n">
        <v>24.1</v>
      </c>
      <c r="H3005" t="n">
        <v>0</v>
      </c>
      <c r="I3005" t="n">
        <v>0</v>
      </c>
      <c r="J3005" t="n">
        <v>0</v>
      </c>
      <c r="K3005" t="n">
        <v>0</v>
      </c>
      <c r="L3005" t="n">
        <v>0</v>
      </c>
      <c r="M3005" t="n">
        <v>0</v>
      </c>
      <c r="N3005" t="n">
        <v>0</v>
      </c>
      <c r="O3005" t="n">
        <v>0</v>
      </c>
      <c r="P3005" t="n">
        <v>0</v>
      </c>
      <c r="Q3005" t="n">
        <v>0</v>
      </c>
      <c r="R3005" s="2" t="inlineStr"/>
    </row>
    <row r="3006" ht="15" customHeight="1">
      <c r="A3006" t="inlineStr">
        <is>
          <t>A 27241-2021</t>
        </is>
      </c>
      <c r="B3006" s="1" t="n">
        <v>44350</v>
      </c>
      <c r="C3006" s="1" t="n">
        <v>45798</v>
      </c>
      <c r="D3006" t="inlineStr">
        <is>
          <t>NORRBOTTENS LÄN</t>
        </is>
      </c>
      <c r="E3006" t="inlineStr">
        <is>
          <t>BODEN</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27248-2021</t>
        </is>
      </c>
      <c r="B3007" s="1" t="n">
        <v>44350</v>
      </c>
      <c r="C3007" s="1" t="n">
        <v>45798</v>
      </c>
      <c r="D3007" t="inlineStr">
        <is>
          <t>NORRBOTTENS LÄN</t>
        </is>
      </c>
      <c r="E3007" t="inlineStr">
        <is>
          <t>BODEN</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27222-2021</t>
        </is>
      </c>
      <c r="B3008" s="1" t="n">
        <v>44350</v>
      </c>
      <c r="C3008" s="1" t="n">
        <v>45798</v>
      </c>
      <c r="D3008" t="inlineStr">
        <is>
          <t>NORRBOTTENS LÄN</t>
        </is>
      </c>
      <c r="E3008" t="inlineStr">
        <is>
          <t>PITEÅ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27220-2021</t>
        </is>
      </c>
      <c r="B3009" s="1" t="n">
        <v>44350</v>
      </c>
      <c r="C3009" s="1" t="n">
        <v>45798</v>
      </c>
      <c r="D3009" t="inlineStr">
        <is>
          <t>NORRBOTTENS LÄN</t>
        </is>
      </c>
      <c r="E3009" t="inlineStr">
        <is>
          <t>PITEÅ</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27263-2021</t>
        </is>
      </c>
      <c r="B3010" s="1" t="n">
        <v>44351</v>
      </c>
      <c r="C3010" s="1" t="n">
        <v>45798</v>
      </c>
      <c r="D3010" t="inlineStr">
        <is>
          <t>NORRBOTTENS LÄN</t>
        </is>
      </c>
      <c r="E3010" t="inlineStr">
        <is>
          <t>PITEÅ</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27596-2021</t>
        </is>
      </c>
      <c r="B3011" s="1" t="n">
        <v>44354</v>
      </c>
      <c r="C3011" s="1" t="n">
        <v>45798</v>
      </c>
      <c r="D3011" t="inlineStr">
        <is>
          <t>NORRBOTTENS LÄN</t>
        </is>
      </c>
      <c r="E3011" t="inlineStr">
        <is>
          <t>BODEN</t>
        </is>
      </c>
      <c r="F3011" t="inlineStr">
        <is>
          <t>Sveaskog</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27702-2021</t>
        </is>
      </c>
      <c r="B3012" s="1" t="n">
        <v>44354</v>
      </c>
      <c r="C3012" s="1" t="n">
        <v>45798</v>
      </c>
      <c r="D3012" t="inlineStr">
        <is>
          <t>NORRBOTTENS LÄN</t>
        </is>
      </c>
      <c r="E3012" t="inlineStr">
        <is>
          <t>KALIX</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27789-2021</t>
        </is>
      </c>
      <c r="B3013" s="1" t="n">
        <v>44354</v>
      </c>
      <c r="C3013" s="1" t="n">
        <v>45798</v>
      </c>
      <c r="D3013" t="inlineStr">
        <is>
          <t>NORRBOTTENS LÄN</t>
        </is>
      </c>
      <c r="E3013" t="inlineStr">
        <is>
          <t>ÖVERTORNEÅ</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27991-2021</t>
        </is>
      </c>
      <c r="B3014" s="1" t="n">
        <v>44354</v>
      </c>
      <c r="C3014" s="1" t="n">
        <v>45798</v>
      </c>
      <c r="D3014" t="inlineStr">
        <is>
          <t>NORRBOTTENS LÄN</t>
        </is>
      </c>
      <c r="E3014" t="inlineStr">
        <is>
          <t>PITEÅ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27990-2021</t>
        </is>
      </c>
      <c r="B3015" s="1" t="n">
        <v>44355</v>
      </c>
      <c r="C3015" s="1" t="n">
        <v>45798</v>
      </c>
      <c r="D3015" t="inlineStr">
        <is>
          <t>NORRBOTTENS LÄN</t>
        </is>
      </c>
      <c r="E3015" t="inlineStr">
        <is>
          <t>PITEÅ</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28319-2021</t>
        </is>
      </c>
      <c r="B3016" s="1" t="n">
        <v>44355</v>
      </c>
      <c r="C3016" s="1" t="n">
        <v>45798</v>
      </c>
      <c r="D3016" t="inlineStr">
        <is>
          <t>NORRBOTTENS LÄN</t>
        </is>
      </c>
      <c r="E3016" t="inlineStr">
        <is>
          <t>JOKKMOKK</t>
        </is>
      </c>
      <c r="F3016" t="inlineStr">
        <is>
          <t>Övriga statliga verk och myndigheter</t>
        </is>
      </c>
      <c r="G3016" t="n">
        <v>40</v>
      </c>
      <c r="H3016" t="n">
        <v>0</v>
      </c>
      <c r="I3016" t="n">
        <v>0</v>
      </c>
      <c r="J3016" t="n">
        <v>0</v>
      </c>
      <c r="K3016" t="n">
        <v>0</v>
      </c>
      <c r="L3016" t="n">
        <v>0</v>
      </c>
      <c r="M3016" t="n">
        <v>0</v>
      </c>
      <c r="N3016" t="n">
        <v>0</v>
      </c>
      <c r="O3016" t="n">
        <v>0</v>
      </c>
      <c r="P3016" t="n">
        <v>0</v>
      </c>
      <c r="Q3016" t="n">
        <v>0</v>
      </c>
      <c r="R3016" s="2" t="inlineStr"/>
    </row>
    <row r="3017" ht="15" customHeight="1">
      <c r="A3017" t="inlineStr">
        <is>
          <t>A 28282-2021</t>
        </is>
      </c>
      <c r="B3017" s="1" t="n">
        <v>44355</v>
      </c>
      <c r="C3017" s="1" t="n">
        <v>45798</v>
      </c>
      <c r="D3017" t="inlineStr">
        <is>
          <t>NORRBOTTENS LÄN</t>
        </is>
      </c>
      <c r="E3017" t="inlineStr">
        <is>
          <t>PITEÅ</t>
        </is>
      </c>
      <c r="F3017" t="inlineStr">
        <is>
          <t>SCA</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28314-2021</t>
        </is>
      </c>
      <c r="B3018" s="1" t="n">
        <v>44356</v>
      </c>
      <c r="C3018" s="1" t="n">
        <v>45798</v>
      </c>
      <c r="D3018" t="inlineStr">
        <is>
          <t>NORRBOTTENS LÄN</t>
        </is>
      </c>
      <c r="E3018" t="inlineStr">
        <is>
          <t>GÄLLIVARE</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28370-2021</t>
        </is>
      </c>
      <c r="B3019" s="1" t="n">
        <v>44356</v>
      </c>
      <c r="C3019" s="1" t="n">
        <v>45798</v>
      </c>
      <c r="D3019" t="inlineStr">
        <is>
          <t>NORRBOTTENS LÄN</t>
        </is>
      </c>
      <c r="E3019" t="inlineStr">
        <is>
          <t>BODEN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28367-2021</t>
        </is>
      </c>
      <c r="B3020" s="1" t="n">
        <v>44356</v>
      </c>
      <c r="C3020" s="1" t="n">
        <v>45798</v>
      </c>
      <c r="D3020" t="inlineStr">
        <is>
          <t>NORRBOTTENS LÄN</t>
        </is>
      </c>
      <c r="E3020" t="inlineStr">
        <is>
          <t>BODEN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28364-2021</t>
        </is>
      </c>
      <c r="B3021" s="1" t="n">
        <v>44356</v>
      </c>
      <c r="C3021" s="1" t="n">
        <v>45798</v>
      </c>
      <c r="D3021" t="inlineStr">
        <is>
          <t>NORRBOTTENS LÄN</t>
        </is>
      </c>
      <c r="E3021" t="inlineStr">
        <is>
          <t>ÖVERKALIX</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28487-2021</t>
        </is>
      </c>
      <c r="B3022" s="1" t="n">
        <v>44356</v>
      </c>
      <c r="C3022" s="1" t="n">
        <v>45798</v>
      </c>
      <c r="D3022" t="inlineStr">
        <is>
          <t>NORRBOTTENS LÄN</t>
        </is>
      </c>
      <c r="E3022" t="inlineStr">
        <is>
          <t>ÖVERKALIX</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28478-2021</t>
        </is>
      </c>
      <c r="B3023" s="1" t="n">
        <v>44356</v>
      </c>
      <c r="C3023" s="1" t="n">
        <v>45798</v>
      </c>
      <c r="D3023" t="inlineStr">
        <is>
          <t>NORRBOTTENS LÄN</t>
        </is>
      </c>
      <c r="E3023" t="inlineStr">
        <is>
          <t>PAJALA</t>
        </is>
      </c>
      <c r="G3023" t="n">
        <v>14.8</v>
      </c>
      <c r="H3023" t="n">
        <v>0</v>
      </c>
      <c r="I3023" t="n">
        <v>0</v>
      </c>
      <c r="J3023" t="n">
        <v>0</v>
      </c>
      <c r="K3023" t="n">
        <v>0</v>
      </c>
      <c r="L3023" t="n">
        <v>0</v>
      </c>
      <c r="M3023" t="n">
        <v>0</v>
      </c>
      <c r="N3023" t="n">
        <v>0</v>
      </c>
      <c r="O3023" t="n">
        <v>0</v>
      </c>
      <c r="P3023" t="n">
        <v>0</v>
      </c>
      <c r="Q3023" t="n">
        <v>0</v>
      </c>
      <c r="R3023" s="2" t="inlineStr"/>
    </row>
    <row r="3024" ht="15" customHeight="1">
      <c r="A3024" t="inlineStr">
        <is>
          <t>A 28591-2021</t>
        </is>
      </c>
      <c r="B3024" s="1" t="n">
        <v>44356</v>
      </c>
      <c r="C3024" s="1" t="n">
        <v>45798</v>
      </c>
      <c r="D3024" t="inlineStr">
        <is>
          <t>NORRBOTTENS LÄN</t>
        </is>
      </c>
      <c r="E3024" t="inlineStr">
        <is>
          <t>PAJALA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28628-2021</t>
        </is>
      </c>
      <c r="B3025" s="1" t="n">
        <v>44356</v>
      </c>
      <c r="C3025" s="1" t="n">
        <v>45798</v>
      </c>
      <c r="D3025" t="inlineStr">
        <is>
          <t>NORRBOTTENS LÄN</t>
        </is>
      </c>
      <c r="E3025" t="inlineStr">
        <is>
          <t>ARVIDSJAUR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28378-2021</t>
        </is>
      </c>
      <c r="B3026" s="1" t="n">
        <v>44356</v>
      </c>
      <c r="C3026" s="1" t="n">
        <v>45798</v>
      </c>
      <c r="D3026" t="inlineStr">
        <is>
          <t>NORRBOTTENS LÄN</t>
        </is>
      </c>
      <c r="E3026" t="inlineStr">
        <is>
          <t>BODEN</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28888-2021</t>
        </is>
      </c>
      <c r="B3027" s="1" t="n">
        <v>44357</v>
      </c>
      <c r="C3027" s="1" t="n">
        <v>45798</v>
      </c>
      <c r="D3027" t="inlineStr">
        <is>
          <t>NORRBOTTENS LÄN</t>
        </is>
      </c>
      <c r="E3027" t="inlineStr">
        <is>
          <t>PITEÅ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28908-2021</t>
        </is>
      </c>
      <c r="B3028" s="1" t="n">
        <v>44358</v>
      </c>
      <c r="C3028" s="1" t="n">
        <v>45798</v>
      </c>
      <c r="D3028" t="inlineStr">
        <is>
          <t>NORRBOTTENS LÄN</t>
        </is>
      </c>
      <c r="E3028" t="inlineStr">
        <is>
          <t>PITEÅ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28933-2021</t>
        </is>
      </c>
      <c r="B3029" s="1" t="n">
        <v>44358</v>
      </c>
      <c r="C3029" s="1" t="n">
        <v>45798</v>
      </c>
      <c r="D3029" t="inlineStr">
        <is>
          <t>NORRBOTTENS LÄN</t>
        </is>
      </c>
      <c r="E3029" t="inlineStr">
        <is>
          <t>BODEN</t>
        </is>
      </c>
      <c r="F3029" t="inlineStr">
        <is>
          <t>Sveaskog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29073-2021</t>
        </is>
      </c>
      <c r="B3030" s="1" t="n">
        <v>44358</v>
      </c>
      <c r="C3030" s="1" t="n">
        <v>45798</v>
      </c>
      <c r="D3030" t="inlineStr">
        <is>
          <t>NORRBOTTENS LÄN</t>
        </is>
      </c>
      <c r="E3030" t="inlineStr">
        <is>
          <t>JOKKMOKK</t>
        </is>
      </c>
      <c r="F3030" t="inlineStr">
        <is>
          <t>Sveaskog</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29196-2021</t>
        </is>
      </c>
      <c r="B3031" s="1" t="n">
        <v>44358</v>
      </c>
      <c r="C3031" s="1" t="n">
        <v>45798</v>
      </c>
      <c r="D3031" t="inlineStr">
        <is>
          <t>NORRBOTTENS LÄN</t>
        </is>
      </c>
      <c r="E3031" t="inlineStr">
        <is>
          <t>GÄLLIVARE</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29107-2021</t>
        </is>
      </c>
      <c r="B3032" s="1" t="n">
        <v>44358</v>
      </c>
      <c r="C3032" s="1" t="n">
        <v>45798</v>
      </c>
      <c r="D3032" t="inlineStr">
        <is>
          <t>NORRBOTTENS LÄN</t>
        </is>
      </c>
      <c r="E3032" t="inlineStr">
        <is>
          <t>BODEN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29194-2021</t>
        </is>
      </c>
      <c r="B3033" s="1" t="n">
        <v>44358</v>
      </c>
      <c r="C3033" s="1" t="n">
        <v>45798</v>
      </c>
      <c r="D3033" t="inlineStr">
        <is>
          <t>NORRBOTTENS LÄN</t>
        </is>
      </c>
      <c r="E3033" t="inlineStr">
        <is>
          <t>GÄLLIVARE</t>
        </is>
      </c>
      <c r="F3033" t="inlineStr">
        <is>
          <t>Sveaskog</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29268-2021</t>
        </is>
      </c>
      <c r="B3034" s="1" t="n">
        <v>44361</v>
      </c>
      <c r="C3034" s="1" t="n">
        <v>45798</v>
      </c>
      <c r="D3034" t="inlineStr">
        <is>
          <t>NORRBOTTENS LÄN</t>
        </is>
      </c>
      <c r="E3034" t="inlineStr">
        <is>
          <t>ÖVERKALIX</t>
        </is>
      </c>
      <c r="F3034" t="inlineStr">
        <is>
          <t>Sveaskog</t>
        </is>
      </c>
      <c r="G3034" t="n">
        <v>12.4</v>
      </c>
      <c r="H3034" t="n">
        <v>0</v>
      </c>
      <c r="I3034" t="n">
        <v>0</v>
      </c>
      <c r="J3034" t="n">
        <v>0</v>
      </c>
      <c r="K3034" t="n">
        <v>0</v>
      </c>
      <c r="L3034" t="n">
        <v>0</v>
      </c>
      <c r="M3034" t="n">
        <v>0</v>
      </c>
      <c r="N3034" t="n">
        <v>0</v>
      </c>
      <c r="O3034" t="n">
        <v>0</v>
      </c>
      <c r="P3034" t="n">
        <v>0</v>
      </c>
      <c r="Q3034" t="n">
        <v>0</v>
      </c>
      <c r="R3034" s="2" t="inlineStr"/>
    </row>
    <row r="3035" ht="15" customHeight="1">
      <c r="A3035" t="inlineStr">
        <is>
          <t>A 29337-2021</t>
        </is>
      </c>
      <c r="B3035" s="1" t="n">
        <v>44361</v>
      </c>
      <c r="C3035" s="1" t="n">
        <v>45798</v>
      </c>
      <c r="D3035" t="inlineStr">
        <is>
          <t>NORRBOTTENS LÄN</t>
        </is>
      </c>
      <c r="E3035" t="inlineStr">
        <is>
          <t>KALIX</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29303-2021</t>
        </is>
      </c>
      <c r="B3036" s="1" t="n">
        <v>44361</v>
      </c>
      <c r="C3036" s="1" t="n">
        <v>45798</v>
      </c>
      <c r="D3036" t="inlineStr">
        <is>
          <t>NORRBOTTENS LÄN</t>
        </is>
      </c>
      <c r="E3036" t="inlineStr">
        <is>
          <t>PITEÅ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29557-2021</t>
        </is>
      </c>
      <c r="B3037" s="1" t="n">
        <v>44361</v>
      </c>
      <c r="C3037" s="1" t="n">
        <v>45798</v>
      </c>
      <c r="D3037" t="inlineStr">
        <is>
          <t>NORRBOTTENS LÄN</t>
        </is>
      </c>
      <c r="E3037" t="inlineStr">
        <is>
          <t>PITEÅ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29590-2021</t>
        </is>
      </c>
      <c r="B3038" s="1" t="n">
        <v>44362</v>
      </c>
      <c r="C3038" s="1" t="n">
        <v>45798</v>
      </c>
      <c r="D3038" t="inlineStr">
        <is>
          <t>NORRBOTTENS LÄN</t>
        </is>
      </c>
      <c r="E3038" t="inlineStr">
        <is>
          <t>PAJALA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29558-2021</t>
        </is>
      </c>
      <c r="B3039" s="1" t="n">
        <v>44361</v>
      </c>
      <c r="C3039" s="1" t="n">
        <v>45798</v>
      </c>
      <c r="D3039" t="inlineStr">
        <is>
          <t>NORRBOTTENS LÄN</t>
        </is>
      </c>
      <c r="E3039" t="inlineStr">
        <is>
          <t>PITEÅ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29614-2021</t>
        </is>
      </c>
      <c r="B3040" s="1" t="n">
        <v>44361</v>
      </c>
      <c r="C3040" s="1" t="n">
        <v>45798</v>
      </c>
      <c r="D3040" t="inlineStr">
        <is>
          <t>NORRBOTTENS LÄN</t>
        </is>
      </c>
      <c r="E3040" t="inlineStr">
        <is>
          <t>KALIX</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29642-2021</t>
        </is>
      </c>
      <c r="B3041" s="1" t="n">
        <v>44362</v>
      </c>
      <c r="C3041" s="1" t="n">
        <v>45798</v>
      </c>
      <c r="D3041" t="inlineStr">
        <is>
          <t>NORRBOTTENS LÄN</t>
        </is>
      </c>
      <c r="E3041" t="inlineStr">
        <is>
          <t>PITEÅ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29608-2021</t>
        </is>
      </c>
      <c r="B3042" s="1" t="n">
        <v>44361</v>
      </c>
      <c r="C3042" s="1" t="n">
        <v>45798</v>
      </c>
      <c r="D3042" t="inlineStr">
        <is>
          <t>NORRBOTTENS LÄN</t>
        </is>
      </c>
      <c r="E3042" t="inlineStr">
        <is>
          <t>GÄLLIVARE</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29640-2021</t>
        </is>
      </c>
      <c r="B3043" s="1" t="n">
        <v>44361</v>
      </c>
      <c r="C3043" s="1" t="n">
        <v>45798</v>
      </c>
      <c r="D3043" t="inlineStr">
        <is>
          <t>NORRBOTTENS LÄN</t>
        </is>
      </c>
      <c r="E3043" t="inlineStr">
        <is>
          <t>PITEÅ</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29730-2021</t>
        </is>
      </c>
      <c r="B3044" s="1" t="n">
        <v>44362</v>
      </c>
      <c r="C3044" s="1" t="n">
        <v>45798</v>
      </c>
      <c r="D3044" t="inlineStr">
        <is>
          <t>NORRBOTTENS LÄN</t>
        </is>
      </c>
      <c r="E3044" t="inlineStr">
        <is>
          <t>LULEÅ</t>
        </is>
      </c>
      <c r="F3044" t="inlineStr">
        <is>
          <t>Kyrkan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29757-2021</t>
        </is>
      </c>
      <c r="B3045" s="1" t="n">
        <v>44362</v>
      </c>
      <c r="C3045" s="1" t="n">
        <v>45798</v>
      </c>
      <c r="D3045" t="inlineStr">
        <is>
          <t>NORRBOTTENS LÄN</t>
        </is>
      </c>
      <c r="E3045" t="inlineStr">
        <is>
          <t>ÖVERKALIX</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29751-2021</t>
        </is>
      </c>
      <c r="B3046" s="1" t="n">
        <v>44362</v>
      </c>
      <c r="C3046" s="1" t="n">
        <v>45798</v>
      </c>
      <c r="D3046" t="inlineStr">
        <is>
          <t>NORRBOTTENS LÄN</t>
        </is>
      </c>
      <c r="E3046" t="inlineStr">
        <is>
          <t>BODEN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29775-2021</t>
        </is>
      </c>
      <c r="B3047" s="1" t="n">
        <v>44362</v>
      </c>
      <c r="C3047" s="1" t="n">
        <v>45798</v>
      </c>
      <c r="D3047" t="inlineStr">
        <is>
          <t>NORRBOTTENS LÄN</t>
        </is>
      </c>
      <c r="E3047" t="inlineStr">
        <is>
          <t>ÖVERKALIX</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29811-2021</t>
        </is>
      </c>
      <c r="B3048" s="1" t="n">
        <v>44362</v>
      </c>
      <c r="C3048" s="1" t="n">
        <v>45798</v>
      </c>
      <c r="D3048" t="inlineStr">
        <is>
          <t>NORRBOTTENS LÄN</t>
        </is>
      </c>
      <c r="E3048" t="inlineStr">
        <is>
          <t>PITEÅ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29932-2021</t>
        </is>
      </c>
      <c r="B3049" s="1" t="n">
        <v>44362</v>
      </c>
      <c r="C3049" s="1" t="n">
        <v>45798</v>
      </c>
      <c r="D3049" t="inlineStr">
        <is>
          <t>NORRBOTTENS LÄN</t>
        </is>
      </c>
      <c r="E3049" t="inlineStr">
        <is>
          <t>KIRUNA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29955-2021</t>
        </is>
      </c>
      <c r="B3050" s="1" t="n">
        <v>44362</v>
      </c>
      <c r="C3050" s="1" t="n">
        <v>45798</v>
      </c>
      <c r="D3050" t="inlineStr">
        <is>
          <t>NORRBOTTENS LÄN</t>
        </is>
      </c>
      <c r="E3050" t="inlineStr">
        <is>
          <t>JOKKMOKK</t>
        </is>
      </c>
      <c r="G3050" t="n">
        <v>14.1</v>
      </c>
      <c r="H3050" t="n">
        <v>0</v>
      </c>
      <c r="I3050" t="n">
        <v>0</v>
      </c>
      <c r="J3050" t="n">
        <v>0</v>
      </c>
      <c r="K3050" t="n">
        <v>0</v>
      </c>
      <c r="L3050" t="n">
        <v>0</v>
      </c>
      <c r="M3050" t="n">
        <v>0</v>
      </c>
      <c r="N3050" t="n">
        <v>0</v>
      </c>
      <c r="O3050" t="n">
        <v>0</v>
      </c>
      <c r="P3050" t="n">
        <v>0</v>
      </c>
      <c r="Q3050" t="n">
        <v>0</v>
      </c>
      <c r="R3050" s="2" t="inlineStr"/>
    </row>
    <row r="3051" ht="15" customHeight="1">
      <c r="A3051" t="inlineStr">
        <is>
          <t>A 29945-2021</t>
        </is>
      </c>
      <c r="B3051" s="1" t="n">
        <v>44363</v>
      </c>
      <c r="C3051" s="1" t="n">
        <v>45798</v>
      </c>
      <c r="D3051" t="inlineStr">
        <is>
          <t>NORRBOTTENS LÄN</t>
        </is>
      </c>
      <c r="E3051" t="inlineStr">
        <is>
          <t>ÖVERTORNEÅ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30027-2021</t>
        </is>
      </c>
      <c r="B3052" s="1" t="n">
        <v>44363</v>
      </c>
      <c r="C3052" s="1" t="n">
        <v>45798</v>
      </c>
      <c r="D3052" t="inlineStr">
        <is>
          <t>NORRBOTTENS LÄN</t>
        </is>
      </c>
      <c r="E3052" t="inlineStr">
        <is>
          <t>LULEÅ</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29947-2021</t>
        </is>
      </c>
      <c r="B3053" s="1" t="n">
        <v>44363</v>
      </c>
      <c r="C3053" s="1" t="n">
        <v>45798</v>
      </c>
      <c r="D3053" t="inlineStr">
        <is>
          <t>NORRBOTTENS LÄN</t>
        </is>
      </c>
      <c r="E3053" t="inlineStr">
        <is>
          <t>ARVIDSJAUR</t>
        </is>
      </c>
      <c r="F3053" t="inlineStr">
        <is>
          <t>Sveaskog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30562-2021</t>
        </is>
      </c>
      <c r="B3054" s="1" t="n">
        <v>44364</v>
      </c>
      <c r="C3054" s="1" t="n">
        <v>45798</v>
      </c>
      <c r="D3054" t="inlineStr">
        <is>
          <t>NORRBOTTENS LÄN</t>
        </is>
      </c>
      <c r="E3054" t="inlineStr">
        <is>
          <t>ARVIDSJAUR</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30551-2021</t>
        </is>
      </c>
      <c r="B3055" s="1" t="n">
        <v>44364</v>
      </c>
      <c r="C3055" s="1" t="n">
        <v>45798</v>
      </c>
      <c r="D3055" t="inlineStr">
        <is>
          <t>NORRBOTTENS LÄN</t>
        </is>
      </c>
      <c r="E3055" t="inlineStr">
        <is>
          <t>PAJALA</t>
        </is>
      </c>
      <c r="G3055" t="n">
        <v>15.8</v>
      </c>
      <c r="H3055" t="n">
        <v>0</v>
      </c>
      <c r="I3055" t="n">
        <v>0</v>
      </c>
      <c r="J3055" t="n">
        <v>0</v>
      </c>
      <c r="K3055" t="n">
        <v>0</v>
      </c>
      <c r="L3055" t="n">
        <v>0</v>
      </c>
      <c r="M3055" t="n">
        <v>0</v>
      </c>
      <c r="N3055" t="n">
        <v>0</v>
      </c>
      <c r="O3055" t="n">
        <v>0</v>
      </c>
      <c r="P3055" t="n">
        <v>0</v>
      </c>
      <c r="Q3055" t="n">
        <v>0</v>
      </c>
      <c r="R3055" s="2" t="inlineStr"/>
    </row>
    <row r="3056" ht="15" customHeight="1">
      <c r="A3056" t="inlineStr">
        <is>
          <t>A 30542-2021</t>
        </is>
      </c>
      <c r="B3056" s="1" t="n">
        <v>44364</v>
      </c>
      <c r="C3056" s="1" t="n">
        <v>45798</v>
      </c>
      <c r="D3056" t="inlineStr">
        <is>
          <t>NORRBOTTENS LÄN</t>
        </is>
      </c>
      <c r="E3056" t="inlineStr">
        <is>
          <t>PAJALA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30673-2021</t>
        </is>
      </c>
      <c r="B3057" s="1" t="n">
        <v>44365</v>
      </c>
      <c r="C3057" s="1" t="n">
        <v>45798</v>
      </c>
      <c r="D3057" t="inlineStr">
        <is>
          <t>NORRBOTTENS LÄN</t>
        </is>
      </c>
      <c r="E3057" t="inlineStr">
        <is>
          <t>ÖVERKALIX</t>
        </is>
      </c>
      <c r="F3057" t="inlineStr">
        <is>
          <t>Sveaskog</t>
        </is>
      </c>
      <c r="G3057" t="n">
        <v>13.3</v>
      </c>
      <c r="H3057" t="n">
        <v>0</v>
      </c>
      <c r="I3057" t="n">
        <v>0</v>
      </c>
      <c r="J3057" t="n">
        <v>0</v>
      </c>
      <c r="K3057" t="n">
        <v>0</v>
      </c>
      <c r="L3057" t="n">
        <v>0</v>
      </c>
      <c r="M3057" t="n">
        <v>0</v>
      </c>
      <c r="N3057" t="n">
        <v>0</v>
      </c>
      <c r="O3057" t="n">
        <v>0</v>
      </c>
      <c r="P3057" t="n">
        <v>0</v>
      </c>
      <c r="Q3057" t="n">
        <v>0</v>
      </c>
      <c r="R3057" s="2" t="inlineStr"/>
    </row>
    <row r="3058" ht="15" customHeight="1">
      <c r="A3058" t="inlineStr">
        <is>
          <t>A 30690-2021</t>
        </is>
      </c>
      <c r="B3058" s="1" t="n">
        <v>44365</v>
      </c>
      <c r="C3058" s="1" t="n">
        <v>45798</v>
      </c>
      <c r="D3058" t="inlineStr">
        <is>
          <t>NORRBOTTENS LÄN</t>
        </is>
      </c>
      <c r="E3058" t="inlineStr">
        <is>
          <t>HAPARANDA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30651-2021</t>
        </is>
      </c>
      <c r="B3059" s="1" t="n">
        <v>44365</v>
      </c>
      <c r="C3059" s="1" t="n">
        <v>45798</v>
      </c>
      <c r="D3059" t="inlineStr">
        <is>
          <t>NORRBOTTENS LÄN</t>
        </is>
      </c>
      <c r="E3059" t="inlineStr">
        <is>
          <t>ARVIDSJAUR</t>
        </is>
      </c>
      <c r="F3059" t="inlineStr">
        <is>
          <t>Allmännings- och besparingsskogar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30672-2021</t>
        </is>
      </c>
      <c r="B3060" s="1" t="n">
        <v>44365</v>
      </c>
      <c r="C3060" s="1" t="n">
        <v>45798</v>
      </c>
      <c r="D3060" t="inlineStr">
        <is>
          <t>NORRBOTTENS LÄN</t>
        </is>
      </c>
      <c r="E3060" t="inlineStr">
        <is>
          <t>ÖVERKALIX</t>
        </is>
      </c>
      <c r="F3060" t="inlineStr">
        <is>
          <t>Sveaskog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30688-2021</t>
        </is>
      </c>
      <c r="B3061" s="1" t="n">
        <v>44365</v>
      </c>
      <c r="C3061" s="1" t="n">
        <v>45798</v>
      </c>
      <c r="D3061" t="inlineStr">
        <is>
          <t>NORRBOTTENS LÄN</t>
        </is>
      </c>
      <c r="E3061" t="inlineStr">
        <is>
          <t>ÖVERTORNEÅ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30994-2021</t>
        </is>
      </c>
      <c r="B3062" s="1" t="n">
        <v>44366</v>
      </c>
      <c r="C3062" s="1" t="n">
        <v>45798</v>
      </c>
      <c r="D3062" t="inlineStr">
        <is>
          <t>NORRBOTTENS LÄN</t>
        </is>
      </c>
      <c r="E3062" t="inlineStr">
        <is>
          <t>GÄLLIVARE</t>
        </is>
      </c>
      <c r="F3062" t="inlineStr">
        <is>
          <t>Sveaskog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31008-2021</t>
        </is>
      </c>
      <c r="B3063" s="1" t="n">
        <v>44366</v>
      </c>
      <c r="C3063" s="1" t="n">
        <v>45798</v>
      </c>
      <c r="D3063" t="inlineStr">
        <is>
          <t>NORRBOTTENS LÄN</t>
        </is>
      </c>
      <c r="E3063" t="inlineStr">
        <is>
          <t>ÖVERTORNEÅ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31007-2021</t>
        </is>
      </c>
      <c r="B3064" s="1" t="n">
        <v>44366</v>
      </c>
      <c r="C3064" s="1" t="n">
        <v>45798</v>
      </c>
      <c r="D3064" t="inlineStr">
        <is>
          <t>NORRBOTTENS LÄN</t>
        </is>
      </c>
      <c r="E3064" t="inlineStr">
        <is>
          <t>ÖVERTORNEÅ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31164-2021</t>
        </is>
      </c>
      <c r="B3065" s="1" t="n">
        <v>44368</v>
      </c>
      <c r="C3065" s="1" t="n">
        <v>45798</v>
      </c>
      <c r="D3065" t="inlineStr">
        <is>
          <t>NORRBOTTENS LÄN</t>
        </is>
      </c>
      <c r="E3065" t="inlineStr">
        <is>
          <t>PITEÅ</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31161-2021</t>
        </is>
      </c>
      <c r="B3066" s="1" t="n">
        <v>44368</v>
      </c>
      <c r="C3066" s="1" t="n">
        <v>45798</v>
      </c>
      <c r="D3066" t="inlineStr">
        <is>
          <t>NORRBOTTENS LÄN</t>
        </is>
      </c>
      <c r="E3066" t="inlineStr">
        <is>
          <t>PITEÅ</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31243-2021</t>
        </is>
      </c>
      <c r="B3067" s="1" t="n">
        <v>44368</v>
      </c>
      <c r="C3067" s="1" t="n">
        <v>45798</v>
      </c>
      <c r="D3067" t="inlineStr">
        <is>
          <t>NORRBOTTENS LÄN</t>
        </is>
      </c>
      <c r="E3067" t="inlineStr">
        <is>
          <t>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31363-2021</t>
        </is>
      </c>
      <c r="B3068" s="1" t="n">
        <v>44368</v>
      </c>
      <c r="C3068" s="1" t="n">
        <v>45798</v>
      </c>
      <c r="D3068" t="inlineStr">
        <is>
          <t>NORRBOTTENS LÄN</t>
        </is>
      </c>
      <c r="E3068" t="inlineStr">
        <is>
          <t>PITEÅ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31364-2021</t>
        </is>
      </c>
      <c r="B3069" s="1" t="n">
        <v>44369</v>
      </c>
      <c r="C3069" s="1" t="n">
        <v>45798</v>
      </c>
      <c r="D3069" t="inlineStr">
        <is>
          <t>NORRBOTTENS LÄN</t>
        </is>
      </c>
      <c r="E3069" t="inlineStr">
        <is>
          <t>PITEÅ</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31446-2021</t>
        </is>
      </c>
      <c r="B3070" s="1" t="n">
        <v>44369</v>
      </c>
      <c r="C3070" s="1" t="n">
        <v>45798</v>
      </c>
      <c r="D3070" t="inlineStr">
        <is>
          <t>NORRBOTTENS LÄN</t>
        </is>
      </c>
      <c r="E3070" t="inlineStr">
        <is>
          <t>ARVIDSJAUR</t>
        </is>
      </c>
      <c r="F3070" t="inlineStr">
        <is>
          <t>Sveaskog</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31444-2021</t>
        </is>
      </c>
      <c r="B3071" s="1" t="n">
        <v>44369</v>
      </c>
      <c r="C3071" s="1" t="n">
        <v>45798</v>
      </c>
      <c r="D3071" t="inlineStr">
        <is>
          <t>NORRBOTTENS LÄN</t>
        </is>
      </c>
      <c r="E3071" t="inlineStr">
        <is>
          <t>ÖVERTORNEÅ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31453-2021</t>
        </is>
      </c>
      <c r="B3072" s="1" t="n">
        <v>44369</v>
      </c>
      <c r="C3072" s="1" t="n">
        <v>45798</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31513-2021</t>
        </is>
      </c>
      <c r="B3073" s="1" t="n">
        <v>44369</v>
      </c>
      <c r="C3073" s="1" t="n">
        <v>45798</v>
      </c>
      <c r="D3073" t="inlineStr">
        <is>
          <t>NORRBOTTENS LÄN</t>
        </is>
      </c>
      <c r="E3073" t="inlineStr">
        <is>
          <t>BODEN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31439-2021</t>
        </is>
      </c>
      <c r="B3074" s="1" t="n">
        <v>44369</v>
      </c>
      <c r="C3074" s="1" t="n">
        <v>45798</v>
      </c>
      <c r="D3074" t="inlineStr">
        <is>
          <t>NORRBOTTENS LÄN</t>
        </is>
      </c>
      <c r="E3074" t="inlineStr">
        <is>
          <t>ARJEPLOG</t>
        </is>
      </c>
      <c r="F3074" t="inlineStr">
        <is>
          <t>Sveaskog</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31573-2021</t>
        </is>
      </c>
      <c r="B3075" s="1" t="n">
        <v>44369</v>
      </c>
      <c r="C3075" s="1" t="n">
        <v>45798</v>
      </c>
      <c r="D3075" t="inlineStr">
        <is>
          <t>NORRBOTTENS LÄN</t>
        </is>
      </c>
      <c r="E3075" t="inlineStr">
        <is>
          <t>ARVIDSJAUR</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31706-2021</t>
        </is>
      </c>
      <c r="B3076" s="1" t="n">
        <v>44369</v>
      </c>
      <c r="C3076" s="1" t="n">
        <v>45798</v>
      </c>
      <c r="D3076" t="inlineStr">
        <is>
          <t>NORRBOTTENS LÄN</t>
        </is>
      </c>
      <c r="E3076" t="inlineStr">
        <is>
          <t>KALIX</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31756-2021</t>
        </is>
      </c>
      <c r="B3077" s="1" t="n">
        <v>44370</v>
      </c>
      <c r="C3077" s="1" t="n">
        <v>45798</v>
      </c>
      <c r="D3077" t="inlineStr">
        <is>
          <t>NORRBOTTENS LÄN</t>
        </is>
      </c>
      <c r="E3077" t="inlineStr">
        <is>
          <t>PITEÅ</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31720-2021</t>
        </is>
      </c>
      <c r="B3078" s="1" t="n">
        <v>44369</v>
      </c>
      <c r="C3078" s="1" t="n">
        <v>45798</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31754-2021</t>
        </is>
      </c>
      <c r="B3079" s="1" t="n">
        <v>44370</v>
      </c>
      <c r="C3079" s="1" t="n">
        <v>45798</v>
      </c>
      <c r="D3079" t="inlineStr">
        <is>
          <t>NORRBOTTENS LÄN</t>
        </is>
      </c>
      <c r="E3079" t="inlineStr">
        <is>
          <t>PITEÅ</t>
        </is>
      </c>
      <c r="F3079" t="inlineStr">
        <is>
          <t>SCA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31686-2021</t>
        </is>
      </c>
      <c r="B3080" s="1" t="n">
        <v>44369</v>
      </c>
      <c r="C3080" s="1" t="n">
        <v>45798</v>
      </c>
      <c r="D3080" t="inlineStr">
        <is>
          <t>NORRBOTTENS LÄN</t>
        </is>
      </c>
      <c r="E3080" t="inlineStr">
        <is>
          <t>PAJALA</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31703-2021</t>
        </is>
      </c>
      <c r="B3081" s="1" t="n">
        <v>44369</v>
      </c>
      <c r="C3081" s="1" t="n">
        <v>45798</v>
      </c>
      <c r="D3081" t="inlineStr">
        <is>
          <t>NORRBOTTENS LÄN</t>
        </is>
      </c>
      <c r="E3081" t="inlineStr">
        <is>
          <t>PAJALA</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31719-2021</t>
        </is>
      </c>
      <c r="B3082" s="1" t="n">
        <v>44369</v>
      </c>
      <c r="C3082" s="1" t="n">
        <v>45798</v>
      </c>
      <c r="D3082" t="inlineStr">
        <is>
          <t>NORRBOTTENS LÄN</t>
        </is>
      </c>
      <c r="E3082" t="inlineStr">
        <is>
          <t>BODEN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31767-2021</t>
        </is>
      </c>
      <c r="B3083" s="1" t="n">
        <v>44369</v>
      </c>
      <c r="C3083" s="1" t="n">
        <v>45798</v>
      </c>
      <c r="D3083" t="inlineStr">
        <is>
          <t>NORRBOTTENS LÄN</t>
        </is>
      </c>
      <c r="E3083" t="inlineStr">
        <is>
          <t>JOKKMOKK</t>
        </is>
      </c>
      <c r="F3083" t="inlineStr">
        <is>
          <t>Övriga statliga verk och myndigheter</t>
        </is>
      </c>
      <c r="G3083" t="n">
        <v>12.1</v>
      </c>
      <c r="H3083" t="n">
        <v>0</v>
      </c>
      <c r="I3083" t="n">
        <v>0</v>
      </c>
      <c r="J3083" t="n">
        <v>0</v>
      </c>
      <c r="K3083" t="n">
        <v>0</v>
      </c>
      <c r="L3083" t="n">
        <v>0</v>
      </c>
      <c r="M3083" t="n">
        <v>0</v>
      </c>
      <c r="N3083" t="n">
        <v>0</v>
      </c>
      <c r="O3083" t="n">
        <v>0</v>
      </c>
      <c r="P3083" t="n">
        <v>0</v>
      </c>
      <c r="Q3083" t="n">
        <v>0</v>
      </c>
      <c r="R3083" s="2" t="inlineStr"/>
    </row>
    <row r="3084" ht="15" customHeight="1">
      <c r="A3084" t="inlineStr">
        <is>
          <t>A 31812-2021</t>
        </is>
      </c>
      <c r="B3084" s="1" t="n">
        <v>44370</v>
      </c>
      <c r="C3084" s="1" t="n">
        <v>45798</v>
      </c>
      <c r="D3084" t="inlineStr">
        <is>
          <t>NORRBOTTENS LÄN</t>
        </is>
      </c>
      <c r="E3084" t="inlineStr">
        <is>
          <t>PAJALA</t>
        </is>
      </c>
      <c r="G3084" t="n">
        <v>13.7</v>
      </c>
      <c r="H3084" t="n">
        <v>0</v>
      </c>
      <c r="I3084" t="n">
        <v>0</v>
      </c>
      <c r="J3084" t="n">
        <v>0</v>
      </c>
      <c r="K3084" t="n">
        <v>0</v>
      </c>
      <c r="L3084" t="n">
        <v>0</v>
      </c>
      <c r="M3084" t="n">
        <v>0</v>
      </c>
      <c r="N3084" t="n">
        <v>0</v>
      </c>
      <c r="O3084" t="n">
        <v>0</v>
      </c>
      <c r="P3084" t="n">
        <v>0</v>
      </c>
      <c r="Q3084" t="n">
        <v>0</v>
      </c>
      <c r="R3084" s="2" t="inlineStr"/>
    </row>
    <row r="3085" ht="15" customHeight="1">
      <c r="A3085" t="inlineStr">
        <is>
          <t>A 31902-2021</t>
        </is>
      </c>
      <c r="B3085" s="1" t="n">
        <v>44370</v>
      </c>
      <c r="C3085" s="1" t="n">
        <v>45798</v>
      </c>
      <c r="D3085" t="inlineStr">
        <is>
          <t>NORRBOTTENS LÄN</t>
        </is>
      </c>
      <c r="E3085" t="inlineStr">
        <is>
          <t>JOKKMOKK</t>
        </is>
      </c>
      <c r="G3085" t="n">
        <v>20</v>
      </c>
      <c r="H3085" t="n">
        <v>0</v>
      </c>
      <c r="I3085" t="n">
        <v>0</v>
      </c>
      <c r="J3085" t="n">
        <v>0</v>
      </c>
      <c r="K3085" t="n">
        <v>0</v>
      </c>
      <c r="L3085" t="n">
        <v>0</v>
      </c>
      <c r="M3085" t="n">
        <v>0</v>
      </c>
      <c r="N3085" t="n">
        <v>0</v>
      </c>
      <c r="O3085" t="n">
        <v>0</v>
      </c>
      <c r="P3085" t="n">
        <v>0</v>
      </c>
      <c r="Q3085" t="n">
        <v>0</v>
      </c>
      <c r="R3085" s="2" t="inlineStr"/>
    </row>
    <row r="3086" ht="15" customHeight="1">
      <c r="A3086" t="inlineStr">
        <is>
          <t>A 32095-2021</t>
        </is>
      </c>
      <c r="B3086" s="1" t="n">
        <v>44370</v>
      </c>
      <c r="C3086" s="1" t="n">
        <v>45798</v>
      </c>
      <c r="D3086" t="inlineStr">
        <is>
          <t>NORRBOTTENS LÄN</t>
        </is>
      </c>
      <c r="E3086" t="inlineStr">
        <is>
          <t>PITEÅ</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32098-2021</t>
        </is>
      </c>
      <c r="B3087" s="1" t="n">
        <v>44370</v>
      </c>
      <c r="C3087" s="1" t="n">
        <v>45798</v>
      </c>
      <c r="D3087" t="inlineStr">
        <is>
          <t>NORRBOTTENS LÄN</t>
        </is>
      </c>
      <c r="E3087" t="inlineStr">
        <is>
          <t>PITEÅ</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32096-2021</t>
        </is>
      </c>
      <c r="B3088" s="1" t="n">
        <v>44371</v>
      </c>
      <c r="C3088" s="1" t="n">
        <v>45798</v>
      </c>
      <c r="D3088" t="inlineStr">
        <is>
          <t>NORRBOTTENS LÄN</t>
        </is>
      </c>
      <c r="E3088" t="inlineStr">
        <is>
          <t>PITEÅ</t>
        </is>
      </c>
      <c r="F3088" t="inlineStr">
        <is>
          <t>SCA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32373-2021</t>
        </is>
      </c>
      <c r="B3089" s="1" t="n">
        <v>44371</v>
      </c>
      <c r="C3089" s="1" t="n">
        <v>45798</v>
      </c>
      <c r="D3089" t="inlineStr">
        <is>
          <t>NORRBOTTENS LÄN</t>
        </is>
      </c>
      <c r="E3089" t="inlineStr">
        <is>
          <t>BODEN</t>
        </is>
      </c>
      <c r="F3089" t="inlineStr">
        <is>
          <t>Sveaskog</t>
        </is>
      </c>
      <c r="G3089" t="n">
        <v>9.300000000000001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32378-2021</t>
        </is>
      </c>
      <c r="B3090" s="1" t="n">
        <v>44371</v>
      </c>
      <c r="C3090" s="1" t="n">
        <v>45798</v>
      </c>
      <c r="D3090" t="inlineStr">
        <is>
          <t>NORRBOTTENS LÄN</t>
        </is>
      </c>
      <c r="E3090" t="inlineStr">
        <is>
          <t>LULEÅ</t>
        </is>
      </c>
      <c r="F3090" t="inlineStr">
        <is>
          <t>Sveaskog</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32381-2021</t>
        </is>
      </c>
      <c r="B3091" s="1" t="n">
        <v>44371</v>
      </c>
      <c r="C3091" s="1" t="n">
        <v>45798</v>
      </c>
      <c r="D3091" t="inlineStr">
        <is>
          <t>NORRBOTTENS LÄN</t>
        </is>
      </c>
      <c r="E3091" t="inlineStr">
        <is>
          <t>LULEÅ</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32448-2021</t>
        </is>
      </c>
      <c r="B3092" s="1" t="n">
        <v>44371</v>
      </c>
      <c r="C3092" s="1" t="n">
        <v>45798</v>
      </c>
      <c r="D3092" t="inlineStr">
        <is>
          <t>NORRBOTTENS LÄN</t>
        </is>
      </c>
      <c r="E3092" t="inlineStr">
        <is>
          <t>KALIX</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32479-2021</t>
        </is>
      </c>
      <c r="B3093" s="1" t="n">
        <v>44372</v>
      </c>
      <c r="C3093" s="1" t="n">
        <v>45798</v>
      </c>
      <c r="D3093" t="inlineStr">
        <is>
          <t>NORRBOTTENS LÄN</t>
        </is>
      </c>
      <c r="E3093" t="inlineStr">
        <is>
          <t>PITEÅ</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32475-2021</t>
        </is>
      </c>
      <c r="B3094" s="1" t="n">
        <v>44372</v>
      </c>
      <c r="C3094" s="1" t="n">
        <v>45798</v>
      </c>
      <c r="D3094" t="inlineStr">
        <is>
          <t>NORRBOTTENS LÄN</t>
        </is>
      </c>
      <c r="E3094" t="inlineStr">
        <is>
          <t>PITEÅ</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32511-2021</t>
        </is>
      </c>
      <c r="B3095" s="1" t="n">
        <v>44374</v>
      </c>
      <c r="C3095" s="1" t="n">
        <v>45798</v>
      </c>
      <c r="D3095" t="inlineStr">
        <is>
          <t>NORRBOTTENS LÄN</t>
        </is>
      </c>
      <c r="E3095" t="inlineStr">
        <is>
          <t>BODEN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32521-2021</t>
        </is>
      </c>
      <c r="B3096" s="1" t="n">
        <v>44374</v>
      </c>
      <c r="C3096" s="1" t="n">
        <v>45798</v>
      </c>
      <c r="D3096" t="inlineStr">
        <is>
          <t>NORRBOTTENS LÄN</t>
        </is>
      </c>
      <c r="E3096" t="inlineStr">
        <is>
          <t>ÖVERKALIX</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32682-2021</t>
        </is>
      </c>
      <c r="B3097" s="1" t="n">
        <v>44375</v>
      </c>
      <c r="C3097" s="1" t="n">
        <v>45798</v>
      </c>
      <c r="D3097" t="inlineStr">
        <is>
          <t>NORRBOTTENS LÄN</t>
        </is>
      </c>
      <c r="E3097" t="inlineStr">
        <is>
          <t>KIRUNA</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32723-2021</t>
        </is>
      </c>
      <c r="B3098" s="1" t="n">
        <v>44375</v>
      </c>
      <c r="C3098" s="1" t="n">
        <v>45798</v>
      </c>
      <c r="D3098" t="inlineStr">
        <is>
          <t>NORRBOTTENS LÄN</t>
        </is>
      </c>
      <c r="E3098" t="inlineStr">
        <is>
          <t>KALIX</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32675-2021</t>
        </is>
      </c>
      <c r="B3099" s="1" t="n">
        <v>44375</v>
      </c>
      <c r="C3099" s="1" t="n">
        <v>45798</v>
      </c>
      <c r="D3099" t="inlineStr">
        <is>
          <t>NORRBOTTENS LÄN</t>
        </is>
      </c>
      <c r="E3099" t="inlineStr">
        <is>
          <t>PITEÅ</t>
        </is>
      </c>
      <c r="F3099" t="inlineStr">
        <is>
          <t>Kommuner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32751-2021</t>
        </is>
      </c>
      <c r="B3100" s="1" t="n">
        <v>44375</v>
      </c>
      <c r="C3100" s="1" t="n">
        <v>45798</v>
      </c>
      <c r="D3100" t="inlineStr">
        <is>
          <t>NORRBOTTENS LÄN</t>
        </is>
      </c>
      <c r="E3100" t="inlineStr">
        <is>
          <t>JOKKMOKK</t>
        </is>
      </c>
      <c r="F3100" t="inlineStr">
        <is>
          <t>Övriga statliga verk och myndigheter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32808-2021</t>
        </is>
      </c>
      <c r="B3101" s="1" t="n">
        <v>44375</v>
      </c>
      <c r="C3101" s="1" t="n">
        <v>45798</v>
      </c>
      <c r="D3101" t="inlineStr">
        <is>
          <t>NORRBOTTENS LÄN</t>
        </is>
      </c>
      <c r="E3101" t="inlineStr">
        <is>
          <t>KIRUNA</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32923-2021</t>
        </is>
      </c>
      <c r="B3102" s="1" t="n">
        <v>44376</v>
      </c>
      <c r="C3102" s="1" t="n">
        <v>45798</v>
      </c>
      <c r="D3102" t="inlineStr">
        <is>
          <t>NORRBOTTENS LÄN</t>
        </is>
      </c>
      <c r="E3102" t="inlineStr">
        <is>
          <t>PITEÅ</t>
        </is>
      </c>
      <c r="F3102" t="inlineStr">
        <is>
          <t>SCA</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32902-2021</t>
        </is>
      </c>
      <c r="B3103" s="1" t="n">
        <v>44376</v>
      </c>
      <c r="C3103" s="1" t="n">
        <v>45798</v>
      </c>
      <c r="D3103" t="inlineStr">
        <is>
          <t>NORRBOTTENS LÄN</t>
        </is>
      </c>
      <c r="E3103" t="inlineStr">
        <is>
          <t>ÖVERTORNEÅ</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32924-2021</t>
        </is>
      </c>
      <c r="B3104" s="1" t="n">
        <v>44376</v>
      </c>
      <c r="C3104" s="1" t="n">
        <v>45798</v>
      </c>
      <c r="D3104" t="inlineStr">
        <is>
          <t>NORRBOTTENS LÄN</t>
        </is>
      </c>
      <c r="E3104" t="inlineStr">
        <is>
          <t>PITEÅ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32819-2021</t>
        </is>
      </c>
      <c r="B3105" s="1" t="n">
        <v>44375</v>
      </c>
      <c r="C3105" s="1" t="n">
        <v>45798</v>
      </c>
      <c r="D3105" t="inlineStr">
        <is>
          <t>NORRBOTTENS LÄN</t>
        </is>
      </c>
      <c r="E3105" t="inlineStr">
        <is>
          <t>KIRUNA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32929-2021</t>
        </is>
      </c>
      <c r="B3106" s="1" t="n">
        <v>44375</v>
      </c>
      <c r="C3106" s="1" t="n">
        <v>45798</v>
      </c>
      <c r="D3106" t="inlineStr">
        <is>
          <t>NORRBOTTENS LÄN</t>
        </is>
      </c>
      <c r="E3106" t="inlineStr">
        <is>
          <t>GÄLLIVARE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33007-2021</t>
        </is>
      </c>
      <c r="B3107" s="1" t="n">
        <v>44376</v>
      </c>
      <c r="C3107" s="1" t="n">
        <v>45798</v>
      </c>
      <c r="D3107" t="inlineStr">
        <is>
          <t>NORRBOTTENS LÄN</t>
        </is>
      </c>
      <c r="E3107" t="inlineStr">
        <is>
          <t>PITEÅ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33147-2021</t>
        </is>
      </c>
      <c r="B3108" s="1" t="n">
        <v>44376</v>
      </c>
      <c r="C3108" s="1" t="n">
        <v>45798</v>
      </c>
      <c r="D3108" t="inlineStr">
        <is>
          <t>NORRBOTTENS LÄN</t>
        </is>
      </c>
      <c r="E3108" t="inlineStr">
        <is>
          <t>LULEÅ</t>
        </is>
      </c>
      <c r="F3108" t="inlineStr">
        <is>
          <t>Sveaskog</t>
        </is>
      </c>
      <c r="G3108" t="n">
        <v>24.6</v>
      </c>
      <c r="H3108" t="n">
        <v>0</v>
      </c>
      <c r="I3108" t="n">
        <v>0</v>
      </c>
      <c r="J3108" t="n">
        <v>0</v>
      </c>
      <c r="K3108" t="n">
        <v>0</v>
      </c>
      <c r="L3108" t="n">
        <v>0</v>
      </c>
      <c r="M3108" t="n">
        <v>0</v>
      </c>
      <c r="N3108" t="n">
        <v>0</v>
      </c>
      <c r="O3108" t="n">
        <v>0</v>
      </c>
      <c r="P3108" t="n">
        <v>0</v>
      </c>
      <c r="Q3108" t="n">
        <v>0</v>
      </c>
      <c r="R3108" s="2" t="inlineStr"/>
    </row>
    <row r="3109" ht="15" customHeight="1">
      <c r="A3109" t="inlineStr">
        <is>
          <t>A 33211-2021</t>
        </is>
      </c>
      <c r="B3109" s="1" t="n">
        <v>44377</v>
      </c>
      <c r="C3109" s="1" t="n">
        <v>45798</v>
      </c>
      <c r="D3109" t="inlineStr">
        <is>
          <t>NORRBOTTENS LÄN</t>
        </is>
      </c>
      <c r="E3109" t="inlineStr">
        <is>
          <t>PITEÅ</t>
        </is>
      </c>
      <c r="F3109" t="inlineStr">
        <is>
          <t>Naturvårdsverket</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33176-2021</t>
        </is>
      </c>
      <c r="B3110" s="1" t="n">
        <v>44376</v>
      </c>
      <c r="C3110" s="1" t="n">
        <v>45798</v>
      </c>
      <c r="D3110" t="inlineStr">
        <is>
          <t>NORRBOTTENS LÄN</t>
        </is>
      </c>
      <c r="E3110" t="inlineStr">
        <is>
          <t>PAJALA</t>
        </is>
      </c>
      <c r="F3110" t="inlineStr">
        <is>
          <t>Sveaskog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33148-2021</t>
        </is>
      </c>
      <c r="B3111" s="1" t="n">
        <v>44376</v>
      </c>
      <c r="C3111" s="1" t="n">
        <v>45798</v>
      </c>
      <c r="D3111" t="inlineStr">
        <is>
          <t>NORRBOTTENS LÄN</t>
        </is>
      </c>
      <c r="E3111" t="inlineStr">
        <is>
          <t>LULEÅ</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33336-2021</t>
        </is>
      </c>
      <c r="B3112" s="1" t="n">
        <v>44377</v>
      </c>
      <c r="C3112" s="1" t="n">
        <v>45798</v>
      </c>
      <c r="D3112" t="inlineStr">
        <is>
          <t>NORRBOTTENS LÄN</t>
        </is>
      </c>
      <c r="E3112" t="inlineStr">
        <is>
          <t>ARVIDSJAUR</t>
        </is>
      </c>
      <c r="G3112" t="n">
        <v>13.9</v>
      </c>
      <c r="H3112" t="n">
        <v>0</v>
      </c>
      <c r="I3112" t="n">
        <v>0</v>
      </c>
      <c r="J3112" t="n">
        <v>0</v>
      </c>
      <c r="K3112" t="n">
        <v>0</v>
      </c>
      <c r="L3112" t="n">
        <v>0</v>
      </c>
      <c r="M3112" t="n">
        <v>0</v>
      </c>
      <c r="N3112" t="n">
        <v>0</v>
      </c>
      <c r="O3112" t="n">
        <v>0</v>
      </c>
      <c r="P3112" t="n">
        <v>0</v>
      </c>
      <c r="Q3112" t="n">
        <v>0</v>
      </c>
      <c r="R3112" s="2" t="inlineStr"/>
    </row>
    <row r="3113" ht="15" customHeight="1">
      <c r="A3113" t="inlineStr">
        <is>
          <t>A 33353-2021</t>
        </is>
      </c>
      <c r="B3113" s="1" t="n">
        <v>44377</v>
      </c>
      <c r="C3113" s="1" t="n">
        <v>45798</v>
      </c>
      <c r="D3113" t="inlineStr">
        <is>
          <t>NORRBOTTENS LÄN</t>
        </is>
      </c>
      <c r="E3113" t="inlineStr">
        <is>
          <t>BODEN</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33751-2021</t>
        </is>
      </c>
      <c r="B3114" s="1" t="n">
        <v>44377</v>
      </c>
      <c r="C3114" s="1" t="n">
        <v>45798</v>
      </c>
      <c r="D3114" t="inlineStr">
        <is>
          <t>NORRBOTTENS LÄN</t>
        </is>
      </c>
      <c r="E3114" t="inlineStr">
        <is>
          <t>KALIX</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33539-2021</t>
        </is>
      </c>
      <c r="B3115" s="1" t="n">
        <v>44378</v>
      </c>
      <c r="C3115" s="1" t="n">
        <v>45798</v>
      </c>
      <c r="D3115" t="inlineStr">
        <is>
          <t>NORRBOTTENS LÄN</t>
        </is>
      </c>
      <c r="E3115" t="inlineStr">
        <is>
          <t>PITEÅ</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33666-2021</t>
        </is>
      </c>
      <c r="B3116" s="1" t="n">
        <v>44378</v>
      </c>
      <c r="C3116" s="1" t="n">
        <v>45798</v>
      </c>
      <c r="D3116" t="inlineStr">
        <is>
          <t>NORRBOTTENS LÄN</t>
        </is>
      </c>
      <c r="E3116" t="inlineStr">
        <is>
          <t>PITEÅ</t>
        </is>
      </c>
      <c r="F3116" t="inlineStr">
        <is>
          <t>Sveaskog</t>
        </is>
      </c>
      <c r="G3116" t="n">
        <v>46.2</v>
      </c>
      <c r="H3116" t="n">
        <v>0</v>
      </c>
      <c r="I3116" t="n">
        <v>0</v>
      </c>
      <c r="J3116" t="n">
        <v>0</v>
      </c>
      <c r="K3116" t="n">
        <v>0</v>
      </c>
      <c r="L3116" t="n">
        <v>0</v>
      </c>
      <c r="M3116" t="n">
        <v>0</v>
      </c>
      <c r="N3116" t="n">
        <v>0</v>
      </c>
      <c r="O3116" t="n">
        <v>0</v>
      </c>
      <c r="P3116" t="n">
        <v>0</v>
      </c>
      <c r="Q3116" t="n">
        <v>0</v>
      </c>
      <c r="R3116" s="2" t="inlineStr"/>
    </row>
    <row r="3117" ht="15" customHeight="1">
      <c r="A3117" t="inlineStr">
        <is>
          <t>A 33813-2021</t>
        </is>
      </c>
      <c r="B3117" s="1" t="n">
        <v>44378</v>
      </c>
      <c r="C3117" s="1" t="n">
        <v>45798</v>
      </c>
      <c r="D3117" t="inlineStr">
        <is>
          <t>NORRBOTTENS LÄN</t>
        </is>
      </c>
      <c r="E3117" t="inlineStr">
        <is>
          <t>PITEÅ</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33823-2021</t>
        </is>
      </c>
      <c r="B3118" s="1" t="n">
        <v>44378</v>
      </c>
      <c r="C3118" s="1" t="n">
        <v>45798</v>
      </c>
      <c r="D3118" t="inlineStr">
        <is>
          <t>NORRBOTTENS LÄN</t>
        </is>
      </c>
      <c r="E3118" t="inlineStr">
        <is>
          <t>ÄLVSBYN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33908-2021</t>
        </is>
      </c>
      <c r="B3119" s="1" t="n">
        <v>44378</v>
      </c>
      <c r="C3119" s="1" t="n">
        <v>45798</v>
      </c>
      <c r="D3119" t="inlineStr">
        <is>
          <t>NORRBOTTENS LÄN</t>
        </is>
      </c>
      <c r="E3119" t="inlineStr">
        <is>
          <t>BODEN</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33903-2021</t>
        </is>
      </c>
      <c r="B3120" s="1" t="n">
        <v>44378</v>
      </c>
      <c r="C3120" s="1" t="n">
        <v>45798</v>
      </c>
      <c r="D3120" t="inlineStr">
        <is>
          <t>NORRBOTTENS LÄN</t>
        </is>
      </c>
      <c r="E3120" t="inlineStr">
        <is>
          <t>BODEN</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34021-2021</t>
        </is>
      </c>
      <c r="B3121" s="1" t="n">
        <v>44378</v>
      </c>
      <c r="C3121" s="1" t="n">
        <v>45798</v>
      </c>
      <c r="D3121" t="inlineStr">
        <is>
          <t>NORRBOTTENS LÄN</t>
        </is>
      </c>
      <c r="E3121" t="inlineStr">
        <is>
          <t>BODEN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34062-2021</t>
        </is>
      </c>
      <c r="B3122" s="1" t="n">
        <v>44378</v>
      </c>
      <c r="C3122" s="1" t="n">
        <v>45798</v>
      </c>
      <c r="D3122" t="inlineStr">
        <is>
          <t>NORRBOTTENS LÄN</t>
        </is>
      </c>
      <c r="E3122" t="inlineStr">
        <is>
          <t>JOKKMOKK</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34084-2021</t>
        </is>
      </c>
      <c r="B3123" s="1" t="n">
        <v>44378</v>
      </c>
      <c r="C3123" s="1" t="n">
        <v>45798</v>
      </c>
      <c r="D3123" t="inlineStr">
        <is>
          <t>NORRBOTTENS LÄN</t>
        </is>
      </c>
      <c r="E3123" t="inlineStr">
        <is>
          <t>JOKKMOKK</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34085-2021</t>
        </is>
      </c>
      <c r="B3124" s="1" t="n">
        <v>44379</v>
      </c>
      <c r="C3124" s="1" t="n">
        <v>45798</v>
      </c>
      <c r="D3124" t="inlineStr">
        <is>
          <t>NORRBOTTENS LÄN</t>
        </is>
      </c>
      <c r="E3124" t="inlineStr">
        <is>
          <t>PAJALA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34495-2021</t>
        </is>
      </c>
      <c r="B3125" s="1" t="n">
        <v>44379</v>
      </c>
      <c r="C3125" s="1" t="n">
        <v>45798</v>
      </c>
      <c r="D3125" t="inlineStr">
        <is>
          <t>NORRBOTTENS LÄN</t>
        </is>
      </c>
      <c r="E3125" t="inlineStr">
        <is>
          <t>LULEÅ</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34210-2021</t>
        </is>
      </c>
      <c r="B3126" s="1" t="n">
        <v>44379</v>
      </c>
      <c r="C3126" s="1" t="n">
        <v>45798</v>
      </c>
      <c r="D3126" t="inlineStr">
        <is>
          <t>NORRBOTTENS LÄN</t>
        </is>
      </c>
      <c r="E3126" t="inlineStr">
        <is>
          <t>KALIX</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34244-2021</t>
        </is>
      </c>
      <c r="B3127" s="1" t="n">
        <v>44379</v>
      </c>
      <c r="C3127" s="1" t="n">
        <v>45798</v>
      </c>
      <c r="D3127" t="inlineStr">
        <is>
          <t>NORRBOTTENS LÄN</t>
        </is>
      </c>
      <c r="E3127" t="inlineStr">
        <is>
          <t>ARVIDSJAUR</t>
        </is>
      </c>
      <c r="F3127" t="inlineStr">
        <is>
          <t>Sveaskog</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34253-2021</t>
        </is>
      </c>
      <c r="B3128" s="1" t="n">
        <v>44379</v>
      </c>
      <c r="C3128" s="1" t="n">
        <v>45798</v>
      </c>
      <c r="D3128" t="inlineStr">
        <is>
          <t>NORRBOTTENS LÄN</t>
        </is>
      </c>
      <c r="E3128" t="inlineStr">
        <is>
          <t>ARVIDSJAUR</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34370-2021</t>
        </is>
      </c>
      <c r="B3129" s="1" t="n">
        <v>44379</v>
      </c>
      <c r="C3129" s="1" t="n">
        <v>45798</v>
      </c>
      <c r="D3129" t="inlineStr">
        <is>
          <t>NORRBOTTENS LÄN</t>
        </is>
      </c>
      <c r="E3129" t="inlineStr">
        <is>
          <t>KALIX</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34199-2021</t>
        </is>
      </c>
      <c r="B3130" s="1" t="n">
        <v>44379</v>
      </c>
      <c r="C3130" s="1" t="n">
        <v>45798</v>
      </c>
      <c r="D3130" t="inlineStr">
        <is>
          <t>NORRBOTTENS LÄN</t>
        </is>
      </c>
      <c r="E3130" t="inlineStr">
        <is>
          <t>KALIX</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34368-2021</t>
        </is>
      </c>
      <c r="B3131" s="1" t="n">
        <v>44379</v>
      </c>
      <c r="C3131" s="1" t="n">
        <v>45798</v>
      </c>
      <c r="D3131" t="inlineStr">
        <is>
          <t>NORRBOTTENS LÄN</t>
        </is>
      </c>
      <c r="E3131" t="inlineStr">
        <is>
          <t>KALIX</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34512-2021</t>
        </is>
      </c>
      <c r="B3132" s="1" t="n">
        <v>44379</v>
      </c>
      <c r="C3132" s="1" t="n">
        <v>45798</v>
      </c>
      <c r="D3132" t="inlineStr">
        <is>
          <t>NORRBOTTENS LÄN</t>
        </is>
      </c>
      <c r="E3132" t="inlineStr">
        <is>
          <t>HAPARANDA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34183-2021</t>
        </is>
      </c>
      <c r="B3133" s="1" t="n">
        <v>44379</v>
      </c>
      <c r="C3133" s="1" t="n">
        <v>45798</v>
      </c>
      <c r="D3133" t="inlineStr">
        <is>
          <t>NORRBOTTENS LÄN</t>
        </is>
      </c>
      <c r="E3133" t="inlineStr">
        <is>
          <t>HAPARANDA</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34444-2021</t>
        </is>
      </c>
      <c r="B3134" s="1" t="n">
        <v>44381</v>
      </c>
      <c r="C3134" s="1" t="n">
        <v>45798</v>
      </c>
      <c r="D3134" t="inlineStr">
        <is>
          <t>NORRBOTTENS LÄN</t>
        </is>
      </c>
      <c r="E3134" t="inlineStr">
        <is>
          <t>KALIX</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34510-2021</t>
        </is>
      </c>
      <c r="B3135" s="1" t="n">
        <v>44382</v>
      </c>
      <c r="C3135" s="1" t="n">
        <v>45798</v>
      </c>
      <c r="D3135" t="inlineStr">
        <is>
          <t>NORRBOTTENS LÄN</t>
        </is>
      </c>
      <c r="E3135" t="inlineStr">
        <is>
          <t>ARVIDSJAUR</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34516-2021</t>
        </is>
      </c>
      <c r="B3136" s="1" t="n">
        <v>44382</v>
      </c>
      <c r="C3136" s="1" t="n">
        <v>45798</v>
      </c>
      <c r="D3136" t="inlineStr">
        <is>
          <t>NORRBOTTENS LÄN</t>
        </is>
      </c>
      <c r="E3136" t="inlineStr">
        <is>
          <t>KALIX</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34525-2021</t>
        </is>
      </c>
      <c r="B3137" s="1" t="n">
        <v>44382</v>
      </c>
      <c r="C3137" s="1" t="n">
        <v>45798</v>
      </c>
      <c r="D3137" t="inlineStr">
        <is>
          <t>NORRBOTTENS LÄN</t>
        </is>
      </c>
      <c r="E3137" t="inlineStr">
        <is>
          <t>KALIX</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34527-2021</t>
        </is>
      </c>
      <c r="B3138" s="1" t="n">
        <v>44382</v>
      </c>
      <c r="C3138" s="1" t="n">
        <v>45798</v>
      </c>
      <c r="D3138" t="inlineStr">
        <is>
          <t>NORRBOTTENS LÄN</t>
        </is>
      </c>
      <c r="E3138" t="inlineStr">
        <is>
          <t>KALIX</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34752-2021</t>
        </is>
      </c>
      <c r="B3139" s="1" t="n">
        <v>44382</v>
      </c>
      <c r="C3139" s="1" t="n">
        <v>45798</v>
      </c>
      <c r="D3139" t="inlineStr">
        <is>
          <t>NORRBOTTENS LÄN</t>
        </is>
      </c>
      <c r="E3139" t="inlineStr">
        <is>
          <t>JOKKMOKK</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34810-2021</t>
        </is>
      </c>
      <c r="B3140" s="1" t="n">
        <v>44382</v>
      </c>
      <c r="C3140" s="1" t="n">
        <v>45798</v>
      </c>
      <c r="D3140" t="inlineStr">
        <is>
          <t>NORRBOTTENS LÄN</t>
        </is>
      </c>
      <c r="E3140" t="inlineStr">
        <is>
          <t>ARJEPLOG</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34636-2021</t>
        </is>
      </c>
      <c r="B3141" s="1" t="n">
        <v>44382</v>
      </c>
      <c r="C3141" s="1" t="n">
        <v>45798</v>
      </c>
      <c r="D3141" t="inlineStr">
        <is>
          <t>NORRBOTTENS LÄN</t>
        </is>
      </c>
      <c r="E3141" t="inlineStr">
        <is>
          <t>ARVIDSJAUR</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34962-2021</t>
        </is>
      </c>
      <c r="B3142" s="1" t="n">
        <v>44382</v>
      </c>
      <c r="C3142" s="1" t="n">
        <v>45798</v>
      </c>
      <c r="D3142" t="inlineStr">
        <is>
          <t>NORRBOTTENS LÄN</t>
        </is>
      </c>
      <c r="E3142" t="inlineStr">
        <is>
          <t>ARVIDSJAUR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34934-2021</t>
        </is>
      </c>
      <c r="B3143" s="1" t="n">
        <v>44383</v>
      </c>
      <c r="C3143" s="1" t="n">
        <v>45798</v>
      </c>
      <c r="D3143" t="inlineStr">
        <is>
          <t>NORRBOTTENS LÄN</t>
        </is>
      </c>
      <c r="E3143" t="inlineStr">
        <is>
          <t>PAJALA</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34944-2021</t>
        </is>
      </c>
      <c r="B3144" s="1" t="n">
        <v>44383</v>
      </c>
      <c r="C3144" s="1" t="n">
        <v>45798</v>
      </c>
      <c r="D3144" t="inlineStr">
        <is>
          <t>NORRBOTTENS LÄN</t>
        </is>
      </c>
      <c r="E3144" t="inlineStr">
        <is>
          <t>PAJALA</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34929-2021</t>
        </is>
      </c>
      <c r="B3145" s="1" t="n">
        <v>44383</v>
      </c>
      <c r="C3145" s="1" t="n">
        <v>45798</v>
      </c>
      <c r="D3145" t="inlineStr">
        <is>
          <t>NORRBOTTENS LÄN</t>
        </is>
      </c>
      <c r="E3145" t="inlineStr">
        <is>
          <t>PAJALA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35050-2021</t>
        </is>
      </c>
      <c r="B3146" s="1" t="n">
        <v>44383</v>
      </c>
      <c r="C3146" s="1" t="n">
        <v>45798</v>
      </c>
      <c r="D3146" t="inlineStr">
        <is>
          <t>NORRBOTTENS LÄN</t>
        </is>
      </c>
      <c r="E3146" t="inlineStr">
        <is>
          <t>PITEÅ</t>
        </is>
      </c>
      <c r="G3146" t="n">
        <v>15.4</v>
      </c>
      <c r="H3146" t="n">
        <v>0</v>
      </c>
      <c r="I3146" t="n">
        <v>0</v>
      </c>
      <c r="J3146" t="n">
        <v>0</v>
      </c>
      <c r="K3146" t="n">
        <v>0</v>
      </c>
      <c r="L3146" t="n">
        <v>0</v>
      </c>
      <c r="M3146" t="n">
        <v>0</v>
      </c>
      <c r="N3146" t="n">
        <v>0</v>
      </c>
      <c r="O3146" t="n">
        <v>0</v>
      </c>
      <c r="P3146" t="n">
        <v>0</v>
      </c>
      <c r="Q3146" t="n">
        <v>0</v>
      </c>
      <c r="R3146" s="2" t="inlineStr"/>
    </row>
    <row r="3147" ht="15" customHeight="1">
      <c r="A3147" t="inlineStr">
        <is>
          <t>A 34938-2021</t>
        </is>
      </c>
      <c r="B3147" s="1" t="n">
        <v>44383</v>
      </c>
      <c r="C3147" s="1" t="n">
        <v>45798</v>
      </c>
      <c r="D3147" t="inlineStr">
        <is>
          <t>NORRBOTTENS LÄN</t>
        </is>
      </c>
      <c r="E3147" t="inlineStr">
        <is>
          <t>PAJALA</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34950-2021</t>
        </is>
      </c>
      <c r="B3148" s="1" t="n">
        <v>44383</v>
      </c>
      <c r="C3148" s="1" t="n">
        <v>45798</v>
      </c>
      <c r="D3148" t="inlineStr">
        <is>
          <t>NORRBOTTENS LÄN</t>
        </is>
      </c>
      <c r="E3148" t="inlineStr">
        <is>
          <t>PAJALA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35053-2021</t>
        </is>
      </c>
      <c r="B3149" s="1" t="n">
        <v>44383</v>
      </c>
      <c r="C3149" s="1" t="n">
        <v>45798</v>
      </c>
      <c r="D3149" t="inlineStr">
        <is>
          <t>NORRBOTTENS LÄN</t>
        </is>
      </c>
      <c r="E3149" t="inlineStr">
        <is>
          <t>PITEÅ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35054-2021</t>
        </is>
      </c>
      <c r="B3150" s="1" t="n">
        <v>44383</v>
      </c>
      <c r="C3150" s="1" t="n">
        <v>45798</v>
      </c>
      <c r="D3150" t="inlineStr">
        <is>
          <t>NORRBOTTENS LÄN</t>
        </is>
      </c>
      <c r="E3150" t="inlineStr">
        <is>
          <t>PITEÅ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35051-2021</t>
        </is>
      </c>
      <c r="B3151" s="1" t="n">
        <v>44383</v>
      </c>
      <c r="C3151" s="1" t="n">
        <v>45798</v>
      </c>
      <c r="D3151" t="inlineStr">
        <is>
          <t>NORRBOTTENS LÄN</t>
        </is>
      </c>
      <c r="E3151" t="inlineStr">
        <is>
          <t>PITEÅ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35057-2021</t>
        </is>
      </c>
      <c r="B3152" s="1" t="n">
        <v>44383</v>
      </c>
      <c r="C3152" s="1" t="n">
        <v>45798</v>
      </c>
      <c r="D3152" t="inlineStr">
        <is>
          <t>NORRBOTTENS LÄN</t>
        </is>
      </c>
      <c r="E3152" t="inlineStr">
        <is>
          <t>PITEÅ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35066-2021</t>
        </is>
      </c>
      <c r="B3153" s="1" t="n">
        <v>44384</v>
      </c>
      <c r="C3153" s="1" t="n">
        <v>45798</v>
      </c>
      <c r="D3153" t="inlineStr">
        <is>
          <t>NORRBOTTENS LÄN</t>
        </is>
      </c>
      <c r="E3153" t="inlineStr">
        <is>
          <t>PITEÅ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35056-2021</t>
        </is>
      </c>
      <c r="B3154" s="1" t="n">
        <v>44383</v>
      </c>
      <c r="C3154" s="1" t="n">
        <v>45798</v>
      </c>
      <c r="D3154" t="inlineStr">
        <is>
          <t>NORRBOTTENS LÄN</t>
        </is>
      </c>
      <c r="E3154" t="inlineStr">
        <is>
          <t>PITEÅ</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35249-2021</t>
        </is>
      </c>
      <c r="B3155" s="1" t="n">
        <v>44384</v>
      </c>
      <c r="C3155" s="1" t="n">
        <v>45798</v>
      </c>
      <c r="D3155" t="inlineStr">
        <is>
          <t>NORRBOTTENS LÄN</t>
        </is>
      </c>
      <c r="E3155" t="inlineStr">
        <is>
          <t>LULEÅ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35234-2021</t>
        </is>
      </c>
      <c r="B3156" s="1" t="n">
        <v>44384</v>
      </c>
      <c r="C3156" s="1" t="n">
        <v>45798</v>
      </c>
      <c r="D3156" t="inlineStr">
        <is>
          <t>NORRBOTTENS LÄN</t>
        </is>
      </c>
      <c r="E3156" t="inlineStr">
        <is>
          <t>LULEÅ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35718-2021</t>
        </is>
      </c>
      <c r="B3157" s="1" t="n">
        <v>44385</v>
      </c>
      <c r="C3157" s="1" t="n">
        <v>45798</v>
      </c>
      <c r="D3157" t="inlineStr">
        <is>
          <t>NORRBOTTENS LÄN</t>
        </is>
      </c>
      <c r="E3157" t="inlineStr">
        <is>
          <t>PAJALA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35740-2021</t>
        </is>
      </c>
      <c r="B3158" s="1" t="n">
        <v>44385</v>
      </c>
      <c r="C3158" s="1" t="n">
        <v>45798</v>
      </c>
      <c r="D3158" t="inlineStr">
        <is>
          <t>NORRBOTTENS LÄN</t>
        </is>
      </c>
      <c r="E3158" t="inlineStr">
        <is>
          <t>ARVIDSJAUR</t>
        </is>
      </c>
      <c r="G3158" t="n">
        <v>11.7</v>
      </c>
      <c r="H3158" t="n">
        <v>0</v>
      </c>
      <c r="I3158" t="n">
        <v>0</v>
      </c>
      <c r="J3158" t="n">
        <v>0</v>
      </c>
      <c r="K3158" t="n">
        <v>0</v>
      </c>
      <c r="L3158" t="n">
        <v>0</v>
      </c>
      <c r="M3158" t="n">
        <v>0</v>
      </c>
      <c r="N3158" t="n">
        <v>0</v>
      </c>
      <c r="O3158" t="n">
        <v>0</v>
      </c>
      <c r="P3158" t="n">
        <v>0</v>
      </c>
      <c r="Q3158" t="n">
        <v>0</v>
      </c>
      <c r="R3158" s="2" t="inlineStr"/>
    </row>
    <row r="3159" ht="15" customHeight="1">
      <c r="A3159" t="inlineStr">
        <is>
          <t>A 35962-2021</t>
        </is>
      </c>
      <c r="B3159" s="1" t="n">
        <v>44385</v>
      </c>
      <c r="C3159" s="1" t="n">
        <v>45798</v>
      </c>
      <c r="D3159" t="inlineStr">
        <is>
          <t>NORRBOTTENS LÄN</t>
        </is>
      </c>
      <c r="E3159" t="inlineStr">
        <is>
          <t>LULEÅ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35595-2021</t>
        </is>
      </c>
      <c r="B3160" s="1" t="n">
        <v>44386</v>
      </c>
      <c r="C3160" s="1" t="n">
        <v>45798</v>
      </c>
      <c r="D3160" t="inlineStr">
        <is>
          <t>NORRBOTTENS LÄN</t>
        </is>
      </c>
      <c r="E3160" t="inlineStr">
        <is>
          <t>KALIX</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35831-2021</t>
        </is>
      </c>
      <c r="B3161" s="1" t="n">
        <v>44386</v>
      </c>
      <c r="C3161" s="1" t="n">
        <v>45798</v>
      </c>
      <c r="D3161" t="inlineStr">
        <is>
          <t>NORRBOTTENS LÄN</t>
        </is>
      </c>
      <c r="E3161" t="inlineStr">
        <is>
          <t>KALIX</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35994-2021</t>
        </is>
      </c>
      <c r="B3162" s="1" t="n">
        <v>44386</v>
      </c>
      <c r="C3162" s="1" t="n">
        <v>45798</v>
      </c>
      <c r="D3162" t="inlineStr">
        <is>
          <t>NORRBOTTENS LÄN</t>
        </is>
      </c>
      <c r="E3162" t="inlineStr">
        <is>
          <t>PITEÅ</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36026-2021</t>
        </is>
      </c>
      <c r="B3163" s="1" t="n">
        <v>44386</v>
      </c>
      <c r="C3163" s="1" t="n">
        <v>45798</v>
      </c>
      <c r="D3163" t="inlineStr">
        <is>
          <t>NORRBOTTENS LÄN</t>
        </is>
      </c>
      <c r="E3163" t="inlineStr">
        <is>
          <t>KALIX</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35843-2021</t>
        </is>
      </c>
      <c r="B3164" s="1" t="n">
        <v>44386</v>
      </c>
      <c r="C3164" s="1" t="n">
        <v>45798</v>
      </c>
      <c r="D3164" t="inlineStr">
        <is>
          <t>NORRBOTTENS LÄN</t>
        </is>
      </c>
      <c r="E3164" t="inlineStr">
        <is>
          <t>BODEN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35908-2021</t>
        </is>
      </c>
      <c r="B3165" s="1" t="n">
        <v>44387</v>
      </c>
      <c r="C3165" s="1" t="n">
        <v>45798</v>
      </c>
      <c r="D3165" t="inlineStr">
        <is>
          <t>NORRBOTTENS LÄN</t>
        </is>
      </c>
      <c r="E3165" t="inlineStr">
        <is>
          <t>PAJALA</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36017-2021</t>
        </is>
      </c>
      <c r="B3166" s="1" t="n">
        <v>44389</v>
      </c>
      <c r="C3166" s="1" t="n">
        <v>45798</v>
      </c>
      <c r="D3166" t="inlineStr">
        <is>
          <t>NORRBOTTENS LÄN</t>
        </is>
      </c>
      <c r="E3166" t="inlineStr">
        <is>
          <t>BODEN</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36233-2021</t>
        </is>
      </c>
      <c r="B3167" s="1" t="n">
        <v>44390</v>
      </c>
      <c r="C3167" s="1" t="n">
        <v>45798</v>
      </c>
      <c r="D3167" t="inlineStr">
        <is>
          <t>NORRBOTTENS LÄN</t>
        </is>
      </c>
      <c r="E3167" t="inlineStr">
        <is>
          <t>GÄLLIVARE</t>
        </is>
      </c>
      <c r="F3167" t="inlineStr">
        <is>
          <t>SCA</t>
        </is>
      </c>
      <c r="G3167" t="n">
        <v>22.3</v>
      </c>
      <c r="H3167" t="n">
        <v>0</v>
      </c>
      <c r="I3167" t="n">
        <v>0</v>
      </c>
      <c r="J3167" t="n">
        <v>0</v>
      </c>
      <c r="K3167" t="n">
        <v>0</v>
      </c>
      <c r="L3167" t="n">
        <v>0</v>
      </c>
      <c r="M3167" t="n">
        <v>0</v>
      </c>
      <c r="N3167" t="n">
        <v>0</v>
      </c>
      <c r="O3167" t="n">
        <v>0</v>
      </c>
      <c r="P3167" t="n">
        <v>0</v>
      </c>
      <c r="Q3167" t="n">
        <v>0</v>
      </c>
      <c r="R3167" s="2" t="inlineStr"/>
    </row>
    <row r="3168" ht="15" customHeight="1">
      <c r="A3168" t="inlineStr">
        <is>
          <t>A 36202-2021</t>
        </is>
      </c>
      <c r="B3168" s="1" t="n">
        <v>44389</v>
      </c>
      <c r="C3168" s="1" t="n">
        <v>45798</v>
      </c>
      <c r="D3168" t="inlineStr">
        <is>
          <t>NORRBOTTENS LÄN</t>
        </is>
      </c>
      <c r="E3168" t="inlineStr">
        <is>
          <t>ÖVERTORNEÅ</t>
        </is>
      </c>
      <c r="F3168" t="inlineStr">
        <is>
          <t>Sveaskog</t>
        </is>
      </c>
      <c r="G3168" t="n">
        <v>34.9</v>
      </c>
      <c r="H3168" t="n">
        <v>0</v>
      </c>
      <c r="I3168" t="n">
        <v>0</v>
      </c>
      <c r="J3168" t="n">
        <v>0</v>
      </c>
      <c r="K3168" t="n">
        <v>0</v>
      </c>
      <c r="L3168" t="n">
        <v>0</v>
      </c>
      <c r="M3168" t="n">
        <v>0</v>
      </c>
      <c r="N3168" t="n">
        <v>0</v>
      </c>
      <c r="O3168" t="n">
        <v>0</v>
      </c>
      <c r="P3168" t="n">
        <v>0</v>
      </c>
      <c r="Q3168" t="n">
        <v>0</v>
      </c>
      <c r="R3168" s="2" t="inlineStr"/>
    </row>
    <row r="3169" ht="15" customHeight="1">
      <c r="A3169" t="inlineStr">
        <is>
          <t>A 36225-2021</t>
        </is>
      </c>
      <c r="B3169" s="1" t="n">
        <v>44389</v>
      </c>
      <c r="C3169" s="1" t="n">
        <v>45798</v>
      </c>
      <c r="D3169" t="inlineStr">
        <is>
          <t>NORRBOTTENS LÄN</t>
        </is>
      </c>
      <c r="E3169" t="inlineStr">
        <is>
          <t>PAJALA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36303-2021</t>
        </is>
      </c>
      <c r="B3170" s="1" t="n">
        <v>44389</v>
      </c>
      <c r="C3170" s="1" t="n">
        <v>45798</v>
      </c>
      <c r="D3170" t="inlineStr">
        <is>
          <t>NORRBOTTENS LÄN</t>
        </is>
      </c>
      <c r="E3170" t="inlineStr">
        <is>
          <t>ARVIDSJAUR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36231-2021</t>
        </is>
      </c>
      <c r="B3171" s="1" t="n">
        <v>44389</v>
      </c>
      <c r="C3171" s="1" t="n">
        <v>45798</v>
      </c>
      <c r="D3171" t="inlineStr">
        <is>
          <t>NORRBOTTENS LÄN</t>
        </is>
      </c>
      <c r="E3171" t="inlineStr">
        <is>
          <t>PAJALA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36297-2021</t>
        </is>
      </c>
      <c r="B3172" s="1" t="n">
        <v>44389</v>
      </c>
      <c r="C3172" s="1" t="n">
        <v>45798</v>
      </c>
      <c r="D3172" t="inlineStr">
        <is>
          <t>NORRBOTTENS LÄN</t>
        </is>
      </c>
      <c r="E3172" t="inlineStr">
        <is>
          <t>ARVIDSJAUR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36517-2021</t>
        </is>
      </c>
      <c r="B3173" s="1" t="n">
        <v>44391</v>
      </c>
      <c r="C3173" s="1" t="n">
        <v>45798</v>
      </c>
      <c r="D3173" t="inlineStr">
        <is>
          <t>NORRBOTTENS LÄN</t>
        </is>
      </c>
      <c r="E3173" t="inlineStr">
        <is>
          <t>BODEN</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36538-2021</t>
        </is>
      </c>
      <c r="B3174" s="1" t="n">
        <v>44391</v>
      </c>
      <c r="C3174" s="1" t="n">
        <v>45798</v>
      </c>
      <c r="D3174" t="inlineStr">
        <is>
          <t>NORRBOTTENS LÄN</t>
        </is>
      </c>
      <c r="E3174" t="inlineStr">
        <is>
          <t>KALIX</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36581-2021</t>
        </is>
      </c>
      <c r="B3175" s="1" t="n">
        <v>44391</v>
      </c>
      <c r="C3175" s="1" t="n">
        <v>45798</v>
      </c>
      <c r="D3175" t="inlineStr">
        <is>
          <t>NORRBOTTENS LÄN</t>
        </is>
      </c>
      <c r="E3175" t="inlineStr">
        <is>
          <t>ARVIDSJAUR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36463-2021</t>
        </is>
      </c>
      <c r="B3176" s="1" t="n">
        <v>44391</v>
      </c>
      <c r="C3176" s="1" t="n">
        <v>45798</v>
      </c>
      <c r="D3176" t="inlineStr">
        <is>
          <t>NORRBOTTENS LÄN</t>
        </is>
      </c>
      <c r="E3176" t="inlineStr">
        <is>
          <t>BODEN</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36607-2021</t>
        </is>
      </c>
      <c r="B3177" s="1" t="n">
        <v>44391</v>
      </c>
      <c r="C3177" s="1" t="n">
        <v>45798</v>
      </c>
      <c r="D3177" t="inlineStr">
        <is>
          <t>NORRBOTTENS LÄN</t>
        </is>
      </c>
      <c r="E3177" t="inlineStr">
        <is>
          <t>JOKKMOKK</t>
        </is>
      </c>
      <c r="F3177" t="inlineStr">
        <is>
          <t>Allmännings- och besparingsskogar</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36612-2021</t>
        </is>
      </c>
      <c r="B3178" s="1" t="n">
        <v>44391</v>
      </c>
      <c r="C3178" s="1" t="n">
        <v>45798</v>
      </c>
      <c r="D3178" t="inlineStr">
        <is>
          <t>NORRBOTTENS LÄN</t>
        </is>
      </c>
      <c r="E3178" t="inlineStr">
        <is>
          <t>PAJALA</t>
        </is>
      </c>
      <c r="F3178" t="inlineStr">
        <is>
          <t>Sveaskog</t>
        </is>
      </c>
      <c r="G3178" t="n">
        <v>14.1</v>
      </c>
      <c r="H3178" t="n">
        <v>0</v>
      </c>
      <c r="I3178" t="n">
        <v>0</v>
      </c>
      <c r="J3178" t="n">
        <v>0</v>
      </c>
      <c r="K3178" t="n">
        <v>0</v>
      </c>
      <c r="L3178" t="n">
        <v>0</v>
      </c>
      <c r="M3178" t="n">
        <v>0</v>
      </c>
      <c r="N3178" t="n">
        <v>0</v>
      </c>
      <c r="O3178" t="n">
        <v>0</v>
      </c>
      <c r="P3178" t="n">
        <v>0</v>
      </c>
      <c r="Q3178" t="n">
        <v>0</v>
      </c>
      <c r="R3178" s="2" t="inlineStr"/>
    </row>
    <row r="3179" ht="15" customHeight="1">
      <c r="A3179" t="inlineStr">
        <is>
          <t>A 36138-2021</t>
        </is>
      </c>
      <c r="B3179" s="1" t="n">
        <v>44392</v>
      </c>
      <c r="C3179" s="1" t="n">
        <v>45798</v>
      </c>
      <c r="D3179" t="inlineStr">
        <is>
          <t>NORRBOTTENS LÄN</t>
        </is>
      </c>
      <c r="E3179" t="inlineStr">
        <is>
          <t>BODEN</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36768-2021</t>
        </is>
      </c>
      <c r="B3180" s="1" t="n">
        <v>44392</v>
      </c>
      <c r="C3180" s="1" t="n">
        <v>45798</v>
      </c>
      <c r="D3180" t="inlineStr">
        <is>
          <t>NORRBOTTENS LÄN</t>
        </is>
      </c>
      <c r="E3180" t="inlineStr">
        <is>
          <t>PAJALA</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36681-2021</t>
        </is>
      </c>
      <c r="B3181" s="1" t="n">
        <v>44392</v>
      </c>
      <c r="C3181" s="1" t="n">
        <v>45798</v>
      </c>
      <c r="D3181" t="inlineStr">
        <is>
          <t>NORRBOTTENS LÄN</t>
        </is>
      </c>
      <c r="E3181" t="inlineStr">
        <is>
          <t>GÄLLIVARE</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36715-2021</t>
        </is>
      </c>
      <c r="B3182" s="1" t="n">
        <v>44392</v>
      </c>
      <c r="C3182" s="1" t="n">
        <v>45798</v>
      </c>
      <c r="D3182" t="inlineStr">
        <is>
          <t>NORRBOTTENS LÄN</t>
        </is>
      </c>
      <c r="E3182" t="inlineStr">
        <is>
          <t>PAJALA</t>
        </is>
      </c>
      <c r="F3182" t="inlineStr">
        <is>
          <t>Sveaskog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36896-2021</t>
        </is>
      </c>
      <c r="B3183" s="1" t="n">
        <v>44393</v>
      </c>
      <c r="C3183" s="1" t="n">
        <v>45798</v>
      </c>
      <c r="D3183" t="inlineStr">
        <is>
          <t>NORRBOTTENS LÄN</t>
        </is>
      </c>
      <c r="E3183" t="inlineStr">
        <is>
          <t>ÖVERKALIX</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36989-2021</t>
        </is>
      </c>
      <c r="B3184" s="1" t="n">
        <v>44393</v>
      </c>
      <c r="C3184" s="1" t="n">
        <v>45798</v>
      </c>
      <c r="D3184" t="inlineStr">
        <is>
          <t>NORRBOTTENS LÄN</t>
        </is>
      </c>
      <c r="E3184" t="inlineStr">
        <is>
          <t>PAJALA</t>
        </is>
      </c>
      <c r="F3184" t="inlineStr">
        <is>
          <t>Sveaskog</t>
        </is>
      </c>
      <c r="G3184" t="n">
        <v>36.5</v>
      </c>
      <c r="H3184" t="n">
        <v>0</v>
      </c>
      <c r="I3184" t="n">
        <v>0</v>
      </c>
      <c r="J3184" t="n">
        <v>0</v>
      </c>
      <c r="K3184" t="n">
        <v>0</v>
      </c>
      <c r="L3184" t="n">
        <v>0</v>
      </c>
      <c r="M3184" t="n">
        <v>0</v>
      </c>
      <c r="N3184" t="n">
        <v>0</v>
      </c>
      <c r="O3184" t="n">
        <v>0</v>
      </c>
      <c r="P3184" t="n">
        <v>0</v>
      </c>
      <c r="Q3184" t="n">
        <v>0</v>
      </c>
      <c r="R3184" s="2" t="inlineStr"/>
    </row>
    <row r="3185" ht="15" customHeight="1">
      <c r="A3185" t="inlineStr">
        <is>
          <t>A 37001-2021</t>
        </is>
      </c>
      <c r="B3185" s="1" t="n">
        <v>44393</v>
      </c>
      <c r="C3185" s="1" t="n">
        <v>45798</v>
      </c>
      <c r="D3185" t="inlineStr">
        <is>
          <t>NORRBOTTENS LÄN</t>
        </is>
      </c>
      <c r="E3185" t="inlineStr">
        <is>
          <t>PAJALA</t>
        </is>
      </c>
      <c r="F3185" t="inlineStr">
        <is>
          <t>Sveaskog</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36921-2021</t>
        </is>
      </c>
      <c r="B3186" s="1" t="n">
        <v>44393</v>
      </c>
      <c r="C3186" s="1" t="n">
        <v>45798</v>
      </c>
      <c r="D3186" t="inlineStr">
        <is>
          <t>NORRBOTTENS LÄN</t>
        </is>
      </c>
      <c r="E3186" t="inlineStr">
        <is>
          <t>ÖVERKALIX</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36991-2021</t>
        </is>
      </c>
      <c r="B3187" s="1" t="n">
        <v>44393</v>
      </c>
      <c r="C3187" s="1" t="n">
        <v>45798</v>
      </c>
      <c r="D3187" t="inlineStr">
        <is>
          <t>NORRBOTTENS LÄN</t>
        </is>
      </c>
      <c r="E3187" t="inlineStr">
        <is>
          <t>PAJALA</t>
        </is>
      </c>
      <c r="F3187" t="inlineStr">
        <is>
          <t>Sveaskog</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36999-2021</t>
        </is>
      </c>
      <c r="B3188" s="1" t="n">
        <v>44393</v>
      </c>
      <c r="C3188" s="1" t="n">
        <v>45798</v>
      </c>
      <c r="D3188" t="inlineStr">
        <is>
          <t>NORRBOTTENS LÄN</t>
        </is>
      </c>
      <c r="E3188" t="inlineStr">
        <is>
          <t>BODEN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37114-2021</t>
        </is>
      </c>
      <c r="B3189" s="1" t="n">
        <v>44393</v>
      </c>
      <c r="C3189" s="1" t="n">
        <v>45798</v>
      </c>
      <c r="D3189" t="inlineStr">
        <is>
          <t>NORRBOTTENS LÄN</t>
        </is>
      </c>
      <c r="E3189" t="inlineStr">
        <is>
          <t>JOKKMOKK</t>
        </is>
      </c>
      <c r="F3189" t="inlineStr">
        <is>
          <t>Övriga statliga verk och myndigheter</t>
        </is>
      </c>
      <c r="G3189" t="n">
        <v>30</v>
      </c>
      <c r="H3189" t="n">
        <v>0</v>
      </c>
      <c r="I3189" t="n">
        <v>0</v>
      </c>
      <c r="J3189" t="n">
        <v>0</v>
      </c>
      <c r="K3189" t="n">
        <v>0</v>
      </c>
      <c r="L3189" t="n">
        <v>0</v>
      </c>
      <c r="M3189" t="n">
        <v>0</v>
      </c>
      <c r="N3189" t="n">
        <v>0</v>
      </c>
      <c r="O3189" t="n">
        <v>0</v>
      </c>
      <c r="P3189" t="n">
        <v>0</v>
      </c>
      <c r="Q3189" t="n">
        <v>0</v>
      </c>
      <c r="R3189" s="2" t="inlineStr"/>
    </row>
    <row r="3190" ht="15" customHeight="1">
      <c r="A3190" t="inlineStr">
        <is>
          <t>A 37474-2021</t>
        </is>
      </c>
      <c r="B3190" s="1" t="n">
        <v>44398</v>
      </c>
      <c r="C3190" s="1" t="n">
        <v>45798</v>
      </c>
      <c r="D3190" t="inlineStr">
        <is>
          <t>NORRBOTTENS LÄN</t>
        </is>
      </c>
      <c r="E3190" t="inlineStr">
        <is>
          <t>HAPARANDA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37471-2021</t>
        </is>
      </c>
      <c r="B3191" s="1" t="n">
        <v>44398</v>
      </c>
      <c r="C3191" s="1" t="n">
        <v>45798</v>
      </c>
      <c r="D3191" t="inlineStr">
        <is>
          <t>NORRBOTTENS LÄN</t>
        </is>
      </c>
      <c r="E3191" t="inlineStr">
        <is>
          <t>PITEÅ</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37551-2021</t>
        </is>
      </c>
      <c r="B3192" s="1" t="n">
        <v>44399</v>
      </c>
      <c r="C3192" s="1" t="n">
        <v>45798</v>
      </c>
      <c r="D3192" t="inlineStr">
        <is>
          <t>NORRBOTTENS LÄN</t>
        </is>
      </c>
      <c r="E3192" t="inlineStr">
        <is>
          <t>GÄLLIVARE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37607-2021</t>
        </is>
      </c>
      <c r="B3193" s="1" t="n">
        <v>44399</v>
      </c>
      <c r="C3193" s="1" t="n">
        <v>45798</v>
      </c>
      <c r="D3193" t="inlineStr">
        <is>
          <t>NORRBOTTENS LÄN</t>
        </is>
      </c>
      <c r="E3193" t="inlineStr">
        <is>
          <t>ÖVERTORNEÅ</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37765-2021</t>
        </is>
      </c>
      <c r="B3194" s="1" t="n">
        <v>44400</v>
      </c>
      <c r="C3194" s="1" t="n">
        <v>45798</v>
      </c>
      <c r="D3194" t="inlineStr">
        <is>
          <t>NORRBOTTENS LÄN</t>
        </is>
      </c>
      <c r="E3194" t="inlineStr">
        <is>
          <t>LULEÅ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37835-2021</t>
        </is>
      </c>
      <c r="B3195" s="1" t="n">
        <v>44400</v>
      </c>
      <c r="C3195" s="1" t="n">
        <v>45798</v>
      </c>
      <c r="D3195" t="inlineStr">
        <is>
          <t>NORRBOTTENS LÄN</t>
        </is>
      </c>
      <c r="E3195" t="inlineStr">
        <is>
          <t>LULEÅ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37766-2021</t>
        </is>
      </c>
      <c r="B3196" s="1" t="n">
        <v>44400</v>
      </c>
      <c r="C3196" s="1" t="n">
        <v>45798</v>
      </c>
      <c r="D3196" t="inlineStr">
        <is>
          <t>NORRBOTTENS LÄN</t>
        </is>
      </c>
      <c r="E3196" t="inlineStr">
        <is>
          <t>LULEÅ</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37846-2021</t>
        </is>
      </c>
      <c r="B3197" s="1" t="n">
        <v>44403</v>
      </c>
      <c r="C3197" s="1" t="n">
        <v>45798</v>
      </c>
      <c r="D3197" t="inlineStr">
        <is>
          <t>NORRBOTTENS LÄN</t>
        </is>
      </c>
      <c r="E3197" t="inlineStr">
        <is>
          <t>ÖVERTORNEÅ</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37951-2021</t>
        </is>
      </c>
      <c r="B3198" s="1" t="n">
        <v>44404</v>
      </c>
      <c r="C3198" s="1" t="n">
        <v>45798</v>
      </c>
      <c r="D3198" t="inlineStr">
        <is>
          <t>NORRBOTTENS LÄN</t>
        </is>
      </c>
      <c r="E3198" t="inlineStr">
        <is>
          <t>PITEÅ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38002-2021</t>
        </is>
      </c>
      <c r="B3199" s="1" t="n">
        <v>44404</v>
      </c>
      <c r="C3199" s="1" t="n">
        <v>45798</v>
      </c>
      <c r="D3199" t="inlineStr">
        <is>
          <t>NORRBOTTENS LÄN</t>
        </is>
      </c>
      <c r="E3199" t="inlineStr">
        <is>
          <t>ÖVERTORNEÅ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38039-2021</t>
        </is>
      </c>
      <c r="B3200" s="1" t="n">
        <v>44404</v>
      </c>
      <c r="C3200" s="1" t="n">
        <v>45798</v>
      </c>
      <c r="D3200" t="inlineStr">
        <is>
          <t>NORRBOTTENS LÄN</t>
        </is>
      </c>
      <c r="E3200" t="inlineStr">
        <is>
          <t>JOKKMOKK</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38152-2021</t>
        </is>
      </c>
      <c r="B3201" s="1" t="n">
        <v>44405</v>
      </c>
      <c r="C3201" s="1" t="n">
        <v>45798</v>
      </c>
      <c r="D3201" t="inlineStr">
        <is>
          <t>NORRBOTTENS LÄN</t>
        </is>
      </c>
      <c r="E3201" t="inlineStr">
        <is>
          <t>ÖVERTORNEÅ</t>
        </is>
      </c>
      <c r="G3201" t="n">
        <v>14.8</v>
      </c>
      <c r="H3201" t="n">
        <v>0</v>
      </c>
      <c r="I3201" t="n">
        <v>0</v>
      </c>
      <c r="J3201" t="n">
        <v>0</v>
      </c>
      <c r="K3201" t="n">
        <v>0</v>
      </c>
      <c r="L3201" t="n">
        <v>0</v>
      </c>
      <c r="M3201" t="n">
        <v>0</v>
      </c>
      <c r="N3201" t="n">
        <v>0</v>
      </c>
      <c r="O3201" t="n">
        <v>0</v>
      </c>
      <c r="P3201" t="n">
        <v>0</v>
      </c>
      <c r="Q3201" t="n">
        <v>0</v>
      </c>
      <c r="R3201" s="2" t="inlineStr"/>
    </row>
    <row r="3202" ht="15" customHeight="1">
      <c r="A3202" t="inlineStr">
        <is>
          <t>A 38188-2021</t>
        </is>
      </c>
      <c r="B3202" s="1" t="n">
        <v>44405</v>
      </c>
      <c r="C3202" s="1" t="n">
        <v>45798</v>
      </c>
      <c r="D3202" t="inlineStr">
        <is>
          <t>NORRBOTTENS LÄN</t>
        </is>
      </c>
      <c r="E3202" t="inlineStr">
        <is>
          <t>GÄLLIVARE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38187-2021</t>
        </is>
      </c>
      <c r="B3203" s="1" t="n">
        <v>44405</v>
      </c>
      <c r="C3203" s="1" t="n">
        <v>45798</v>
      </c>
      <c r="D3203" t="inlineStr">
        <is>
          <t>NORRBOTTENS LÄN</t>
        </is>
      </c>
      <c r="E3203" t="inlineStr">
        <is>
          <t>GÄLLIVARE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38156-2021</t>
        </is>
      </c>
      <c r="B3204" s="1" t="n">
        <v>44405</v>
      </c>
      <c r="C3204" s="1" t="n">
        <v>45798</v>
      </c>
      <c r="D3204" t="inlineStr">
        <is>
          <t>NORRBOTTENS LÄN</t>
        </is>
      </c>
      <c r="E3204" t="inlineStr">
        <is>
          <t>ÖVERTORNEÅ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38186-2021</t>
        </is>
      </c>
      <c r="B3205" s="1" t="n">
        <v>44405</v>
      </c>
      <c r="C3205" s="1" t="n">
        <v>45798</v>
      </c>
      <c r="D3205" t="inlineStr">
        <is>
          <t>NORRBOTTENS LÄN</t>
        </is>
      </c>
      <c r="E3205" t="inlineStr">
        <is>
          <t>GÄLLIVARE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38183-2021</t>
        </is>
      </c>
      <c r="B3206" s="1" t="n">
        <v>44405</v>
      </c>
      <c r="C3206" s="1" t="n">
        <v>45798</v>
      </c>
      <c r="D3206" t="inlineStr">
        <is>
          <t>NORRBOTTENS LÄN</t>
        </is>
      </c>
      <c r="E3206" t="inlineStr">
        <is>
          <t>GÄLLIVARE</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38230-2021</t>
        </is>
      </c>
      <c r="B3207" s="1" t="n">
        <v>44405</v>
      </c>
      <c r="C3207" s="1" t="n">
        <v>45798</v>
      </c>
      <c r="D3207" t="inlineStr">
        <is>
          <t>NORRBOTTENS LÄN</t>
        </is>
      </c>
      <c r="E3207" t="inlineStr">
        <is>
          <t>PITEÅ</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38696-2021</t>
        </is>
      </c>
      <c r="B3208" s="1" t="n">
        <v>44406</v>
      </c>
      <c r="C3208" s="1" t="n">
        <v>45798</v>
      </c>
      <c r="D3208" t="inlineStr">
        <is>
          <t>NORRBOTTENS LÄN</t>
        </is>
      </c>
      <c r="E3208" t="inlineStr">
        <is>
          <t>ÖVERTORNEÅ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38500-2021</t>
        </is>
      </c>
      <c r="B3209" s="1" t="n">
        <v>44406</v>
      </c>
      <c r="C3209" s="1" t="n">
        <v>45798</v>
      </c>
      <c r="D3209" t="inlineStr">
        <is>
          <t>NORRBOTTENS LÄN</t>
        </is>
      </c>
      <c r="E3209" t="inlineStr">
        <is>
          <t>ÖVERTORNEÅ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38665-2021</t>
        </is>
      </c>
      <c r="B3210" s="1" t="n">
        <v>44410</v>
      </c>
      <c r="C3210" s="1" t="n">
        <v>45798</v>
      </c>
      <c r="D3210" t="inlineStr">
        <is>
          <t>NORRBOTTENS LÄN</t>
        </is>
      </c>
      <c r="E3210" t="inlineStr">
        <is>
          <t>GÄLLIVARE</t>
        </is>
      </c>
      <c r="F3210" t="inlineStr">
        <is>
          <t>Sveaskog</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39025-2021</t>
        </is>
      </c>
      <c r="B3211" s="1" t="n">
        <v>44412</v>
      </c>
      <c r="C3211" s="1" t="n">
        <v>45798</v>
      </c>
      <c r="D3211" t="inlineStr">
        <is>
          <t>NORRBOTTENS LÄN</t>
        </is>
      </c>
      <c r="E3211" t="inlineStr">
        <is>
          <t>PAJALA</t>
        </is>
      </c>
      <c r="G3211" t="n">
        <v>20.2</v>
      </c>
      <c r="H3211" t="n">
        <v>0</v>
      </c>
      <c r="I3211" t="n">
        <v>0</v>
      </c>
      <c r="J3211" t="n">
        <v>0</v>
      </c>
      <c r="K3211" t="n">
        <v>0</v>
      </c>
      <c r="L3211" t="n">
        <v>0</v>
      </c>
      <c r="M3211" t="n">
        <v>0</v>
      </c>
      <c r="N3211" t="n">
        <v>0</v>
      </c>
      <c r="O3211" t="n">
        <v>0</v>
      </c>
      <c r="P3211" t="n">
        <v>0</v>
      </c>
      <c r="Q3211" t="n">
        <v>0</v>
      </c>
      <c r="R3211" s="2" t="inlineStr"/>
    </row>
    <row r="3212" ht="15" customHeight="1">
      <c r="A3212" t="inlineStr">
        <is>
          <t>A 39023-2021</t>
        </is>
      </c>
      <c r="B3212" s="1" t="n">
        <v>44412</v>
      </c>
      <c r="C3212" s="1" t="n">
        <v>45798</v>
      </c>
      <c r="D3212" t="inlineStr">
        <is>
          <t>NORRBOTTENS LÄN</t>
        </is>
      </c>
      <c r="E3212" t="inlineStr">
        <is>
          <t>PAJALA</t>
        </is>
      </c>
      <c r="G3212" t="n">
        <v>16.6</v>
      </c>
      <c r="H3212" t="n">
        <v>0</v>
      </c>
      <c r="I3212" t="n">
        <v>0</v>
      </c>
      <c r="J3212" t="n">
        <v>0</v>
      </c>
      <c r="K3212" t="n">
        <v>0</v>
      </c>
      <c r="L3212" t="n">
        <v>0</v>
      </c>
      <c r="M3212" t="n">
        <v>0</v>
      </c>
      <c r="N3212" t="n">
        <v>0</v>
      </c>
      <c r="O3212" t="n">
        <v>0</v>
      </c>
      <c r="P3212" t="n">
        <v>0</v>
      </c>
      <c r="Q3212" t="n">
        <v>0</v>
      </c>
      <c r="R3212" s="2" t="inlineStr"/>
    </row>
    <row r="3213" ht="15" customHeight="1">
      <c r="A3213" t="inlineStr">
        <is>
          <t>A 39286-2021</t>
        </is>
      </c>
      <c r="B3213" s="1" t="n">
        <v>44413</v>
      </c>
      <c r="C3213" s="1" t="n">
        <v>45798</v>
      </c>
      <c r="D3213" t="inlineStr">
        <is>
          <t>NORRBOTTENS LÄN</t>
        </is>
      </c>
      <c r="E3213" t="inlineStr">
        <is>
          <t>PAJALA</t>
        </is>
      </c>
      <c r="F3213" t="inlineStr">
        <is>
          <t>Sveaskog</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39291-2021</t>
        </is>
      </c>
      <c r="B3214" s="1" t="n">
        <v>44413</v>
      </c>
      <c r="C3214" s="1" t="n">
        <v>45798</v>
      </c>
      <c r="D3214" t="inlineStr">
        <is>
          <t>NORRBOTTENS LÄN</t>
        </is>
      </c>
      <c r="E3214" t="inlineStr">
        <is>
          <t>BODEN</t>
        </is>
      </c>
      <c r="F3214" t="inlineStr">
        <is>
          <t>Sveaskog</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39673-2021</t>
        </is>
      </c>
      <c r="B3215" s="1" t="n">
        <v>44414</v>
      </c>
      <c r="C3215" s="1" t="n">
        <v>45798</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39701-2021</t>
        </is>
      </c>
      <c r="B3216" s="1" t="n">
        <v>44414</v>
      </c>
      <c r="C3216" s="1" t="n">
        <v>45798</v>
      </c>
      <c r="D3216" t="inlineStr">
        <is>
          <t>NORRBOTTENS LÄN</t>
        </is>
      </c>
      <c r="E3216" t="inlineStr">
        <is>
          <t>BODEN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39689-2021</t>
        </is>
      </c>
      <c r="B3217" s="1" t="n">
        <v>44414</v>
      </c>
      <c r="C3217" s="1" t="n">
        <v>45798</v>
      </c>
      <c r="D3217" t="inlineStr">
        <is>
          <t>NORRBOTTENS LÄN</t>
        </is>
      </c>
      <c r="E3217" t="inlineStr">
        <is>
          <t>BODEN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39833-2021</t>
        </is>
      </c>
      <c r="B3218" s="1" t="n">
        <v>44414</v>
      </c>
      <c r="C3218" s="1" t="n">
        <v>45798</v>
      </c>
      <c r="D3218" t="inlineStr">
        <is>
          <t>NORRBOTTENS LÄN</t>
        </is>
      </c>
      <c r="E3218" t="inlineStr">
        <is>
          <t>BODEN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39459-2021</t>
        </is>
      </c>
      <c r="B3219" s="1" t="n">
        <v>44414</v>
      </c>
      <c r="C3219" s="1" t="n">
        <v>45798</v>
      </c>
      <c r="D3219" t="inlineStr">
        <is>
          <t>NORRBOTTENS LÄN</t>
        </is>
      </c>
      <c r="E3219" t="inlineStr">
        <is>
          <t>ÖVERKALIX</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39711-2021</t>
        </is>
      </c>
      <c r="B3220" s="1" t="n">
        <v>44414</v>
      </c>
      <c r="C3220" s="1" t="n">
        <v>45798</v>
      </c>
      <c r="D3220" t="inlineStr">
        <is>
          <t>NORRBOTTENS LÄN</t>
        </is>
      </c>
      <c r="E3220" t="inlineStr">
        <is>
          <t>BODEN</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39740-2021</t>
        </is>
      </c>
      <c r="B3221" s="1" t="n">
        <v>44414</v>
      </c>
      <c r="C3221" s="1" t="n">
        <v>45798</v>
      </c>
      <c r="D3221" t="inlineStr">
        <is>
          <t>NORRBOTTENS LÄN</t>
        </is>
      </c>
      <c r="E3221" t="inlineStr">
        <is>
          <t>BODEN</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39695-2021</t>
        </is>
      </c>
      <c r="B3222" s="1" t="n">
        <v>44414</v>
      </c>
      <c r="C3222" s="1" t="n">
        <v>45798</v>
      </c>
      <c r="D3222" t="inlineStr">
        <is>
          <t>NORRBOTTENS LÄN</t>
        </is>
      </c>
      <c r="E3222" t="inlineStr">
        <is>
          <t>BODEN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39784-2021</t>
        </is>
      </c>
      <c r="B3223" s="1" t="n">
        <v>44417</v>
      </c>
      <c r="C3223" s="1" t="n">
        <v>45798</v>
      </c>
      <c r="D3223" t="inlineStr">
        <is>
          <t>NORRBOTTENS LÄN</t>
        </is>
      </c>
      <c r="E3223" t="inlineStr">
        <is>
          <t>JOKKMOKK</t>
        </is>
      </c>
      <c r="F3223" t="inlineStr">
        <is>
          <t>Naturvårdsverket</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39658-2021</t>
        </is>
      </c>
      <c r="B3224" s="1" t="n">
        <v>44417</v>
      </c>
      <c r="C3224" s="1" t="n">
        <v>45798</v>
      </c>
      <c r="D3224" t="inlineStr">
        <is>
          <t>NORRBOTTENS LÄN</t>
        </is>
      </c>
      <c r="E3224" t="inlineStr">
        <is>
          <t>PAJALA</t>
        </is>
      </c>
      <c r="F3224" t="inlineStr">
        <is>
          <t>Sveaskog</t>
        </is>
      </c>
      <c r="G3224" t="n">
        <v>62.9</v>
      </c>
      <c r="H3224" t="n">
        <v>0</v>
      </c>
      <c r="I3224" t="n">
        <v>0</v>
      </c>
      <c r="J3224" t="n">
        <v>0</v>
      </c>
      <c r="K3224" t="n">
        <v>0</v>
      </c>
      <c r="L3224" t="n">
        <v>0</v>
      </c>
      <c r="M3224" t="n">
        <v>0</v>
      </c>
      <c r="N3224" t="n">
        <v>0</v>
      </c>
      <c r="O3224" t="n">
        <v>0</v>
      </c>
      <c r="P3224" t="n">
        <v>0</v>
      </c>
      <c r="Q3224" t="n">
        <v>0</v>
      </c>
      <c r="R3224" s="2" t="inlineStr"/>
    </row>
    <row r="3225" ht="15" customHeight="1">
      <c r="A3225" t="inlineStr">
        <is>
          <t>A 39750-2021</t>
        </is>
      </c>
      <c r="B3225" s="1" t="n">
        <v>44417</v>
      </c>
      <c r="C3225" s="1" t="n">
        <v>45798</v>
      </c>
      <c r="D3225" t="inlineStr">
        <is>
          <t>NORRBOTTENS LÄN</t>
        </is>
      </c>
      <c r="E3225" t="inlineStr">
        <is>
          <t>BODEN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39894-2021</t>
        </is>
      </c>
      <c r="B3226" s="1" t="n">
        <v>44417</v>
      </c>
      <c r="C3226" s="1" t="n">
        <v>45798</v>
      </c>
      <c r="D3226" t="inlineStr">
        <is>
          <t>NORRBOTTENS LÄN</t>
        </is>
      </c>
      <c r="E3226" t="inlineStr">
        <is>
          <t>PAJALA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39884-2021</t>
        </is>
      </c>
      <c r="B3227" s="1" t="n">
        <v>44417</v>
      </c>
      <c r="C3227" s="1" t="n">
        <v>45798</v>
      </c>
      <c r="D3227" t="inlineStr">
        <is>
          <t>NORRBOTTENS LÄN</t>
        </is>
      </c>
      <c r="E3227" t="inlineStr">
        <is>
          <t>BODEN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39902-2021</t>
        </is>
      </c>
      <c r="B3228" s="1" t="n">
        <v>44417</v>
      </c>
      <c r="C3228" s="1" t="n">
        <v>45798</v>
      </c>
      <c r="D3228" t="inlineStr">
        <is>
          <t>NORRBOTTENS LÄN</t>
        </is>
      </c>
      <c r="E3228" t="inlineStr">
        <is>
          <t>PAJALA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39897-2021</t>
        </is>
      </c>
      <c r="B3229" s="1" t="n">
        <v>44417</v>
      </c>
      <c r="C3229" s="1" t="n">
        <v>45798</v>
      </c>
      <c r="D3229" t="inlineStr">
        <is>
          <t>NORRBOTTENS LÄN</t>
        </is>
      </c>
      <c r="E3229" t="inlineStr">
        <is>
          <t>PAJALA</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39907-2021</t>
        </is>
      </c>
      <c r="B3230" s="1" t="n">
        <v>44417</v>
      </c>
      <c r="C3230" s="1" t="n">
        <v>45798</v>
      </c>
      <c r="D3230" t="inlineStr">
        <is>
          <t>NORRBOTTENS LÄN</t>
        </is>
      </c>
      <c r="E3230" t="inlineStr">
        <is>
          <t>PAJALA</t>
        </is>
      </c>
      <c r="G3230" t="n">
        <v>20.5</v>
      </c>
      <c r="H3230" t="n">
        <v>0</v>
      </c>
      <c r="I3230" t="n">
        <v>0</v>
      </c>
      <c r="J3230" t="n">
        <v>0</v>
      </c>
      <c r="K3230" t="n">
        <v>0</v>
      </c>
      <c r="L3230" t="n">
        <v>0</v>
      </c>
      <c r="M3230" t="n">
        <v>0</v>
      </c>
      <c r="N3230" t="n">
        <v>0</v>
      </c>
      <c r="O3230" t="n">
        <v>0</v>
      </c>
      <c r="P3230" t="n">
        <v>0</v>
      </c>
      <c r="Q3230" t="n">
        <v>0</v>
      </c>
      <c r="R3230" s="2" t="inlineStr"/>
    </row>
    <row r="3231" ht="15" customHeight="1">
      <c r="A3231" t="inlineStr">
        <is>
          <t>A 39901-2021</t>
        </is>
      </c>
      <c r="B3231" s="1" t="n">
        <v>44417</v>
      </c>
      <c r="C3231" s="1" t="n">
        <v>45798</v>
      </c>
      <c r="D3231" t="inlineStr">
        <is>
          <t>NORRBOTTENS LÄN</t>
        </is>
      </c>
      <c r="E3231" t="inlineStr">
        <is>
          <t>PAJALA</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39905-2021</t>
        </is>
      </c>
      <c r="B3232" s="1" t="n">
        <v>44417</v>
      </c>
      <c r="C3232" s="1" t="n">
        <v>45798</v>
      </c>
      <c r="D3232" t="inlineStr">
        <is>
          <t>NORRBOTTENS LÄN</t>
        </is>
      </c>
      <c r="E3232" t="inlineStr">
        <is>
          <t>PAJALA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39912-2021</t>
        </is>
      </c>
      <c r="B3233" s="1" t="n">
        <v>44417</v>
      </c>
      <c r="C3233" s="1" t="n">
        <v>45798</v>
      </c>
      <c r="D3233" t="inlineStr">
        <is>
          <t>NORRBOTTENS LÄN</t>
        </is>
      </c>
      <c r="E3233" t="inlineStr">
        <is>
          <t>PAJALA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39893-2021</t>
        </is>
      </c>
      <c r="B3234" s="1" t="n">
        <v>44417</v>
      </c>
      <c r="C3234" s="1" t="n">
        <v>45798</v>
      </c>
      <c r="D3234" t="inlineStr">
        <is>
          <t>NORRBOTTENS LÄN</t>
        </is>
      </c>
      <c r="E3234" t="inlineStr">
        <is>
          <t>ÖVERTORNEÅ</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40026-2021</t>
        </is>
      </c>
      <c r="B3235" s="1" t="n">
        <v>44417</v>
      </c>
      <c r="C3235" s="1" t="n">
        <v>45798</v>
      </c>
      <c r="D3235" t="inlineStr">
        <is>
          <t>NORRBOTTENS LÄN</t>
        </is>
      </c>
      <c r="E3235" t="inlineStr">
        <is>
          <t>ÖVERKALIX</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39948-2021</t>
        </is>
      </c>
      <c r="B3236" s="1" t="n">
        <v>44418</v>
      </c>
      <c r="C3236" s="1" t="n">
        <v>45798</v>
      </c>
      <c r="D3236" t="inlineStr">
        <is>
          <t>NORRBOTTENS LÄN</t>
        </is>
      </c>
      <c r="E3236" t="inlineStr">
        <is>
          <t>PITEÅ</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39974-2021</t>
        </is>
      </c>
      <c r="B3237" s="1" t="n">
        <v>44417</v>
      </c>
      <c r="C3237" s="1" t="n">
        <v>45798</v>
      </c>
      <c r="D3237" t="inlineStr">
        <is>
          <t>NORRBOTTENS LÄN</t>
        </is>
      </c>
      <c r="E3237" t="inlineStr">
        <is>
          <t>ÖVERKALIX</t>
        </is>
      </c>
      <c r="G3237" t="n">
        <v>21.6</v>
      </c>
      <c r="H3237" t="n">
        <v>0</v>
      </c>
      <c r="I3237" t="n">
        <v>0</v>
      </c>
      <c r="J3237" t="n">
        <v>0</v>
      </c>
      <c r="K3237" t="n">
        <v>0</v>
      </c>
      <c r="L3237" t="n">
        <v>0</v>
      </c>
      <c r="M3237" t="n">
        <v>0</v>
      </c>
      <c r="N3237" t="n">
        <v>0</v>
      </c>
      <c r="O3237" t="n">
        <v>0</v>
      </c>
      <c r="P3237" t="n">
        <v>0</v>
      </c>
      <c r="Q3237" t="n">
        <v>0</v>
      </c>
      <c r="R3237" s="2" t="inlineStr"/>
    </row>
    <row r="3238" ht="15" customHeight="1">
      <c r="A3238" t="inlineStr">
        <is>
          <t>A 39899-2021</t>
        </is>
      </c>
      <c r="B3238" s="1" t="n">
        <v>44417</v>
      </c>
      <c r="C3238" s="1" t="n">
        <v>45798</v>
      </c>
      <c r="D3238" t="inlineStr">
        <is>
          <t>NORRBOTTENS LÄN</t>
        </is>
      </c>
      <c r="E3238" t="inlineStr">
        <is>
          <t>PAJALA</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39904-2021</t>
        </is>
      </c>
      <c r="B3239" s="1" t="n">
        <v>44417</v>
      </c>
      <c r="C3239" s="1" t="n">
        <v>45798</v>
      </c>
      <c r="D3239" t="inlineStr">
        <is>
          <t>NORRBOTTENS LÄN</t>
        </is>
      </c>
      <c r="E3239" t="inlineStr">
        <is>
          <t>PAJALA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39908-2021</t>
        </is>
      </c>
      <c r="B3240" s="1" t="n">
        <v>44417</v>
      </c>
      <c r="C3240" s="1" t="n">
        <v>45798</v>
      </c>
      <c r="D3240" t="inlineStr">
        <is>
          <t>NORRBOTTENS LÄN</t>
        </is>
      </c>
      <c r="E3240" t="inlineStr">
        <is>
          <t>PAJALA</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40041-2021</t>
        </is>
      </c>
      <c r="B3241" s="1" t="n">
        <v>44417</v>
      </c>
      <c r="C3241" s="1" t="n">
        <v>45798</v>
      </c>
      <c r="D3241" t="inlineStr">
        <is>
          <t>NORRBOTTENS LÄN</t>
        </is>
      </c>
      <c r="E3241" t="inlineStr">
        <is>
          <t>PAJALA</t>
        </is>
      </c>
      <c r="G3241" t="n">
        <v>26.1</v>
      </c>
      <c r="H3241" t="n">
        <v>0</v>
      </c>
      <c r="I3241" t="n">
        <v>0</v>
      </c>
      <c r="J3241" t="n">
        <v>0</v>
      </c>
      <c r="K3241" t="n">
        <v>0</v>
      </c>
      <c r="L3241" t="n">
        <v>0</v>
      </c>
      <c r="M3241" t="n">
        <v>0</v>
      </c>
      <c r="N3241" t="n">
        <v>0</v>
      </c>
      <c r="O3241" t="n">
        <v>0</v>
      </c>
      <c r="P3241" t="n">
        <v>0</v>
      </c>
      <c r="Q3241" t="n">
        <v>0</v>
      </c>
      <c r="R3241" s="2" t="inlineStr"/>
    </row>
    <row r="3242" ht="15" customHeight="1">
      <c r="A3242" t="inlineStr">
        <is>
          <t>A 40179-2021</t>
        </is>
      </c>
      <c r="B3242" s="1" t="n">
        <v>44418</v>
      </c>
      <c r="C3242" s="1" t="n">
        <v>45798</v>
      </c>
      <c r="D3242" t="inlineStr">
        <is>
          <t>NORRBOTTENS LÄN</t>
        </is>
      </c>
      <c r="E3242" t="inlineStr">
        <is>
          <t>PAJALA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40299-2021</t>
        </is>
      </c>
      <c r="B3243" s="1" t="n">
        <v>44419</v>
      </c>
      <c r="C3243" s="1" t="n">
        <v>45798</v>
      </c>
      <c r="D3243" t="inlineStr">
        <is>
          <t>NORRBOTTENS LÄN</t>
        </is>
      </c>
      <c r="E3243" t="inlineStr">
        <is>
          <t>PAJALA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40357-2021</t>
        </is>
      </c>
      <c r="B3244" s="1" t="n">
        <v>44419</v>
      </c>
      <c r="C3244" s="1" t="n">
        <v>45798</v>
      </c>
      <c r="D3244" t="inlineStr">
        <is>
          <t>NORRBOTTENS LÄN</t>
        </is>
      </c>
      <c r="E3244" t="inlineStr">
        <is>
          <t>ARVIDSJAUR</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40836-2021</t>
        </is>
      </c>
      <c r="B3245" s="1" t="n">
        <v>44421</v>
      </c>
      <c r="C3245" s="1" t="n">
        <v>45798</v>
      </c>
      <c r="D3245" t="inlineStr">
        <is>
          <t>NORRBOTTENS LÄN</t>
        </is>
      </c>
      <c r="E3245" t="inlineStr">
        <is>
          <t>ARVIDSJAUR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40844-2021</t>
        </is>
      </c>
      <c r="B3246" s="1" t="n">
        <v>44421</v>
      </c>
      <c r="C3246" s="1" t="n">
        <v>45798</v>
      </c>
      <c r="D3246" t="inlineStr">
        <is>
          <t>NORRBOTTENS LÄN</t>
        </is>
      </c>
      <c r="E3246" t="inlineStr">
        <is>
          <t>ARVIDSJAUR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40781-2021</t>
        </is>
      </c>
      <c r="B3247" s="1" t="n">
        <v>44421</v>
      </c>
      <c r="C3247" s="1" t="n">
        <v>45798</v>
      </c>
      <c r="D3247" t="inlineStr">
        <is>
          <t>NORRBOTTENS LÄN</t>
        </is>
      </c>
      <c r="E3247" t="inlineStr">
        <is>
          <t>BODEN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40941-2021</t>
        </is>
      </c>
      <c r="B3248" s="1" t="n">
        <v>44421</v>
      </c>
      <c r="C3248" s="1" t="n">
        <v>45798</v>
      </c>
      <c r="D3248" t="inlineStr">
        <is>
          <t>NORRBOTTENS LÄN</t>
        </is>
      </c>
      <c r="E3248" t="inlineStr">
        <is>
          <t>PITEÅ</t>
        </is>
      </c>
      <c r="F3248" t="inlineStr">
        <is>
          <t>Sveaskog</t>
        </is>
      </c>
      <c r="G3248" t="n">
        <v>34.9</v>
      </c>
      <c r="H3248" t="n">
        <v>0</v>
      </c>
      <c r="I3248" t="n">
        <v>0</v>
      </c>
      <c r="J3248" t="n">
        <v>0</v>
      </c>
      <c r="K3248" t="n">
        <v>0</v>
      </c>
      <c r="L3248" t="n">
        <v>0</v>
      </c>
      <c r="M3248" t="n">
        <v>0</v>
      </c>
      <c r="N3248" t="n">
        <v>0</v>
      </c>
      <c r="O3248" t="n">
        <v>0</v>
      </c>
      <c r="P3248" t="n">
        <v>0</v>
      </c>
      <c r="Q3248" t="n">
        <v>0</v>
      </c>
      <c r="R3248" s="2" t="inlineStr"/>
    </row>
    <row r="3249" ht="15" customHeight="1">
      <c r="A3249" t="inlineStr">
        <is>
          <t>A 41057-2021</t>
        </is>
      </c>
      <c r="B3249" s="1" t="n">
        <v>44422</v>
      </c>
      <c r="C3249" s="1" t="n">
        <v>45798</v>
      </c>
      <c r="D3249" t="inlineStr">
        <is>
          <t>NORRBOTTENS LÄN</t>
        </is>
      </c>
      <c r="E3249" t="inlineStr">
        <is>
          <t>GÄLLIVARE</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41137-2021</t>
        </is>
      </c>
      <c r="B3250" s="1" t="n">
        <v>44423</v>
      </c>
      <c r="C3250" s="1" t="n">
        <v>45798</v>
      </c>
      <c r="D3250" t="inlineStr">
        <is>
          <t>NORRBOTTENS LÄN</t>
        </is>
      </c>
      <c r="E3250" t="inlineStr">
        <is>
          <t>ÖVERTORNEÅ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41180-2021</t>
        </is>
      </c>
      <c r="B3251" s="1" t="n">
        <v>44423</v>
      </c>
      <c r="C3251" s="1" t="n">
        <v>45798</v>
      </c>
      <c r="D3251" t="inlineStr">
        <is>
          <t>NORRBOTTENS LÄN</t>
        </is>
      </c>
      <c r="E3251" t="inlineStr">
        <is>
          <t>BODEN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41308-2021</t>
        </is>
      </c>
      <c r="B3252" s="1" t="n">
        <v>44424</v>
      </c>
      <c r="C3252" s="1" t="n">
        <v>45798</v>
      </c>
      <c r="D3252" t="inlineStr">
        <is>
          <t>NORRBOTTENS LÄN</t>
        </is>
      </c>
      <c r="E3252" t="inlineStr">
        <is>
          <t>PAJALA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41350-2021</t>
        </is>
      </c>
      <c r="B3253" s="1" t="n">
        <v>44424</v>
      </c>
      <c r="C3253" s="1" t="n">
        <v>45798</v>
      </c>
      <c r="D3253" t="inlineStr">
        <is>
          <t>NORRBOTTENS LÄN</t>
        </is>
      </c>
      <c r="E3253" t="inlineStr">
        <is>
          <t>PAJALA</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41197-2021</t>
        </is>
      </c>
      <c r="B3254" s="1" t="n">
        <v>44424</v>
      </c>
      <c r="C3254" s="1" t="n">
        <v>45798</v>
      </c>
      <c r="D3254" t="inlineStr">
        <is>
          <t>NORRBOTTENS LÄN</t>
        </is>
      </c>
      <c r="E3254" t="inlineStr">
        <is>
          <t>ÖVERTORNEÅ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41313-2021</t>
        </is>
      </c>
      <c r="B3255" s="1" t="n">
        <v>44424</v>
      </c>
      <c r="C3255" s="1" t="n">
        <v>45798</v>
      </c>
      <c r="D3255" t="inlineStr">
        <is>
          <t>NORRBOTTENS LÄN</t>
        </is>
      </c>
      <c r="E3255" t="inlineStr">
        <is>
          <t>ARVIDSJAUR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41541-2021</t>
        </is>
      </c>
      <c r="B3256" s="1" t="n">
        <v>44424</v>
      </c>
      <c r="C3256" s="1" t="n">
        <v>45798</v>
      </c>
      <c r="D3256" t="inlineStr">
        <is>
          <t>NORRBOTTENS LÄN</t>
        </is>
      </c>
      <c r="E3256" t="inlineStr">
        <is>
          <t>ÖVERKALIX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41691-2021</t>
        </is>
      </c>
      <c r="B3257" s="1" t="n">
        <v>44424</v>
      </c>
      <c r="C3257" s="1" t="n">
        <v>45798</v>
      </c>
      <c r="D3257" t="inlineStr">
        <is>
          <t>NORRBOTTENS LÄN</t>
        </is>
      </c>
      <c r="E3257" t="inlineStr">
        <is>
          <t>ÖVERKALIX</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41386-2021</t>
        </is>
      </c>
      <c r="B3258" s="1" t="n">
        <v>44424</v>
      </c>
      <c r="C3258" s="1" t="n">
        <v>45798</v>
      </c>
      <c r="D3258" t="inlineStr">
        <is>
          <t>NORRBOTTENS LÄN</t>
        </is>
      </c>
      <c r="E3258" t="inlineStr">
        <is>
          <t>ÄLVSBYN</t>
        </is>
      </c>
      <c r="F3258" t="inlineStr">
        <is>
          <t>Sveaskog</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41706-2021</t>
        </is>
      </c>
      <c r="B3259" s="1" t="n">
        <v>44424</v>
      </c>
      <c r="C3259" s="1" t="n">
        <v>45798</v>
      </c>
      <c r="D3259" t="inlineStr">
        <is>
          <t>NORRBOTTENS LÄN</t>
        </is>
      </c>
      <c r="E3259" t="inlineStr">
        <is>
          <t>ÖVERKALIX</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41799-2021</t>
        </is>
      </c>
      <c r="B3260" s="1" t="n">
        <v>44425</v>
      </c>
      <c r="C3260" s="1" t="n">
        <v>45798</v>
      </c>
      <c r="D3260" t="inlineStr">
        <is>
          <t>NORRBOTTENS LÄN</t>
        </is>
      </c>
      <c r="E3260" t="inlineStr">
        <is>
          <t>ARJEPLOG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41827-2021</t>
        </is>
      </c>
      <c r="B3261" s="1" t="n">
        <v>44426</v>
      </c>
      <c r="C3261" s="1" t="n">
        <v>45798</v>
      </c>
      <c r="D3261" t="inlineStr">
        <is>
          <t>NORRBOTTENS LÄN</t>
        </is>
      </c>
      <c r="E3261" t="inlineStr">
        <is>
          <t>PAJALA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41839-2021</t>
        </is>
      </c>
      <c r="B3262" s="1" t="n">
        <v>44425</v>
      </c>
      <c r="C3262" s="1" t="n">
        <v>45798</v>
      </c>
      <c r="D3262" t="inlineStr">
        <is>
          <t>NORRBOTTENS LÄN</t>
        </is>
      </c>
      <c r="E3262" t="inlineStr">
        <is>
          <t>ÖVERKALIX</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41828-2021</t>
        </is>
      </c>
      <c r="B3263" s="1" t="n">
        <v>44426</v>
      </c>
      <c r="C3263" s="1" t="n">
        <v>45798</v>
      </c>
      <c r="D3263" t="inlineStr">
        <is>
          <t>NORRBOTTENS LÄN</t>
        </is>
      </c>
      <c r="E3263" t="inlineStr">
        <is>
          <t>PAJALA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41923-2021</t>
        </is>
      </c>
      <c r="B3264" s="1" t="n">
        <v>44425</v>
      </c>
      <c r="C3264" s="1" t="n">
        <v>45798</v>
      </c>
      <c r="D3264" t="inlineStr">
        <is>
          <t>NORRBOTTENS LÄN</t>
        </is>
      </c>
      <c r="E3264" t="inlineStr">
        <is>
          <t>JOKKMOKK</t>
        </is>
      </c>
      <c r="F3264" t="inlineStr">
        <is>
          <t>Övriga statliga verk och myndigheter</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41872-2021</t>
        </is>
      </c>
      <c r="B3265" s="1" t="n">
        <v>44426</v>
      </c>
      <c r="C3265" s="1" t="n">
        <v>45798</v>
      </c>
      <c r="D3265" t="inlineStr">
        <is>
          <t>NORRBOTTENS LÄN</t>
        </is>
      </c>
      <c r="E3265" t="inlineStr">
        <is>
          <t>ARVIDSJAUR</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41943-2021</t>
        </is>
      </c>
      <c r="B3266" s="1" t="n">
        <v>44426</v>
      </c>
      <c r="C3266" s="1" t="n">
        <v>45798</v>
      </c>
      <c r="D3266" t="inlineStr">
        <is>
          <t>NORRBOTTENS LÄN</t>
        </is>
      </c>
      <c r="E3266" t="inlineStr">
        <is>
          <t>BODEN</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42040-2021</t>
        </is>
      </c>
      <c r="B3267" s="1" t="n">
        <v>44426</v>
      </c>
      <c r="C3267" s="1" t="n">
        <v>45798</v>
      </c>
      <c r="D3267" t="inlineStr">
        <is>
          <t>NORRBOTTENS LÄN</t>
        </is>
      </c>
      <c r="E3267" t="inlineStr">
        <is>
          <t>KALIX</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42123-2021</t>
        </is>
      </c>
      <c r="B3268" s="1" t="n">
        <v>44426</v>
      </c>
      <c r="C3268" s="1" t="n">
        <v>45798</v>
      </c>
      <c r="D3268" t="inlineStr">
        <is>
          <t>NORRBOTTENS LÄN</t>
        </is>
      </c>
      <c r="E3268" t="inlineStr">
        <is>
          <t>ÖVERKALIX</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42133-2021</t>
        </is>
      </c>
      <c r="B3269" s="1" t="n">
        <v>44426</v>
      </c>
      <c r="C3269" s="1" t="n">
        <v>45798</v>
      </c>
      <c r="D3269" t="inlineStr">
        <is>
          <t>NORRBOTTENS LÄN</t>
        </is>
      </c>
      <c r="E3269" t="inlineStr">
        <is>
          <t>LULEÅ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42172-2021</t>
        </is>
      </c>
      <c r="B3270" s="1" t="n">
        <v>44426</v>
      </c>
      <c r="C3270" s="1" t="n">
        <v>45798</v>
      </c>
      <c r="D3270" t="inlineStr">
        <is>
          <t>NORRBOTTENS LÄN</t>
        </is>
      </c>
      <c r="E3270" t="inlineStr">
        <is>
          <t>ÖVERTORNEÅ</t>
        </is>
      </c>
      <c r="F3270" t="inlineStr">
        <is>
          <t>Sveaskog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42230-2021</t>
        </is>
      </c>
      <c r="B3271" s="1" t="n">
        <v>44426</v>
      </c>
      <c r="C3271" s="1" t="n">
        <v>45798</v>
      </c>
      <c r="D3271" t="inlineStr">
        <is>
          <t>NORRBOTTENS LÄN</t>
        </is>
      </c>
      <c r="E3271" t="inlineStr">
        <is>
          <t>GÄLLIVARE</t>
        </is>
      </c>
      <c r="F3271" t="inlineStr">
        <is>
          <t>SCA</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42288-2021</t>
        </is>
      </c>
      <c r="B3272" s="1" t="n">
        <v>44427</v>
      </c>
      <c r="C3272" s="1" t="n">
        <v>45798</v>
      </c>
      <c r="D3272" t="inlineStr">
        <is>
          <t>NORRBOTTENS LÄN</t>
        </is>
      </c>
      <c r="E3272" t="inlineStr">
        <is>
          <t>PAJALA</t>
        </is>
      </c>
      <c r="F3272" t="inlineStr">
        <is>
          <t>Sveaskog</t>
        </is>
      </c>
      <c r="G3272" t="n">
        <v>37.3</v>
      </c>
      <c r="H3272" t="n">
        <v>0</v>
      </c>
      <c r="I3272" t="n">
        <v>0</v>
      </c>
      <c r="J3272" t="n">
        <v>0</v>
      </c>
      <c r="K3272" t="n">
        <v>0</v>
      </c>
      <c r="L3272" t="n">
        <v>0</v>
      </c>
      <c r="M3272" t="n">
        <v>0</v>
      </c>
      <c r="N3272" t="n">
        <v>0</v>
      </c>
      <c r="O3272" t="n">
        <v>0</v>
      </c>
      <c r="P3272" t="n">
        <v>0</v>
      </c>
      <c r="Q3272" t="n">
        <v>0</v>
      </c>
      <c r="R3272" s="2" t="inlineStr"/>
    </row>
    <row r="3273" ht="15" customHeight="1">
      <c r="A3273" t="inlineStr">
        <is>
          <t>A 42330-2021</t>
        </is>
      </c>
      <c r="B3273" s="1" t="n">
        <v>44427</v>
      </c>
      <c r="C3273" s="1" t="n">
        <v>45798</v>
      </c>
      <c r="D3273" t="inlineStr">
        <is>
          <t>NORRBOTTENS LÄN</t>
        </is>
      </c>
      <c r="E3273" t="inlineStr">
        <is>
          <t>ARVIDSJAUR</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42320-2021</t>
        </is>
      </c>
      <c r="B3274" s="1" t="n">
        <v>44427</v>
      </c>
      <c r="C3274" s="1" t="n">
        <v>45798</v>
      </c>
      <c r="D3274" t="inlineStr">
        <is>
          <t>NORRBOTTENS LÄN</t>
        </is>
      </c>
      <c r="E3274" t="inlineStr">
        <is>
          <t>PAJALA</t>
        </is>
      </c>
      <c r="F3274" t="inlineStr">
        <is>
          <t>Sveaskog</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42335-2021</t>
        </is>
      </c>
      <c r="B3275" s="1" t="n">
        <v>44427</v>
      </c>
      <c r="C3275" s="1" t="n">
        <v>45798</v>
      </c>
      <c r="D3275" t="inlineStr">
        <is>
          <t>NORRBOTTENS LÄN</t>
        </is>
      </c>
      <c r="E3275" t="inlineStr">
        <is>
          <t>PAJALA</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42529-2021</t>
        </is>
      </c>
      <c r="B3276" s="1" t="n">
        <v>44428</v>
      </c>
      <c r="C3276" s="1" t="n">
        <v>45798</v>
      </c>
      <c r="D3276" t="inlineStr">
        <is>
          <t>NORRBOTTENS LÄN</t>
        </is>
      </c>
      <c r="E3276" t="inlineStr">
        <is>
          <t>GÄLLIVARE</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42686-2021</t>
        </is>
      </c>
      <c r="B3277" s="1" t="n">
        <v>44428</v>
      </c>
      <c r="C3277" s="1" t="n">
        <v>45798</v>
      </c>
      <c r="D3277" t="inlineStr">
        <is>
          <t>NORRBOTTENS LÄN</t>
        </is>
      </c>
      <c r="E3277" t="inlineStr">
        <is>
          <t>GÄLLIVARE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42674-2021</t>
        </is>
      </c>
      <c r="B3278" s="1" t="n">
        <v>44428</v>
      </c>
      <c r="C3278" s="1" t="n">
        <v>45798</v>
      </c>
      <c r="D3278" t="inlineStr">
        <is>
          <t>NORRBOTTENS LÄN</t>
        </is>
      </c>
      <c r="E3278" t="inlineStr">
        <is>
          <t>ARVIDSJAUR</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42694-2021</t>
        </is>
      </c>
      <c r="B3279" s="1" t="n">
        <v>44428</v>
      </c>
      <c r="C3279" s="1" t="n">
        <v>45798</v>
      </c>
      <c r="D3279" t="inlineStr">
        <is>
          <t>NORRBOTTENS LÄN</t>
        </is>
      </c>
      <c r="E3279" t="inlineStr">
        <is>
          <t>ARVIDSJAUR</t>
        </is>
      </c>
      <c r="F3279" t="inlineStr">
        <is>
          <t>Sveaskog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42711-2021</t>
        </is>
      </c>
      <c r="B3280" s="1" t="n">
        <v>44428</v>
      </c>
      <c r="C3280" s="1" t="n">
        <v>45798</v>
      </c>
      <c r="D3280" t="inlineStr">
        <is>
          <t>NORRBOTTENS LÄN</t>
        </is>
      </c>
      <c r="E3280" t="inlineStr">
        <is>
          <t>BODEN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42787-2021</t>
        </is>
      </c>
      <c r="B3281" s="1" t="n">
        <v>44428</v>
      </c>
      <c r="C3281" s="1" t="n">
        <v>45798</v>
      </c>
      <c r="D3281" t="inlineStr">
        <is>
          <t>NORRBOTTENS LÄN</t>
        </is>
      </c>
      <c r="E3281" t="inlineStr">
        <is>
          <t>PITEÅ</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43005-2021</t>
        </is>
      </c>
      <c r="B3282" s="1" t="n">
        <v>44431</v>
      </c>
      <c r="C3282" s="1" t="n">
        <v>45798</v>
      </c>
      <c r="D3282" t="inlineStr">
        <is>
          <t>NORRBOTTENS LÄN</t>
        </is>
      </c>
      <c r="E3282" t="inlineStr">
        <is>
          <t>ÄLVSBYN</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43014-2021</t>
        </is>
      </c>
      <c r="B3283" s="1" t="n">
        <v>44431</v>
      </c>
      <c r="C3283" s="1" t="n">
        <v>45798</v>
      </c>
      <c r="D3283" t="inlineStr">
        <is>
          <t>NORRBOTTENS LÄN</t>
        </is>
      </c>
      <c r="E3283" t="inlineStr">
        <is>
          <t>JOKKMOKK</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43111-2021</t>
        </is>
      </c>
      <c r="B3284" s="1" t="n">
        <v>44431</v>
      </c>
      <c r="C3284" s="1" t="n">
        <v>45798</v>
      </c>
      <c r="D3284" t="inlineStr">
        <is>
          <t>NORRBOTTENS LÄN</t>
        </is>
      </c>
      <c r="E3284" t="inlineStr">
        <is>
          <t>GÄLLIVARE</t>
        </is>
      </c>
      <c r="F3284" t="inlineStr">
        <is>
          <t>Allmännings- och besparingsskogar</t>
        </is>
      </c>
      <c r="G3284" t="n">
        <v>18.9</v>
      </c>
      <c r="H3284" t="n">
        <v>0</v>
      </c>
      <c r="I3284" t="n">
        <v>0</v>
      </c>
      <c r="J3284" t="n">
        <v>0</v>
      </c>
      <c r="K3284" t="n">
        <v>0</v>
      </c>
      <c r="L3284" t="n">
        <v>0</v>
      </c>
      <c r="M3284" t="n">
        <v>0</v>
      </c>
      <c r="N3284" t="n">
        <v>0</v>
      </c>
      <c r="O3284" t="n">
        <v>0</v>
      </c>
      <c r="P3284" t="n">
        <v>0</v>
      </c>
      <c r="Q3284" t="n">
        <v>0</v>
      </c>
      <c r="R3284" s="2" t="inlineStr"/>
    </row>
    <row r="3285" ht="15" customHeight="1">
      <c r="A3285" t="inlineStr">
        <is>
          <t>A 43298-2021</t>
        </is>
      </c>
      <c r="B3285" s="1" t="n">
        <v>44432</v>
      </c>
      <c r="C3285" s="1" t="n">
        <v>45798</v>
      </c>
      <c r="D3285" t="inlineStr">
        <is>
          <t>NORRBOTTENS LÄN</t>
        </is>
      </c>
      <c r="E3285" t="inlineStr">
        <is>
          <t>PITEÅ</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43297-2021</t>
        </is>
      </c>
      <c r="B3286" s="1" t="n">
        <v>44432</v>
      </c>
      <c r="C3286" s="1" t="n">
        <v>45798</v>
      </c>
      <c r="D3286" t="inlineStr">
        <is>
          <t>NORRBOTTENS LÄN</t>
        </is>
      </c>
      <c r="E3286" t="inlineStr">
        <is>
          <t>PITEÅ</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43407-2021</t>
        </is>
      </c>
      <c r="B3287" s="1" t="n">
        <v>44432</v>
      </c>
      <c r="C3287" s="1" t="n">
        <v>45798</v>
      </c>
      <c r="D3287" t="inlineStr">
        <is>
          <t>NORRBOTTENS LÄN</t>
        </is>
      </c>
      <c r="E3287" t="inlineStr">
        <is>
          <t>ÖVERTORNEÅ</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43487-2021</t>
        </is>
      </c>
      <c r="B3288" s="1" t="n">
        <v>44433</v>
      </c>
      <c r="C3288" s="1" t="n">
        <v>45798</v>
      </c>
      <c r="D3288" t="inlineStr">
        <is>
          <t>NORRBOTTENS LÄN</t>
        </is>
      </c>
      <c r="E3288" t="inlineStr">
        <is>
          <t>ÖVERTORNEÅ</t>
        </is>
      </c>
      <c r="G3288" t="n">
        <v>22.5</v>
      </c>
      <c r="H3288" t="n">
        <v>0</v>
      </c>
      <c r="I3288" t="n">
        <v>0</v>
      </c>
      <c r="J3288" t="n">
        <v>0</v>
      </c>
      <c r="K3288" t="n">
        <v>0</v>
      </c>
      <c r="L3288" t="n">
        <v>0</v>
      </c>
      <c r="M3288" t="n">
        <v>0</v>
      </c>
      <c r="N3288" t="n">
        <v>0</v>
      </c>
      <c r="O3288" t="n">
        <v>0</v>
      </c>
      <c r="P3288" t="n">
        <v>0</v>
      </c>
      <c r="Q3288" t="n">
        <v>0</v>
      </c>
      <c r="R3288" s="2" t="inlineStr"/>
    </row>
    <row r="3289" ht="15" customHeight="1">
      <c r="A3289" t="inlineStr">
        <is>
          <t>A 43433-2021</t>
        </is>
      </c>
      <c r="B3289" s="1" t="n">
        <v>44432</v>
      </c>
      <c r="C3289" s="1" t="n">
        <v>45798</v>
      </c>
      <c r="D3289" t="inlineStr">
        <is>
          <t>NORRBOTTENS LÄN</t>
        </is>
      </c>
      <c r="E3289" t="inlineStr">
        <is>
          <t>ÖVERKALIX</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43489-2021</t>
        </is>
      </c>
      <c r="B3290" s="1" t="n">
        <v>44432</v>
      </c>
      <c r="C3290" s="1" t="n">
        <v>45798</v>
      </c>
      <c r="D3290" t="inlineStr">
        <is>
          <t>NORRBOTTENS LÄN</t>
        </is>
      </c>
      <c r="E3290" t="inlineStr">
        <is>
          <t>GÄLLIVARE</t>
        </is>
      </c>
      <c r="F3290" t="inlineStr">
        <is>
          <t>SCA</t>
        </is>
      </c>
      <c r="G3290" t="n">
        <v>18.9</v>
      </c>
      <c r="H3290" t="n">
        <v>0</v>
      </c>
      <c r="I3290" t="n">
        <v>0</v>
      </c>
      <c r="J3290" t="n">
        <v>0</v>
      </c>
      <c r="K3290" t="n">
        <v>0</v>
      </c>
      <c r="L3290" t="n">
        <v>0</v>
      </c>
      <c r="M3290" t="n">
        <v>0</v>
      </c>
      <c r="N3290" t="n">
        <v>0</v>
      </c>
      <c r="O3290" t="n">
        <v>0</v>
      </c>
      <c r="P3290" t="n">
        <v>0</v>
      </c>
      <c r="Q3290" t="n">
        <v>0</v>
      </c>
      <c r="R3290" s="2" t="inlineStr"/>
    </row>
    <row r="3291" ht="15" customHeight="1">
      <c r="A3291" t="inlineStr">
        <is>
          <t>A 43720-2021</t>
        </is>
      </c>
      <c r="B3291" s="1" t="n">
        <v>44433</v>
      </c>
      <c r="C3291" s="1" t="n">
        <v>45798</v>
      </c>
      <c r="D3291" t="inlineStr">
        <is>
          <t>NORRBOTTENS LÄN</t>
        </is>
      </c>
      <c r="E3291" t="inlineStr">
        <is>
          <t>JOKKMOKK</t>
        </is>
      </c>
      <c r="F3291" t="inlineStr">
        <is>
          <t>Sveaskog</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43673-2021</t>
        </is>
      </c>
      <c r="B3292" s="1" t="n">
        <v>44433</v>
      </c>
      <c r="C3292" s="1" t="n">
        <v>45798</v>
      </c>
      <c r="D3292" t="inlineStr">
        <is>
          <t>NORRBOTTENS LÄN</t>
        </is>
      </c>
      <c r="E3292" t="inlineStr">
        <is>
          <t>ÖVERKALIX</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43683-2021</t>
        </is>
      </c>
      <c r="B3293" s="1" t="n">
        <v>44433</v>
      </c>
      <c r="C3293" s="1" t="n">
        <v>45798</v>
      </c>
      <c r="D3293" t="inlineStr">
        <is>
          <t>NORRBOTTENS LÄN</t>
        </is>
      </c>
      <c r="E3293" t="inlineStr">
        <is>
          <t>ARVIDSJAUR</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43573-2021</t>
        </is>
      </c>
      <c r="B3294" s="1" t="n">
        <v>44433</v>
      </c>
      <c r="C3294" s="1" t="n">
        <v>45798</v>
      </c>
      <c r="D3294" t="inlineStr">
        <is>
          <t>NORRBOTTENS LÄN</t>
        </is>
      </c>
      <c r="E3294" t="inlineStr">
        <is>
          <t>PITEÅ</t>
        </is>
      </c>
      <c r="F3294" t="inlineStr">
        <is>
          <t>Sveaskog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43678-2021</t>
        </is>
      </c>
      <c r="B3295" s="1" t="n">
        <v>44433</v>
      </c>
      <c r="C3295" s="1" t="n">
        <v>45798</v>
      </c>
      <c r="D3295" t="inlineStr">
        <is>
          <t>NORRBOTTENS LÄN</t>
        </is>
      </c>
      <c r="E3295" t="inlineStr">
        <is>
          <t>ARVIDSJAUR</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43780-2021</t>
        </is>
      </c>
      <c r="B3296" s="1" t="n">
        <v>44433</v>
      </c>
      <c r="C3296" s="1" t="n">
        <v>45798</v>
      </c>
      <c r="D3296" t="inlineStr">
        <is>
          <t>NORRBOTTENS LÄN</t>
        </is>
      </c>
      <c r="E3296" t="inlineStr">
        <is>
          <t>JOKKMOKK</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43785-2021</t>
        </is>
      </c>
      <c r="B3297" s="1" t="n">
        <v>44433</v>
      </c>
      <c r="C3297" s="1" t="n">
        <v>45798</v>
      </c>
      <c r="D3297" t="inlineStr">
        <is>
          <t>NORRBOTTENS LÄN</t>
        </is>
      </c>
      <c r="E3297" t="inlineStr">
        <is>
          <t>JOKKMOKK</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43687-2021</t>
        </is>
      </c>
      <c r="B3298" s="1" t="n">
        <v>44433</v>
      </c>
      <c r="C3298" s="1" t="n">
        <v>45798</v>
      </c>
      <c r="D3298" t="inlineStr">
        <is>
          <t>NORRBOTTENS LÄN</t>
        </is>
      </c>
      <c r="E3298" t="inlineStr">
        <is>
          <t>ÖVERKALIX</t>
        </is>
      </c>
      <c r="F3298" t="inlineStr">
        <is>
          <t>Sveaskog</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43783-2021</t>
        </is>
      </c>
      <c r="B3299" s="1" t="n">
        <v>44433</v>
      </c>
      <c r="C3299" s="1" t="n">
        <v>45798</v>
      </c>
      <c r="D3299" t="inlineStr">
        <is>
          <t>NORRBOTTENS LÄN</t>
        </is>
      </c>
      <c r="E3299" t="inlineStr">
        <is>
          <t>JOKKMOKK</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43781-2021</t>
        </is>
      </c>
      <c r="B3300" s="1" t="n">
        <v>44433</v>
      </c>
      <c r="C3300" s="1" t="n">
        <v>45798</v>
      </c>
      <c r="D3300" t="inlineStr">
        <is>
          <t>NORRBOTTENS LÄN</t>
        </is>
      </c>
      <c r="E3300" t="inlineStr">
        <is>
          <t>JOKKMOKK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44278-2021</t>
        </is>
      </c>
      <c r="B3301" s="1" t="n">
        <v>44433</v>
      </c>
      <c r="C3301" s="1" t="n">
        <v>45798</v>
      </c>
      <c r="D3301" t="inlineStr">
        <is>
          <t>NORRBOTTENS LÄN</t>
        </is>
      </c>
      <c r="E3301" t="inlineStr">
        <is>
          <t>ÖVERTORNEÅ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43540-2021</t>
        </is>
      </c>
      <c r="B3302" s="1" t="n">
        <v>44433</v>
      </c>
      <c r="C3302" s="1" t="n">
        <v>45798</v>
      </c>
      <c r="D3302" t="inlineStr">
        <is>
          <t>NORRBOTTENS LÄN</t>
        </is>
      </c>
      <c r="E3302" t="inlineStr">
        <is>
          <t>PITEÅ</t>
        </is>
      </c>
      <c r="F3302" t="inlineStr">
        <is>
          <t>Sveaskog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44026-2021</t>
        </is>
      </c>
      <c r="B3303" s="1" t="n">
        <v>44434</v>
      </c>
      <c r="C3303" s="1" t="n">
        <v>45798</v>
      </c>
      <c r="D3303" t="inlineStr">
        <is>
          <t>NORRBOTTENS LÄN</t>
        </is>
      </c>
      <c r="E3303" t="inlineStr">
        <is>
          <t>ARVIDSJAUR</t>
        </is>
      </c>
      <c r="F3303" t="inlineStr">
        <is>
          <t>Sveaskog</t>
        </is>
      </c>
      <c r="G3303" t="n">
        <v>28.6</v>
      </c>
      <c r="H3303" t="n">
        <v>0</v>
      </c>
      <c r="I3303" t="n">
        <v>0</v>
      </c>
      <c r="J3303" t="n">
        <v>0</v>
      </c>
      <c r="K3303" t="n">
        <v>0</v>
      </c>
      <c r="L3303" t="n">
        <v>0</v>
      </c>
      <c r="M3303" t="n">
        <v>0</v>
      </c>
      <c r="N3303" t="n">
        <v>0</v>
      </c>
      <c r="O3303" t="n">
        <v>0</v>
      </c>
      <c r="P3303" t="n">
        <v>0</v>
      </c>
      <c r="Q3303" t="n">
        <v>0</v>
      </c>
      <c r="R3303" s="2" t="inlineStr"/>
    </row>
    <row r="3304" ht="15" customHeight="1">
      <c r="A3304" t="inlineStr">
        <is>
          <t>A 44370-2021</t>
        </is>
      </c>
      <c r="B3304" s="1" t="n">
        <v>44435</v>
      </c>
      <c r="C3304" s="1" t="n">
        <v>45798</v>
      </c>
      <c r="D3304" t="inlineStr">
        <is>
          <t>NORRBOTTENS LÄN</t>
        </is>
      </c>
      <c r="E3304" t="inlineStr">
        <is>
          <t>ÖVERKALIX</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44309-2021</t>
        </is>
      </c>
      <c r="B3305" s="1" t="n">
        <v>44435</v>
      </c>
      <c r="C3305" s="1" t="n">
        <v>45798</v>
      </c>
      <c r="D3305" t="inlineStr">
        <is>
          <t>NORRBOTTENS LÄN</t>
        </is>
      </c>
      <c r="E3305" t="inlineStr">
        <is>
          <t>ÖVERKALIX</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44306-2021</t>
        </is>
      </c>
      <c r="B3306" s="1" t="n">
        <v>44435</v>
      </c>
      <c r="C3306" s="1" t="n">
        <v>45798</v>
      </c>
      <c r="D3306" t="inlineStr">
        <is>
          <t>NORRBOTTENS LÄN</t>
        </is>
      </c>
      <c r="E3306" t="inlineStr">
        <is>
          <t>ÖVERKALIX</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44525-2021</t>
        </is>
      </c>
      <c r="B3307" s="1" t="n">
        <v>44435</v>
      </c>
      <c r="C3307" s="1" t="n">
        <v>45798</v>
      </c>
      <c r="D3307" t="inlineStr">
        <is>
          <t>NORRBOTTENS LÄN</t>
        </is>
      </c>
      <c r="E3307" t="inlineStr">
        <is>
          <t>KALIX</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44530-2021</t>
        </is>
      </c>
      <c r="B3308" s="1" t="n">
        <v>44435</v>
      </c>
      <c r="C3308" s="1" t="n">
        <v>45798</v>
      </c>
      <c r="D3308" t="inlineStr">
        <is>
          <t>NORRBOTTENS LÄN</t>
        </is>
      </c>
      <c r="E3308" t="inlineStr">
        <is>
          <t>ÖVERKALIX</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44527-2021</t>
        </is>
      </c>
      <c r="B3309" s="1" t="n">
        <v>44435</v>
      </c>
      <c r="C3309" s="1" t="n">
        <v>45798</v>
      </c>
      <c r="D3309" t="inlineStr">
        <is>
          <t>NORRBOTTENS LÄN</t>
        </is>
      </c>
      <c r="E3309" t="inlineStr">
        <is>
          <t>KALIX</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44680-2021</t>
        </is>
      </c>
      <c r="B3310" s="1" t="n">
        <v>44435</v>
      </c>
      <c r="C3310" s="1" t="n">
        <v>45798</v>
      </c>
      <c r="D3310" t="inlineStr">
        <is>
          <t>NORRBOTTENS LÄN</t>
        </is>
      </c>
      <c r="E3310" t="inlineStr">
        <is>
          <t>LULEÅ</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44646-2021</t>
        </is>
      </c>
      <c r="B3311" s="1" t="n">
        <v>44437</v>
      </c>
      <c r="C3311" s="1" t="n">
        <v>45798</v>
      </c>
      <c r="D3311" t="inlineStr">
        <is>
          <t>NORRBOTTENS LÄN</t>
        </is>
      </c>
      <c r="E3311" t="inlineStr">
        <is>
          <t>JOKKMOKK</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44798-2021</t>
        </is>
      </c>
      <c r="B3312" s="1" t="n">
        <v>44438</v>
      </c>
      <c r="C3312" s="1" t="n">
        <v>45798</v>
      </c>
      <c r="D3312" t="inlineStr">
        <is>
          <t>NORRBOTTENS LÄN</t>
        </is>
      </c>
      <c r="E3312" t="inlineStr">
        <is>
          <t>ÖVERKALIX</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44830-2021</t>
        </is>
      </c>
      <c r="B3313" s="1" t="n">
        <v>44438</v>
      </c>
      <c r="C3313" s="1" t="n">
        <v>45798</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44853-2021</t>
        </is>
      </c>
      <c r="B3314" s="1" t="n">
        <v>44438</v>
      </c>
      <c r="C3314" s="1" t="n">
        <v>45798</v>
      </c>
      <c r="D3314" t="inlineStr">
        <is>
          <t>NORRBOTTENS LÄN</t>
        </is>
      </c>
      <c r="E3314" t="inlineStr">
        <is>
          <t>GÄLLIVARE</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45002-2021</t>
        </is>
      </c>
      <c r="B3315" s="1" t="n">
        <v>44438</v>
      </c>
      <c r="C3315" s="1" t="n">
        <v>45798</v>
      </c>
      <c r="D3315" t="inlineStr">
        <is>
          <t>NORRBOTTENS LÄN</t>
        </is>
      </c>
      <c r="E3315" t="inlineStr">
        <is>
          <t>BODEN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45026-2021</t>
        </is>
      </c>
      <c r="B3316" s="1" t="n">
        <v>44438</v>
      </c>
      <c r="C3316" s="1" t="n">
        <v>45798</v>
      </c>
      <c r="D3316" t="inlineStr">
        <is>
          <t>NORRBOTTENS LÄN</t>
        </is>
      </c>
      <c r="E3316" t="inlineStr">
        <is>
          <t>PITEÅ</t>
        </is>
      </c>
      <c r="F3316" t="inlineStr">
        <is>
          <t>SCA</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45019-2021</t>
        </is>
      </c>
      <c r="B3317" s="1" t="n">
        <v>44439</v>
      </c>
      <c r="C3317" s="1" t="n">
        <v>45798</v>
      </c>
      <c r="D3317" t="inlineStr">
        <is>
          <t>NORRBOTTENS LÄN</t>
        </is>
      </c>
      <c r="E3317" t="inlineStr">
        <is>
          <t>GÄLLIVARE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45018-2021</t>
        </is>
      </c>
      <c r="B3318" s="1" t="n">
        <v>44438</v>
      </c>
      <c r="C3318" s="1" t="n">
        <v>45798</v>
      </c>
      <c r="D3318" t="inlineStr">
        <is>
          <t>NORRBOTTENS LÄN</t>
        </is>
      </c>
      <c r="E3318" t="inlineStr">
        <is>
          <t>PAJALA</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45115-2021</t>
        </is>
      </c>
      <c r="B3319" s="1" t="n">
        <v>44438</v>
      </c>
      <c r="C3319" s="1" t="n">
        <v>45798</v>
      </c>
      <c r="D3319" t="inlineStr">
        <is>
          <t>NORRBOTTENS LÄN</t>
        </is>
      </c>
      <c r="E3319" t="inlineStr">
        <is>
          <t>BODEN</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45127-2021</t>
        </is>
      </c>
      <c r="B3320" s="1" t="n">
        <v>44439</v>
      </c>
      <c r="C3320" s="1" t="n">
        <v>45798</v>
      </c>
      <c r="D3320" t="inlineStr">
        <is>
          <t>NORRBOTTENS LÄN</t>
        </is>
      </c>
      <c r="E3320" t="inlineStr">
        <is>
          <t>ARVIDSJAUR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45189-2021</t>
        </is>
      </c>
      <c r="B3321" s="1" t="n">
        <v>44439</v>
      </c>
      <c r="C3321" s="1" t="n">
        <v>45798</v>
      </c>
      <c r="D3321" t="inlineStr">
        <is>
          <t>NORRBOTTENS LÄN</t>
        </is>
      </c>
      <c r="E3321" t="inlineStr">
        <is>
          <t>BODEN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45185-2021</t>
        </is>
      </c>
      <c r="B3322" s="1" t="n">
        <v>44439</v>
      </c>
      <c r="C3322" s="1" t="n">
        <v>45798</v>
      </c>
      <c r="D3322" t="inlineStr">
        <is>
          <t>NORRBOTTENS LÄN</t>
        </is>
      </c>
      <c r="E3322" t="inlineStr">
        <is>
          <t>BODEN</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45323-2021</t>
        </is>
      </c>
      <c r="B3323" s="1" t="n">
        <v>44439</v>
      </c>
      <c r="C3323" s="1" t="n">
        <v>45798</v>
      </c>
      <c r="D3323" t="inlineStr">
        <is>
          <t>NORRBOTTENS LÄN</t>
        </is>
      </c>
      <c r="E3323" t="inlineStr">
        <is>
          <t>PITEÅ</t>
        </is>
      </c>
      <c r="F3323" t="inlineStr">
        <is>
          <t>Sveaskog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45566-2021</t>
        </is>
      </c>
      <c r="B3324" s="1" t="n">
        <v>44440</v>
      </c>
      <c r="C3324" s="1" t="n">
        <v>45798</v>
      </c>
      <c r="D3324" t="inlineStr">
        <is>
          <t>NORRBOTTENS LÄN</t>
        </is>
      </c>
      <c r="E3324" t="inlineStr">
        <is>
          <t>ÖVERTORNEÅ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45575-2021</t>
        </is>
      </c>
      <c r="B3325" s="1" t="n">
        <v>44440</v>
      </c>
      <c r="C3325" s="1" t="n">
        <v>45798</v>
      </c>
      <c r="D3325" t="inlineStr">
        <is>
          <t>NORRBOTTENS LÄN</t>
        </is>
      </c>
      <c r="E3325" t="inlineStr">
        <is>
          <t>PITEÅ</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45391-2021</t>
        </is>
      </c>
      <c r="B3326" s="1" t="n">
        <v>44440</v>
      </c>
      <c r="C3326" s="1" t="n">
        <v>45798</v>
      </c>
      <c r="D3326" t="inlineStr">
        <is>
          <t>NORRBOTTENS LÄN</t>
        </is>
      </c>
      <c r="E3326" t="inlineStr">
        <is>
          <t>ARVIDSJAUR</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45398-2021</t>
        </is>
      </c>
      <c r="B3327" s="1" t="n">
        <v>44440</v>
      </c>
      <c r="C3327" s="1" t="n">
        <v>45798</v>
      </c>
      <c r="D3327" t="inlineStr">
        <is>
          <t>NORRBOTTENS LÄN</t>
        </is>
      </c>
      <c r="E3327" t="inlineStr">
        <is>
          <t>ARVIDSJAUR</t>
        </is>
      </c>
      <c r="F3327" t="inlineStr">
        <is>
          <t>Sveaskog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45603-2021</t>
        </is>
      </c>
      <c r="B3328" s="1" t="n">
        <v>44440</v>
      </c>
      <c r="C3328" s="1" t="n">
        <v>45798</v>
      </c>
      <c r="D3328" t="inlineStr">
        <is>
          <t>NORRBOTTENS LÄN</t>
        </is>
      </c>
      <c r="E3328" t="inlineStr">
        <is>
          <t>ÄLVSBYN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45654-2021</t>
        </is>
      </c>
      <c r="B3329" s="1" t="n">
        <v>44441</v>
      </c>
      <c r="C3329" s="1" t="n">
        <v>45798</v>
      </c>
      <c r="D3329" t="inlineStr">
        <is>
          <t>NORRBOTTENS LÄN</t>
        </is>
      </c>
      <c r="E3329" t="inlineStr">
        <is>
          <t>PITEÅ</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45653-2021</t>
        </is>
      </c>
      <c r="B3330" s="1" t="n">
        <v>44440</v>
      </c>
      <c r="C3330" s="1" t="n">
        <v>45798</v>
      </c>
      <c r="D3330" t="inlineStr">
        <is>
          <t>NORRBOTTENS LÄN</t>
        </is>
      </c>
      <c r="E3330" t="inlineStr">
        <is>
          <t>PITEÅ</t>
        </is>
      </c>
      <c r="F3330" t="inlineStr">
        <is>
          <t>SCA</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45677-2021</t>
        </is>
      </c>
      <c r="B3331" s="1" t="n">
        <v>44441</v>
      </c>
      <c r="C3331" s="1" t="n">
        <v>45798</v>
      </c>
      <c r="D3331" t="inlineStr">
        <is>
          <t>NORRBOTTENS LÄN</t>
        </is>
      </c>
      <c r="E3331" t="inlineStr">
        <is>
          <t>BODEN</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46022-2021</t>
        </is>
      </c>
      <c r="B3332" s="1" t="n">
        <v>44442</v>
      </c>
      <c r="C3332" s="1" t="n">
        <v>45798</v>
      </c>
      <c r="D3332" t="inlineStr">
        <is>
          <t>NORRBOTTENS LÄN</t>
        </is>
      </c>
      <c r="E3332" t="inlineStr">
        <is>
          <t>ÖVERTORNEÅ</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46031-2021</t>
        </is>
      </c>
      <c r="B3333" s="1" t="n">
        <v>44441</v>
      </c>
      <c r="C3333" s="1" t="n">
        <v>45798</v>
      </c>
      <c r="D3333" t="inlineStr">
        <is>
          <t>NORRBOTTENS LÄN</t>
        </is>
      </c>
      <c r="E3333" t="inlineStr">
        <is>
          <t>ÖVERTORNEÅ</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45769-2021</t>
        </is>
      </c>
      <c r="B3334" s="1" t="n">
        <v>44441</v>
      </c>
      <c r="C3334" s="1" t="n">
        <v>45798</v>
      </c>
      <c r="D3334" t="inlineStr">
        <is>
          <t>NORRBOTTENS LÄN</t>
        </is>
      </c>
      <c r="E3334" t="inlineStr">
        <is>
          <t>ARVIDSJAUR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45966-2021</t>
        </is>
      </c>
      <c r="B3335" s="1" t="n">
        <v>44441</v>
      </c>
      <c r="C3335" s="1" t="n">
        <v>45798</v>
      </c>
      <c r="D3335" t="inlineStr">
        <is>
          <t>NORRBOTTENS LÄN</t>
        </is>
      </c>
      <c r="E3335" t="inlineStr">
        <is>
          <t>PAJALA</t>
        </is>
      </c>
      <c r="G3335" t="n">
        <v>18.6</v>
      </c>
      <c r="H3335" t="n">
        <v>0</v>
      </c>
      <c r="I3335" t="n">
        <v>0</v>
      </c>
      <c r="J3335" t="n">
        <v>0</v>
      </c>
      <c r="K3335" t="n">
        <v>0</v>
      </c>
      <c r="L3335" t="n">
        <v>0</v>
      </c>
      <c r="M3335" t="n">
        <v>0</v>
      </c>
      <c r="N3335" t="n">
        <v>0</v>
      </c>
      <c r="O3335" t="n">
        <v>0</v>
      </c>
      <c r="P3335" t="n">
        <v>0</v>
      </c>
      <c r="Q3335" t="n">
        <v>0</v>
      </c>
      <c r="R3335" s="2" t="inlineStr"/>
    </row>
    <row r="3336" ht="15" customHeight="1">
      <c r="A3336" t="inlineStr">
        <is>
          <t>A 46026-2021</t>
        </is>
      </c>
      <c r="B3336" s="1" t="n">
        <v>44442</v>
      </c>
      <c r="C3336" s="1" t="n">
        <v>45798</v>
      </c>
      <c r="D3336" t="inlineStr">
        <is>
          <t>NORRBOTTENS LÄN</t>
        </is>
      </c>
      <c r="E3336" t="inlineStr">
        <is>
          <t>ÖVERTORNEÅ</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46035-2021</t>
        </is>
      </c>
      <c r="B3337" s="1" t="n">
        <v>44441</v>
      </c>
      <c r="C3337" s="1" t="n">
        <v>45798</v>
      </c>
      <c r="D3337" t="inlineStr">
        <is>
          <t>NORRBOTTENS LÄN</t>
        </is>
      </c>
      <c r="E3337" t="inlineStr">
        <is>
          <t>ÖVERTORNEÅ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46024-2021</t>
        </is>
      </c>
      <c r="B3338" s="1" t="n">
        <v>44441</v>
      </c>
      <c r="C3338" s="1" t="n">
        <v>45798</v>
      </c>
      <c r="D3338" t="inlineStr">
        <is>
          <t>NORRBOTTENS LÄN</t>
        </is>
      </c>
      <c r="E3338" t="inlineStr">
        <is>
          <t>ÖVERTORNEÅ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46032-2021</t>
        </is>
      </c>
      <c r="B3339" s="1" t="n">
        <v>44441</v>
      </c>
      <c r="C3339" s="1" t="n">
        <v>45798</v>
      </c>
      <c r="D3339" t="inlineStr">
        <is>
          <t>NORRBOTTENS LÄN</t>
        </is>
      </c>
      <c r="E3339" t="inlineStr">
        <is>
          <t>ÖVERTORNEÅ</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45940-2021</t>
        </is>
      </c>
      <c r="B3340" s="1" t="n">
        <v>44441</v>
      </c>
      <c r="C3340" s="1" t="n">
        <v>45798</v>
      </c>
      <c r="D3340" t="inlineStr">
        <is>
          <t>NORRBOTTENS LÄN</t>
        </is>
      </c>
      <c r="E3340" t="inlineStr">
        <is>
          <t>LULEÅ</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46027-2021</t>
        </is>
      </c>
      <c r="B3341" s="1" t="n">
        <v>44442</v>
      </c>
      <c r="C3341" s="1" t="n">
        <v>45798</v>
      </c>
      <c r="D3341" t="inlineStr">
        <is>
          <t>NORRBOTTENS LÄN</t>
        </is>
      </c>
      <c r="E3341" t="inlineStr">
        <is>
          <t>ÖVERTORNEÅ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46037-2021</t>
        </is>
      </c>
      <c r="B3342" s="1" t="n">
        <v>44441</v>
      </c>
      <c r="C3342" s="1" t="n">
        <v>45798</v>
      </c>
      <c r="D3342" t="inlineStr">
        <is>
          <t>NORRBOTTENS LÄN</t>
        </is>
      </c>
      <c r="E3342" t="inlineStr">
        <is>
          <t>ÖVERTORNEÅ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46150-2021</t>
        </is>
      </c>
      <c r="B3343" s="1" t="n">
        <v>44441</v>
      </c>
      <c r="C3343" s="1" t="n">
        <v>45798</v>
      </c>
      <c r="D3343" t="inlineStr">
        <is>
          <t>NORRBOTTENS LÄN</t>
        </is>
      </c>
      <c r="E3343" t="inlineStr">
        <is>
          <t>LULEÅ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46181-2021</t>
        </is>
      </c>
      <c r="B3344" s="1" t="n">
        <v>44441</v>
      </c>
      <c r="C3344" s="1" t="n">
        <v>45798</v>
      </c>
      <c r="D3344" t="inlineStr">
        <is>
          <t>NORRBOTTENS LÄN</t>
        </is>
      </c>
      <c r="E3344" t="inlineStr">
        <is>
          <t>ARVIDSJAUR</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46183-2021</t>
        </is>
      </c>
      <c r="B3345" s="1" t="n">
        <v>44441</v>
      </c>
      <c r="C3345" s="1" t="n">
        <v>45798</v>
      </c>
      <c r="D3345" t="inlineStr">
        <is>
          <t>NORRBOTTENS LÄN</t>
        </is>
      </c>
      <c r="E3345" t="inlineStr">
        <is>
          <t>BODEN</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46082-2021</t>
        </is>
      </c>
      <c r="B3346" s="1" t="n">
        <v>44442</v>
      </c>
      <c r="C3346" s="1" t="n">
        <v>45798</v>
      </c>
      <c r="D3346" t="inlineStr">
        <is>
          <t>NORRBOTTENS LÄN</t>
        </is>
      </c>
      <c r="E3346" t="inlineStr">
        <is>
          <t>ARVIDSJAUR</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46072-2021</t>
        </is>
      </c>
      <c r="B3347" s="1" t="n">
        <v>44442</v>
      </c>
      <c r="C3347" s="1" t="n">
        <v>45798</v>
      </c>
      <c r="D3347" t="inlineStr">
        <is>
          <t>NORRBOTTENS LÄN</t>
        </is>
      </c>
      <c r="E3347" t="inlineStr">
        <is>
          <t>ARVIDSJAUR</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46080-2021</t>
        </is>
      </c>
      <c r="B3348" s="1" t="n">
        <v>44442</v>
      </c>
      <c r="C3348" s="1" t="n">
        <v>45798</v>
      </c>
      <c r="D3348" t="inlineStr">
        <is>
          <t>NORRBOTTENS LÄN</t>
        </is>
      </c>
      <c r="E3348" t="inlineStr">
        <is>
          <t>ARVIDSJAUR</t>
        </is>
      </c>
      <c r="F3348" t="inlineStr">
        <is>
          <t>Sveaskog</t>
        </is>
      </c>
      <c r="G3348" t="n">
        <v>34.5</v>
      </c>
      <c r="H3348" t="n">
        <v>0</v>
      </c>
      <c r="I3348" t="n">
        <v>0</v>
      </c>
      <c r="J3348" t="n">
        <v>0</v>
      </c>
      <c r="K3348" t="n">
        <v>0</v>
      </c>
      <c r="L3348" t="n">
        <v>0</v>
      </c>
      <c r="M3348" t="n">
        <v>0</v>
      </c>
      <c r="N3348" t="n">
        <v>0</v>
      </c>
      <c r="O3348" t="n">
        <v>0</v>
      </c>
      <c r="P3348" t="n">
        <v>0</v>
      </c>
      <c r="Q3348" t="n">
        <v>0</v>
      </c>
      <c r="R3348" s="2" t="inlineStr"/>
    </row>
    <row r="3349" ht="15" customHeight="1">
      <c r="A3349" t="inlineStr">
        <is>
          <t>A 46077-2021</t>
        </is>
      </c>
      <c r="B3349" s="1" t="n">
        <v>44442</v>
      </c>
      <c r="C3349" s="1" t="n">
        <v>45798</v>
      </c>
      <c r="D3349" t="inlineStr">
        <is>
          <t>NORRBOTTENS LÄN</t>
        </is>
      </c>
      <c r="E3349" t="inlineStr">
        <is>
          <t>ARVIDSJAUR</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46158-2021</t>
        </is>
      </c>
      <c r="B3350" s="1" t="n">
        <v>44442</v>
      </c>
      <c r="C3350" s="1" t="n">
        <v>45798</v>
      </c>
      <c r="D3350" t="inlineStr">
        <is>
          <t>NORRBOTTENS LÄN</t>
        </is>
      </c>
      <c r="E3350" t="inlineStr">
        <is>
          <t>LULEÅ</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46187-2021</t>
        </is>
      </c>
      <c r="B3351" s="1" t="n">
        <v>44442</v>
      </c>
      <c r="C3351" s="1" t="n">
        <v>45798</v>
      </c>
      <c r="D3351" t="inlineStr">
        <is>
          <t>NORRBOTTENS LÄN</t>
        </is>
      </c>
      <c r="E3351" t="inlineStr">
        <is>
          <t>KALIX</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46259-2021</t>
        </is>
      </c>
      <c r="B3352" s="1" t="n">
        <v>44442</v>
      </c>
      <c r="C3352" s="1" t="n">
        <v>45798</v>
      </c>
      <c r="D3352" t="inlineStr">
        <is>
          <t>NORRBOTTENS LÄN</t>
        </is>
      </c>
      <c r="E3352" t="inlineStr">
        <is>
          <t>PAJALA</t>
        </is>
      </c>
      <c r="G3352" t="n">
        <v>15.3</v>
      </c>
      <c r="H3352" t="n">
        <v>0</v>
      </c>
      <c r="I3352" t="n">
        <v>0</v>
      </c>
      <c r="J3352" t="n">
        <v>0</v>
      </c>
      <c r="K3352" t="n">
        <v>0</v>
      </c>
      <c r="L3352" t="n">
        <v>0</v>
      </c>
      <c r="M3352" t="n">
        <v>0</v>
      </c>
      <c r="N3352" t="n">
        <v>0</v>
      </c>
      <c r="O3352" t="n">
        <v>0</v>
      </c>
      <c r="P3352" t="n">
        <v>0</v>
      </c>
      <c r="Q3352" t="n">
        <v>0</v>
      </c>
      <c r="R3352" s="2" t="inlineStr"/>
    </row>
    <row r="3353" ht="15" customHeight="1">
      <c r="A3353" t="inlineStr">
        <is>
          <t>A 46541-2021</t>
        </is>
      </c>
      <c r="B3353" s="1" t="n">
        <v>44445</v>
      </c>
      <c r="C3353" s="1" t="n">
        <v>45798</v>
      </c>
      <c r="D3353" t="inlineStr">
        <is>
          <t>NORRBOTTENS LÄN</t>
        </is>
      </c>
      <c r="E3353" t="inlineStr">
        <is>
          <t>BODEN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46547-2021</t>
        </is>
      </c>
      <c r="B3354" s="1" t="n">
        <v>44445</v>
      </c>
      <c r="C3354" s="1" t="n">
        <v>45798</v>
      </c>
      <c r="D3354" t="inlineStr">
        <is>
          <t>NORRBOTTENS LÄN</t>
        </is>
      </c>
      <c r="E3354" t="inlineStr">
        <is>
          <t>LULEÅ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46585-2021</t>
        </is>
      </c>
      <c r="B3355" s="1" t="n">
        <v>44445</v>
      </c>
      <c r="C3355" s="1" t="n">
        <v>45798</v>
      </c>
      <c r="D3355" t="inlineStr">
        <is>
          <t>NORRBOTTENS LÄN</t>
        </is>
      </c>
      <c r="E3355" t="inlineStr">
        <is>
          <t>ARJEPLOG</t>
        </is>
      </c>
      <c r="F3355" t="inlineStr">
        <is>
          <t>Övriga statliga verk och myndigheter</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46512-2021</t>
        </is>
      </c>
      <c r="B3356" s="1" t="n">
        <v>44445</v>
      </c>
      <c r="C3356" s="1" t="n">
        <v>45798</v>
      </c>
      <c r="D3356" t="inlineStr">
        <is>
          <t>NORRBOTTENS LÄN</t>
        </is>
      </c>
      <c r="E3356" t="inlineStr">
        <is>
          <t>BODEN</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46622-2021</t>
        </is>
      </c>
      <c r="B3357" s="1" t="n">
        <v>44445</v>
      </c>
      <c r="C3357" s="1" t="n">
        <v>45798</v>
      </c>
      <c r="D3357" t="inlineStr">
        <is>
          <t>NORRBOTTENS LÄN</t>
        </is>
      </c>
      <c r="E3357" t="inlineStr">
        <is>
          <t>KALIX</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46790-2021</t>
        </is>
      </c>
      <c r="B3358" s="1" t="n">
        <v>44445</v>
      </c>
      <c r="C3358" s="1" t="n">
        <v>45798</v>
      </c>
      <c r="D3358" t="inlineStr">
        <is>
          <t>NORRBOTTENS LÄN</t>
        </is>
      </c>
      <c r="E3358" t="inlineStr">
        <is>
          <t>ÖVERKALIX</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46728-2021</t>
        </is>
      </c>
      <c r="B3359" s="1" t="n">
        <v>44445</v>
      </c>
      <c r="C3359" s="1" t="n">
        <v>45798</v>
      </c>
      <c r="D3359" t="inlineStr">
        <is>
          <t>NORRBOTTENS LÄN</t>
        </is>
      </c>
      <c r="E3359" t="inlineStr">
        <is>
          <t>GÄLLIVARE</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46826-2021</t>
        </is>
      </c>
      <c r="B3360" s="1" t="n">
        <v>44446</v>
      </c>
      <c r="C3360" s="1" t="n">
        <v>45798</v>
      </c>
      <c r="D3360" t="inlineStr">
        <is>
          <t>NORRBOTTENS LÄN</t>
        </is>
      </c>
      <c r="E3360" t="inlineStr">
        <is>
          <t>LULEÅ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46945-2021</t>
        </is>
      </c>
      <c r="B3361" s="1" t="n">
        <v>44446</v>
      </c>
      <c r="C3361" s="1" t="n">
        <v>45798</v>
      </c>
      <c r="D3361" t="inlineStr">
        <is>
          <t>NORRBOTTENS LÄN</t>
        </is>
      </c>
      <c r="E3361" t="inlineStr">
        <is>
          <t>ÖVERKALIX</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46881-2021</t>
        </is>
      </c>
      <c r="B3362" s="1" t="n">
        <v>44446</v>
      </c>
      <c r="C3362" s="1" t="n">
        <v>45798</v>
      </c>
      <c r="D3362" t="inlineStr">
        <is>
          <t>NORRBOTTENS LÄN</t>
        </is>
      </c>
      <c r="E3362" t="inlineStr">
        <is>
          <t>ÄLVSBYN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46973-2021</t>
        </is>
      </c>
      <c r="B3363" s="1" t="n">
        <v>44446</v>
      </c>
      <c r="C3363" s="1" t="n">
        <v>45798</v>
      </c>
      <c r="D3363" t="inlineStr">
        <is>
          <t>NORRBOTTENS LÄN</t>
        </is>
      </c>
      <c r="E3363" t="inlineStr">
        <is>
          <t>ÖVERTORNEÅ</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47046-2021</t>
        </is>
      </c>
      <c r="B3364" s="1" t="n">
        <v>44446</v>
      </c>
      <c r="C3364" s="1" t="n">
        <v>45798</v>
      </c>
      <c r="D3364" t="inlineStr">
        <is>
          <t>NORRBOTTENS LÄN</t>
        </is>
      </c>
      <c r="E3364" t="inlineStr">
        <is>
          <t>ÄLVSBYN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47140-2021</t>
        </is>
      </c>
      <c r="B3365" s="1" t="n">
        <v>44446</v>
      </c>
      <c r="C3365" s="1" t="n">
        <v>45798</v>
      </c>
      <c r="D3365" t="inlineStr">
        <is>
          <t>NORRBOTTENS LÄN</t>
        </is>
      </c>
      <c r="E3365" t="inlineStr">
        <is>
          <t>PITEÅ</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47564-2021</t>
        </is>
      </c>
      <c r="B3366" s="1" t="n">
        <v>44447</v>
      </c>
      <c r="C3366" s="1" t="n">
        <v>45798</v>
      </c>
      <c r="D3366" t="inlineStr">
        <is>
          <t>NORRBOTTENS LÄN</t>
        </is>
      </c>
      <c r="E3366" t="inlineStr">
        <is>
          <t>PITEÅ</t>
        </is>
      </c>
      <c r="F3366" t="inlineStr">
        <is>
          <t>SCA</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47695-2021</t>
        </is>
      </c>
      <c r="B3367" s="1" t="n">
        <v>44448</v>
      </c>
      <c r="C3367" s="1" t="n">
        <v>45798</v>
      </c>
      <c r="D3367" t="inlineStr">
        <is>
          <t>NORRBOTTENS LÄN</t>
        </is>
      </c>
      <c r="E3367" t="inlineStr">
        <is>
          <t>ÄLVSBYN</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47629-2021</t>
        </is>
      </c>
      <c r="B3368" s="1" t="n">
        <v>44448</v>
      </c>
      <c r="C3368" s="1" t="n">
        <v>45798</v>
      </c>
      <c r="D3368" t="inlineStr">
        <is>
          <t>NORRBOTTENS LÄN</t>
        </is>
      </c>
      <c r="E3368" t="inlineStr">
        <is>
          <t>ÖVERKALIX</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47801-2021</t>
        </is>
      </c>
      <c r="B3369" s="1" t="n">
        <v>44448</v>
      </c>
      <c r="C3369" s="1" t="n">
        <v>45798</v>
      </c>
      <c r="D3369" t="inlineStr">
        <is>
          <t>NORRBOTTENS LÄN</t>
        </is>
      </c>
      <c r="E3369" t="inlineStr">
        <is>
          <t>LULEÅ</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48074-2021</t>
        </is>
      </c>
      <c r="B3370" s="1" t="n">
        <v>44449</v>
      </c>
      <c r="C3370" s="1" t="n">
        <v>45798</v>
      </c>
      <c r="D3370" t="inlineStr">
        <is>
          <t>NORRBOTTENS LÄN</t>
        </is>
      </c>
      <c r="E3370" t="inlineStr">
        <is>
          <t>GÄLLIVARE</t>
        </is>
      </c>
      <c r="F3370" t="inlineStr">
        <is>
          <t>Sveaskog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48103-2021</t>
        </is>
      </c>
      <c r="B3371" s="1" t="n">
        <v>44449</v>
      </c>
      <c r="C3371" s="1" t="n">
        <v>45798</v>
      </c>
      <c r="D3371" t="inlineStr">
        <is>
          <t>NORRBOTTENS LÄN</t>
        </is>
      </c>
      <c r="E3371" t="inlineStr">
        <is>
          <t>ÄLVSBYN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48211-2021</t>
        </is>
      </c>
      <c r="B3372" s="1" t="n">
        <v>44449</v>
      </c>
      <c r="C3372" s="1" t="n">
        <v>45798</v>
      </c>
      <c r="D3372" t="inlineStr">
        <is>
          <t>NORRBOTTENS LÄN</t>
        </is>
      </c>
      <c r="E3372" t="inlineStr">
        <is>
          <t>PAJALA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48255-2021</t>
        </is>
      </c>
      <c r="B3373" s="1" t="n">
        <v>44449</v>
      </c>
      <c r="C3373" s="1" t="n">
        <v>45798</v>
      </c>
      <c r="D3373" t="inlineStr">
        <is>
          <t>NORRBOTTENS LÄN</t>
        </is>
      </c>
      <c r="E3373" t="inlineStr">
        <is>
          <t>HAPARANDA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48250-2021</t>
        </is>
      </c>
      <c r="B3374" s="1" t="n">
        <v>44449</v>
      </c>
      <c r="C3374" s="1" t="n">
        <v>45798</v>
      </c>
      <c r="D3374" t="inlineStr">
        <is>
          <t>NORRBOTTENS LÄN</t>
        </is>
      </c>
      <c r="E3374" t="inlineStr">
        <is>
          <t>HAPARANDA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48276-2021</t>
        </is>
      </c>
      <c r="B3375" s="1" t="n">
        <v>44449</v>
      </c>
      <c r="C3375" s="1" t="n">
        <v>45798</v>
      </c>
      <c r="D3375" t="inlineStr">
        <is>
          <t>NORRBOTTENS LÄN</t>
        </is>
      </c>
      <c r="E3375" t="inlineStr">
        <is>
          <t>HAPARANDA</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48281-2021</t>
        </is>
      </c>
      <c r="B3376" s="1" t="n">
        <v>44449</v>
      </c>
      <c r="C3376" s="1" t="n">
        <v>45798</v>
      </c>
      <c r="D3376" t="inlineStr">
        <is>
          <t>NORRBOTTENS LÄN</t>
        </is>
      </c>
      <c r="E3376" t="inlineStr">
        <is>
          <t>KALIX</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48335-2021</t>
        </is>
      </c>
      <c r="B3377" s="1" t="n">
        <v>44451</v>
      </c>
      <c r="C3377" s="1" t="n">
        <v>45798</v>
      </c>
      <c r="D3377" t="inlineStr">
        <is>
          <t>NORRBOTTENS LÄN</t>
        </is>
      </c>
      <c r="E3377" t="inlineStr">
        <is>
          <t>PAJALA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48366-2021</t>
        </is>
      </c>
      <c r="B3378" s="1" t="n">
        <v>44451</v>
      </c>
      <c r="C3378" s="1" t="n">
        <v>45798</v>
      </c>
      <c r="D3378" t="inlineStr">
        <is>
          <t>NORRBOTTENS LÄN</t>
        </is>
      </c>
      <c r="E3378" t="inlineStr">
        <is>
          <t>PAJALA</t>
        </is>
      </c>
      <c r="G3378" t="n">
        <v>14.3</v>
      </c>
      <c r="H3378" t="n">
        <v>0</v>
      </c>
      <c r="I3378" t="n">
        <v>0</v>
      </c>
      <c r="J3378" t="n">
        <v>0</v>
      </c>
      <c r="K3378" t="n">
        <v>0</v>
      </c>
      <c r="L3378" t="n">
        <v>0</v>
      </c>
      <c r="M3378" t="n">
        <v>0</v>
      </c>
      <c r="N3378" t="n">
        <v>0</v>
      </c>
      <c r="O3378" t="n">
        <v>0</v>
      </c>
      <c r="P3378" t="n">
        <v>0</v>
      </c>
      <c r="Q3378" t="n">
        <v>0</v>
      </c>
      <c r="R3378" s="2" t="inlineStr"/>
    </row>
    <row r="3379" ht="15" customHeight="1">
      <c r="A3379" t="inlineStr">
        <is>
          <t>A 48370-2021</t>
        </is>
      </c>
      <c r="B3379" s="1" t="n">
        <v>44451</v>
      </c>
      <c r="C3379" s="1" t="n">
        <v>45798</v>
      </c>
      <c r="D3379" t="inlineStr">
        <is>
          <t>NORRBOTTENS LÄN</t>
        </is>
      </c>
      <c r="E3379" t="inlineStr">
        <is>
          <t>PAJALA</t>
        </is>
      </c>
      <c r="G3379" t="n">
        <v>26.6</v>
      </c>
      <c r="H3379" t="n">
        <v>0</v>
      </c>
      <c r="I3379" t="n">
        <v>0</v>
      </c>
      <c r="J3379" t="n">
        <v>0</v>
      </c>
      <c r="K3379" t="n">
        <v>0</v>
      </c>
      <c r="L3379" t="n">
        <v>0</v>
      </c>
      <c r="M3379" t="n">
        <v>0</v>
      </c>
      <c r="N3379" t="n">
        <v>0</v>
      </c>
      <c r="O3379" t="n">
        <v>0</v>
      </c>
      <c r="P3379" t="n">
        <v>0</v>
      </c>
      <c r="Q3379" t="n">
        <v>0</v>
      </c>
      <c r="R3379" s="2" t="inlineStr"/>
    </row>
    <row r="3380" ht="15" customHeight="1">
      <c r="A3380" t="inlineStr">
        <is>
          <t>A 48369-2021</t>
        </is>
      </c>
      <c r="B3380" s="1" t="n">
        <v>44451</v>
      </c>
      <c r="C3380" s="1" t="n">
        <v>45798</v>
      </c>
      <c r="D3380" t="inlineStr">
        <is>
          <t>NORRBOTTENS LÄN</t>
        </is>
      </c>
      <c r="E3380" t="inlineStr">
        <is>
          <t>PAJALA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48364-2021</t>
        </is>
      </c>
      <c r="B3381" s="1" t="n">
        <v>44451</v>
      </c>
      <c r="C3381" s="1" t="n">
        <v>45798</v>
      </c>
      <c r="D3381" t="inlineStr">
        <is>
          <t>NORRBOTTENS LÄN</t>
        </is>
      </c>
      <c r="E3381" t="inlineStr">
        <is>
          <t>PAJALA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48368-2021</t>
        </is>
      </c>
      <c r="B3382" s="1" t="n">
        <v>44451</v>
      </c>
      <c r="C3382" s="1" t="n">
        <v>45798</v>
      </c>
      <c r="D3382" t="inlineStr">
        <is>
          <t>NORRBOTTENS LÄN</t>
        </is>
      </c>
      <c r="E3382" t="inlineStr">
        <is>
          <t>PAJALA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48367-2021</t>
        </is>
      </c>
      <c r="B3383" s="1" t="n">
        <v>44451</v>
      </c>
      <c r="C3383" s="1" t="n">
        <v>45798</v>
      </c>
      <c r="D3383" t="inlineStr">
        <is>
          <t>NORRBOTTENS LÄN</t>
        </is>
      </c>
      <c r="E3383" t="inlineStr">
        <is>
          <t>PAJALA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48372-2021</t>
        </is>
      </c>
      <c r="B3384" s="1" t="n">
        <v>44451</v>
      </c>
      <c r="C3384" s="1" t="n">
        <v>45798</v>
      </c>
      <c r="D3384" t="inlineStr">
        <is>
          <t>NORRBOTTENS LÄN</t>
        </is>
      </c>
      <c r="E3384" t="inlineStr">
        <is>
          <t>PAJALA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48792-2021</t>
        </is>
      </c>
      <c r="B3385" s="1" t="n">
        <v>44452</v>
      </c>
      <c r="C3385" s="1" t="n">
        <v>45798</v>
      </c>
      <c r="D3385" t="inlineStr">
        <is>
          <t>NORRBOTTENS LÄN</t>
        </is>
      </c>
      <c r="E3385" t="inlineStr">
        <is>
          <t>ÖVERTORNEÅ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48770-2021</t>
        </is>
      </c>
      <c r="B3386" s="1" t="n">
        <v>44452</v>
      </c>
      <c r="C3386" s="1" t="n">
        <v>45798</v>
      </c>
      <c r="D3386" t="inlineStr">
        <is>
          <t>NORRBOTTENS LÄN</t>
        </is>
      </c>
      <c r="E3386" t="inlineStr">
        <is>
          <t>ÖVERTORNEÅ</t>
        </is>
      </c>
      <c r="G3386" t="n">
        <v>9.4</v>
      </c>
      <c r="H3386" t="n">
        <v>0</v>
      </c>
      <c r="I3386" t="n">
        <v>0</v>
      </c>
      <c r="J3386" t="n">
        <v>0</v>
      </c>
      <c r="K3386" t="n">
        <v>0</v>
      </c>
      <c r="L3386" t="n">
        <v>0</v>
      </c>
      <c r="M3386" t="n">
        <v>0</v>
      </c>
      <c r="N3386" t="n">
        <v>0</v>
      </c>
      <c r="O3386" t="n">
        <v>0</v>
      </c>
      <c r="P3386" t="n">
        <v>0</v>
      </c>
      <c r="Q3386" t="n">
        <v>0</v>
      </c>
      <c r="R3386" s="2" t="inlineStr"/>
    </row>
    <row r="3387" ht="15" customHeight="1">
      <c r="A3387" t="inlineStr">
        <is>
          <t>A 48780-2021</t>
        </is>
      </c>
      <c r="B3387" s="1" t="n">
        <v>44452</v>
      </c>
      <c r="C3387" s="1" t="n">
        <v>45798</v>
      </c>
      <c r="D3387" t="inlineStr">
        <is>
          <t>NORRBOTTENS LÄN</t>
        </is>
      </c>
      <c r="E3387" t="inlineStr">
        <is>
          <t>ÖVERTORNEÅ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48746-2021</t>
        </is>
      </c>
      <c r="B3388" s="1" t="n">
        <v>44452</v>
      </c>
      <c r="C3388" s="1" t="n">
        <v>45798</v>
      </c>
      <c r="D3388" t="inlineStr">
        <is>
          <t>NORRBOTTENS LÄN</t>
        </is>
      </c>
      <c r="E3388" t="inlineStr">
        <is>
          <t>ÖVERTORNEÅ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48870-2021</t>
        </is>
      </c>
      <c r="B3389" s="1" t="n">
        <v>44452</v>
      </c>
      <c r="C3389" s="1" t="n">
        <v>45798</v>
      </c>
      <c r="D3389" t="inlineStr">
        <is>
          <t>NORRBOTTENS LÄN</t>
        </is>
      </c>
      <c r="E3389" t="inlineStr">
        <is>
          <t>ARVIDSJAUR</t>
        </is>
      </c>
      <c r="F3389" t="inlineStr">
        <is>
          <t>SCA</t>
        </is>
      </c>
      <c r="G3389" t="n">
        <v>22.6</v>
      </c>
      <c r="H3389" t="n">
        <v>0</v>
      </c>
      <c r="I3389" t="n">
        <v>0</v>
      </c>
      <c r="J3389" t="n">
        <v>0</v>
      </c>
      <c r="K3389" t="n">
        <v>0</v>
      </c>
      <c r="L3389" t="n">
        <v>0</v>
      </c>
      <c r="M3389" t="n">
        <v>0</v>
      </c>
      <c r="N3389" t="n">
        <v>0</v>
      </c>
      <c r="O3389" t="n">
        <v>0</v>
      </c>
      <c r="P3389" t="n">
        <v>0</v>
      </c>
      <c r="Q3389" t="n">
        <v>0</v>
      </c>
      <c r="R3389" s="2" t="inlineStr"/>
    </row>
    <row r="3390" ht="15" customHeight="1">
      <c r="A3390" t="inlineStr">
        <is>
          <t>A 49030-2021</t>
        </is>
      </c>
      <c r="B3390" s="1" t="n">
        <v>44453</v>
      </c>
      <c r="C3390" s="1" t="n">
        <v>45798</v>
      </c>
      <c r="D3390" t="inlineStr">
        <is>
          <t>NORRBOTTENS LÄN</t>
        </is>
      </c>
      <c r="E3390" t="inlineStr">
        <is>
          <t>PITEÅ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49042-2021</t>
        </is>
      </c>
      <c r="B3391" s="1" t="n">
        <v>44453</v>
      </c>
      <c r="C3391" s="1" t="n">
        <v>45798</v>
      </c>
      <c r="D3391" t="inlineStr">
        <is>
          <t>NORRBOTTENS LÄN</t>
        </is>
      </c>
      <c r="E3391" t="inlineStr">
        <is>
          <t>PAJALA</t>
        </is>
      </c>
      <c r="G3391" t="n">
        <v>117.4</v>
      </c>
      <c r="H3391" t="n">
        <v>0</v>
      </c>
      <c r="I3391" t="n">
        <v>0</v>
      </c>
      <c r="J3391" t="n">
        <v>0</v>
      </c>
      <c r="K3391" t="n">
        <v>0</v>
      </c>
      <c r="L3391" t="n">
        <v>0</v>
      </c>
      <c r="M3391" t="n">
        <v>0</v>
      </c>
      <c r="N3391" t="n">
        <v>0</v>
      </c>
      <c r="O3391" t="n">
        <v>0</v>
      </c>
      <c r="P3391" t="n">
        <v>0</v>
      </c>
      <c r="Q3391" t="n">
        <v>0</v>
      </c>
      <c r="R3391" s="2" t="inlineStr"/>
    </row>
    <row r="3392" ht="15" customHeight="1">
      <c r="A3392" t="inlineStr">
        <is>
          <t>A 49483-2021</t>
        </is>
      </c>
      <c r="B3392" s="1" t="n">
        <v>44454</v>
      </c>
      <c r="C3392" s="1" t="n">
        <v>45798</v>
      </c>
      <c r="D3392" t="inlineStr">
        <is>
          <t>NORRBOTTENS LÄN</t>
        </is>
      </c>
      <c r="E3392" t="inlineStr">
        <is>
          <t>JOKKMOKK</t>
        </is>
      </c>
      <c r="F3392" t="inlineStr">
        <is>
          <t>SCA</t>
        </is>
      </c>
      <c r="G3392" t="n">
        <v>24.2</v>
      </c>
      <c r="H3392" t="n">
        <v>0</v>
      </c>
      <c r="I3392" t="n">
        <v>0</v>
      </c>
      <c r="J3392" t="n">
        <v>0</v>
      </c>
      <c r="K3392" t="n">
        <v>0</v>
      </c>
      <c r="L3392" t="n">
        <v>0</v>
      </c>
      <c r="M3392" t="n">
        <v>0</v>
      </c>
      <c r="N3392" t="n">
        <v>0</v>
      </c>
      <c r="O3392" t="n">
        <v>0</v>
      </c>
      <c r="P3392" t="n">
        <v>0</v>
      </c>
      <c r="Q3392" t="n">
        <v>0</v>
      </c>
      <c r="R3392" s="2" t="inlineStr"/>
    </row>
    <row r="3393" ht="15" customHeight="1">
      <c r="A3393" t="inlineStr">
        <is>
          <t>A 49482-2021</t>
        </is>
      </c>
      <c r="B3393" s="1" t="n">
        <v>44454</v>
      </c>
      <c r="C3393" s="1" t="n">
        <v>45798</v>
      </c>
      <c r="D3393" t="inlineStr">
        <is>
          <t>NORRBOTTENS LÄN</t>
        </is>
      </c>
      <c r="E3393" t="inlineStr">
        <is>
          <t>JOKKMOKK</t>
        </is>
      </c>
      <c r="F3393" t="inlineStr">
        <is>
          <t>SCA</t>
        </is>
      </c>
      <c r="G3393" t="n">
        <v>20.4</v>
      </c>
      <c r="H3393" t="n">
        <v>0</v>
      </c>
      <c r="I3393" t="n">
        <v>0</v>
      </c>
      <c r="J3393" t="n">
        <v>0</v>
      </c>
      <c r="K3393" t="n">
        <v>0</v>
      </c>
      <c r="L3393" t="n">
        <v>0</v>
      </c>
      <c r="M3393" t="n">
        <v>0</v>
      </c>
      <c r="N3393" t="n">
        <v>0</v>
      </c>
      <c r="O3393" t="n">
        <v>0</v>
      </c>
      <c r="P3393" t="n">
        <v>0</v>
      </c>
      <c r="Q3393" t="n">
        <v>0</v>
      </c>
      <c r="R3393" s="2" t="inlineStr"/>
    </row>
    <row r="3394" ht="15" customHeight="1">
      <c r="A3394" t="inlineStr">
        <is>
          <t>A 50015-2021</t>
        </is>
      </c>
      <c r="B3394" s="1" t="n">
        <v>44454</v>
      </c>
      <c r="C3394" s="1" t="n">
        <v>45798</v>
      </c>
      <c r="D3394" t="inlineStr">
        <is>
          <t>NORRBOTTENS LÄN</t>
        </is>
      </c>
      <c r="E3394" t="inlineStr">
        <is>
          <t>PITEÅ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50031-2021</t>
        </is>
      </c>
      <c r="B3395" s="1" t="n">
        <v>44454</v>
      </c>
      <c r="C3395" s="1" t="n">
        <v>45798</v>
      </c>
      <c r="D3395" t="inlineStr">
        <is>
          <t>NORRBOTTENS LÄN</t>
        </is>
      </c>
      <c r="E3395" t="inlineStr">
        <is>
          <t>PITEÅ</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50304-2021</t>
        </is>
      </c>
      <c r="B3396" s="1" t="n">
        <v>44455</v>
      </c>
      <c r="C3396" s="1" t="n">
        <v>45798</v>
      </c>
      <c r="D3396" t="inlineStr">
        <is>
          <t>NORRBOTTENS LÄN</t>
        </is>
      </c>
      <c r="E3396" t="inlineStr">
        <is>
          <t>PAJALA</t>
        </is>
      </c>
      <c r="G3396" t="n">
        <v>21.7</v>
      </c>
      <c r="H3396" t="n">
        <v>0</v>
      </c>
      <c r="I3396" t="n">
        <v>0</v>
      </c>
      <c r="J3396" t="n">
        <v>0</v>
      </c>
      <c r="K3396" t="n">
        <v>0</v>
      </c>
      <c r="L3396" t="n">
        <v>0</v>
      </c>
      <c r="M3396" t="n">
        <v>0</v>
      </c>
      <c r="N3396" t="n">
        <v>0</v>
      </c>
      <c r="O3396" t="n">
        <v>0</v>
      </c>
      <c r="P3396" t="n">
        <v>0</v>
      </c>
      <c r="Q3396" t="n">
        <v>0</v>
      </c>
      <c r="R3396" s="2" t="inlineStr"/>
    </row>
    <row r="3397" ht="15" customHeight="1">
      <c r="A3397" t="inlineStr">
        <is>
          <t>A 49773-2021</t>
        </is>
      </c>
      <c r="B3397" s="1" t="n">
        <v>44455</v>
      </c>
      <c r="C3397" s="1" t="n">
        <v>45798</v>
      </c>
      <c r="D3397" t="inlineStr">
        <is>
          <t>NORRBOTTENS LÄN</t>
        </is>
      </c>
      <c r="E3397" t="inlineStr">
        <is>
          <t>ÄLVSBYN</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49823-2021</t>
        </is>
      </c>
      <c r="B3398" s="1" t="n">
        <v>44455</v>
      </c>
      <c r="C3398" s="1" t="n">
        <v>45798</v>
      </c>
      <c r="D3398" t="inlineStr">
        <is>
          <t>NORRBOTTENS LÄN</t>
        </is>
      </c>
      <c r="E3398" t="inlineStr">
        <is>
          <t>BODEN</t>
        </is>
      </c>
      <c r="F3398" t="inlineStr">
        <is>
          <t>Sveaskog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49761-2021</t>
        </is>
      </c>
      <c r="B3399" s="1" t="n">
        <v>44455</v>
      </c>
      <c r="C3399" s="1" t="n">
        <v>45798</v>
      </c>
      <c r="D3399" t="inlineStr">
        <is>
          <t>NORRBOTTENS LÄN</t>
        </is>
      </c>
      <c r="E3399" t="inlineStr">
        <is>
          <t>KALIX</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49843-2021</t>
        </is>
      </c>
      <c r="B3400" s="1" t="n">
        <v>44455</v>
      </c>
      <c r="C3400" s="1" t="n">
        <v>45798</v>
      </c>
      <c r="D3400" t="inlineStr">
        <is>
          <t>NORRBOTTENS LÄN</t>
        </is>
      </c>
      <c r="E3400" t="inlineStr">
        <is>
          <t>ÄLVSBYN</t>
        </is>
      </c>
      <c r="F3400" t="inlineStr">
        <is>
          <t>Sveaskog</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49961-2021</t>
        </is>
      </c>
      <c r="B3401" s="1" t="n">
        <v>44456</v>
      </c>
      <c r="C3401" s="1" t="n">
        <v>45798</v>
      </c>
      <c r="D3401" t="inlineStr">
        <is>
          <t>NORRBOTTENS LÄN</t>
        </is>
      </c>
      <c r="E3401" t="inlineStr">
        <is>
          <t>HAPARANDA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49979-2021</t>
        </is>
      </c>
      <c r="B3402" s="1" t="n">
        <v>44456</v>
      </c>
      <c r="C3402" s="1" t="n">
        <v>45798</v>
      </c>
      <c r="D3402" t="inlineStr">
        <is>
          <t>NORRBOTTENS LÄN</t>
        </is>
      </c>
      <c r="E3402" t="inlineStr">
        <is>
          <t>ARVIDSJAUR</t>
        </is>
      </c>
      <c r="F3402" t="inlineStr">
        <is>
          <t>Sveaskog</t>
        </is>
      </c>
      <c r="G3402" t="n">
        <v>13.8</v>
      </c>
      <c r="H3402" t="n">
        <v>0</v>
      </c>
      <c r="I3402" t="n">
        <v>0</v>
      </c>
      <c r="J3402" t="n">
        <v>0</v>
      </c>
      <c r="K3402" t="n">
        <v>0</v>
      </c>
      <c r="L3402" t="n">
        <v>0</v>
      </c>
      <c r="M3402" t="n">
        <v>0</v>
      </c>
      <c r="N3402" t="n">
        <v>0</v>
      </c>
      <c r="O3402" t="n">
        <v>0</v>
      </c>
      <c r="P3402" t="n">
        <v>0</v>
      </c>
      <c r="Q3402" t="n">
        <v>0</v>
      </c>
      <c r="R3402" s="2" t="inlineStr"/>
    </row>
    <row r="3403" ht="15" customHeight="1">
      <c r="A3403" t="inlineStr">
        <is>
          <t>A 49949-2021</t>
        </is>
      </c>
      <c r="B3403" s="1" t="n">
        <v>44456</v>
      </c>
      <c r="C3403" s="1" t="n">
        <v>45798</v>
      </c>
      <c r="D3403" t="inlineStr">
        <is>
          <t>NORRBOTTENS LÄN</t>
        </is>
      </c>
      <c r="E3403" t="inlineStr">
        <is>
          <t>KALIX</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49959-2021</t>
        </is>
      </c>
      <c r="B3404" s="1" t="n">
        <v>44456</v>
      </c>
      <c r="C3404" s="1" t="n">
        <v>45798</v>
      </c>
      <c r="D3404" t="inlineStr">
        <is>
          <t>NORRBOTTENS LÄN</t>
        </is>
      </c>
      <c r="E3404" t="inlineStr">
        <is>
          <t>HAPARANDA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50087-2021</t>
        </is>
      </c>
      <c r="B3405" s="1" t="n">
        <v>44456</v>
      </c>
      <c r="C3405" s="1" t="n">
        <v>45798</v>
      </c>
      <c r="D3405" t="inlineStr">
        <is>
          <t>NORRBOTTENS LÄN</t>
        </is>
      </c>
      <c r="E3405" t="inlineStr">
        <is>
          <t>LULEÅ</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50316-2021</t>
        </is>
      </c>
      <c r="B3406" s="1" t="n">
        <v>44459</v>
      </c>
      <c r="C3406" s="1" t="n">
        <v>45798</v>
      </c>
      <c r="D3406" t="inlineStr">
        <is>
          <t>NORRBOTTENS LÄN</t>
        </is>
      </c>
      <c r="E3406" t="inlineStr">
        <is>
          <t>PITEÅ</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50362-2021</t>
        </is>
      </c>
      <c r="B3407" s="1" t="n">
        <v>44459</v>
      </c>
      <c r="C3407" s="1" t="n">
        <v>45798</v>
      </c>
      <c r="D3407" t="inlineStr">
        <is>
          <t>NORRBOTTENS LÄN</t>
        </is>
      </c>
      <c r="E3407" t="inlineStr">
        <is>
          <t>KALIX</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50468-2021</t>
        </is>
      </c>
      <c r="B3408" s="1" t="n">
        <v>44459</v>
      </c>
      <c r="C3408" s="1" t="n">
        <v>45798</v>
      </c>
      <c r="D3408" t="inlineStr">
        <is>
          <t>NORRBOTTENS LÄN</t>
        </is>
      </c>
      <c r="E3408" t="inlineStr">
        <is>
          <t>LULEÅ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50537-2021</t>
        </is>
      </c>
      <c r="B3409" s="1" t="n">
        <v>44459</v>
      </c>
      <c r="C3409" s="1" t="n">
        <v>45798</v>
      </c>
      <c r="D3409" t="inlineStr">
        <is>
          <t>NORRBOTTENS LÄN</t>
        </is>
      </c>
      <c r="E3409" t="inlineStr">
        <is>
          <t>PAJALA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50861-2021</t>
        </is>
      </c>
      <c r="B3410" s="1" t="n">
        <v>44459</v>
      </c>
      <c r="C3410" s="1" t="n">
        <v>45798</v>
      </c>
      <c r="D3410" t="inlineStr">
        <is>
          <t>NORRBOTTENS LÄN</t>
        </is>
      </c>
      <c r="E3410" t="inlineStr">
        <is>
          <t>PAJALA</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50632-2021</t>
        </is>
      </c>
      <c r="B3411" s="1" t="n">
        <v>44459</v>
      </c>
      <c r="C3411" s="1" t="n">
        <v>45798</v>
      </c>
      <c r="D3411" t="inlineStr">
        <is>
          <t>NORRBOTTENS LÄN</t>
        </is>
      </c>
      <c r="E3411" t="inlineStr">
        <is>
          <t>LULEÅ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50917-2021</t>
        </is>
      </c>
      <c r="B3412" s="1" t="n">
        <v>44460</v>
      </c>
      <c r="C3412" s="1" t="n">
        <v>45798</v>
      </c>
      <c r="D3412" t="inlineStr">
        <is>
          <t>NORRBOTTENS LÄN</t>
        </is>
      </c>
      <c r="E3412" t="inlineStr">
        <is>
          <t>ÄLVSBYN</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50719-2021</t>
        </is>
      </c>
      <c r="B3413" s="1" t="n">
        <v>44460</v>
      </c>
      <c r="C3413" s="1" t="n">
        <v>45798</v>
      </c>
      <c r="D3413" t="inlineStr">
        <is>
          <t>NORRBOTTENS LÄN</t>
        </is>
      </c>
      <c r="E3413" t="inlineStr">
        <is>
          <t>HAPARANDA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50746-2021</t>
        </is>
      </c>
      <c r="B3414" s="1" t="n">
        <v>44460</v>
      </c>
      <c r="C3414" s="1" t="n">
        <v>45798</v>
      </c>
      <c r="D3414" t="inlineStr">
        <is>
          <t>NORRBOTTENS LÄN</t>
        </is>
      </c>
      <c r="E3414" t="inlineStr">
        <is>
          <t>ÄLVSBYN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51022-2021</t>
        </is>
      </c>
      <c r="B3415" s="1" t="n">
        <v>44460</v>
      </c>
      <c r="C3415" s="1" t="n">
        <v>45798</v>
      </c>
      <c r="D3415" t="inlineStr">
        <is>
          <t>NORRBOTTENS LÄN</t>
        </is>
      </c>
      <c r="E3415" t="inlineStr">
        <is>
          <t>ÖVERKALIX</t>
        </is>
      </c>
      <c r="F3415" t="inlineStr">
        <is>
          <t>SCA</t>
        </is>
      </c>
      <c r="G3415" t="n">
        <v>18.4</v>
      </c>
      <c r="H3415" t="n">
        <v>0</v>
      </c>
      <c r="I3415" t="n">
        <v>0</v>
      </c>
      <c r="J3415" t="n">
        <v>0</v>
      </c>
      <c r="K3415" t="n">
        <v>0</v>
      </c>
      <c r="L3415" t="n">
        <v>0</v>
      </c>
      <c r="M3415" t="n">
        <v>0</v>
      </c>
      <c r="N3415" t="n">
        <v>0</v>
      </c>
      <c r="O3415" t="n">
        <v>0</v>
      </c>
      <c r="P3415" t="n">
        <v>0</v>
      </c>
      <c r="Q3415" t="n">
        <v>0</v>
      </c>
      <c r="R3415" s="2" t="inlineStr"/>
    </row>
    <row r="3416" ht="15" customHeight="1">
      <c r="A3416" t="inlineStr">
        <is>
          <t>A 50924-2021</t>
        </is>
      </c>
      <c r="B3416" s="1" t="n">
        <v>44460</v>
      </c>
      <c r="C3416" s="1" t="n">
        <v>45798</v>
      </c>
      <c r="D3416" t="inlineStr">
        <is>
          <t>NORRBOTTENS LÄN</t>
        </is>
      </c>
      <c r="E3416" t="inlineStr">
        <is>
          <t>ÄLVSBYN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50744-2021</t>
        </is>
      </c>
      <c r="B3417" s="1" t="n">
        <v>44460</v>
      </c>
      <c r="C3417" s="1" t="n">
        <v>45798</v>
      </c>
      <c r="D3417" t="inlineStr">
        <is>
          <t>NORRBOTTENS LÄN</t>
        </is>
      </c>
      <c r="E3417" t="inlineStr">
        <is>
          <t>ÄLVSBYN</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51182-2021</t>
        </is>
      </c>
      <c r="B3418" s="1" t="n">
        <v>44461</v>
      </c>
      <c r="C3418" s="1" t="n">
        <v>45798</v>
      </c>
      <c r="D3418" t="inlineStr">
        <is>
          <t>NORRBOTTENS LÄN</t>
        </is>
      </c>
      <c r="E3418" t="inlineStr">
        <is>
          <t>KALIX</t>
        </is>
      </c>
      <c r="G3418" t="n">
        <v>23.1</v>
      </c>
      <c r="H3418" t="n">
        <v>0</v>
      </c>
      <c r="I3418" t="n">
        <v>0</v>
      </c>
      <c r="J3418" t="n">
        <v>0</v>
      </c>
      <c r="K3418" t="n">
        <v>0</v>
      </c>
      <c r="L3418" t="n">
        <v>0</v>
      </c>
      <c r="M3418" t="n">
        <v>0</v>
      </c>
      <c r="N3418" t="n">
        <v>0</v>
      </c>
      <c r="O3418" t="n">
        <v>0</v>
      </c>
      <c r="P3418" t="n">
        <v>0</v>
      </c>
      <c r="Q3418" t="n">
        <v>0</v>
      </c>
      <c r="R3418" s="2" t="inlineStr"/>
    </row>
    <row r="3419" ht="15" customHeight="1">
      <c r="A3419" t="inlineStr">
        <is>
          <t>A 51141-2021</t>
        </is>
      </c>
      <c r="B3419" s="1" t="n">
        <v>44461</v>
      </c>
      <c r="C3419" s="1" t="n">
        <v>45798</v>
      </c>
      <c r="D3419" t="inlineStr">
        <is>
          <t>NORRBOTTENS LÄN</t>
        </is>
      </c>
      <c r="E3419" t="inlineStr">
        <is>
          <t>KALIX</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51328-2021</t>
        </is>
      </c>
      <c r="B3420" s="1" t="n">
        <v>44461</v>
      </c>
      <c r="C3420" s="1" t="n">
        <v>45798</v>
      </c>
      <c r="D3420" t="inlineStr">
        <is>
          <t>NORRBOTTENS LÄN</t>
        </is>
      </c>
      <c r="E3420" t="inlineStr">
        <is>
          <t>BODEN</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51540-2021</t>
        </is>
      </c>
      <c r="B3421" s="1" t="n">
        <v>44462</v>
      </c>
      <c r="C3421" s="1" t="n">
        <v>45798</v>
      </c>
      <c r="D3421" t="inlineStr">
        <is>
          <t>NORRBOTTENS LÄN</t>
        </is>
      </c>
      <c r="E3421" t="inlineStr">
        <is>
          <t>ÄLVSBYN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51829-2021</t>
        </is>
      </c>
      <c r="B3422" s="1" t="n">
        <v>44462</v>
      </c>
      <c r="C3422" s="1" t="n">
        <v>45798</v>
      </c>
      <c r="D3422" t="inlineStr">
        <is>
          <t>NORRBOTTENS LÄN</t>
        </is>
      </c>
      <c r="E3422" t="inlineStr">
        <is>
          <t>ÄLVSBYN</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51825-2021</t>
        </is>
      </c>
      <c r="B3423" s="1" t="n">
        <v>44462</v>
      </c>
      <c r="C3423" s="1" t="n">
        <v>45798</v>
      </c>
      <c r="D3423" t="inlineStr">
        <is>
          <t>NORRBOTTENS LÄN</t>
        </is>
      </c>
      <c r="E3423" t="inlineStr">
        <is>
          <t>ÄLVSBYN</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51902-2021</t>
        </is>
      </c>
      <c r="B3424" s="1" t="n">
        <v>44463</v>
      </c>
      <c r="C3424" s="1" t="n">
        <v>45798</v>
      </c>
      <c r="D3424" t="inlineStr">
        <is>
          <t>NORRBOTTENS LÄN</t>
        </is>
      </c>
      <c r="E3424" t="inlineStr">
        <is>
          <t>BODEN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51925-2021</t>
        </is>
      </c>
      <c r="B3425" s="1" t="n">
        <v>44462</v>
      </c>
      <c r="C3425" s="1" t="n">
        <v>45798</v>
      </c>
      <c r="D3425" t="inlineStr">
        <is>
          <t>NORRBOTTENS LÄN</t>
        </is>
      </c>
      <c r="E3425" t="inlineStr">
        <is>
          <t>ARVIDSJAUR</t>
        </is>
      </c>
      <c r="F3425" t="inlineStr">
        <is>
          <t>SCA</t>
        </is>
      </c>
      <c r="G3425" t="n">
        <v>22.6</v>
      </c>
      <c r="H3425" t="n">
        <v>0</v>
      </c>
      <c r="I3425" t="n">
        <v>0</v>
      </c>
      <c r="J3425" t="n">
        <v>0</v>
      </c>
      <c r="K3425" t="n">
        <v>0</v>
      </c>
      <c r="L3425" t="n">
        <v>0</v>
      </c>
      <c r="M3425" t="n">
        <v>0</v>
      </c>
      <c r="N3425" t="n">
        <v>0</v>
      </c>
      <c r="O3425" t="n">
        <v>0</v>
      </c>
      <c r="P3425" t="n">
        <v>0</v>
      </c>
      <c r="Q3425" t="n">
        <v>0</v>
      </c>
      <c r="R3425" s="2" t="inlineStr"/>
    </row>
    <row r="3426" ht="15" customHeight="1">
      <c r="A3426" t="inlineStr">
        <is>
          <t>A 51912-2021</t>
        </is>
      </c>
      <c r="B3426" s="1" t="n">
        <v>44462</v>
      </c>
      <c r="C3426" s="1" t="n">
        <v>45798</v>
      </c>
      <c r="D3426" t="inlineStr">
        <is>
          <t>NORRBOTTENS LÄN</t>
        </is>
      </c>
      <c r="E3426" t="inlineStr">
        <is>
          <t>ÄLVSBYN</t>
        </is>
      </c>
      <c r="G3426" t="n">
        <v>26.5</v>
      </c>
      <c r="H3426" t="n">
        <v>0</v>
      </c>
      <c r="I3426" t="n">
        <v>0</v>
      </c>
      <c r="J3426" t="n">
        <v>0</v>
      </c>
      <c r="K3426" t="n">
        <v>0</v>
      </c>
      <c r="L3426" t="n">
        <v>0</v>
      </c>
      <c r="M3426" t="n">
        <v>0</v>
      </c>
      <c r="N3426" t="n">
        <v>0</v>
      </c>
      <c r="O3426" t="n">
        <v>0</v>
      </c>
      <c r="P3426" t="n">
        <v>0</v>
      </c>
      <c r="Q3426" t="n">
        <v>0</v>
      </c>
      <c r="R3426" s="2" t="inlineStr"/>
    </row>
    <row r="3427" ht="15" customHeight="1">
      <c r="A3427" t="inlineStr">
        <is>
          <t>A 52147-2021</t>
        </is>
      </c>
      <c r="B3427" s="1" t="n">
        <v>44462</v>
      </c>
      <c r="C3427" s="1" t="n">
        <v>45798</v>
      </c>
      <c r="D3427" t="inlineStr">
        <is>
          <t>NORRBOTTENS LÄN</t>
        </is>
      </c>
      <c r="E3427" t="inlineStr">
        <is>
          <t>PAJALA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52280-2021</t>
        </is>
      </c>
      <c r="B3428" s="1" t="n">
        <v>44462</v>
      </c>
      <c r="C3428" s="1" t="n">
        <v>45798</v>
      </c>
      <c r="D3428" t="inlineStr">
        <is>
          <t>NORRBOTTENS LÄN</t>
        </is>
      </c>
      <c r="E3428" t="inlineStr">
        <is>
          <t>JOKKMOKK</t>
        </is>
      </c>
      <c r="F3428" t="inlineStr">
        <is>
          <t>Övriga statliga verk och myndigheter</t>
        </is>
      </c>
      <c r="G3428" t="n">
        <v>25.9</v>
      </c>
      <c r="H3428" t="n">
        <v>0</v>
      </c>
      <c r="I3428" t="n">
        <v>0</v>
      </c>
      <c r="J3428" t="n">
        <v>0</v>
      </c>
      <c r="K3428" t="n">
        <v>0</v>
      </c>
      <c r="L3428" t="n">
        <v>0</v>
      </c>
      <c r="M3428" t="n">
        <v>0</v>
      </c>
      <c r="N3428" t="n">
        <v>0</v>
      </c>
      <c r="O3428" t="n">
        <v>0</v>
      </c>
      <c r="P3428" t="n">
        <v>0</v>
      </c>
      <c r="Q3428" t="n">
        <v>0</v>
      </c>
      <c r="R3428" s="2" t="inlineStr"/>
    </row>
    <row r="3429" ht="15" customHeight="1">
      <c r="A3429" t="inlineStr">
        <is>
          <t>A 51963-2021</t>
        </is>
      </c>
      <c r="B3429" s="1" t="n">
        <v>44463</v>
      </c>
      <c r="C3429" s="1" t="n">
        <v>45798</v>
      </c>
      <c r="D3429" t="inlineStr">
        <is>
          <t>NORRBOTTENS LÄN</t>
        </is>
      </c>
      <c r="E3429" t="inlineStr">
        <is>
          <t>BODEN</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51993-2021</t>
        </is>
      </c>
      <c r="B3430" s="1" t="n">
        <v>44463</v>
      </c>
      <c r="C3430" s="1" t="n">
        <v>45798</v>
      </c>
      <c r="D3430" t="inlineStr">
        <is>
          <t>NORRBOTTENS LÄN</t>
        </is>
      </c>
      <c r="E3430" t="inlineStr">
        <is>
          <t>ÄLVSBYN</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52003-2021</t>
        </is>
      </c>
      <c r="B3431" s="1" t="n">
        <v>44463</v>
      </c>
      <c r="C3431" s="1" t="n">
        <v>45798</v>
      </c>
      <c r="D3431" t="inlineStr">
        <is>
          <t>NORRBOTTENS LÄN</t>
        </is>
      </c>
      <c r="E3431" t="inlineStr">
        <is>
          <t>PITEÅ</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52075-2021</t>
        </is>
      </c>
      <c r="B3432" s="1" t="n">
        <v>44463</v>
      </c>
      <c r="C3432" s="1" t="n">
        <v>45798</v>
      </c>
      <c r="D3432" t="inlineStr">
        <is>
          <t>NORRBOTTENS LÄN</t>
        </is>
      </c>
      <c r="E3432" t="inlineStr">
        <is>
          <t>BODEN</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51998-2021</t>
        </is>
      </c>
      <c r="B3433" s="1" t="n">
        <v>44463</v>
      </c>
      <c r="C3433" s="1" t="n">
        <v>45798</v>
      </c>
      <c r="D3433" t="inlineStr">
        <is>
          <t>NORRBOTTENS LÄN</t>
        </is>
      </c>
      <c r="E3433" t="inlineStr">
        <is>
          <t>ÄLVSBYN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51973-2021</t>
        </is>
      </c>
      <c r="B3434" s="1" t="n">
        <v>44463</v>
      </c>
      <c r="C3434" s="1" t="n">
        <v>45798</v>
      </c>
      <c r="D3434" t="inlineStr">
        <is>
          <t>NORRBOTTENS LÄN</t>
        </is>
      </c>
      <c r="E3434" t="inlineStr">
        <is>
          <t>BODEN</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52000-2021</t>
        </is>
      </c>
      <c r="B3435" s="1" t="n">
        <v>44463</v>
      </c>
      <c r="C3435" s="1" t="n">
        <v>45798</v>
      </c>
      <c r="D3435" t="inlineStr">
        <is>
          <t>NORRBOTTENS LÄN</t>
        </is>
      </c>
      <c r="E3435" t="inlineStr">
        <is>
          <t>HAPARANDA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52001-2021</t>
        </is>
      </c>
      <c r="B3436" s="1" t="n">
        <v>44463</v>
      </c>
      <c r="C3436" s="1" t="n">
        <v>45798</v>
      </c>
      <c r="D3436" t="inlineStr">
        <is>
          <t>NORRBOTTENS LÄN</t>
        </is>
      </c>
      <c r="E3436" t="inlineStr">
        <is>
          <t>PITEÅ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52109-2021</t>
        </is>
      </c>
      <c r="B3437" s="1" t="n">
        <v>44463</v>
      </c>
      <c r="C3437" s="1" t="n">
        <v>45798</v>
      </c>
      <c r="D3437" t="inlineStr">
        <is>
          <t>NORRBOTTENS LÄN</t>
        </is>
      </c>
      <c r="E3437" t="inlineStr">
        <is>
          <t>ARVIDSJAUR</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52288-2021</t>
        </is>
      </c>
      <c r="B3438" s="1" t="n">
        <v>44463</v>
      </c>
      <c r="C3438" s="1" t="n">
        <v>45798</v>
      </c>
      <c r="D3438" t="inlineStr">
        <is>
          <t>NORRBOTTENS LÄN</t>
        </is>
      </c>
      <c r="E3438" t="inlineStr">
        <is>
          <t>ÖVERTORNEÅ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52181-2021</t>
        </is>
      </c>
      <c r="B3439" s="1" t="n">
        <v>44463</v>
      </c>
      <c r="C3439" s="1" t="n">
        <v>45798</v>
      </c>
      <c r="D3439" t="inlineStr">
        <is>
          <t>NORRBOTTENS LÄN</t>
        </is>
      </c>
      <c r="E3439" t="inlineStr">
        <is>
          <t>GÄLLIVARE</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52253-2021</t>
        </is>
      </c>
      <c r="B3440" s="1" t="n">
        <v>44463</v>
      </c>
      <c r="C3440" s="1" t="n">
        <v>45798</v>
      </c>
      <c r="D3440" t="inlineStr">
        <is>
          <t>NORRBOTTENS LÄN</t>
        </is>
      </c>
      <c r="E3440" t="inlineStr">
        <is>
          <t>ÄLVSBYN</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52407-2021</t>
        </is>
      </c>
      <c r="B3441" s="1" t="n">
        <v>44463</v>
      </c>
      <c r="C3441" s="1" t="n">
        <v>45798</v>
      </c>
      <c r="D3441" t="inlineStr">
        <is>
          <t>NORRBOTTENS LÄN</t>
        </is>
      </c>
      <c r="E3441" t="inlineStr">
        <is>
          <t>ARVIDSJAUR</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52436-2021</t>
        </is>
      </c>
      <c r="B3442" s="1" t="n">
        <v>44463</v>
      </c>
      <c r="C3442" s="1" t="n">
        <v>45798</v>
      </c>
      <c r="D3442" t="inlineStr">
        <is>
          <t>NORRBOTTENS LÄN</t>
        </is>
      </c>
      <c r="E3442" t="inlineStr">
        <is>
          <t>LULEÅ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52411-2021</t>
        </is>
      </c>
      <c r="B3443" s="1" t="n">
        <v>44463</v>
      </c>
      <c r="C3443" s="1" t="n">
        <v>45798</v>
      </c>
      <c r="D3443" t="inlineStr">
        <is>
          <t>NORRBOTTENS LÄN</t>
        </is>
      </c>
      <c r="E3443" t="inlineStr">
        <is>
          <t>ARVIDSJAUR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52444-2021</t>
        </is>
      </c>
      <c r="B3444" s="1" t="n">
        <v>44463</v>
      </c>
      <c r="C3444" s="1" t="n">
        <v>45798</v>
      </c>
      <c r="D3444" t="inlineStr">
        <is>
          <t>NORRBOTTENS LÄN</t>
        </is>
      </c>
      <c r="E3444" t="inlineStr">
        <is>
          <t>LULEÅ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52422-2021</t>
        </is>
      </c>
      <c r="B3445" s="1" t="n">
        <v>44463</v>
      </c>
      <c r="C3445" s="1" t="n">
        <v>45798</v>
      </c>
      <c r="D3445" t="inlineStr">
        <is>
          <t>NORRBOTTENS LÄN</t>
        </is>
      </c>
      <c r="E3445" t="inlineStr">
        <is>
          <t>PITEÅ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52337-2021</t>
        </is>
      </c>
      <c r="B3446" s="1" t="n">
        <v>44464</v>
      </c>
      <c r="C3446" s="1" t="n">
        <v>45798</v>
      </c>
      <c r="D3446" t="inlineStr">
        <is>
          <t>NORRBOTTENS LÄN</t>
        </is>
      </c>
      <c r="E3446" t="inlineStr">
        <is>
          <t>PAJALA</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52345-2021</t>
        </is>
      </c>
      <c r="B3447" s="1" t="n">
        <v>44464</v>
      </c>
      <c r="C3447" s="1" t="n">
        <v>45798</v>
      </c>
      <c r="D3447" t="inlineStr">
        <is>
          <t>NORRBOTTENS LÄN</t>
        </is>
      </c>
      <c r="E3447" t="inlineStr">
        <is>
          <t>BODEN</t>
        </is>
      </c>
      <c r="G3447" t="n">
        <v>11.7</v>
      </c>
      <c r="H3447" t="n">
        <v>0</v>
      </c>
      <c r="I3447" t="n">
        <v>0</v>
      </c>
      <c r="J3447" t="n">
        <v>0</v>
      </c>
      <c r="K3447" t="n">
        <v>0</v>
      </c>
      <c r="L3447" t="n">
        <v>0</v>
      </c>
      <c r="M3447" t="n">
        <v>0</v>
      </c>
      <c r="N3447" t="n">
        <v>0</v>
      </c>
      <c r="O3447" t="n">
        <v>0</v>
      </c>
      <c r="P3447" t="n">
        <v>0</v>
      </c>
      <c r="Q3447" t="n">
        <v>0</v>
      </c>
      <c r="R3447" s="2" t="inlineStr"/>
    </row>
    <row r="3448" ht="15" customHeight="1">
      <c r="A3448" t="inlineStr">
        <is>
          <t>A 52338-2021</t>
        </is>
      </c>
      <c r="B3448" s="1" t="n">
        <v>44464</v>
      </c>
      <c r="C3448" s="1" t="n">
        <v>45798</v>
      </c>
      <c r="D3448" t="inlineStr">
        <is>
          <t>NORRBOTTENS LÄN</t>
        </is>
      </c>
      <c r="E3448" t="inlineStr">
        <is>
          <t>PAJALA</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52391-2021</t>
        </is>
      </c>
      <c r="B3449" s="1" t="n">
        <v>44466</v>
      </c>
      <c r="C3449" s="1" t="n">
        <v>45798</v>
      </c>
      <c r="D3449" t="inlineStr">
        <is>
          <t>NORRBOTTENS LÄN</t>
        </is>
      </c>
      <c r="E3449" t="inlineStr">
        <is>
          <t>HAPARANDA</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52393-2021</t>
        </is>
      </c>
      <c r="B3450" s="1" t="n">
        <v>44466</v>
      </c>
      <c r="C3450" s="1" t="n">
        <v>45798</v>
      </c>
      <c r="D3450" t="inlineStr">
        <is>
          <t>NORRBOTTENS LÄN</t>
        </is>
      </c>
      <c r="E3450" t="inlineStr">
        <is>
          <t>HAPARANDA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52405-2021</t>
        </is>
      </c>
      <c r="B3451" s="1" t="n">
        <v>44466</v>
      </c>
      <c r="C3451" s="1" t="n">
        <v>45798</v>
      </c>
      <c r="D3451" t="inlineStr">
        <is>
          <t>NORRBOTTENS LÄN</t>
        </is>
      </c>
      <c r="E3451" t="inlineStr">
        <is>
          <t>PAJALA</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52716-2021</t>
        </is>
      </c>
      <c r="B3452" s="1" t="n">
        <v>44466</v>
      </c>
      <c r="C3452" s="1" t="n">
        <v>45798</v>
      </c>
      <c r="D3452" t="inlineStr">
        <is>
          <t>NORRBOTTENS LÄN</t>
        </is>
      </c>
      <c r="E3452" t="inlineStr">
        <is>
          <t>ÄLVSBYN</t>
        </is>
      </c>
      <c r="F3452" t="inlineStr">
        <is>
          <t>SCA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52869-2021</t>
        </is>
      </c>
      <c r="B3453" s="1" t="n">
        <v>44466</v>
      </c>
      <c r="C3453" s="1" t="n">
        <v>45798</v>
      </c>
      <c r="D3453" t="inlineStr">
        <is>
          <t>NORRBOTTENS LÄN</t>
        </is>
      </c>
      <c r="E3453" t="inlineStr">
        <is>
          <t>ÖVERKALIX</t>
        </is>
      </c>
      <c r="G3453" t="n">
        <v>12.6</v>
      </c>
      <c r="H3453" t="n">
        <v>0</v>
      </c>
      <c r="I3453" t="n">
        <v>0</v>
      </c>
      <c r="J3453" t="n">
        <v>0</v>
      </c>
      <c r="K3453" t="n">
        <v>0</v>
      </c>
      <c r="L3453" t="n">
        <v>0</v>
      </c>
      <c r="M3453" t="n">
        <v>0</v>
      </c>
      <c r="N3453" t="n">
        <v>0</v>
      </c>
      <c r="O3453" t="n">
        <v>0</v>
      </c>
      <c r="P3453" t="n">
        <v>0</v>
      </c>
      <c r="Q3453" t="n">
        <v>0</v>
      </c>
      <c r="R3453" s="2" t="inlineStr"/>
    </row>
    <row r="3454" ht="15" customHeight="1">
      <c r="A3454" t="inlineStr">
        <is>
          <t>A 52713-2021</t>
        </is>
      </c>
      <c r="B3454" s="1" t="n">
        <v>44467</v>
      </c>
      <c r="C3454" s="1" t="n">
        <v>45798</v>
      </c>
      <c r="D3454" t="inlineStr">
        <is>
          <t>NORRBOTTENS LÄN</t>
        </is>
      </c>
      <c r="E3454" t="inlineStr">
        <is>
          <t>ÖVERKALIX</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53322-2021</t>
        </is>
      </c>
      <c r="B3455" s="1" t="n">
        <v>44466</v>
      </c>
      <c r="C3455" s="1" t="n">
        <v>45798</v>
      </c>
      <c r="D3455" t="inlineStr">
        <is>
          <t>NORRBOTTENS LÄN</t>
        </is>
      </c>
      <c r="E3455" t="inlineStr">
        <is>
          <t>ÖVERKALIX</t>
        </is>
      </c>
      <c r="G3455" t="n">
        <v>19.4</v>
      </c>
      <c r="H3455" t="n">
        <v>0</v>
      </c>
      <c r="I3455" t="n">
        <v>0</v>
      </c>
      <c r="J3455" t="n">
        <v>0</v>
      </c>
      <c r="K3455" t="n">
        <v>0</v>
      </c>
      <c r="L3455" t="n">
        <v>0</v>
      </c>
      <c r="M3455" t="n">
        <v>0</v>
      </c>
      <c r="N3455" t="n">
        <v>0</v>
      </c>
      <c r="O3455" t="n">
        <v>0</v>
      </c>
      <c r="P3455" t="n">
        <v>0</v>
      </c>
      <c r="Q3455" t="n">
        <v>0</v>
      </c>
      <c r="R3455" s="2" t="inlineStr"/>
    </row>
    <row r="3456" ht="15" customHeight="1">
      <c r="A3456" t="inlineStr">
        <is>
          <t>A 53328-2021</t>
        </is>
      </c>
      <c r="B3456" s="1" t="n">
        <v>44466</v>
      </c>
      <c r="C3456" s="1" t="n">
        <v>45798</v>
      </c>
      <c r="D3456" t="inlineStr">
        <is>
          <t>NORRBOTTENS LÄN</t>
        </is>
      </c>
      <c r="E3456" t="inlineStr">
        <is>
          <t>ÖVERKALIX</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52783-2021</t>
        </is>
      </c>
      <c r="B3457" s="1" t="n">
        <v>44467</v>
      </c>
      <c r="C3457" s="1" t="n">
        <v>45798</v>
      </c>
      <c r="D3457" t="inlineStr">
        <is>
          <t>NORRBOTTENS LÄN</t>
        </is>
      </c>
      <c r="E3457" t="inlineStr">
        <is>
          <t>PAJALA</t>
        </is>
      </c>
      <c r="F3457" t="inlineStr">
        <is>
          <t>Sveaskog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53005-2021</t>
        </is>
      </c>
      <c r="B3458" s="1" t="n">
        <v>44467</v>
      </c>
      <c r="C3458" s="1" t="n">
        <v>45798</v>
      </c>
      <c r="D3458" t="inlineStr">
        <is>
          <t>NORRBOTTENS LÄN</t>
        </is>
      </c>
      <c r="E3458" t="inlineStr">
        <is>
          <t>BODEN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53331-2021</t>
        </is>
      </c>
      <c r="B3459" s="1" t="n">
        <v>44468</v>
      </c>
      <c r="C3459" s="1" t="n">
        <v>45798</v>
      </c>
      <c r="D3459" t="inlineStr">
        <is>
          <t>NORRBOTTENS LÄN</t>
        </is>
      </c>
      <c r="E3459" t="inlineStr">
        <is>
          <t>PITEÅ</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53263-2021</t>
        </is>
      </c>
      <c r="B3460" s="1" t="n">
        <v>44468</v>
      </c>
      <c r="C3460" s="1" t="n">
        <v>45798</v>
      </c>
      <c r="D3460" t="inlineStr">
        <is>
          <t>NORRBOTTENS LÄN</t>
        </is>
      </c>
      <c r="E3460" t="inlineStr">
        <is>
          <t>PITEÅ</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53640-2021</t>
        </is>
      </c>
      <c r="B3461" s="1" t="n">
        <v>44469</v>
      </c>
      <c r="C3461" s="1" t="n">
        <v>45798</v>
      </c>
      <c r="D3461" t="inlineStr">
        <is>
          <t>NORRBOTTENS LÄN</t>
        </is>
      </c>
      <c r="E3461" t="inlineStr">
        <is>
          <t>KALIX</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53628-2021</t>
        </is>
      </c>
      <c r="B3462" s="1" t="n">
        <v>44469</v>
      </c>
      <c r="C3462" s="1" t="n">
        <v>45798</v>
      </c>
      <c r="D3462" t="inlineStr">
        <is>
          <t>NORRBOTTENS LÄN</t>
        </is>
      </c>
      <c r="E3462" t="inlineStr">
        <is>
          <t>BODEN</t>
        </is>
      </c>
      <c r="F3462" t="inlineStr">
        <is>
          <t>Sveaskog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53630-2021</t>
        </is>
      </c>
      <c r="B3463" s="1" t="n">
        <v>44469</v>
      </c>
      <c r="C3463" s="1" t="n">
        <v>45798</v>
      </c>
      <c r="D3463" t="inlineStr">
        <is>
          <t>NORRBOTTENS LÄN</t>
        </is>
      </c>
      <c r="E3463" t="inlineStr">
        <is>
          <t>BODEN</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53633-2021</t>
        </is>
      </c>
      <c r="B3464" s="1" t="n">
        <v>44469</v>
      </c>
      <c r="C3464" s="1" t="n">
        <v>45798</v>
      </c>
      <c r="D3464" t="inlineStr">
        <is>
          <t>NORRBOTTENS LÄN</t>
        </is>
      </c>
      <c r="E3464" t="inlineStr">
        <is>
          <t>BODEN</t>
        </is>
      </c>
      <c r="F3464" t="inlineStr">
        <is>
          <t>Sveaskog</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53849-2021</t>
        </is>
      </c>
      <c r="B3465" s="1" t="n">
        <v>44469</v>
      </c>
      <c r="C3465" s="1" t="n">
        <v>45798</v>
      </c>
      <c r="D3465" t="inlineStr">
        <is>
          <t>NORRBOTTENS LÄN</t>
        </is>
      </c>
      <c r="E3465" t="inlineStr">
        <is>
          <t>ÖVERKALIX</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54109-2021</t>
        </is>
      </c>
      <c r="B3466" s="1" t="n">
        <v>44469</v>
      </c>
      <c r="C3466" s="1" t="n">
        <v>45798</v>
      </c>
      <c r="D3466" t="inlineStr">
        <is>
          <t>NORRBOTTENS LÄN</t>
        </is>
      </c>
      <c r="E3466" t="inlineStr">
        <is>
          <t>KALIX</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54143-2021</t>
        </is>
      </c>
      <c r="B3467" s="1" t="n">
        <v>44469</v>
      </c>
      <c r="C3467" s="1" t="n">
        <v>45798</v>
      </c>
      <c r="D3467" t="inlineStr">
        <is>
          <t>NORRBOTTENS LÄN</t>
        </is>
      </c>
      <c r="E3467" t="inlineStr">
        <is>
          <t>ÖVERKALIX</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54163-2021</t>
        </is>
      </c>
      <c r="B3468" s="1" t="n">
        <v>44470</v>
      </c>
      <c r="C3468" s="1" t="n">
        <v>45798</v>
      </c>
      <c r="D3468" t="inlineStr">
        <is>
          <t>NORRBOTTENS LÄN</t>
        </is>
      </c>
      <c r="E3468" t="inlineStr">
        <is>
          <t>KALIX</t>
        </is>
      </c>
      <c r="F3468" t="inlineStr">
        <is>
          <t>Sveaskog</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54284-2021</t>
        </is>
      </c>
      <c r="B3469" s="1" t="n">
        <v>44471</v>
      </c>
      <c r="C3469" s="1" t="n">
        <v>45798</v>
      </c>
      <c r="D3469" t="inlineStr">
        <is>
          <t>NORRBOTTENS LÄN</t>
        </is>
      </c>
      <c r="E3469" t="inlineStr">
        <is>
          <t>PAJALA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54412-2021</t>
        </is>
      </c>
      <c r="B3470" s="1" t="n">
        <v>44473</v>
      </c>
      <c r="C3470" s="1" t="n">
        <v>45798</v>
      </c>
      <c r="D3470" t="inlineStr">
        <is>
          <t>NORRBOTTENS LÄN</t>
        </is>
      </c>
      <c r="E3470" t="inlineStr">
        <is>
          <t>ARVIDSJAUR</t>
        </is>
      </c>
      <c r="F3470" t="inlineStr">
        <is>
          <t>Sveaskog</t>
        </is>
      </c>
      <c r="G3470" t="n">
        <v>14.5</v>
      </c>
      <c r="H3470" t="n">
        <v>0</v>
      </c>
      <c r="I3470" t="n">
        <v>0</v>
      </c>
      <c r="J3470" t="n">
        <v>0</v>
      </c>
      <c r="K3470" t="n">
        <v>0</v>
      </c>
      <c r="L3470" t="n">
        <v>0</v>
      </c>
      <c r="M3470" t="n">
        <v>0</v>
      </c>
      <c r="N3470" t="n">
        <v>0</v>
      </c>
      <c r="O3470" t="n">
        <v>0</v>
      </c>
      <c r="P3470" t="n">
        <v>0</v>
      </c>
      <c r="Q3470" t="n">
        <v>0</v>
      </c>
      <c r="R3470" s="2" t="inlineStr"/>
    </row>
    <row r="3471" ht="15" customHeight="1">
      <c r="A3471" t="inlineStr">
        <is>
          <t>A 54410-2021</t>
        </is>
      </c>
      <c r="B3471" s="1" t="n">
        <v>44473</v>
      </c>
      <c r="C3471" s="1" t="n">
        <v>45798</v>
      </c>
      <c r="D3471" t="inlineStr">
        <is>
          <t>NORRBOTTENS LÄN</t>
        </is>
      </c>
      <c r="E3471" t="inlineStr">
        <is>
          <t>ARVIDSJAUR</t>
        </is>
      </c>
      <c r="F3471" t="inlineStr">
        <is>
          <t>Sveaskog</t>
        </is>
      </c>
      <c r="G3471" t="n">
        <v>29.4</v>
      </c>
      <c r="H3471" t="n">
        <v>0</v>
      </c>
      <c r="I3471" t="n">
        <v>0</v>
      </c>
      <c r="J3471" t="n">
        <v>0</v>
      </c>
      <c r="K3471" t="n">
        <v>0</v>
      </c>
      <c r="L3471" t="n">
        <v>0</v>
      </c>
      <c r="M3471" t="n">
        <v>0</v>
      </c>
      <c r="N3471" t="n">
        <v>0</v>
      </c>
      <c r="O3471" t="n">
        <v>0</v>
      </c>
      <c r="P3471" t="n">
        <v>0</v>
      </c>
      <c r="Q3471" t="n">
        <v>0</v>
      </c>
      <c r="R3471" s="2" t="inlineStr"/>
    </row>
    <row r="3472" ht="15" customHeight="1">
      <c r="A3472" t="inlineStr">
        <is>
          <t>A 54525-2021</t>
        </is>
      </c>
      <c r="B3472" s="1" t="n">
        <v>44473</v>
      </c>
      <c r="C3472" s="1" t="n">
        <v>45798</v>
      </c>
      <c r="D3472" t="inlineStr">
        <is>
          <t>NORRBOTTENS LÄN</t>
        </is>
      </c>
      <c r="E3472" t="inlineStr">
        <is>
          <t>PAJALA</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54589-2021</t>
        </is>
      </c>
      <c r="B3473" s="1" t="n">
        <v>44473</v>
      </c>
      <c r="C3473" s="1" t="n">
        <v>45798</v>
      </c>
      <c r="D3473" t="inlineStr">
        <is>
          <t>NORRBOTTENS LÄN</t>
        </is>
      </c>
      <c r="E3473" t="inlineStr">
        <is>
          <t>ARJEPLOG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54804-2021</t>
        </is>
      </c>
      <c r="B3474" s="1" t="n">
        <v>44473</v>
      </c>
      <c r="C3474" s="1" t="n">
        <v>45798</v>
      </c>
      <c r="D3474" t="inlineStr">
        <is>
          <t>NORRBOTTENS LÄN</t>
        </is>
      </c>
      <c r="E3474" t="inlineStr">
        <is>
          <t>ÄLVSBYN</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54820-2021</t>
        </is>
      </c>
      <c r="B3475" s="1" t="n">
        <v>44473</v>
      </c>
      <c r="C3475" s="1" t="n">
        <v>45798</v>
      </c>
      <c r="D3475" t="inlineStr">
        <is>
          <t>NORRBOTTENS LÄN</t>
        </is>
      </c>
      <c r="E3475" t="inlineStr">
        <is>
          <t>GÄLLIVARE</t>
        </is>
      </c>
      <c r="F3475" t="inlineStr">
        <is>
          <t>SCA</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54805-2021</t>
        </is>
      </c>
      <c r="B3476" s="1" t="n">
        <v>44474</v>
      </c>
      <c r="C3476" s="1" t="n">
        <v>45798</v>
      </c>
      <c r="D3476" t="inlineStr">
        <is>
          <t>NORRBOTTENS LÄN</t>
        </is>
      </c>
      <c r="E3476" t="inlineStr">
        <is>
          <t>KALIX</t>
        </is>
      </c>
      <c r="F3476" t="inlineStr">
        <is>
          <t>SCA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54818-2021</t>
        </is>
      </c>
      <c r="B3477" s="1" t="n">
        <v>44473</v>
      </c>
      <c r="C3477" s="1" t="n">
        <v>45798</v>
      </c>
      <c r="D3477" t="inlineStr">
        <is>
          <t>NORRBOTTENS LÄN</t>
        </is>
      </c>
      <c r="E3477" t="inlineStr">
        <is>
          <t>BODEN</t>
        </is>
      </c>
      <c r="F3477" t="inlineStr">
        <is>
          <t>SCA</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54803-2021</t>
        </is>
      </c>
      <c r="B3478" s="1" t="n">
        <v>44474</v>
      </c>
      <c r="C3478" s="1" t="n">
        <v>45798</v>
      </c>
      <c r="D3478" t="inlineStr">
        <is>
          <t>NORRBOTTENS LÄN</t>
        </is>
      </c>
      <c r="E3478" t="inlineStr">
        <is>
          <t>ÄLVSBYN</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54879-2021</t>
        </is>
      </c>
      <c r="B3479" s="1" t="n">
        <v>44473</v>
      </c>
      <c r="C3479" s="1" t="n">
        <v>45798</v>
      </c>
      <c r="D3479" t="inlineStr">
        <is>
          <t>NORRBOTTENS LÄN</t>
        </is>
      </c>
      <c r="E3479" t="inlineStr">
        <is>
          <t>LULEÅ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55024-2021</t>
        </is>
      </c>
      <c r="B3480" s="1" t="n">
        <v>44474</v>
      </c>
      <c r="C3480" s="1" t="n">
        <v>45798</v>
      </c>
      <c r="D3480" t="inlineStr">
        <is>
          <t>NORRBOTTENS LÄN</t>
        </is>
      </c>
      <c r="E3480" t="inlineStr">
        <is>
          <t>BODEN</t>
        </is>
      </c>
      <c r="F3480" t="inlineStr">
        <is>
          <t>Sveaskog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55080-2021</t>
        </is>
      </c>
      <c r="B3481" s="1" t="n">
        <v>44474</v>
      </c>
      <c r="C3481" s="1" t="n">
        <v>45798</v>
      </c>
      <c r="D3481" t="inlineStr">
        <is>
          <t>NORRBOTTENS LÄN</t>
        </is>
      </c>
      <c r="E3481" t="inlineStr">
        <is>
          <t>BODEN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55166-2021</t>
        </is>
      </c>
      <c r="B3482" s="1" t="n">
        <v>44474</v>
      </c>
      <c r="C3482" s="1" t="n">
        <v>45798</v>
      </c>
      <c r="D3482" t="inlineStr">
        <is>
          <t>NORRBOTTENS LÄN</t>
        </is>
      </c>
      <c r="E3482" t="inlineStr">
        <is>
          <t>ARVIDSJAUR</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54935-2021</t>
        </is>
      </c>
      <c r="B3483" s="1" t="n">
        <v>44474</v>
      </c>
      <c r="C3483" s="1" t="n">
        <v>45798</v>
      </c>
      <c r="D3483" t="inlineStr">
        <is>
          <t>NORRBOTTENS LÄN</t>
        </is>
      </c>
      <c r="E3483" t="inlineStr">
        <is>
          <t>BODEN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54881-2021</t>
        </is>
      </c>
      <c r="B3484" s="1" t="n">
        <v>44474</v>
      </c>
      <c r="C3484" s="1" t="n">
        <v>45798</v>
      </c>
      <c r="D3484" t="inlineStr">
        <is>
          <t>NORRBOTTENS LÄN</t>
        </is>
      </c>
      <c r="E3484" t="inlineStr">
        <is>
          <t>BODEN</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55164-2021</t>
        </is>
      </c>
      <c r="B3485" s="1" t="n">
        <v>44474</v>
      </c>
      <c r="C3485" s="1" t="n">
        <v>45798</v>
      </c>
      <c r="D3485" t="inlineStr">
        <is>
          <t>NORRBOTTENS LÄN</t>
        </is>
      </c>
      <c r="E3485" t="inlineStr">
        <is>
          <t>ARVIDSJAUR</t>
        </is>
      </c>
      <c r="F3485" t="inlineStr">
        <is>
          <t>SCA</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55165-2021</t>
        </is>
      </c>
      <c r="B3486" s="1" t="n">
        <v>44474</v>
      </c>
      <c r="C3486" s="1" t="n">
        <v>45798</v>
      </c>
      <c r="D3486" t="inlineStr">
        <is>
          <t>NORRBOTTENS LÄN</t>
        </is>
      </c>
      <c r="E3486" t="inlineStr">
        <is>
          <t>ARVIDSJAUR</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55422-2021</t>
        </is>
      </c>
      <c r="B3487" s="1" t="n">
        <v>44475</v>
      </c>
      <c r="C3487" s="1" t="n">
        <v>45798</v>
      </c>
      <c r="D3487" t="inlineStr">
        <is>
          <t>NORRBOTTENS LÄN</t>
        </is>
      </c>
      <c r="E3487" t="inlineStr">
        <is>
          <t>ARJEPLOG</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55634-2021</t>
        </is>
      </c>
      <c r="B3488" s="1" t="n">
        <v>44476</v>
      </c>
      <c r="C3488" s="1" t="n">
        <v>45798</v>
      </c>
      <c r="D3488" t="inlineStr">
        <is>
          <t>NORRBOTTENS LÄN</t>
        </is>
      </c>
      <c r="E3488" t="inlineStr">
        <is>
          <t>KALIX</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55775-2021</t>
        </is>
      </c>
      <c r="B3489" s="1" t="n">
        <v>44476</v>
      </c>
      <c r="C3489" s="1" t="n">
        <v>45798</v>
      </c>
      <c r="D3489" t="inlineStr">
        <is>
          <t>NORRBOTTENS LÄN</t>
        </is>
      </c>
      <c r="E3489" t="inlineStr">
        <is>
          <t>ÄLVSBYN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55722-2021</t>
        </is>
      </c>
      <c r="B3490" s="1" t="n">
        <v>44476</v>
      </c>
      <c r="C3490" s="1" t="n">
        <v>45798</v>
      </c>
      <c r="D3490" t="inlineStr">
        <is>
          <t>NORRBOTTENS LÄN</t>
        </is>
      </c>
      <c r="E3490" t="inlineStr">
        <is>
          <t>PITEÅ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55723-2021</t>
        </is>
      </c>
      <c r="B3491" s="1" t="n">
        <v>44476</v>
      </c>
      <c r="C3491" s="1" t="n">
        <v>45798</v>
      </c>
      <c r="D3491" t="inlineStr">
        <is>
          <t>NORRBOTTENS LÄN</t>
        </is>
      </c>
      <c r="E3491" t="inlineStr">
        <is>
          <t>PAJALA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56057-2021</t>
        </is>
      </c>
      <c r="B3492" s="1" t="n">
        <v>44477</v>
      </c>
      <c r="C3492" s="1" t="n">
        <v>45798</v>
      </c>
      <c r="D3492" t="inlineStr">
        <is>
          <t>NORRBOTTENS LÄN</t>
        </is>
      </c>
      <c r="E3492" t="inlineStr">
        <is>
          <t>LULEÅ</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56066-2021</t>
        </is>
      </c>
      <c r="B3493" s="1" t="n">
        <v>44477</v>
      </c>
      <c r="C3493" s="1" t="n">
        <v>45798</v>
      </c>
      <c r="D3493" t="inlineStr">
        <is>
          <t>NORRBOTTENS LÄN</t>
        </is>
      </c>
      <c r="E3493" t="inlineStr">
        <is>
          <t>LULEÅ</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56076-2021</t>
        </is>
      </c>
      <c r="B3494" s="1" t="n">
        <v>44477</v>
      </c>
      <c r="C3494" s="1" t="n">
        <v>45798</v>
      </c>
      <c r="D3494" t="inlineStr">
        <is>
          <t>NORRBOTTENS LÄN</t>
        </is>
      </c>
      <c r="E3494" t="inlineStr">
        <is>
          <t>ÖVERKALIX</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56073-2021</t>
        </is>
      </c>
      <c r="B3495" s="1" t="n">
        <v>44477</v>
      </c>
      <c r="C3495" s="1" t="n">
        <v>45798</v>
      </c>
      <c r="D3495" t="inlineStr">
        <is>
          <t>NORRBOTTENS LÄN</t>
        </is>
      </c>
      <c r="E3495" t="inlineStr">
        <is>
          <t>LULEÅ</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56166-2021</t>
        </is>
      </c>
      <c r="B3496" s="1" t="n">
        <v>44477</v>
      </c>
      <c r="C3496" s="1" t="n">
        <v>45798</v>
      </c>
      <c r="D3496" t="inlineStr">
        <is>
          <t>NORRBOTTENS LÄN</t>
        </is>
      </c>
      <c r="E3496" t="inlineStr">
        <is>
          <t>PAJALA</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56199-2021</t>
        </is>
      </c>
      <c r="B3497" s="1" t="n">
        <v>44477</v>
      </c>
      <c r="C3497" s="1" t="n">
        <v>45798</v>
      </c>
      <c r="D3497" t="inlineStr">
        <is>
          <t>NORRBOTTENS LÄN</t>
        </is>
      </c>
      <c r="E3497" t="inlineStr">
        <is>
          <t>JOKKMOKK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56111-2021</t>
        </is>
      </c>
      <c r="B3498" s="1" t="n">
        <v>44477</v>
      </c>
      <c r="C3498" s="1" t="n">
        <v>45798</v>
      </c>
      <c r="D3498" t="inlineStr">
        <is>
          <t>NORRBOTTENS LÄN</t>
        </is>
      </c>
      <c r="E3498" t="inlineStr">
        <is>
          <t>BODEN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56412-2021</t>
        </is>
      </c>
      <c r="B3499" s="1" t="n">
        <v>44477</v>
      </c>
      <c r="C3499" s="1" t="n">
        <v>45798</v>
      </c>
      <c r="D3499" t="inlineStr">
        <is>
          <t>NORRBOTTENS LÄN</t>
        </is>
      </c>
      <c r="E3499" t="inlineStr">
        <is>
          <t>JOKKMOKK</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56523-2021</t>
        </is>
      </c>
      <c r="B3500" s="1" t="n">
        <v>44477</v>
      </c>
      <c r="C3500" s="1" t="n">
        <v>45798</v>
      </c>
      <c r="D3500" t="inlineStr">
        <is>
          <t>NORRBOTTENS LÄN</t>
        </is>
      </c>
      <c r="E3500" t="inlineStr">
        <is>
          <t>JOKKMOKK</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56043-2021</t>
        </is>
      </c>
      <c r="B3501" s="1" t="n">
        <v>44477</v>
      </c>
      <c r="C3501" s="1" t="n">
        <v>45798</v>
      </c>
      <c r="D3501" t="inlineStr">
        <is>
          <t>NORRBOTTENS LÄN</t>
        </is>
      </c>
      <c r="E3501" t="inlineStr">
        <is>
          <t>LULEÅ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56275-2021</t>
        </is>
      </c>
      <c r="B3502" s="1" t="n">
        <v>44479</v>
      </c>
      <c r="C3502" s="1" t="n">
        <v>45798</v>
      </c>
      <c r="D3502" t="inlineStr">
        <is>
          <t>NORRBOTTENS LÄN</t>
        </is>
      </c>
      <c r="E3502" t="inlineStr">
        <is>
          <t>ARJEPLOG</t>
        </is>
      </c>
      <c r="G3502" t="n">
        <v>16.2</v>
      </c>
      <c r="H3502" t="n">
        <v>0</v>
      </c>
      <c r="I3502" t="n">
        <v>0</v>
      </c>
      <c r="J3502" t="n">
        <v>0</v>
      </c>
      <c r="K3502" t="n">
        <v>0</v>
      </c>
      <c r="L3502" t="n">
        <v>0</v>
      </c>
      <c r="M3502" t="n">
        <v>0</v>
      </c>
      <c r="N3502" t="n">
        <v>0</v>
      </c>
      <c r="O3502" t="n">
        <v>0</v>
      </c>
      <c r="P3502" t="n">
        <v>0</v>
      </c>
      <c r="Q3502" t="n">
        <v>0</v>
      </c>
      <c r="R3502" s="2" t="inlineStr"/>
    </row>
    <row r="3503" ht="15" customHeight="1">
      <c r="A3503" t="inlineStr">
        <is>
          <t>A 56290-2021</t>
        </is>
      </c>
      <c r="B3503" s="1" t="n">
        <v>44479</v>
      </c>
      <c r="C3503" s="1" t="n">
        <v>45798</v>
      </c>
      <c r="D3503" t="inlineStr">
        <is>
          <t>NORRBOTTENS LÄN</t>
        </is>
      </c>
      <c r="E3503" t="inlineStr">
        <is>
          <t>GÄLLIVARE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56274-2021</t>
        </is>
      </c>
      <c r="B3504" s="1" t="n">
        <v>44479</v>
      </c>
      <c r="C3504" s="1" t="n">
        <v>45798</v>
      </c>
      <c r="D3504" t="inlineStr">
        <is>
          <t>NORRBOTTENS LÄN</t>
        </is>
      </c>
      <c r="E3504" t="inlineStr">
        <is>
          <t>ARJEPLOG</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56278-2021</t>
        </is>
      </c>
      <c r="B3505" s="1" t="n">
        <v>44479</v>
      </c>
      <c r="C3505" s="1" t="n">
        <v>45798</v>
      </c>
      <c r="D3505" t="inlineStr">
        <is>
          <t>NORRBOTTENS LÄN</t>
        </is>
      </c>
      <c r="E3505" t="inlineStr">
        <is>
          <t>ARJEPLOG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56276-2021</t>
        </is>
      </c>
      <c r="B3506" s="1" t="n">
        <v>44479</v>
      </c>
      <c r="C3506" s="1" t="n">
        <v>45798</v>
      </c>
      <c r="D3506" t="inlineStr">
        <is>
          <t>NORRBOTTENS LÄN</t>
        </is>
      </c>
      <c r="E3506" t="inlineStr">
        <is>
          <t>ARJEPLOG</t>
        </is>
      </c>
      <c r="G3506" t="n">
        <v>19.8</v>
      </c>
      <c r="H3506" t="n">
        <v>0</v>
      </c>
      <c r="I3506" t="n">
        <v>0</v>
      </c>
      <c r="J3506" t="n">
        <v>0</v>
      </c>
      <c r="K3506" t="n">
        <v>0</v>
      </c>
      <c r="L3506" t="n">
        <v>0</v>
      </c>
      <c r="M3506" t="n">
        <v>0</v>
      </c>
      <c r="N3506" t="n">
        <v>0</v>
      </c>
      <c r="O3506" t="n">
        <v>0</v>
      </c>
      <c r="P3506" t="n">
        <v>0</v>
      </c>
      <c r="Q3506" t="n">
        <v>0</v>
      </c>
      <c r="R3506" s="2" t="inlineStr"/>
    </row>
    <row r="3507" ht="15" customHeight="1">
      <c r="A3507" t="inlineStr">
        <is>
          <t>A 56277-2021</t>
        </is>
      </c>
      <c r="B3507" s="1" t="n">
        <v>44479</v>
      </c>
      <c r="C3507" s="1" t="n">
        <v>45798</v>
      </c>
      <c r="D3507" t="inlineStr">
        <is>
          <t>NORRBOTTENS LÄN</t>
        </is>
      </c>
      <c r="E3507" t="inlineStr">
        <is>
          <t>ARJEPLOG</t>
        </is>
      </c>
      <c r="G3507" t="n">
        <v>19.4</v>
      </c>
      <c r="H3507" t="n">
        <v>0</v>
      </c>
      <c r="I3507" t="n">
        <v>0</v>
      </c>
      <c r="J3507" t="n">
        <v>0</v>
      </c>
      <c r="K3507" t="n">
        <v>0</v>
      </c>
      <c r="L3507" t="n">
        <v>0</v>
      </c>
      <c r="M3507" t="n">
        <v>0</v>
      </c>
      <c r="N3507" t="n">
        <v>0</v>
      </c>
      <c r="O3507" t="n">
        <v>0</v>
      </c>
      <c r="P3507" t="n">
        <v>0</v>
      </c>
      <c r="Q3507" t="n">
        <v>0</v>
      </c>
      <c r="R3507" s="2" t="inlineStr"/>
    </row>
    <row r="3508" ht="15" customHeight="1">
      <c r="A3508" t="inlineStr">
        <is>
          <t>A 56288-2021</t>
        </is>
      </c>
      <c r="B3508" s="1" t="n">
        <v>44479</v>
      </c>
      <c r="C3508" s="1" t="n">
        <v>45798</v>
      </c>
      <c r="D3508" t="inlineStr">
        <is>
          <t>NORRBOTTENS LÄN</t>
        </is>
      </c>
      <c r="E3508" t="inlineStr">
        <is>
          <t>GÄLLIVARE</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56467-2021</t>
        </is>
      </c>
      <c r="B3509" s="1" t="n">
        <v>44480</v>
      </c>
      <c r="C3509" s="1" t="n">
        <v>45798</v>
      </c>
      <c r="D3509" t="inlineStr">
        <is>
          <t>NORRBOTTENS LÄN</t>
        </is>
      </c>
      <c r="E3509" t="inlineStr">
        <is>
          <t>BODEN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56485-2021</t>
        </is>
      </c>
      <c r="B3510" s="1" t="n">
        <v>44480</v>
      </c>
      <c r="C3510" s="1" t="n">
        <v>45798</v>
      </c>
      <c r="D3510" t="inlineStr">
        <is>
          <t>NORRBOTTENS LÄN</t>
        </is>
      </c>
      <c r="E3510" t="inlineStr">
        <is>
          <t>BODEN</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56465-2021</t>
        </is>
      </c>
      <c r="B3511" s="1" t="n">
        <v>44480</v>
      </c>
      <c r="C3511" s="1" t="n">
        <v>45798</v>
      </c>
      <c r="D3511" t="inlineStr">
        <is>
          <t>NORRBOTTENS LÄN</t>
        </is>
      </c>
      <c r="E3511" t="inlineStr">
        <is>
          <t>LULEÅ</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56641-2021</t>
        </is>
      </c>
      <c r="B3512" s="1" t="n">
        <v>44480</v>
      </c>
      <c r="C3512" s="1" t="n">
        <v>45798</v>
      </c>
      <c r="D3512" t="inlineStr">
        <is>
          <t>NORRBOTTENS LÄN</t>
        </is>
      </c>
      <c r="E3512" t="inlineStr">
        <is>
          <t>PITEÅ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56781-2021</t>
        </is>
      </c>
      <c r="B3513" s="1" t="n">
        <v>44481</v>
      </c>
      <c r="C3513" s="1" t="n">
        <v>45798</v>
      </c>
      <c r="D3513" t="inlineStr">
        <is>
          <t>NORRBOTTENS LÄN</t>
        </is>
      </c>
      <c r="E3513" t="inlineStr">
        <is>
          <t>LULEÅ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56910-2021</t>
        </is>
      </c>
      <c r="B3514" s="1" t="n">
        <v>44481</v>
      </c>
      <c r="C3514" s="1" t="n">
        <v>45798</v>
      </c>
      <c r="D3514" t="inlineStr">
        <is>
          <t>NORRBOTTENS LÄN</t>
        </is>
      </c>
      <c r="E3514" t="inlineStr">
        <is>
          <t>GÄLLIVARE</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56888-2021</t>
        </is>
      </c>
      <c r="B3515" s="1" t="n">
        <v>44481</v>
      </c>
      <c r="C3515" s="1" t="n">
        <v>45798</v>
      </c>
      <c r="D3515" t="inlineStr">
        <is>
          <t>NORRBOTTENS LÄN</t>
        </is>
      </c>
      <c r="E3515" t="inlineStr">
        <is>
          <t>PITEÅ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57208-2021</t>
        </is>
      </c>
      <c r="B3516" s="1" t="n">
        <v>44483</v>
      </c>
      <c r="C3516" s="1" t="n">
        <v>45798</v>
      </c>
      <c r="D3516" t="inlineStr">
        <is>
          <t>NORRBOTTENS LÄN</t>
        </is>
      </c>
      <c r="E3516" t="inlineStr">
        <is>
          <t>GÄLLIVARE</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57254-2021</t>
        </is>
      </c>
      <c r="B3517" s="1" t="n">
        <v>44482</v>
      </c>
      <c r="C3517" s="1" t="n">
        <v>45798</v>
      </c>
      <c r="D3517" t="inlineStr">
        <is>
          <t>NORRBOTTENS LÄN</t>
        </is>
      </c>
      <c r="E3517" t="inlineStr">
        <is>
          <t>HAPARANDA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57454-2021</t>
        </is>
      </c>
      <c r="B3518" s="1" t="n">
        <v>44483</v>
      </c>
      <c r="C3518" s="1" t="n">
        <v>45798</v>
      </c>
      <c r="D3518" t="inlineStr">
        <is>
          <t>NORRBOTTENS LÄN</t>
        </is>
      </c>
      <c r="E3518" t="inlineStr">
        <is>
          <t>ARVIDSJAUR</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57528-2021</t>
        </is>
      </c>
      <c r="B3519" s="1" t="n">
        <v>44484</v>
      </c>
      <c r="C3519" s="1" t="n">
        <v>45798</v>
      </c>
      <c r="D3519" t="inlineStr">
        <is>
          <t>NORRBOTTENS LÄN</t>
        </is>
      </c>
      <c r="E3519" t="inlineStr">
        <is>
          <t>PITEÅ</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57534-2021</t>
        </is>
      </c>
      <c r="B3520" s="1" t="n">
        <v>44483</v>
      </c>
      <c r="C3520" s="1" t="n">
        <v>45798</v>
      </c>
      <c r="D3520" t="inlineStr">
        <is>
          <t>NORRBOTTENS LÄN</t>
        </is>
      </c>
      <c r="E3520" t="inlineStr">
        <is>
          <t>GÄLLIVARE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57583-2021</t>
        </is>
      </c>
      <c r="B3521" s="1" t="n">
        <v>44484</v>
      </c>
      <c r="C3521" s="1" t="n">
        <v>45798</v>
      </c>
      <c r="D3521" t="inlineStr">
        <is>
          <t>NORRBOTTENS LÄN</t>
        </is>
      </c>
      <c r="E3521" t="inlineStr">
        <is>
          <t>BODEN</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57636-2021</t>
        </is>
      </c>
      <c r="B3522" s="1" t="n">
        <v>44484</v>
      </c>
      <c r="C3522" s="1" t="n">
        <v>45798</v>
      </c>
      <c r="D3522" t="inlineStr">
        <is>
          <t>NORRBOTTENS LÄN</t>
        </is>
      </c>
      <c r="E3522" t="inlineStr">
        <is>
          <t>ÖVERTORNEÅ</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57567-2021</t>
        </is>
      </c>
      <c r="B3523" s="1" t="n">
        <v>44484</v>
      </c>
      <c r="C3523" s="1" t="n">
        <v>45798</v>
      </c>
      <c r="D3523" t="inlineStr">
        <is>
          <t>NORRBOTTENS LÄN</t>
        </is>
      </c>
      <c r="E3523" t="inlineStr">
        <is>
          <t>ARVIDSJAUR</t>
        </is>
      </c>
      <c r="F3523" t="inlineStr">
        <is>
          <t>Sveaskog</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57578-2021</t>
        </is>
      </c>
      <c r="B3524" s="1" t="n">
        <v>44484</v>
      </c>
      <c r="C3524" s="1" t="n">
        <v>45798</v>
      </c>
      <c r="D3524" t="inlineStr">
        <is>
          <t>NORRBOTTENS LÄN</t>
        </is>
      </c>
      <c r="E3524" t="inlineStr">
        <is>
          <t>BODEN</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57586-2021</t>
        </is>
      </c>
      <c r="B3525" s="1" t="n">
        <v>44484</v>
      </c>
      <c r="C3525" s="1" t="n">
        <v>45798</v>
      </c>
      <c r="D3525" t="inlineStr">
        <is>
          <t>NORRBOTTENS LÄN</t>
        </is>
      </c>
      <c r="E3525" t="inlineStr">
        <is>
          <t>ARVIDSJAUR</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57600-2021</t>
        </is>
      </c>
      <c r="B3526" s="1" t="n">
        <v>44484</v>
      </c>
      <c r="C3526" s="1" t="n">
        <v>45798</v>
      </c>
      <c r="D3526" t="inlineStr">
        <is>
          <t>NORRBOTTENS LÄN</t>
        </is>
      </c>
      <c r="E3526" t="inlineStr">
        <is>
          <t>BODEN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57568-2021</t>
        </is>
      </c>
      <c r="B3527" s="1" t="n">
        <v>44484</v>
      </c>
      <c r="C3527" s="1" t="n">
        <v>45798</v>
      </c>
      <c r="D3527" t="inlineStr">
        <is>
          <t>NORRBOTTENS LÄN</t>
        </is>
      </c>
      <c r="E3527" t="inlineStr">
        <is>
          <t>ARVIDSJAUR</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57604-2021</t>
        </is>
      </c>
      <c r="B3528" s="1" t="n">
        <v>44484</v>
      </c>
      <c r="C3528" s="1" t="n">
        <v>45798</v>
      </c>
      <c r="D3528" t="inlineStr">
        <is>
          <t>NORRBOTTENS LÄN</t>
        </is>
      </c>
      <c r="E3528" t="inlineStr">
        <is>
          <t>BODEN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57754-2021</t>
        </is>
      </c>
      <c r="B3529" s="1" t="n">
        <v>44484</v>
      </c>
      <c r="C3529" s="1" t="n">
        <v>45798</v>
      </c>
      <c r="D3529" t="inlineStr">
        <is>
          <t>NORRBOTTENS LÄN</t>
        </is>
      </c>
      <c r="E3529" t="inlineStr">
        <is>
          <t>ÖVERKALIX</t>
        </is>
      </c>
      <c r="F3529" t="inlineStr">
        <is>
          <t>Sveaskog</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57816-2021</t>
        </is>
      </c>
      <c r="B3530" s="1" t="n">
        <v>44484</v>
      </c>
      <c r="C3530" s="1" t="n">
        <v>45798</v>
      </c>
      <c r="D3530" t="inlineStr">
        <is>
          <t>NORRBOTTENS LÄN</t>
        </is>
      </c>
      <c r="E3530" t="inlineStr">
        <is>
          <t>ÄLVSBYN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57873-2021</t>
        </is>
      </c>
      <c r="B3531" s="1" t="n">
        <v>44484</v>
      </c>
      <c r="C3531" s="1" t="n">
        <v>45798</v>
      </c>
      <c r="D3531" t="inlineStr">
        <is>
          <t>NORRBOTTENS LÄN</t>
        </is>
      </c>
      <c r="E3531" t="inlineStr">
        <is>
          <t>BODEN</t>
        </is>
      </c>
      <c r="F3531" t="inlineStr">
        <is>
          <t>SCA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57759-2021</t>
        </is>
      </c>
      <c r="B3532" s="1" t="n">
        <v>44484</v>
      </c>
      <c r="C3532" s="1" t="n">
        <v>45798</v>
      </c>
      <c r="D3532" t="inlineStr">
        <is>
          <t>NORRBOTTENS LÄN</t>
        </is>
      </c>
      <c r="E3532" t="inlineStr">
        <is>
          <t>ÖVERKALIX</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57849-2021</t>
        </is>
      </c>
      <c r="B3533" s="1" t="n">
        <v>44484</v>
      </c>
      <c r="C3533" s="1" t="n">
        <v>45798</v>
      </c>
      <c r="D3533" t="inlineStr">
        <is>
          <t>NORRBOTTENS LÄN</t>
        </is>
      </c>
      <c r="E3533" t="inlineStr">
        <is>
          <t>ÖVERTORNEÅ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57895-2021</t>
        </is>
      </c>
      <c r="B3534" s="1" t="n">
        <v>44486</v>
      </c>
      <c r="C3534" s="1" t="n">
        <v>45798</v>
      </c>
      <c r="D3534" t="inlineStr">
        <is>
          <t>NORRBOTTENS LÄN</t>
        </is>
      </c>
      <c r="E3534" t="inlineStr">
        <is>
          <t>BODEN</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57958-2021</t>
        </is>
      </c>
      <c r="B3535" s="1" t="n">
        <v>44487</v>
      </c>
      <c r="C3535" s="1" t="n">
        <v>45798</v>
      </c>
      <c r="D3535" t="inlineStr">
        <is>
          <t>NORRBOTTENS LÄN</t>
        </is>
      </c>
      <c r="E3535" t="inlineStr">
        <is>
          <t>ARVIDSJAUR</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57973-2021</t>
        </is>
      </c>
      <c r="B3536" s="1" t="n">
        <v>44487</v>
      </c>
      <c r="C3536" s="1" t="n">
        <v>45798</v>
      </c>
      <c r="D3536" t="inlineStr">
        <is>
          <t>NORRBOTTENS LÄN</t>
        </is>
      </c>
      <c r="E3536" t="inlineStr">
        <is>
          <t>PITEÅ</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58002-2021</t>
        </is>
      </c>
      <c r="B3537" s="1" t="n">
        <v>44487</v>
      </c>
      <c r="C3537" s="1" t="n">
        <v>45798</v>
      </c>
      <c r="D3537" t="inlineStr">
        <is>
          <t>NORRBOTTENS LÄN</t>
        </is>
      </c>
      <c r="E3537" t="inlineStr">
        <is>
          <t>ARVIDSJAUR</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58036-2021</t>
        </is>
      </c>
      <c r="B3538" s="1" t="n">
        <v>44487</v>
      </c>
      <c r="C3538" s="1" t="n">
        <v>45798</v>
      </c>
      <c r="D3538" t="inlineStr">
        <is>
          <t>NORRBOTTENS LÄN</t>
        </is>
      </c>
      <c r="E3538" t="inlineStr">
        <is>
          <t>BODEN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58191-2021</t>
        </is>
      </c>
      <c r="B3539" s="1" t="n">
        <v>44487</v>
      </c>
      <c r="C3539" s="1" t="n">
        <v>45798</v>
      </c>
      <c r="D3539" t="inlineStr">
        <is>
          <t>NORRBOTTENS LÄN</t>
        </is>
      </c>
      <c r="E3539" t="inlineStr">
        <is>
          <t>KALIX</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57960-2021</t>
        </is>
      </c>
      <c r="B3540" s="1" t="n">
        <v>44487</v>
      </c>
      <c r="C3540" s="1" t="n">
        <v>45798</v>
      </c>
      <c r="D3540" t="inlineStr">
        <is>
          <t>NORRBOTTENS LÄN</t>
        </is>
      </c>
      <c r="E3540" t="inlineStr">
        <is>
          <t>ARVIDSJAUR</t>
        </is>
      </c>
      <c r="F3540" t="inlineStr">
        <is>
          <t>Sveaskog</t>
        </is>
      </c>
      <c r="G3540" t="n">
        <v>23.1</v>
      </c>
      <c r="H3540" t="n">
        <v>0</v>
      </c>
      <c r="I3540" t="n">
        <v>0</v>
      </c>
      <c r="J3540" t="n">
        <v>0</v>
      </c>
      <c r="K3540" t="n">
        <v>0</v>
      </c>
      <c r="L3540" t="n">
        <v>0</v>
      </c>
      <c r="M3540" t="n">
        <v>0</v>
      </c>
      <c r="N3540" t="n">
        <v>0</v>
      </c>
      <c r="O3540" t="n">
        <v>0</v>
      </c>
      <c r="P3540" t="n">
        <v>0</v>
      </c>
      <c r="Q3540" t="n">
        <v>0</v>
      </c>
      <c r="R3540" s="2" t="inlineStr"/>
    </row>
    <row r="3541" ht="15" customHeight="1">
      <c r="A3541" t="inlineStr">
        <is>
          <t>A 57984-2021</t>
        </is>
      </c>
      <c r="B3541" s="1" t="n">
        <v>44487</v>
      </c>
      <c r="C3541" s="1" t="n">
        <v>45798</v>
      </c>
      <c r="D3541" t="inlineStr">
        <is>
          <t>NORRBOTTENS LÄN</t>
        </is>
      </c>
      <c r="E3541" t="inlineStr">
        <is>
          <t>ARVIDSJAUR</t>
        </is>
      </c>
      <c r="F3541" t="inlineStr">
        <is>
          <t>Sveaskog</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58101-2021</t>
        </is>
      </c>
      <c r="B3542" s="1" t="n">
        <v>44487</v>
      </c>
      <c r="C3542" s="1" t="n">
        <v>45798</v>
      </c>
      <c r="D3542" t="inlineStr">
        <is>
          <t>NORRBOTTENS LÄN</t>
        </is>
      </c>
      <c r="E3542" t="inlineStr">
        <is>
          <t>BODEN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58185-2021</t>
        </is>
      </c>
      <c r="B3543" s="1" t="n">
        <v>44487</v>
      </c>
      <c r="C3543" s="1" t="n">
        <v>45798</v>
      </c>
      <c r="D3543" t="inlineStr">
        <is>
          <t>NORRBOTTENS LÄN</t>
        </is>
      </c>
      <c r="E3543" t="inlineStr">
        <is>
          <t>ÖVERTORNEÅ</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58343-2021</t>
        </is>
      </c>
      <c r="B3544" s="1" t="n">
        <v>44488</v>
      </c>
      <c r="C3544" s="1" t="n">
        <v>45798</v>
      </c>
      <c r="D3544" t="inlineStr">
        <is>
          <t>NORRBOTTENS LÄN</t>
        </is>
      </c>
      <c r="E3544" t="inlineStr">
        <is>
          <t>GÄLLIVARE</t>
        </is>
      </c>
      <c r="F3544" t="inlineStr">
        <is>
          <t>Sveaskog</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58412-2021</t>
        </is>
      </c>
      <c r="B3545" s="1" t="n">
        <v>44488</v>
      </c>
      <c r="C3545" s="1" t="n">
        <v>45798</v>
      </c>
      <c r="D3545" t="inlineStr">
        <is>
          <t>NORRBOTTENS LÄN</t>
        </is>
      </c>
      <c r="E3545" t="inlineStr">
        <is>
          <t>GÄLLIVARE</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58414-2021</t>
        </is>
      </c>
      <c r="B3546" s="1" t="n">
        <v>44488</v>
      </c>
      <c r="C3546" s="1" t="n">
        <v>45798</v>
      </c>
      <c r="D3546" t="inlineStr">
        <is>
          <t>NORRBOTTENS LÄN</t>
        </is>
      </c>
      <c r="E3546" t="inlineStr">
        <is>
          <t>GÄLLIVARE</t>
        </is>
      </c>
      <c r="F3546" t="inlineStr">
        <is>
          <t>Sveaskog</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58304-2021</t>
        </is>
      </c>
      <c r="B3547" s="1" t="n">
        <v>44488</v>
      </c>
      <c r="C3547" s="1" t="n">
        <v>45798</v>
      </c>
      <c r="D3547" t="inlineStr">
        <is>
          <t>NORRBOTTENS LÄN</t>
        </is>
      </c>
      <c r="E3547" t="inlineStr">
        <is>
          <t>ÖVERTORNEÅ</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58392-2021</t>
        </is>
      </c>
      <c r="B3548" s="1" t="n">
        <v>44488</v>
      </c>
      <c r="C3548" s="1" t="n">
        <v>45798</v>
      </c>
      <c r="D3548" t="inlineStr">
        <is>
          <t>NORRBOTTENS LÄN</t>
        </is>
      </c>
      <c r="E3548" t="inlineStr">
        <is>
          <t>KALIX</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58532-2021</t>
        </is>
      </c>
      <c r="B3549" s="1" t="n">
        <v>44488</v>
      </c>
      <c r="C3549" s="1" t="n">
        <v>45798</v>
      </c>
      <c r="D3549" t="inlineStr">
        <is>
          <t>NORRBOTTENS LÄN</t>
        </is>
      </c>
      <c r="E3549" t="inlineStr">
        <is>
          <t>ÄLVSBYN</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58602-2021</t>
        </is>
      </c>
      <c r="B3550" s="1" t="n">
        <v>44488</v>
      </c>
      <c r="C3550" s="1" t="n">
        <v>45798</v>
      </c>
      <c r="D3550" t="inlineStr">
        <is>
          <t>NORRBOTTENS LÄN</t>
        </is>
      </c>
      <c r="E3550" t="inlineStr">
        <is>
          <t>ARVIDSJAUR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58610-2021</t>
        </is>
      </c>
      <c r="B3551" s="1" t="n">
        <v>44488</v>
      </c>
      <c r="C3551" s="1" t="n">
        <v>45798</v>
      </c>
      <c r="D3551" t="inlineStr">
        <is>
          <t>NORRBOTTENS LÄN</t>
        </is>
      </c>
      <c r="E3551" t="inlineStr">
        <is>
          <t>ARVIDSJAUR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58759-2021</t>
        </is>
      </c>
      <c r="B3552" s="1" t="n">
        <v>44489</v>
      </c>
      <c r="C3552" s="1" t="n">
        <v>45798</v>
      </c>
      <c r="D3552" t="inlineStr">
        <is>
          <t>NORRBOTTENS LÄN</t>
        </is>
      </c>
      <c r="E3552" t="inlineStr">
        <is>
          <t>KALIX</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58658-2021</t>
        </is>
      </c>
      <c r="B3553" s="1" t="n">
        <v>44489</v>
      </c>
      <c r="C3553" s="1" t="n">
        <v>45798</v>
      </c>
      <c r="D3553" t="inlineStr">
        <is>
          <t>NORRBOTTENS LÄN</t>
        </is>
      </c>
      <c r="E3553" t="inlineStr">
        <is>
          <t>KALIX</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58691-2021</t>
        </is>
      </c>
      <c r="B3554" s="1" t="n">
        <v>44489</v>
      </c>
      <c r="C3554" s="1" t="n">
        <v>45798</v>
      </c>
      <c r="D3554" t="inlineStr">
        <is>
          <t>NORRBOTTENS LÄN</t>
        </is>
      </c>
      <c r="E3554" t="inlineStr">
        <is>
          <t>ÖVERTORNEÅ</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58855-2021</t>
        </is>
      </c>
      <c r="B3555" s="1" t="n">
        <v>44489</v>
      </c>
      <c r="C3555" s="1" t="n">
        <v>45798</v>
      </c>
      <c r="D3555" t="inlineStr">
        <is>
          <t>NORRBOTTENS LÄN</t>
        </is>
      </c>
      <c r="E3555" t="inlineStr">
        <is>
          <t>ARVIDSJAUR</t>
        </is>
      </c>
      <c r="F3555" t="inlineStr">
        <is>
          <t>Sveaskog</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58877-2021</t>
        </is>
      </c>
      <c r="B3556" s="1" t="n">
        <v>44489</v>
      </c>
      <c r="C3556" s="1" t="n">
        <v>45798</v>
      </c>
      <c r="D3556" t="inlineStr">
        <is>
          <t>NORRBOTTENS LÄN</t>
        </is>
      </c>
      <c r="E3556" t="inlineStr">
        <is>
          <t>BODEN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58879-2021</t>
        </is>
      </c>
      <c r="B3557" s="1" t="n">
        <v>44489</v>
      </c>
      <c r="C3557" s="1" t="n">
        <v>45798</v>
      </c>
      <c r="D3557" t="inlineStr">
        <is>
          <t>NORRBOTTENS LÄN</t>
        </is>
      </c>
      <c r="E3557" t="inlineStr">
        <is>
          <t>ARJEPLOG</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58898-2021</t>
        </is>
      </c>
      <c r="B3558" s="1" t="n">
        <v>44489</v>
      </c>
      <c r="C3558" s="1" t="n">
        <v>45798</v>
      </c>
      <c r="D3558" t="inlineStr">
        <is>
          <t>NORRBOTTENS LÄN</t>
        </is>
      </c>
      <c r="E3558" t="inlineStr">
        <is>
          <t>BODEN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58944-2021</t>
        </is>
      </c>
      <c r="B3559" s="1" t="n">
        <v>44490</v>
      </c>
      <c r="C3559" s="1" t="n">
        <v>45798</v>
      </c>
      <c r="D3559" t="inlineStr">
        <is>
          <t>NORRBOTTENS LÄN</t>
        </is>
      </c>
      <c r="E3559" t="inlineStr">
        <is>
          <t>PITEÅ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58977-2021</t>
        </is>
      </c>
      <c r="B3560" s="1" t="n">
        <v>44489</v>
      </c>
      <c r="C3560" s="1" t="n">
        <v>45798</v>
      </c>
      <c r="D3560" t="inlineStr">
        <is>
          <t>NORRBOTTENS LÄN</t>
        </is>
      </c>
      <c r="E3560" t="inlineStr">
        <is>
          <t>BODEN</t>
        </is>
      </c>
      <c r="F3560" t="inlineStr">
        <is>
          <t>SCA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58806-2021</t>
        </is>
      </c>
      <c r="B3561" s="1" t="n">
        <v>44489</v>
      </c>
      <c r="C3561" s="1" t="n">
        <v>45798</v>
      </c>
      <c r="D3561" t="inlineStr">
        <is>
          <t>NORRBOTTENS LÄN</t>
        </is>
      </c>
      <c r="E3561" t="inlineStr">
        <is>
          <t>ARVIDSJAUR</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58743-2021</t>
        </is>
      </c>
      <c r="B3562" s="1" t="n">
        <v>44489</v>
      </c>
      <c r="C3562" s="1" t="n">
        <v>45798</v>
      </c>
      <c r="D3562" t="inlineStr">
        <is>
          <t>NORRBOTTENS LÄN</t>
        </is>
      </c>
      <c r="E3562" t="inlineStr">
        <is>
          <t>PITEÅ</t>
        </is>
      </c>
      <c r="F3562" t="inlineStr">
        <is>
          <t>Sveaskog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58998-2021</t>
        </is>
      </c>
      <c r="B3563" s="1" t="n">
        <v>44489</v>
      </c>
      <c r="C3563" s="1" t="n">
        <v>45798</v>
      </c>
      <c r="D3563" t="inlineStr">
        <is>
          <t>NORRBOTTENS LÄN</t>
        </is>
      </c>
      <c r="E3563" t="inlineStr">
        <is>
          <t>PAJALA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58981-2021</t>
        </is>
      </c>
      <c r="B3564" s="1" t="n">
        <v>44490</v>
      </c>
      <c r="C3564" s="1" t="n">
        <v>45798</v>
      </c>
      <c r="D3564" t="inlineStr">
        <is>
          <t>NORRBOTTENS LÄN</t>
        </is>
      </c>
      <c r="E3564" t="inlineStr">
        <is>
          <t>LULEÅ</t>
        </is>
      </c>
      <c r="F3564" t="inlineStr">
        <is>
          <t>SCA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59049-2021</t>
        </is>
      </c>
      <c r="B3565" s="1" t="n">
        <v>44490</v>
      </c>
      <c r="C3565" s="1" t="n">
        <v>45798</v>
      </c>
      <c r="D3565" t="inlineStr">
        <is>
          <t>NORRBOTTENS LÄN</t>
        </is>
      </c>
      <c r="E3565" t="inlineStr">
        <is>
          <t>ARVIDSJAUR</t>
        </is>
      </c>
      <c r="F3565" t="inlineStr">
        <is>
          <t>Sveaskog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59122-2021</t>
        </is>
      </c>
      <c r="B3566" s="1" t="n">
        <v>44490</v>
      </c>
      <c r="C3566" s="1" t="n">
        <v>45798</v>
      </c>
      <c r="D3566" t="inlineStr">
        <is>
          <t>NORRBOTTENS LÄN</t>
        </is>
      </c>
      <c r="E3566" t="inlineStr">
        <is>
          <t>LULEÅ</t>
        </is>
      </c>
      <c r="F3566" t="inlineStr">
        <is>
          <t>Kommuner</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59115-2021</t>
        </is>
      </c>
      <c r="B3567" s="1" t="n">
        <v>44490</v>
      </c>
      <c r="C3567" s="1" t="n">
        <v>45798</v>
      </c>
      <c r="D3567" t="inlineStr">
        <is>
          <t>NORRBOTTENS LÄN</t>
        </is>
      </c>
      <c r="E3567" t="inlineStr">
        <is>
          <t>LULEÅ</t>
        </is>
      </c>
      <c r="F3567" t="inlineStr">
        <is>
          <t>Kommuner</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59189-2021</t>
        </is>
      </c>
      <c r="B3568" s="1" t="n">
        <v>44490</v>
      </c>
      <c r="C3568" s="1" t="n">
        <v>45798</v>
      </c>
      <c r="D3568" t="inlineStr">
        <is>
          <t>NORRBOTTENS LÄN</t>
        </is>
      </c>
      <c r="E3568" t="inlineStr">
        <is>
          <t>JOKKMOKK</t>
        </is>
      </c>
      <c r="F3568" t="inlineStr">
        <is>
          <t>Sveaskog</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59331-2021</t>
        </is>
      </c>
      <c r="B3569" s="1" t="n">
        <v>44490</v>
      </c>
      <c r="C3569" s="1" t="n">
        <v>45798</v>
      </c>
      <c r="D3569" t="inlineStr">
        <is>
          <t>NORRBOTTENS LÄN</t>
        </is>
      </c>
      <c r="E3569" t="inlineStr">
        <is>
          <t>BODEN</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59394-2021</t>
        </is>
      </c>
      <c r="B3570" s="1" t="n">
        <v>44491</v>
      </c>
      <c r="C3570" s="1" t="n">
        <v>45798</v>
      </c>
      <c r="D3570" t="inlineStr">
        <is>
          <t>NORRBOTTENS LÄN</t>
        </is>
      </c>
      <c r="E3570" t="inlineStr">
        <is>
          <t>KALIX</t>
        </is>
      </c>
      <c r="F3570" t="inlineStr">
        <is>
          <t>Sveaskog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59401-2021</t>
        </is>
      </c>
      <c r="B3571" s="1" t="n">
        <v>44491</v>
      </c>
      <c r="C3571" s="1" t="n">
        <v>45798</v>
      </c>
      <c r="D3571" t="inlineStr">
        <is>
          <t>NORRBOTTENS LÄN</t>
        </is>
      </c>
      <c r="E3571" t="inlineStr">
        <is>
          <t>PAJALA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59483-2021</t>
        </is>
      </c>
      <c r="B3572" s="1" t="n">
        <v>44491</v>
      </c>
      <c r="C3572" s="1" t="n">
        <v>45798</v>
      </c>
      <c r="D3572" t="inlineStr">
        <is>
          <t>NORRBOTTENS LÄN</t>
        </is>
      </c>
      <c r="E3572" t="inlineStr">
        <is>
          <t>ÄLVSBYN</t>
        </is>
      </c>
      <c r="F3572" t="inlineStr">
        <is>
          <t>Sveaskog</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59487-2021</t>
        </is>
      </c>
      <c r="B3573" s="1" t="n">
        <v>44491</v>
      </c>
      <c r="C3573" s="1" t="n">
        <v>45798</v>
      </c>
      <c r="D3573" t="inlineStr">
        <is>
          <t>NORRBOTTENS LÄN</t>
        </is>
      </c>
      <c r="E3573" t="inlineStr">
        <is>
          <t>ÄLVSBYN</t>
        </is>
      </c>
      <c r="F3573" t="inlineStr">
        <is>
          <t>Sveaskog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59585-2021</t>
        </is>
      </c>
      <c r="B3574" s="1" t="n">
        <v>44491</v>
      </c>
      <c r="C3574" s="1" t="n">
        <v>45798</v>
      </c>
      <c r="D3574" t="inlineStr">
        <is>
          <t>NORRBOTTENS LÄN</t>
        </is>
      </c>
      <c r="E3574" t="inlineStr">
        <is>
          <t>KALIX</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59540-2021</t>
        </is>
      </c>
      <c r="B3575" s="1" t="n">
        <v>44491</v>
      </c>
      <c r="C3575" s="1" t="n">
        <v>45798</v>
      </c>
      <c r="D3575" t="inlineStr">
        <is>
          <t>NORRBOTTENS LÄN</t>
        </is>
      </c>
      <c r="E3575" t="inlineStr">
        <is>
          <t>BODEN</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59552-2021</t>
        </is>
      </c>
      <c r="B3576" s="1" t="n">
        <v>44491</v>
      </c>
      <c r="C3576" s="1" t="n">
        <v>45798</v>
      </c>
      <c r="D3576" t="inlineStr">
        <is>
          <t>NORRBOTTENS LÄN</t>
        </is>
      </c>
      <c r="E3576" t="inlineStr">
        <is>
          <t>LULEÅ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59558-2021</t>
        </is>
      </c>
      <c r="B3577" s="1" t="n">
        <v>44491</v>
      </c>
      <c r="C3577" s="1" t="n">
        <v>45798</v>
      </c>
      <c r="D3577" t="inlineStr">
        <is>
          <t>NORRBOTTENS LÄN</t>
        </is>
      </c>
      <c r="E3577" t="inlineStr">
        <is>
          <t>LULEÅ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59568-2021</t>
        </is>
      </c>
      <c r="B3578" s="1" t="n">
        <v>44491</v>
      </c>
      <c r="C3578" s="1" t="n">
        <v>45798</v>
      </c>
      <c r="D3578" t="inlineStr">
        <is>
          <t>NORRBOTTENS LÄN</t>
        </is>
      </c>
      <c r="E3578" t="inlineStr">
        <is>
          <t>LULEÅ</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59553-2021</t>
        </is>
      </c>
      <c r="B3579" s="1" t="n">
        <v>44491</v>
      </c>
      <c r="C3579" s="1" t="n">
        <v>45798</v>
      </c>
      <c r="D3579" t="inlineStr">
        <is>
          <t>NORRBOTTENS LÄN</t>
        </is>
      </c>
      <c r="E3579" t="inlineStr">
        <is>
          <t>ÄLVSBYN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59849-2021</t>
        </is>
      </c>
      <c r="B3580" s="1" t="n">
        <v>44493</v>
      </c>
      <c r="C3580" s="1" t="n">
        <v>45798</v>
      </c>
      <c r="D3580" t="inlineStr">
        <is>
          <t>NORRBOTTENS LÄN</t>
        </is>
      </c>
      <c r="E3580" t="inlineStr">
        <is>
          <t>JOKKMOKK</t>
        </is>
      </c>
      <c r="F3580" t="inlineStr">
        <is>
          <t>Övriga Aktiebolag</t>
        </is>
      </c>
      <c r="G3580" t="n">
        <v>11.7</v>
      </c>
      <c r="H3580" t="n">
        <v>0</v>
      </c>
      <c r="I3580" t="n">
        <v>0</v>
      </c>
      <c r="J3580" t="n">
        <v>0</v>
      </c>
      <c r="K3580" t="n">
        <v>0</v>
      </c>
      <c r="L3580" t="n">
        <v>0</v>
      </c>
      <c r="M3580" t="n">
        <v>0</v>
      </c>
      <c r="N3580" t="n">
        <v>0</v>
      </c>
      <c r="O3580" t="n">
        <v>0</v>
      </c>
      <c r="P3580" t="n">
        <v>0</v>
      </c>
      <c r="Q3580" t="n">
        <v>0</v>
      </c>
      <c r="R3580" s="2" t="inlineStr"/>
    </row>
    <row r="3581" ht="15" customHeight="1">
      <c r="A3581" t="inlineStr">
        <is>
          <t>A 59742-2021</t>
        </is>
      </c>
      <c r="B3581" s="1" t="n">
        <v>44494</v>
      </c>
      <c r="C3581" s="1" t="n">
        <v>45798</v>
      </c>
      <c r="D3581" t="inlineStr">
        <is>
          <t>NORRBOTTENS LÄN</t>
        </is>
      </c>
      <c r="E3581" t="inlineStr">
        <is>
          <t>ÄLVSBYN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59918-2021</t>
        </is>
      </c>
      <c r="B3582" s="1" t="n">
        <v>44494</v>
      </c>
      <c r="C3582" s="1" t="n">
        <v>45798</v>
      </c>
      <c r="D3582" t="inlineStr">
        <is>
          <t>NORRBOTTENS LÄN</t>
        </is>
      </c>
      <c r="E3582" t="inlineStr">
        <is>
          <t>KALIX</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59927-2021</t>
        </is>
      </c>
      <c r="B3583" s="1" t="n">
        <v>44494</v>
      </c>
      <c r="C3583" s="1" t="n">
        <v>45798</v>
      </c>
      <c r="D3583" t="inlineStr">
        <is>
          <t>NORRBOTTENS LÄN</t>
        </is>
      </c>
      <c r="E3583" t="inlineStr">
        <is>
          <t>ÖVERKALIX</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59925-2021</t>
        </is>
      </c>
      <c r="B3584" s="1" t="n">
        <v>44494</v>
      </c>
      <c r="C3584" s="1" t="n">
        <v>45798</v>
      </c>
      <c r="D3584" t="inlineStr">
        <is>
          <t>NORRBOTTENS LÄN</t>
        </is>
      </c>
      <c r="E3584" t="inlineStr">
        <is>
          <t>KALIX</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60030-2021</t>
        </is>
      </c>
      <c r="B3585" s="1" t="n">
        <v>44494</v>
      </c>
      <c r="C3585" s="1" t="n">
        <v>45798</v>
      </c>
      <c r="D3585" t="inlineStr">
        <is>
          <t>NORRBOTTENS LÄN</t>
        </is>
      </c>
      <c r="E3585" t="inlineStr">
        <is>
          <t>ÄLVSBYN</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59926-2021</t>
        </is>
      </c>
      <c r="B3586" s="1" t="n">
        <v>44494</v>
      </c>
      <c r="C3586" s="1" t="n">
        <v>45798</v>
      </c>
      <c r="D3586" t="inlineStr">
        <is>
          <t>NORRBOTTENS LÄN</t>
        </is>
      </c>
      <c r="E3586" t="inlineStr">
        <is>
          <t>GÄLLIVARE</t>
        </is>
      </c>
      <c r="F3586" t="inlineStr">
        <is>
          <t>Allmännings- och besparingsskogar</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60133-2021</t>
        </is>
      </c>
      <c r="B3587" s="1" t="n">
        <v>44494</v>
      </c>
      <c r="C3587" s="1" t="n">
        <v>45798</v>
      </c>
      <c r="D3587" t="inlineStr">
        <is>
          <t>NORRBOTTENS LÄN</t>
        </is>
      </c>
      <c r="E3587" t="inlineStr">
        <is>
          <t>ÖVERTORNEÅ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61113-2021</t>
        </is>
      </c>
      <c r="B3588" s="1" t="n">
        <v>44495</v>
      </c>
      <c r="C3588" s="1" t="n">
        <v>45798</v>
      </c>
      <c r="D3588" t="inlineStr">
        <is>
          <t>NORRBOTTENS LÄN</t>
        </is>
      </c>
      <c r="E3588" t="inlineStr">
        <is>
          <t>KALIX</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60662-2021</t>
        </is>
      </c>
      <c r="B3589" s="1" t="n">
        <v>44496</v>
      </c>
      <c r="C3589" s="1" t="n">
        <v>45798</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60730-2021</t>
        </is>
      </c>
      <c r="B3590" s="1" t="n">
        <v>44496</v>
      </c>
      <c r="C3590" s="1" t="n">
        <v>45798</v>
      </c>
      <c r="D3590" t="inlineStr">
        <is>
          <t>NORRBOTTENS LÄN</t>
        </is>
      </c>
      <c r="E3590" t="inlineStr">
        <is>
          <t>PITEÅ</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60686-2021</t>
        </is>
      </c>
      <c r="B3591" s="1" t="n">
        <v>44496</v>
      </c>
      <c r="C3591" s="1" t="n">
        <v>45798</v>
      </c>
      <c r="D3591" t="inlineStr">
        <is>
          <t>NORRBOTTENS LÄN</t>
        </is>
      </c>
      <c r="E3591" t="inlineStr">
        <is>
          <t>PAJALA</t>
        </is>
      </c>
      <c r="G3591" t="n">
        <v>13.5</v>
      </c>
      <c r="H3591" t="n">
        <v>0</v>
      </c>
      <c r="I3591" t="n">
        <v>0</v>
      </c>
      <c r="J3591" t="n">
        <v>0</v>
      </c>
      <c r="K3591" t="n">
        <v>0</v>
      </c>
      <c r="L3591" t="n">
        <v>0</v>
      </c>
      <c r="M3591" t="n">
        <v>0</v>
      </c>
      <c r="N3591" t="n">
        <v>0</v>
      </c>
      <c r="O3591" t="n">
        <v>0</v>
      </c>
      <c r="P3591" t="n">
        <v>0</v>
      </c>
      <c r="Q3591" t="n">
        <v>0</v>
      </c>
      <c r="R3591" s="2" t="inlineStr"/>
    </row>
    <row r="3592" ht="15" customHeight="1">
      <c r="A3592" t="inlineStr">
        <is>
          <t>A 60754-2021</t>
        </is>
      </c>
      <c r="B3592" s="1" t="n">
        <v>44497</v>
      </c>
      <c r="C3592" s="1" t="n">
        <v>45798</v>
      </c>
      <c r="D3592" t="inlineStr">
        <is>
          <t>NORRBOTTENS LÄN</t>
        </is>
      </c>
      <c r="E3592" t="inlineStr">
        <is>
          <t>HAPARANDA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60777-2021</t>
        </is>
      </c>
      <c r="B3593" s="1" t="n">
        <v>44497</v>
      </c>
      <c r="C3593" s="1" t="n">
        <v>45798</v>
      </c>
      <c r="D3593" t="inlineStr">
        <is>
          <t>NORRBOTTENS LÄN</t>
        </is>
      </c>
      <c r="E3593" t="inlineStr">
        <is>
          <t>PITEÅ</t>
        </is>
      </c>
      <c r="F3593" t="inlineStr">
        <is>
          <t>SCA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60954-2021</t>
        </is>
      </c>
      <c r="B3594" s="1" t="n">
        <v>44496</v>
      </c>
      <c r="C3594" s="1" t="n">
        <v>45798</v>
      </c>
      <c r="D3594" t="inlineStr">
        <is>
          <t>NORRBOTTENS LÄN</t>
        </is>
      </c>
      <c r="E3594" t="inlineStr">
        <is>
          <t>LULEÅ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61594-2021</t>
        </is>
      </c>
      <c r="B3595" s="1" t="n">
        <v>44497</v>
      </c>
      <c r="C3595" s="1" t="n">
        <v>45798</v>
      </c>
      <c r="D3595" t="inlineStr">
        <is>
          <t>NORRBOTTENS LÄN</t>
        </is>
      </c>
      <c r="E3595" t="inlineStr">
        <is>
          <t>KALIX</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60948-2021</t>
        </is>
      </c>
      <c r="B3596" s="1" t="n">
        <v>44497</v>
      </c>
      <c r="C3596" s="1" t="n">
        <v>45798</v>
      </c>
      <c r="D3596" t="inlineStr">
        <is>
          <t>NORRBOTTENS LÄN</t>
        </is>
      </c>
      <c r="E3596" t="inlineStr">
        <is>
          <t>ÖVERTORNEÅ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61578-2021</t>
        </is>
      </c>
      <c r="B3597" s="1" t="n">
        <v>44497</v>
      </c>
      <c r="C3597" s="1" t="n">
        <v>45798</v>
      </c>
      <c r="D3597" t="inlineStr">
        <is>
          <t>NORRBOTTENS LÄN</t>
        </is>
      </c>
      <c r="E3597" t="inlineStr">
        <is>
          <t>PITEÅ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61567-2021</t>
        </is>
      </c>
      <c r="B3598" s="1" t="n">
        <v>44497</v>
      </c>
      <c r="C3598" s="1" t="n">
        <v>45798</v>
      </c>
      <c r="D3598" t="inlineStr">
        <is>
          <t>NORRBOTTENS LÄN</t>
        </is>
      </c>
      <c r="E3598" t="inlineStr">
        <is>
          <t>PITEÅ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60888-2021</t>
        </is>
      </c>
      <c r="B3599" s="1" t="n">
        <v>44497</v>
      </c>
      <c r="C3599" s="1" t="n">
        <v>45798</v>
      </c>
      <c r="D3599" t="inlineStr">
        <is>
          <t>NORRBOTTENS LÄN</t>
        </is>
      </c>
      <c r="E3599" t="inlineStr">
        <is>
          <t>ARVIDSJAUR</t>
        </is>
      </c>
      <c r="F3599" t="inlineStr">
        <is>
          <t>Sveaskog</t>
        </is>
      </c>
      <c r="G3599" t="n">
        <v>12.1</v>
      </c>
      <c r="H3599" t="n">
        <v>0</v>
      </c>
      <c r="I3599" t="n">
        <v>0</v>
      </c>
      <c r="J3599" t="n">
        <v>0</v>
      </c>
      <c r="K3599" t="n">
        <v>0</v>
      </c>
      <c r="L3599" t="n">
        <v>0</v>
      </c>
      <c r="M3599" t="n">
        <v>0</v>
      </c>
      <c r="N3599" t="n">
        <v>0</v>
      </c>
      <c r="O3599" t="n">
        <v>0</v>
      </c>
      <c r="P3599" t="n">
        <v>0</v>
      </c>
      <c r="Q3599" t="n">
        <v>0</v>
      </c>
      <c r="R3599" s="2" t="inlineStr"/>
    </row>
    <row r="3600" ht="15" customHeight="1">
      <c r="A3600" t="inlineStr">
        <is>
          <t>A 61112-2021</t>
        </is>
      </c>
      <c r="B3600" s="1" t="n">
        <v>44498</v>
      </c>
      <c r="C3600" s="1" t="n">
        <v>45798</v>
      </c>
      <c r="D3600" t="inlineStr">
        <is>
          <t>NORRBOTTENS LÄN</t>
        </is>
      </c>
      <c r="E3600" t="inlineStr">
        <is>
          <t>PITEÅ</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61350-2021</t>
        </is>
      </c>
      <c r="B3601" s="1" t="n">
        <v>44498</v>
      </c>
      <c r="C3601" s="1" t="n">
        <v>45798</v>
      </c>
      <c r="D3601" t="inlineStr">
        <is>
          <t>NORRBOTTENS LÄN</t>
        </is>
      </c>
      <c r="E3601" t="inlineStr">
        <is>
          <t>PITEÅ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61370-2021</t>
        </is>
      </c>
      <c r="B3602" s="1" t="n">
        <v>44499</v>
      </c>
      <c r="C3602" s="1" t="n">
        <v>45798</v>
      </c>
      <c r="D3602" t="inlineStr">
        <is>
          <t>NORRBOTTENS LÄN</t>
        </is>
      </c>
      <c r="E3602" t="inlineStr">
        <is>
          <t>PITEÅ</t>
        </is>
      </c>
      <c r="G3602" t="n">
        <v>18.2</v>
      </c>
      <c r="H3602" t="n">
        <v>0</v>
      </c>
      <c r="I3602" t="n">
        <v>0</v>
      </c>
      <c r="J3602" t="n">
        <v>0</v>
      </c>
      <c r="K3602" t="n">
        <v>0</v>
      </c>
      <c r="L3602" t="n">
        <v>0</v>
      </c>
      <c r="M3602" t="n">
        <v>0</v>
      </c>
      <c r="N3602" t="n">
        <v>0</v>
      </c>
      <c r="O3602" t="n">
        <v>0</v>
      </c>
      <c r="P3602" t="n">
        <v>0</v>
      </c>
      <c r="Q3602" t="n">
        <v>0</v>
      </c>
      <c r="R3602" s="2" t="inlineStr"/>
    </row>
    <row r="3603" ht="15" customHeight="1">
      <c r="A3603" t="inlineStr">
        <is>
          <t>A 61412-2021</t>
        </is>
      </c>
      <c r="B3603" s="1" t="n">
        <v>44500</v>
      </c>
      <c r="C3603" s="1" t="n">
        <v>45798</v>
      </c>
      <c r="D3603" t="inlineStr">
        <is>
          <t>NORRBOTTENS LÄN</t>
        </is>
      </c>
      <c r="E3603" t="inlineStr">
        <is>
          <t>BODEN</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61543-2021</t>
        </is>
      </c>
      <c r="B3604" s="1" t="n">
        <v>44501</v>
      </c>
      <c r="C3604" s="1" t="n">
        <v>45798</v>
      </c>
      <c r="D3604" t="inlineStr">
        <is>
          <t>NORRBOTTENS LÄN</t>
        </is>
      </c>
      <c r="E3604" t="inlineStr">
        <is>
          <t>HAPARANDA</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61552-2021</t>
        </is>
      </c>
      <c r="B3605" s="1" t="n">
        <v>44501</v>
      </c>
      <c r="C3605" s="1" t="n">
        <v>45798</v>
      </c>
      <c r="D3605" t="inlineStr">
        <is>
          <t>NORRBOTTENS LÄN</t>
        </is>
      </c>
      <c r="E3605" t="inlineStr">
        <is>
          <t>HAPARANDA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61838-2021</t>
        </is>
      </c>
      <c r="B3606" s="1" t="n">
        <v>44501</v>
      </c>
      <c r="C3606" s="1" t="n">
        <v>45798</v>
      </c>
      <c r="D3606" t="inlineStr">
        <is>
          <t>NORRBOTTENS LÄN</t>
        </is>
      </c>
      <c r="E3606" t="inlineStr">
        <is>
          <t>ARVIDSJAUR</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61842-2021</t>
        </is>
      </c>
      <c r="B3607" s="1" t="n">
        <v>44501</v>
      </c>
      <c r="C3607" s="1" t="n">
        <v>45798</v>
      </c>
      <c r="D3607" t="inlineStr">
        <is>
          <t>NORRBOTTENS LÄN</t>
        </is>
      </c>
      <c r="E3607" t="inlineStr">
        <is>
          <t>HAPARANDA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62048-2021</t>
        </is>
      </c>
      <c r="B3608" s="1" t="n">
        <v>44501</v>
      </c>
      <c r="C3608" s="1" t="n">
        <v>45798</v>
      </c>
      <c r="D3608" t="inlineStr">
        <is>
          <t>NORRBOTTENS LÄN</t>
        </is>
      </c>
      <c r="E3608" t="inlineStr">
        <is>
          <t>LULEÅ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61841-2021</t>
        </is>
      </c>
      <c r="B3609" s="1" t="n">
        <v>44501</v>
      </c>
      <c r="C3609" s="1" t="n">
        <v>45798</v>
      </c>
      <c r="D3609" t="inlineStr">
        <is>
          <t>NORRBOTTENS LÄN</t>
        </is>
      </c>
      <c r="E3609" t="inlineStr">
        <is>
          <t>HAPARANDA</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62050-2021</t>
        </is>
      </c>
      <c r="B3610" s="1" t="n">
        <v>44501</v>
      </c>
      <c r="C3610" s="1" t="n">
        <v>45798</v>
      </c>
      <c r="D3610" t="inlineStr">
        <is>
          <t>NORRBOTTENS LÄN</t>
        </is>
      </c>
      <c r="E3610" t="inlineStr">
        <is>
          <t>LULEÅ</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62259-2021</t>
        </is>
      </c>
      <c r="B3611" s="1" t="n">
        <v>44501</v>
      </c>
      <c r="C3611" s="1" t="n">
        <v>45798</v>
      </c>
      <c r="D3611" t="inlineStr">
        <is>
          <t>NORRBOTTENS LÄN</t>
        </is>
      </c>
      <c r="E3611" t="inlineStr">
        <is>
          <t>ÖVERKALIX</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62115-2021</t>
        </is>
      </c>
      <c r="B3612" s="1" t="n">
        <v>44502</v>
      </c>
      <c r="C3612" s="1" t="n">
        <v>45798</v>
      </c>
      <c r="D3612" t="inlineStr">
        <is>
          <t>NORRBOTTENS LÄN</t>
        </is>
      </c>
      <c r="E3612" t="inlineStr">
        <is>
          <t>PITEÅ</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62269-2021</t>
        </is>
      </c>
      <c r="B3613" s="1" t="n">
        <v>44502</v>
      </c>
      <c r="C3613" s="1" t="n">
        <v>45798</v>
      </c>
      <c r="D3613" t="inlineStr">
        <is>
          <t>NORRBOTTENS LÄN</t>
        </is>
      </c>
      <c r="E3613" t="inlineStr">
        <is>
          <t>ÖVERKALIX</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62654-2021</t>
        </is>
      </c>
      <c r="B3614" s="1" t="n">
        <v>44503</v>
      </c>
      <c r="C3614" s="1" t="n">
        <v>45798</v>
      </c>
      <c r="D3614" t="inlineStr">
        <is>
          <t>NORRBOTTENS LÄN</t>
        </is>
      </c>
      <c r="E3614" t="inlineStr">
        <is>
          <t>ÖVERKALIX</t>
        </is>
      </c>
      <c r="G3614" t="n">
        <v>28.3</v>
      </c>
      <c r="H3614" t="n">
        <v>0</v>
      </c>
      <c r="I3614" t="n">
        <v>0</v>
      </c>
      <c r="J3614" t="n">
        <v>0</v>
      </c>
      <c r="K3614" t="n">
        <v>0</v>
      </c>
      <c r="L3614" t="n">
        <v>0</v>
      </c>
      <c r="M3614" t="n">
        <v>0</v>
      </c>
      <c r="N3614" t="n">
        <v>0</v>
      </c>
      <c r="O3614" t="n">
        <v>0</v>
      </c>
      <c r="P3614" t="n">
        <v>0</v>
      </c>
      <c r="Q3614" t="n">
        <v>0</v>
      </c>
      <c r="R3614" s="2" t="inlineStr"/>
    </row>
    <row r="3615" ht="15" customHeight="1">
      <c r="A3615" t="inlineStr">
        <is>
          <t>A 62732-2021</t>
        </is>
      </c>
      <c r="B3615" s="1" t="n">
        <v>44503</v>
      </c>
      <c r="C3615" s="1" t="n">
        <v>45798</v>
      </c>
      <c r="D3615" t="inlineStr">
        <is>
          <t>NORRBOTTENS LÄN</t>
        </is>
      </c>
      <c r="E3615" t="inlineStr">
        <is>
          <t>LULEÅ</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62792-2021</t>
        </is>
      </c>
      <c r="B3616" s="1" t="n">
        <v>44504</v>
      </c>
      <c r="C3616" s="1" t="n">
        <v>45798</v>
      </c>
      <c r="D3616" t="inlineStr">
        <is>
          <t>NORRBOTTENS LÄN</t>
        </is>
      </c>
      <c r="E3616" t="inlineStr">
        <is>
          <t>PAJALA</t>
        </is>
      </c>
      <c r="F3616" t="inlineStr">
        <is>
          <t>Sveaskog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62851-2021</t>
        </is>
      </c>
      <c r="B3617" s="1" t="n">
        <v>44504</v>
      </c>
      <c r="C3617" s="1" t="n">
        <v>45798</v>
      </c>
      <c r="D3617" t="inlineStr">
        <is>
          <t>NORRBOTTENS LÄN</t>
        </is>
      </c>
      <c r="E3617" t="inlineStr">
        <is>
          <t>ÖVERTORNEÅ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62797-2021</t>
        </is>
      </c>
      <c r="B3618" s="1" t="n">
        <v>44504</v>
      </c>
      <c r="C3618" s="1" t="n">
        <v>45798</v>
      </c>
      <c r="D3618" t="inlineStr">
        <is>
          <t>NORRBOTTENS LÄN</t>
        </is>
      </c>
      <c r="E3618" t="inlineStr">
        <is>
          <t>PAJALA</t>
        </is>
      </c>
      <c r="F3618" t="inlineStr">
        <is>
          <t>Sveaskog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62856-2021</t>
        </is>
      </c>
      <c r="B3619" s="1" t="n">
        <v>44504</v>
      </c>
      <c r="C3619" s="1" t="n">
        <v>45798</v>
      </c>
      <c r="D3619" t="inlineStr">
        <is>
          <t>NORRBOTTENS LÄN</t>
        </is>
      </c>
      <c r="E3619" t="inlineStr">
        <is>
          <t>ÖVERTORNEÅ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62763-2021</t>
        </is>
      </c>
      <c r="B3620" s="1" t="n">
        <v>44504</v>
      </c>
      <c r="C3620" s="1" t="n">
        <v>45798</v>
      </c>
      <c r="D3620" t="inlineStr">
        <is>
          <t>NORRBOTTENS LÄN</t>
        </is>
      </c>
      <c r="E3620" t="inlineStr">
        <is>
          <t>PAJALA</t>
        </is>
      </c>
      <c r="G3620" t="n">
        <v>20.1</v>
      </c>
      <c r="H3620" t="n">
        <v>0</v>
      </c>
      <c r="I3620" t="n">
        <v>0</v>
      </c>
      <c r="J3620" t="n">
        <v>0</v>
      </c>
      <c r="K3620" t="n">
        <v>0</v>
      </c>
      <c r="L3620" t="n">
        <v>0</v>
      </c>
      <c r="M3620" t="n">
        <v>0</v>
      </c>
      <c r="N3620" t="n">
        <v>0</v>
      </c>
      <c r="O3620" t="n">
        <v>0</v>
      </c>
      <c r="P3620" t="n">
        <v>0</v>
      </c>
      <c r="Q3620" t="n">
        <v>0</v>
      </c>
      <c r="R3620" s="2" t="inlineStr"/>
    </row>
    <row r="3621" ht="15" customHeight="1">
      <c r="A3621" t="inlineStr">
        <is>
          <t>A 62905-2021</t>
        </is>
      </c>
      <c r="B3621" s="1" t="n">
        <v>44504</v>
      </c>
      <c r="C3621" s="1" t="n">
        <v>45798</v>
      </c>
      <c r="D3621" t="inlineStr">
        <is>
          <t>NORRBOTTENS LÄN</t>
        </is>
      </c>
      <c r="E3621" t="inlineStr">
        <is>
          <t>PAJALA</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63115-2021</t>
        </is>
      </c>
      <c r="B3622" s="1" t="n">
        <v>44505</v>
      </c>
      <c r="C3622" s="1" t="n">
        <v>45798</v>
      </c>
      <c r="D3622" t="inlineStr">
        <is>
          <t>NORRBOTTENS LÄN</t>
        </is>
      </c>
      <c r="E3622" t="inlineStr">
        <is>
          <t>PAJALA</t>
        </is>
      </c>
      <c r="F3622" t="inlineStr">
        <is>
          <t>Sveaskog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63155-2021</t>
        </is>
      </c>
      <c r="B3623" s="1" t="n">
        <v>44505</v>
      </c>
      <c r="C3623" s="1" t="n">
        <v>45798</v>
      </c>
      <c r="D3623" t="inlineStr">
        <is>
          <t>NORRBOTTENS LÄN</t>
        </is>
      </c>
      <c r="E3623" t="inlineStr">
        <is>
          <t>GÄLLIVARE</t>
        </is>
      </c>
      <c r="F3623" t="inlineStr">
        <is>
          <t>SCA</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63156-2021</t>
        </is>
      </c>
      <c r="B3624" s="1" t="n">
        <v>44505</v>
      </c>
      <c r="C3624" s="1" t="n">
        <v>45798</v>
      </c>
      <c r="D3624" t="inlineStr">
        <is>
          <t>NORRBOTTENS LÄN</t>
        </is>
      </c>
      <c r="E3624" t="inlineStr">
        <is>
          <t>GÄLLIVARE</t>
        </is>
      </c>
      <c r="F3624" t="inlineStr">
        <is>
          <t>SCA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63150-2021</t>
        </is>
      </c>
      <c r="B3625" s="1" t="n">
        <v>44505</v>
      </c>
      <c r="C3625" s="1" t="n">
        <v>45798</v>
      </c>
      <c r="D3625" t="inlineStr">
        <is>
          <t>NORRBOTTENS LÄN</t>
        </is>
      </c>
      <c r="E3625" t="inlineStr">
        <is>
          <t>LULEÅ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63219-2021</t>
        </is>
      </c>
      <c r="B3626" s="1" t="n">
        <v>44508</v>
      </c>
      <c r="C3626" s="1" t="n">
        <v>45798</v>
      </c>
      <c r="D3626" t="inlineStr">
        <is>
          <t>NORRBOTTENS LÄN</t>
        </is>
      </c>
      <c r="E3626" t="inlineStr">
        <is>
          <t>HAPARANDA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63347-2021</t>
        </is>
      </c>
      <c r="B3627" s="1" t="n">
        <v>44508</v>
      </c>
      <c r="C3627" s="1" t="n">
        <v>45798</v>
      </c>
      <c r="D3627" t="inlineStr">
        <is>
          <t>NORRBOTTENS LÄN</t>
        </is>
      </c>
      <c r="E3627" t="inlineStr">
        <is>
          <t>ÖVERTORNEÅ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63351-2021</t>
        </is>
      </c>
      <c r="B3628" s="1" t="n">
        <v>44508</v>
      </c>
      <c r="C3628" s="1" t="n">
        <v>45798</v>
      </c>
      <c r="D3628" t="inlineStr">
        <is>
          <t>NORRBOTTENS LÄN</t>
        </is>
      </c>
      <c r="E3628" t="inlineStr">
        <is>
          <t>ÖVERTORNEÅ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63593-2021</t>
        </is>
      </c>
      <c r="B3629" s="1" t="n">
        <v>44508</v>
      </c>
      <c r="C3629" s="1" t="n">
        <v>45798</v>
      </c>
      <c r="D3629" t="inlineStr">
        <is>
          <t>NORRBOTTENS LÄN</t>
        </is>
      </c>
      <c r="E3629" t="inlineStr">
        <is>
          <t>KALIX</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63594-2021</t>
        </is>
      </c>
      <c r="B3630" s="1" t="n">
        <v>44508</v>
      </c>
      <c r="C3630" s="1" t="n">
        <v>45798</v>
      </c>
      <c r="D3630" t="inlineStr">
        <is>
          <t>NORRBOTTENS LÄN</t>
        </is>
      </c>
      <c r="E3630" t="inlineStr">
        <is>
          <t>ÖVERKALIX</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63735-2021</t>
        </is>
      </c>
      <c r="B3631" s="1" t="n">
        <v>44508</v>
      </c>
      <c r="C3631" s="1" t="n">
        <v>45798</v>
      </c>
      <c r="D3631" t="inlineStr">
        <is>
          <t>NORRBOTTENS LÄN</t>
        </is>
      </c>
      <c r="E3631" t="inlineStr">
        <is>
          <t>ÖVERTORNEÅ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63738-2021</t>
        </is>
      </c>
      <c r="B3632" s="1" t="n">
        <v>44508</v>
      </c>
      <c r="C3632" s="1" t="n">
        <v>45798</v>
      </c>
      <c r="D3632" t="inlineStr">
        <is>
          <t>NORRBOTTENS LÄN</t>
        </is>
      </c>
      <c r="E3632" t="inlineStr">
        <is>
          <t>ÖVERTORNEÅ</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63790-2021</t>
        </is>
      </c>
      <c r="B3633" s="1" t="n">
        <v>44509</v>
      </c>
      <c r="C3633" s="1" t="n">
        <v>45798</v>
      </c>
      <c r="D3633" t="inlineStr">
        <is>
          <t>NORRBOTTENS LÄN</t>
        </is>
      </c>
      <c r="E3633" t="inlineStr">
        <is>
          <t>BODEN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63755-2021</t>
        </is>
      </c>
      <c r="B3634" s="1" t="n">
        <v>44509</v>
      </c>
      <c r="C3634" s="1" t="n">
        <v>45798</v>
      </c>
      <c r="D3634" t="inlineStr">
        <is>
          <t>NORRBOTTENS LÄN</t>
        </is>
      </c>
      <c r="E3634" t="inlineStr">
        <is>
          <t>KALIX</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64088-2021</t>
        </is>
      </c>
      <c r="B3635" s="1" t="n">
        <v>44509</v>
      </c>
      <c r="C3635" s="1" t="n">
        <v>45798</v>
      </c>
      <c r="D3635" t="inlineStr">
        <is>
          <t>NORRBOTTENS LÄN</t>
        </is>
      </c>
      <c r="E3635" t="inlineStr">
        <is>
          <t>HAPARANDA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64085-2021</t>
        </is>
      </c>
      <c r="B3636" s="1" t="n">
        <v>44509</v>
      </c>
      <c r="C3636" s="1" t="n">
        <v>45798</v>
      </c>
      <c r="D3636" t="inlineStr">
        <is>
          <t>NORRBOTTENS LÄN</t>
        </is>
      </c>
      <c r="E3636" t="inlineStr">
        <is>
          <t>HAPARANDA</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64083-2021</t>
        </is>
      </c>
      <c r="B3637" s="1" t="n">
        <v>44509</v>
      </c>
      <c r="C3637" s="1" t="n">
        <v>45798</v>
      </c>
      <c r="D3637" t="inlineStr">
        <is>
          <t>NORRBOTTENS LÄN</t>
        </is>
      </c>
      <c r="E3637" t="inlineStr">
        <is>
          <t>HAPARANDA</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64304-2021</t>
        </is>
      </c>
      <c r="B3638" s="1" t="n">
        <v>44510</v>
      </c>
      <c r="C3638" s="1" t="n">
        <v>45798</v>
      </c>
      <c r="D3638" t="inlineStr">
        <is>
          <t>NORRBOTTENS LÄN</t>
        </is>
      </c>
      <c r="E3638" t="inlineStr">
        <is>
          <t>ÖVERKALIX</t>
        </is>
      </c>
      <c r="F3638" t="inlineStr">
        <is>
          <t>SCA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64384-2021</t>
        </is>
      </c>
      <c r="B3639" s="1" t="n">
        <v>44511</v>
      </c>
      <c r="C3639" s="1" t="n">
        <v>45798</v>
      </c>
      <c r="D3639" t="inlineStr">
        <is>
          <t>NORRBOTTENS LÄN</t>
        </is>
      </c>
      <c r="E3639" t="inlineStr">
        <is>
          <t>ARVIDSJAUR</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64377-2021</t>
        </is>
      </c>
      <c r="B3640" s="1" t="n">
        <v>44511</v>
      </c>
      <c r="C3640" s="1" t="n">
        <v>45798</v>
      </c>
      <c r="D3640" t="inlineStr">
        <is>
          <t>NORRBOTTENS LÄN</t>
        </is>
      </c>
      <c r="E3640" t="inlineStr">
        <is>
          <t>ARVIDSJAUR</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64889-2021</t>
        </is>
      </c>
      <c r="B3641" s="1" t="n">
        <v>44512</v>
      </c>
      <c r="C3641" s="1" t="n">
        <v>45798</v>
      </c>
      <c r="D3641" t="inlineStr">
        <is>
          <t>NORRBOTTENS LÄN</t>
        </is>
      </c>
      <c r="E3641" t="inlineStr">
        <is>
          <t>KALIX</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64907-2021</t>
        </is>
      </c>
      <c r="B3642" s="1" t="n">
        <v>44512</v>
      </c>
      <c r="C3642" s="1" t="n">
        <v>45798</v>
      </c>
      <c r="D3642" t="inlineStr">
        <is>
          <t>NORRBOTTENS LÄN</t>
        </is>
      </c>
      <c r="E3642" t="inlineStr">
        <is>
          <t>KALIX</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64979-2021</t>
        </is>
      </c>
      <c r="B3643" s="1" t="n">
        <v>44513</v>
      </c>
      <c r="C3643" s="1" t="n">
        <v>45798</v>
      </c>
      <c r="D3643" t="inlineStr">
        <is>
          <t>NORRBOTTENS LÄN</t>
        </is>
      </c>
      <c r="E3643" t="inlineStr">
        <is>
          <t>PAJALA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65218-2021</t>
        </is>
      </c>
      <c r="B3644" s="1" t="n">
        <v>44515</v>
      </c>
      <c r="C3644" s="1" t="n">
        <v>45798</v>
      </c>
      <c r="D3644" t="inlineStr">
        <is>
          <t>NORRBOTTENS LÄN</t>
        </is>
      </c>
      <c r="E3644" t="inlineStr">
        <is>
          <t>BODEN</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65110-2021</t>
        </is>
      </c>
      <c r="B3645" s="1" t="n">
        <v>44515</v>
      </c>
      <c r="C3645" s="1" t="n">
        <v>45798</v>
      </c>
      <c r="D3645" t="inlineStr">
        <is>
          <t>NORRBOTTENS LÄN</t>
        </is>
      </c>
      <c r="E3645" t="inlineStr">
        <is>
          <t>ÖVERTORNEÅ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65225-2021</t>
        </is>
      </c>
      <c r="B3646" s="1" t="n">
        <v>44515</v>
      </c>
      <c r="C3646" s="1" t="n">
        <v>45798</v>
      </c>
      <c r="D3646" t="inlineStr">
        <is>
          <t>NORRBOTTENS LÄN</t>
        </is>
      </c>
      <c r="E3646" t="inlineStr">
        <is>
          <t>BODEN</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65410-2021</t>
        </is>
      </c>
      <c r="B3647" s="1" t="n">
        <v>44515</v>
      </c>
      <c r="C3647" s="1" t="n">
        <v>45798</v>
      </c>
      <c r="D3647" t="inlineStr">
        <is>
          <t>NORRBOTTENS LÄN</t>
        </is>
      </c>
      <c r="E3647" t="inlineStr">
        <is>
          <t>ÄLVSBYN</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65517-2021</t>
        </is>
      </c>
      <c r="B3648" s="1" t="n">
        <v>44516</v>
      </c>
      <c r="C3648" s="1" t="n">
        <v>45798</v>
      </c>
      <c r="D3648" t="inlineStr">
        <is>
          <t>NORRBOTTENS LÄN</t>
        </is>
      </c>
      <c r="E3648" t="inlineStr">
        <is>
          <t>GÄLLIVARE</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65769-2021</t>
        </is>
      </c>
      <c r="B3649" s="1" t="n">
        <v>44516</v>
      </c>
      <c r="C3649" s="1" t="n">
        <v>45798</v>
      </c>
      <c r="D3649" t="inlineStr">
        <is>
          <t>NORRBOTTENS LÄN</t>
        </is>
      </c>
      <c r="E3649" t="inlineStr">
        <is>
          <t>PITEÅ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65914-2021</t>
        </is>
      </c>
      <c r="B3650" s="1" t="n">
        <v>44517</v>
      </c>
      <c r="C3650" s="1" t="n">
        <v>45798</v>
      </c>
      <c r="D3650" t="inlineStr">
        <is>
          <t>NORRBOTTENS LÄN</t>
        </is>
      </c>
      <c r="E3650" t="inlineStr">
        <is>
          <t>PAJALA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65931-2021</t>
        </is>
      </c>
      <c r="B3651" s="1" t="n">
        <v>44517</v>
      </c>
      <c r="C3651" s="1" t="n">
        <v>45798</v>
      </c>
      <c r="D3651" t="inlineStr">
        <is>
          <t>NORRBOTTENS LÄN</t>
        </is>
      </c>
      <c r="E3651" t="inlineStr">
        <is>
          <t>PAJALA</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65976-2021</t>
        </is>
      </c>
      <c r="B3652" s="1" t="n">
        <v>44517</v>
      </c>
      <c r="C3652" s="1" t="n">
        <v>45798</v>
      </c>
      <c r="D3652" t="inlineStr">
        <is>
          <t>NORRBOTTENS LÄN</t>
        </is>
      </c>
      <c r="E3652" t="inlineStr">
        <is>
          <t>PAJALA</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66225-2021</t>
        </is>
      </c>
      <c r="B3653" s="1" t="n">
        <v>44517</v>
      </c>
      <c r="C3653" s="1" t="n">
        <v>45798</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66264-2021</t>
        </is>
      </c>
      <c r="B3654" s="1" t="n">
        <v>44518</v>
      </c>
      <c r="C3654" s="1" t="n">
        <v>45798</v>
      </c>
      <c r="D3654" t="inlineStr">
        <is>
          <t>NORRBOTTENS LÄN</t>
        </is>
      </c>
      <c r="E3654" t="inlineStr">
        <is>
          <t>GÄLLIVARE</t>
        </is>
      </c>
      <c r="F3654" t="inlineStr">
        <is>
          <t>Sveaskog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66269-2021</t>
        </is>
      </c>
      <c r="B3655" s="1" t="n">
        <v>44518</v>
      </c>
      <c r="C3655" s="1" t="n">
        <v>45798</v>
      </c>
      <c r="D3655" t="inlineStr">
        <is>
          <t>NORRBOTTENS LÄN</t>
        </is>
      </c>
      <c r="E3655" t="inlineStr">
        <is>
          <t>GÄLLIVARE</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66282-2021</t>
        </is>
      </c>
      <c r="B3656" s="1" t="n">
        <v>44518</v>
      </c>
      <c r="C3656" s="1" t="n">
        <v>45798</v>
      </c>
      <c r="D3656" t="inlineStr">
        <is>
          <t>NORRBOTTENS LÄN</t>
        </is>
      </c>
      <c r="E3656" t="inlineStr">
        <is>
          <t>GÄLLIVARE</t>
        </is>
      </c>
      <c r="F3656" t="inlineStr">
        <is>
          <t>Sveaskog</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66257-2021</t>
        </is>
      </c>
      <c r="B3657" s="1" t="n">
        <v>44518</v>
      </c>
      <c r="C3657" s="1" t="n">
        <v>45798</v>
      </c>
      <c r="D3657" t="inlineStr">
        <is>
          <t>NORRBOTTENS LÄN</t>
        </is>
      </c>
      <c r="E3657" t="inlineStr">
        <is>
          <t>GÄLLIVARE</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66278-2021</t>
        </is>
      </c>
      <c r="B3658" s="1" t="n">
        <v>44518</v>
      </c>
      <c r="C3658" s="1" t="n">
        <v>45798</v>
      </c>
      <c r="D3658" t="inlineStr">
        <is>
          <t>NORRBOTTENS LÄN</t>
        </is>
      </c>
      <c r="E3658" t="inlineStr">
        <is>
          <t>GÄLLIVARE</t>
        </is>
      </c>
      <c r="F3658" t="inlineStr">
        <is>
          <t>Sveaskog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66287-2021</t>
        </is>
      </c>
      <c r="B3659" s="1" t="n">
        <v>44518</v>
      </c>
      <c r="C3659" s="1" t="n">
        <v>45798</v>
      </c>
      <c r="D3659" t="inlineStr">
        <is>
          <t>NORRBOTTENS LÄN</t>
        </is>
      </c>
      <c r="E3659" t="inlineStr">
        <is>
          <t>GÄLLIVARE</t>
        </is>
      </c>
      <c r="F3659" t="inlineStr">
        <is>
          <t>Sveaskog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66326-2021</t>
        </is>
      </c>
      <c r="B3660" s="1" t="n">
        <v>44518</v>
      </c>
      <c r="C3660" s="1" t="n">
        <v>45798</v>
      </c>
      <c r="D3660" t="inlineStr">
        <is>
          <t>NORRBOTTENS LÄN</t>
        </is>
      </c>
      <c r="E3660" t="inlineStr">
        <is>
          <t>PAJALA</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66353-2021</t>
        </is>
      </c>
      <c r="B3661" s="1" t="n">
        <v>44518</v>
      </c>
      <c r="C3661" s="1" t="n">
        <v>45798</v>
      </c>
      <c r="D3661" t="inlineStr">
        <is>
          <t>NORRBOTTENS LÄN</t>
        </is>
      </c>
      <c r="E3661" t="inlineStr">
        <is>
          <t>PAJALA</t>
        </is>
      </c>
      <c r="G3661" t="n">
        <v>22.5</v>
      </c>
      <c r="H3661" t="n">
        <v>0</v>
      </c>
      <c r="I3661" t="n">
        <v>0</v>
      </c>
      <c r="J3661" t="n">
        <v>0</v>
      </c>
      <c r="K3661" t="n">
        <v>0</v>
      </c>
      <c r="L3661" t="n">
        <v>0</v>
      </c>
      <c r="M3661" t="n">
        <v>0</v>
      </c>
      <c r="N3661" t="n">
        <v>0</v>
      </c>
      <c r="O3661" t="n">
        <v>0</v>
      </c>
      <c r="P3661" t="n">
        <v>0</v>
      </c>
      <c r="Q3661" t="n">
        <v>0</v>
      </c>
      <c r="R3661" s="2" t="inlineStr"/>
    </row>
    <row r="3662" ht="15" customHeight="1">
      <c r="A3662" t="inlineStr">
        <is>
          <t>A 66464-2021</t>
        </is>
      </c>
      <c r="B3662" s="1" t="n">
        <v>44518</v>
      </c>
      <c r="C3662" s="1" t="n">
        <v>45798</v>
      </c>
      <c r="D3662" t="inlineStr">
        <is>
          <t>NORRBOTTENS LÄN</t>
        </is>
      </c>
      <c r="E3662" t="inlineStr">
        <is>
          <t>BODEN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66702-2021</t>
        </is>
      </c>
      <c r="B3663" s="1" t="n">
        <v>44519</v>
      </c>
      <c r="C3663" s="1" t="n">
        <v>45798</v>
      </c>
      <c r="D3663" t="inlineStr">
        <is>
          <t>NORRBOTTENS LÄN</t>
        </is>
      </c>
      <c r="E3663" t="inlineStr">
        <is>
          <t>LULEÅ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66737-2021</t>
        </is>
      </c>
      <c r="B3664" s="1" t="n">
        <v>44520</v>
      </c>
      <c r="C3664" s="1" t="n">
        <v>45798</v>
      </c>
      <c r="D3664" t="inlineStr">
        <is>
          <t>NORRBOTTENS LÄN</t>
        </is>
      </c>
      <c r="E3664" t="inlineStr">
        <is>
          <t>ÖVERTORNEÅ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66844-2021</t>
        </is>
      </c>
      <c r="B3665" s="1" t="n">
        <v>44520</v>
      </c>
      <c r="C3665" s="1" t="n">
        <v>45798</v>
      </c>
      <c r="D3665" t="inlineStr">
        <is>
          <t>NORRBOTTENS LÄN</t>
        </is>
      </c>
      <c r="E3665" t="inlineStr">
        <is>
          <t>ARJEPLOG</t>
        </is>
      </c>
      <c r="G3665" t="n">
        <v>44.8</v>
      </c>
      <c r="H3665" t="n">
        <v>0</v>
      </c>
      <c r="I3665" t="n">
        <v>0</v>
      </c>
      <c r="J3665" t="n">
        <v>0</v>
      </c>
      <c r="K3665" t="n">
        <v>0</v>
      </c>
      <c r="L3665" t="n">
        <v>0</v>
      </c>
      <c r="M3665" t="n">
        <v>0</v>
      </c>
      <c r="N3665" t="n">
        <v>0</v>
      </c>
      <c r="O3665" t="n">
        <v>0</v>
      </c>
      <c r="P3665" t="n">
        <v>0</v>
      </c>
      <c r="Q3665" t="n">
        <v>0</v>
      </c>
      <c r="R3665" s="2" t="inlineStr"/>
    </row>
    <row r="3666" ht="15" customHeight="1">
      <c r="A3666" t="inlineStr">
        <is>
          <t>A 66739-2021</t>
        </is>
      </c>
      <c r="B3666" s="1" t="n">
        <v>44520</v>
      </c>
      <c r="C3666" s="1" t="n">
        <v>45798</v>
      </c>
      <c r="D3666" t="inlineStr">
        <is>
          <t>NORRBOTTENS LÄN</t>
        </is>
      </c>
      <c r="E3666" t="inlineStr">
        <is>
          <t>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66767-2021</t>
        </is>
      </c>
      <c r="B3667" s="1" t="n">
        <v>44521</v>
      </c>
      <c r="C3667" s="1" t="n">
        <v>45798</v>
      </c>
      <c r="D3667" t="inlineStr">
        <is>
          <t>NORRBOTTENS LÄN</t>
        </is>
      </c>
      <c r="E3667" t="inlineStr">
        <is>
          <t>PAJALA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66766-2021</t>
        </is>
      </c>
      <c r="B3668" s="1" t="n">
        <v>44521</v>
      </c>
      <c r="C3668" s="1" t="n">
        <v>45798</v>
      </c>
      <c r="D3668" t="inlineStr">
        <is>
          <t>NORRBOTTENS LÄN</t>
        </is>
      </c>
      <c r="E3668" t="inlineStr">
        <is>
          <t>PAJALA</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66914-2021</t>
        </is>
      </c>
      <c r="B3669" s="1" t="n">
        <v>44522</v>
      </c>
      <c r="C3669" s="1" t="n">
        <v>45798</v>
      </c>
      <c r="D3669" t="inlineStr">
        <is>
          <t>NORRBOTTENS LÄN</t>
        </is>
      </c>
      <c r="E3669" t="inlineStr">
        <is>
          <t>PAJALA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66950-2021</t>
        </is>
      </c>
      <c r="B3670" s="1" t="n">
        <v>44522</v>
      </c>
      <c r="C3670" s="1" t="n">
        <v>45798</v>
      </c>
      <c r="D3670" t="inlineStr">
        <is>
          <t>NORRBOTTENS LÄN</t>
        </is>
      </c>
      <c r="E3670" t="inlineStr">
        <is>
          <t>GÄLLIVARE</t>
        </is>
      </c>
      <c r="F3670" t="inlineStr">
        <is>
          <t>Allmännings- och besparingsskogar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66775-2021</t>
        </is>
      </c>
      <c r="B3671" s="1" t="n">
        <v>44522</v>
      </c>
      <c r="C3671" s="1" t="n">
        <v>45798</v>
      </c>
      <c r="D3671" t="inlineStr">
        <is>
          <t>NORRBOTTENS LÄN</t>
        </is>
      </c>
      <c r="E3671" t="inlineStr">
        <is>
          <t>ÖVERTORNEÅ</t>
        </is>
      </c>
      <c r="G3671" t="n">
        <v>15.1</v>
      </c>
      <c r="H3671" t="n">
        <v>0</v>
      </c>
      <c r="I3671" t="n">
        <v>0</v>
      </c>
      <c r="J3671" t="n">
        <v>0</v>
      </c>
      <c r="K3671" t="n">
        <v>0</v>
      </c>
      <c r="L3671" t="n">
        <v>0</v>
      </c>
      <c r="M3671" t="n">
        <v>0</v>
      </c>
      <c r="N3671" t="n">
        <v>0</v>
      </c>
      <c r="O3671" t="n">
        <v>0</v>
      </c>
      <c r="P3671" t="n">
        <v>0</v>
      </c>
      <c r="Q3671" t="n">
        <v>0</v>
      </c>
      <c r="R3671" s="2" t="inlineStr"/>
    </row>
    <row r="3672" ht="15" customHeight="1">
      <c r="A3672" t="inlineStr">
        <is>
          <t>A 67008-2021</t>
        </is>
      </c>
      <c r="B3672" s="1" t="n">
        <v>44522</v>
      </c>
      <c r="C3672" s="1" t="n">
        <v>45798</v>
      </c>
      <c r="D3672" t="inlineStr">
        <is>
          <t>NORRBOTTENS LÄN</t>
        </is>
      </c>
      <c r="E3672" t="inlineStr">
        <is>
          <t>KALIX</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67004-2021</t>
        </is>
      </c>
      <c r="B3673" s="1" t="n">
        <v>44522</v>
      </c>
      <c r="C3673" s="1" t="n">
        <v>45798</v>
      </c>
      <c r="D3673" t="inlineStr">
        <is>
          <t>NORRBOTTENS LÄN</t>
        </is>
      </c>
      <c r="E3673" t="inlineStr">
        <is>
          <t>KALIX</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67068-2021</t>
        </is>
      </c>
      <c r="B3674" s="1" t="n">
        <v>44522</v>
      </c>
      <c r="C3674" s="1" t="n">
        <v>45798</v>
      </c>
      <c r="D3674" t="inlineStr">
        <is>
          <t>NORRBOTTENS LÄN</t>
        </is>
      </c>
      <c r="E3674" t="inlineStr">
        <is>
          <t>BODEN</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67103-2021</t>
        </is>
      </c>
      <c r="B3675" s="1" t="n">
        <v>44522</v>
      </c>
      <c r="C3675" s="1" t="n">
        <v>45798</v>
      </c>
      <c r="D3675" t="inlineStr">
        <is>
          <t>NORRBOTTENS LÄN</t>
        </is>
      </c>
      <c r="E3675" t="inlineStr">
        <is>
          <t>ÄLVSBYN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67020-2021</t>
        </is>
      </c>
      <c r="B3676" s="1" t="n">
        <v>44522</v>
      </c>
      <c r="C3676" s="1" t="n">
        <v>45798</v>
      </c>
      <c r="D3676" t="inlineStr">
        <is>
          <t>NORRBOTTENS LÄN</t>
        </is>
      </c>
      <c r="E3676" t="inlineStr">
        <is>
          <t>PITEÅ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67106-2021</t>
        </is>
      </c>
      <c r="B3677" s="1" t="n">
        <v>44522</v>
      </c>
      <c r="C3677" s="1" t="n">
        <v>45798</v>
      </c>
      <c r="D3677" t="inlineStr">
        <is>
          <t>NORRBOTTENS LÄN</t>
        </is>
      </c>
      <c r="E3677" t="inlineStr">
        <is>
          <t>ÄLVSBYN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67272-2021</t>
        </is>
      </c>
      <c r="B3678" s="1" t="n">
        <v>44523</v>
      </c>
      <c r="C3678" s="1" t="n">
        <v>45798</v>
      </c>
      <c r="D3678" t="inlineStr">
        <is>
          <t>NORRBOTTENS LÄN</t>
        </is>
      </c>
      <c r="E3678" t="inlineStr">
        <is>
          <t>PAJALA</t>
        </is>
      </c>
      <c r="F3678" t="inlineStr">
        <is>
          <t>Allmännings- och besparingsskogar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67376-2021</t>
        </is>
      </c>
      <c r="B3679" s="1" t="n">
        <v>44523</v>
      </c>
      <c r="C3679" s="1" t="n">
        <v>45798</v>
      </c>
      <c r="D3679" t="inlineStr">
        <is>
          <t>NORRBOTTENS LÄN</t>
        </is>
      </c>
      <c r="E3679" t="inlineStr">
        <is>
          <t>PITEÅ</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67430-2021</t>
        </is>
      </c>
      <c r="B3680" s="1" t="n">
        <v>44524</v>
      </c>
      <c r="C3680" s="1" t="n">
        <v>45798</v>
      </c>
      <c r="D3680" t="inlineStr">
        <is>
          <t>NORRBOTTENS LÄN</t>
        </is>
      </c>
      <c r="E3680" t="inlineStr">
        <is>
          <t>BODEN</t>
        </is>
      </c>
      <c r="G3680" t="n">
        <v>10.6</v>
      </c>
      <c r="H3680" t="n">
        <v>0</v>
      </c>
      <c r="I3680" t="n">
        <v>0</v>
      </c>
      <c r="J3680" t="n">
        <v>0</v>
      </c>
      <c r="K3680" t="n">
        <v>0</v>
      </c>
      <c r="L3680" t="n">
        <v>0</v>
      </c>
      <c r="M3680" t="n">
        <v>0</v>
      </c>
      <c r="N3680" t="n">
        <v>0</v>
      </c>
      <c r="O3680" t="n">
        <v>0</v>
      </c>
      <c r="P3680" t="n">
        <v>0</v>
      </c>
      <c r="Q3680" t="n">
        <v>0</v>
      </c>
      <c r="R3680" s="2" t="inlineStr"/>
    </row>
    <row r="3681" ht="15" customHeight="1">
      <c r="A3681" t="inlineStr">
        <is>
          <t>A 67438-2021</t>
        </is>
      </c>
      <c r="B3681" s="1" t="n">
        <v>44524</v>
      </c>
      <c r="C3681" s="1" t="n">
        <v>45798</v>
      </c>
      <c r="D3681" t="inlineStr">
        <is>
          <t>NORRBOTTENS LÄN</t>
        </is>
      </c>
      <c r="E3681" t="inlineStr">
        <is>
          <t>BODEN</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67927-2021</t>
        </is>
      </c>
      <c r="B3682" s="1" t="n">
        <v>44525</v>
      </c>
      <c r="C3682" s="1" t="n">
        <v>45798</v>
      </c>
      <c r="D3682" t="inlineStr">
        <is>
          <t>NORRBOTTENS LÄN</t>
        </is>
      </c>
      <c r="E3682" t="inlineStr">
        <is>
          <t>PITEÅ</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68199-2021</t>
        </is>
      </c>
      <c r="B3683" s="1" t="n">
        <v>44525</v>
      </c>
      <c r="C3683" s="1" t="n">
        <v>45798</v>
      </c>
      <c r="D3683" t="inlineStr">
        <is>
          <t>NORRBOTTENS LÄN</t>
        </is>
      </c>
      <c r="E3683" t="inlineStr">
        <is>
          <t>GÄLLIVARE</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67904-2021</t>
        </is>
      </c>
      <c r="B3684" s="1" t="n">
        <v>44525</v>
      </c>
      <c r="C3684" s="1" t="n">
        <v>45798</v>
      </c>
      <c r="D3684" t="inlineStr">
        <is>
          <t>NORRBOTTENS LÄN</t>
        </is>
      </c>
      <c r="E3684" t="inlineStr">
        <is>
          <t>PITEÅ</t>
        </is>
      </c>
      <c r="G3684" t="n">
        <v>12.7</v>
      </c>
      <c r="H3684" t="n">
        <v>0</v>
      </c>
      <c r="I3684" t="n">
        <v>0</v>
      </c>
      <c r="J3684" t="n">
        <v>0</v>
      </c>
      <c r="K3684" t="n">
        <v>0</v>
      </c>
      <c r="L3684" t="n">
        <v>0</v>
      </c>
      <c r="M3684" t="n">
        <v>0</v>
      </c>
      <c r="N3684" t="n">
        <v>0</v>
      </c>
      <c r="O3684" t="n">
        <v>0</v>
      </c>
      <c r="P3684" t="n">
        <v>0</v>
      </c>
      <c r="Q3684" t="n">
        <v>0</v>
      </c>
      <c r="R3684" s="2" t="inlineStr"/>
    </row>
    <row r="3685" ht="15" customHeight="1">
      <c r="A3685" t="inlineStr">
        <is>
          <t>A 68307-2021</t>
        </is>
      </c>
      <c r="B3685" s="1" t="n">
        <v>44526</v>
      </c>
      <c r="C3685" s="1" t="n">
        <v>45798</v>
      </c>
      <c r="D3685" t="inlineStr">
        <is>
          <t>NORRBOTTENS LÄN</t>
        </is>
      </c>
      <c r="E3685" t="inlineStr">
        <is>
          <t>LULEÅ</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68352-2021</t>
        </is>
      </c>
      <c r="B3686" s="1" t="n">
        <v>44528</v>
      </c>
      <c r="C3686" s="1" t="n">
        <v>45798</v>
      </c>
      <c r="D3686" t="inlineStr">
        <is>
          <t>NORRBOTTENS LÄN</t>
        </is>
      </c>
      <c r="E3686" t="inlineStr">
        <is>
          <t>KALIX</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68569-2021</t>
        </is>
      </c>
      <c r="B3687" s="1" t="n">
        <v>44529</v>
      </c>
      <c r="C3687" s="1" t="n">
        <v>45798</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68591-2021</t>
        </is>
      </c>
      <c r="B3688" s="1" t="n">
        <v>44529</v>
      </c>
      <c r="C3688" s="1" t="n">
        <v>45798</v>
      </c>
      <c r="D3688" t="inlineStr">
        <is>
          <t>NORRBOTTENS LÄN</t>
        </is>
      </c>
      <c r="E3688" t="inlineStr">
        <is>
          <t>BODEN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68438-2021</t>
        </is>
      </c>
      <c r="B3689" s="1" t="n">
        <v>44529</v>
      </c>
      <c r="C3689" s="1" t="n">
        <v>45798</v>
      </c>
      <c r="D3689" t="inlineStr">
        <is>
          <t>NORRBOTTENS LÄN</t>
        </is>
      </c>
      <c r="E3689" t="inlineStr">
        <is>
          <t>KALIX</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68560-2021</t>
        </is>
      </c>
      <c r="B3690" s="1" t="n">
        <v>44529</v>
      </c>
      <c r="C3690" s="1" t="n">
        <v>45798</v>
      </c>
      <c r="D3690" t="inlineStr">
        <is>
          <t>NORRBOTTENS LÄN</t>
        </is>
      </c>
      <c r="E3690" t="inlineStr">
        <is>
          <t>BODEN</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68376-2021</t>
        </is>
      </c>
      <c r="B3691" s="1" t="n">
        <v>44529</v>
      </c>
      <c r="C3691" s="1" t="n">
        <v>45798</v>
      </c>
      <c r="D3691" t="inlineStr">
        <is>
          <t>NORRBOTTENS LÄN</t>
        </is>
      </c>
      <c r="E3691" t="inlineStr">
        <is>
          <t>ARVIDSJAUR</t>
        </is>
      </c>
      <c r="F3691" t="inlineStr">
        <is>
          <t>Sveaskog</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68780-2021</t>
        </is>
      </c>
      <c r="B3692" s="1" t="n">
        <v>44529</v>
      </c>
      <c r="C3692" s="1" t="n">
        <v>45798</v>
      </c>
      <c r="D3692" t="inlineStr">
        <is>
          <t>NORRBOTTENS LÄN</t>
        </is>
      </c>
      <c r="E3692" t="inlineStr">
        <is>
          <t>JOKKMOKK</t>
        </is>
      </c>
      <c r="F3692" t="inlineStr">
        <is>
          <t>SCA</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68514-2021</t>
        </is>
      </c>
      <c r="B3693" s="1" t="n">
        <v>44529</v>
      </c>
      <c r="C3693" s="1" t="n">
        <v>45798</v>
      </c>
      <c r="D3693" t="inlineStr">
        <is>
          <t>NORRBOTTENS LÄN</t>
        </is>
      </c>
      <c r="E3693" t="inlineStr">
        <is>
          <t>BODEN</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68716-2021</t>
        </is>
      </c>
      <c r="B3694" s="1" t="n">
        <v>44529</v>
      </c>
      <c r="C3694" s="1" t="n">
        <v>45798</v>
      </c>
      <c r="D3694" t="inlineStr">
        <is>
          <t>NORRBOTTENS LÄN</t>
        </is>
      </c>
      <c r="E3694" t="inlineStr">
        <is>
          <t>KALIX</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68764-2021</t>
        </is>
      </c>
      <c r="B3695" s="1" t="n">
        <v>44529</v>
      </c>
      <c r="C3695" s="1" t="n">
        <v>45798</v>
      </c>
      <c r="D3695" t="inlineStr">
        <is>
          <t>NORRBOTTENS LÄN</t>
        </is>
      </c>
      <c r="E3695" t="inlineStr">
        <is>
          <t>ÖVERTORNEÅ</t>
        </is>
      </c>
      <c r="G3695" t="n">
        <v>19.2</v>
      </c>
      <c r="H3695" t="n">
        <v>0</v>
      </c>
      <c r="I3695" t="n">
        <v>0</v>
      </c>
      <c r="J3695" t="n">
        <v>0</v>
      </c>
      <c r="K3695" t="n">
        <v>0</v>
      </c>
      <c r="L3695" t="n">
        <v>0</v>
      </c>
      <c r="M3695" t="n">
        <v>0</v>
      </c>
      <c r="N3695" t="n">
        <v>0</v>
      </c>
      <c r="O3695" t="n">
        <v>0</v>
      </c>
      <c r="P3695" t="n">
        <v>0</v>
      </c>
      <c r="Q3695" t="n">
        <v>0</v>
      </c>
      <c r="R3695" s="2" t="inlineStr"/>
    </row>
    <row r="3696" ht="15" customHeight="1">
      <c r="A3696" t="inlineStr">
        <is>
          <t>A 68565-2021</t>
        </is>
      </c>
      <c r="B3696" s="1" t="n">
        <v>44529</v>
      </c>
      <c r="C3696" s="1" t="n">
        <v>45798</v>
      </c>
      <c r="D3696" t="inlineStr">
        <is>
          <t>NORRBOTTENS LÄN</t>
        </is>
      </c>
      <c r="E3696" t="inlineStr">
        <is>
          <t>BODEN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68589-2021</t>
        </is>
      </c>
      <c r="B3697" s="1" t="n">
        <v>44529</v>
      </c>
      <c r="C3697" s="1" t="n">
        <v>45798</v>
      </c>
      <c r="D3697" t="inlineStr">
        <is>
          <t>NORRBOTTENS LÄN</t>
        </is>
      </c>
      <c r="E3697" t="inlineStr">
        <is>
          <t>BODEN</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68611-2021</t>
        </is>
      </c>
      <c r="B3698" s="1" t="n">
        <v>44529</v>
      </c>
      <c r="C3698" s="1" t="n">
        <v>45798</v>
      </c>
      <c r="D3698" t="inlineStr">
        <is>
          <t>NORRBOTTENS LÄN</t>
        </is>
      </c>
      <c r="E3698" t="inlineStr">
        <is>
          <t>BODEN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68718-2021</t>
        </is>
      </c>
      <c r="B3699" s="1" t="n">
        <v>44529</v>
      </c>
      <c r="C3699" s="1" t="n">
        <v>45798</v>
      </c>
      <c r="D3699" t="inlineStr">
        <is>
          <t>NORRBOTTENS LÄN</t>
        </is>
      </c>
      <c r="E3699" t="inlineStr">
        <is>
          <t>KALIX</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68808-2021</t>
        </is>
      </c>
      <c r="B3700" s="1" t="n">
        <v>44529</v>
      </c>
      <c r="C3700" s="1" t="n">
        <v>45798</v>
      </c>
      <c r="D3700" t="inlineStr">
        <is>
          <t>NORRBOTTENS LÄN</t>
        </is>
      </c>
      <c r="E3700" t="inlineStr">
        <is>
          <t>LULEÅ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68804-2021</t>
        </is>
      </c>
      <c r="B3701" s="1" t="n">
        <v>44529</v>
      </c>
      <c r="C3701" s="1" t="n">
        <v>45798</v>
      </c>
      <c r="D3701" t="inlineStr">
        <is>
          <t>NORRBOTTENS LÄN</t>
        </is>
      </c>
      <c r="E3701" t="inlineStr">
        <is>
          <t>KALIX</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68960-2021</t>
        </is>
      </c>
      <c r="B3702" s="1" t="n">
        <v>44529</v>
      </c>
      <c r="C3702" s="1" t="n">
        <v>45798</v>
      </c>
      <c r="D3702" t="inlineStr">
        <is>
          <t>NORRBOTTENS LÄN</t>
        </is>
      </c>
      <c r="E3702" t="inlineStr">
        <is>
          <t>GÄLLIVARE</t>
        </is>
      </c>
      <c r="F3702" t="inlineStr">
        <is>
          <t>Allmännings- och besparingsskogar</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69078-2021</t>
        </is>
      </c>
      <c r="B3703" s="1" t="n">
        <v>44529</v>
      </c>
      <c r="C3703" s="1" t="n">
        <v>45798</v>
      </c>
      <c r="D3703" t="inlineStr">
        <is>
          <t>NORRBOTTENS LÄN</t>
        </is>
      </c>
      <c r="E3703" t="inlineStr">
        <is>
          <t>PITEÅ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69202-2021</t>
        </is>
      </c>
      <c r="B3704" s="1" t="n">
        <v>44529</v>
      </c>
      <c r="C3704" s="1" t="n">
        <v>45798</v>
      </c>
      <c r="D3704" t="inlineStr">
        <is>
          <t>NORRBOTTENS LÄN</t>
        </is>
      </c>
      <c r="E3704" t="inlineStr">
        <is>
          <t>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68987-2021</t>
        </is>
      </c>
      <c r="B3705" s="1" t="n">
        <v>44530</v>
      </c>
      <c r="C3705" s="1" t="n">
        <v>45798</v>
      </c>
      <c r="D3705" t="inlineStr">
        <is>
          <t>NORRBOTTENS LÄN</t>
        </is>
      </c>
      <c r="E3705" t="inlineStr">
        <is>
          <t>PITEÅ</t>
        </is>
      </c>
      <c r="F3705" t="inlineStr">
        <is>
          <t>Övriga Aktiebolag</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68914-2021</t>
        </is>
      </c>
      <c r="B3706" s="1" t="n">
        <v>44530</v>
      </c>
      <c r="C3706" s="1" t="n">
        <v>45798</v>
      </c>
      <c r="D3706" t="inlineStr">
        <is>
          <t>NORRBOTTENS LÄN</t>
        </is>
      </c>
      <c r="E3706" t="inlineStr">
        <is>
          <t>BODEN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68995-2021</t>
        </is>
      </c>
      <c r="B3707" s="1" t="n">
        <v>44530</v>
      </c>
      <c r="C3707" s="1" t="n">
        <v>45798</v>
      </c>
      <c r="D3707" t="inlineStr">
        <is>
          <t>NORRBOTTENS LÄN</t>
        </is>
      </c>
      <c r="E3707" t="inlineStr">
        <is>
          <t>PITEÅ</t>
        </is>
      </c>
      <c r="F3707" t="inlineStr">
        <is>
          <t>Övriga Aktiebolag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69124-2021</t>
        </is>
      </c>
      <c r="B3708" s="1" t="n">
        <v>44530</v>
      </c>
      <c r="C3708" s="1" t="n">
        <v>45798</v>
      </c>
      <c r="D3708" t="inlineStr">
        <is>
          <t>NORRBOTTENS LÄN</t>
        </is>
      </c>
      <c r="E3708" t="inlineStr">
        <is>
          <t>BODEN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69080-2021</t>
        </is>
      </c>
      <c r="B3709" s="1" t="n">
        <v>44530</v>
      </c>
      <c r="C3709" s="1" t="n">
        <v>45798</v>
      </c>
      <c r="D3709" t="inlineStr">
        <is>
          <t>NORRBOTTENS LÄN</t>
        </is>
      </c>
      <c r="E3709" t="inlineStr">
        <is>
          <t>ARVIDSJAUR</t>
        </is>
      </c>
      <c r="F3709" t="inlineStr">
        <is>
          <t>Sveaskog</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69110-2021</t>
        </is>
      </c>
      <c r="B3710" s="1" t="n">
        <v>44530</v>
      </c>
      <c r="C3710" s="1" t="n">
        <v>45798</v>
      </c>
      <c r="D3710" t="inlineStr">
        <is>
          <t>NORRBOTTENS LÄN</t>
        </is>
      </c>
      <c r="E3710" t="inlineStr">
        <is>
          <t>ÖVERKALIX</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69405-2021</t>
        </is>
      </c>
      <c r="B3711" s="1" t="n">
        <v>44531</v>
      </c>
      <c r="C3711" s="1" t="n">
        <v>45798</v>
      </c>
      <c r="D3711" t="inlineStr">
        <is>
          <t>NORRBOTTENS LÄN</t>
        </is>
      </c>
      <c r="E3711" t="inlineStr">
        <is>
          <t>ÖVERKALIX</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69537-2021</t>
        </is>
      </c>
      <c r="B3712" s="1" t="n">
        <v>44531</v>
      </c>
      <c r="C3712" s="1" t="n">
        <v>45798</v>
      </c>
      <c r="D3712" t="inlineStr">
        <is>
          <t>NORRBOTTENS LÄN</t>
        </is>
      </c>
      <c r="E3712" t="inlineStr">
        <is>
          <t>PITEÅ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69314-2021</t>
        </is>
      </c>
      <c r="B3713" s="1" t="n">
        <v>44531</v>
      </c>
      <c r="C3713" s="1" t="n">
        <v>45798</v>
      </c>
      <c r="D3713" t="inlineStr">
        <is>
          <t>NORRBOTTENS LÄN</t>
        </is>
      </c>
      <c r="E3713" t="inlineStr">
        <is>
          <t>ÄLVSBYN</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69402-2021</t>
        </is>
      </c>
      <c r="B3714" s="1" t="n">
        <v>44531</v>
      </c>
      <c r="C3714" s="1" t="n">
        <v>45798</v>
      </c>
      <c r="D3714" t="inlineStr">
        <is>
          <t>NORRBOTTENS LÄN</t>
        </is>
      </c>
      <c r="E3714" t="inlineStr">
        <is>
          <t>ÖVERTORNEÅ</t>
        </is>
      </c>
      <c r="F3714" t="inlineStr">
        <is>
          <t>Sveaskog</t>
        </is>
      </c>
      <c r="G3714" t="n">
        <v>21.1</v>
      </c>
      <c r="H3714" t="n">
        <v>0</v>
      </c>
      <c r="I3714" t="n">
        <v>0</v>
      </c>
      <c r="J3714" t="n">
        <v>0</v>
      </c>
      <c r="K3714" t="n">
        <v>0</v>
      </c>
      <c r="L3714" t="n">
        <v>0</v>
      </c>
      <c r="M3714" t="n">
        <v>0</v>
      </c>
      <c r="N3714" t="n">
        <v>0</v>
      </c>
      <c r="O3714" t="n">
        <v>0</v>
      </c>
      <c r="P3714" t="n">
        <v>0</v>
      </c>
      <c r="Q3714" t="n">
        <v>0</v>
      </c>
      <c r="R3714" s="2" t="inlineStr"/>
    </row>
    <row r="3715" ht="15" customHeight="1">
      <c r="A3715" t="inlineStr">
        <is>
          <t>A 70093-2021</t>
        </is>
      </c>
      <c r="B3715" s="1" t="n">
        <v>44531</v>
      </c>
      <c r="C3715" s="1" t="n">
        <v>45798</v>
      </c>
      <c r="D3715" t="inlineStr">
        <is>
          <t>NORRBOTTENS LÄN</t>
        </is>
      </c>
      <c r="E3715" t="inlineStr">
        <is>
          <t>PITEÅ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69576-2021</t>
        </is>
      </c>
      <c r="B3716" s="1" t="n">
        <v>44532</v>
      </c>
      <c r="C3716" s="1" t="n">
        <v>45798</v>
      </c>
      <c r="D3716" t="inlineStr">
        <is>
          <t>NORRBOTTENS LÄN</t>
        </is>
      </c>
      <c r="E3716" t="inlineStr">
        <is>
          <t>ARVIDSJAUR</t>
        </is>
      </c>
      <c r="F3716" t="inlineStr">
        <is>
          <t>Övriga Aktiebolag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69749-2021</t>
        </is>
      </c>
      <c r="B3717" s="1" t="n">
        <v>44532</v>
      </c>
      <c r="C3717" s="1" t="n">
        <v>45798</v>
      </c>
      <c r="D3717" t="inlineStr">
        <is>
          <t>NORRBOTTENS LÄN</t>
        </is>
      </c>
      <c r="E3717" t="inlineStr">
        <is>
          <t>PAJALA</t>
        </is>
      </c>
      <c r="F3717" t="inlineStr">
        <is>
          <t>Allmännings- och besparingsskogar</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69808-2021</t>
        </is>
      </c>
      <c r="B3718" s="1" t="n">
        <v>44532</v>
      </c>
      <c r="C3718" s="1" t="n">
        <v>45798</v>
      </c>
      <c r="D3718" t="inlineStr">
        <is>
          <t>NORRBOTTENS LÄN</t>
        </is>
      </c>
      <c r="E3718" t="inlineStr">
        <is>
          <t>BODEN</t>
        </is>
      </c>
      <c r="F3718" t="inlineStr">
        <is>
          <t>Övriga Aktiebolag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69883-2021</t>
        </is>
      </c>
      <c r="B3719" s="1" t="n">
        <v>44532</v>
      </c>
      <c r="C3719" s="1" t="n">
        <v>45798</v>
      </c>
      <c r="D3719" t="inlineStr">
        <is>
          <t>NORRBOTTENS LÄN</t>
        </is>
      </c>
      <c r="E3719" t="inlineStr">
        <is>
          <t>JOKKMOKK</t>
        </is>
      </c>
      <c r="G3719" t="n">
        <v>12.5</v>
      </c>
      <c r="H3719" t="n">
        <v>0</v>
      </c>
      <c r="I3719" t="n">
        <v>0</v>
      </c>
      <c r="J3719" t="n">
        <v>0</v>
      </c>
      <c r="K3719" t="n">
        <v>0</v>
      </c>
      <c r="L3719" t="n">
        <v>0</v>
      </c>
      <c r="M3719" t="n">
        <v>0</v>
      </c>
      <c r="N3719" t="n">
        <v>0</v>
      </c>
      <c r="O3719" t="n">
        <v>0</v>
      </c>
      <c r="P3719" t="n">
        <v>0</v>
      </c>
      <c r="Q3719" t="n">
        <v>0</v>
      </c>
      <c r="R3719" s="2" t="inlineStr"/>
    </row>
    <row r="3720" ht="15" customHeight="1">
      <c r="A3720" t="inlineStr">
        <is>
          <t>A 69895-2021</t>
        </is>
      </c>
      <c r="B3720" s="1" t="n">
        <v>44532</v>
      </c>
      <c r="C3720" s="1" t="n">
        <v>45798</v>
      </c>
      <c r="D3720" t="inlineStr">
        <is>
          <t>NORRBOTTENS LÄN</t>
        </is>
      </c>
      <c r="E3720" t="inlineStr">
        <is>
          <t>LULEÅ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69898-2021</t>
        </is>
      </c>
      <c r="B3721" s="1" t="n">
        <v>44532</v>
      </c>
      <c r="C3721" s="1" t="n">
        <v>45798</v>
      </c>
      <c r="D3721" t="inlineStr">
        <is>
          <t>NORRBOTTENS LÄN</t>
        </is>
      </c>
      <c r="E3721" t="inlineStr">
        <is>
          <t>ÖVERTORNEÅ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70321-2021</t>
        </is>
      </c>
      <c r="B3722" s="1" t="n">
        <v>44536</v>
      </c>
      <c r="C3722" s="1" t="n">
        <v>45798</v>
      </c>
      <c r="D3722" t="inlineStr">
        <is>
          <t>NORRBOTTENS LÄN</t>
        </is>
      </c>
      <c r="E3722" t="inlineStr">
        <is>
          <t>HAPARANDA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70348-2021</t>
        </is>
      </c>
      <c r="B3723" s="1" t="n">
        <v>44536</v>
      </c>
      <c r="C3723" s="1" t="n">
        <v>45798</v>
      </c>
      <c r="D3723" t="inlineStr">
        <is>
          <t>NORRBOTTENS LÄN</t>
        </is>
      </c>
      <c r="E3723" t="inlineStr">
        <is>
          <t>KALIX</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70334-2021</t>
        </is>
      </c>
      <c r="B3724" s="1" t="n">
        <v>44536</v>
      </c>
      <c r="C3724" s="1" t="n">
        <v>45798</v>
      </c>
      <c r="D3724" t="inlineStr">
        <is>
          <t>NORRBOTTENS LÄN</t>
        </is>
      </c>
      <c r="E3724" t="inlineStr">
        <is>
          <t>HAPARANDA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70336-2021</t>
        </is>
      </c>
      <c r="B3725" s="1" t="n">
        <v>44536</v>
      </c>
      <c r="C3725" s="1" t="n">
        <v>45798</v>
      </c>
      <c r="D3725" t="inlineStr">
        <is>
          <t>NORRBOTTENS LÄN</t>
        </is>
      </c>
      <c r="E3725" t="inlineStr">
        <is>
          <t>HAPARANDA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70415-2021</t>
        </is>
      </c>
      <c r="B3726" s="1" t="n">
        <v>44536</v>
      </c>
      <c r="C3726" s="1" t="n">
        <v>45798</v>
      </c>
      <c r="D3726" t="inlineStr">
        <is>
          <t>NORRBOTTENS LÄN</t>
        </is>
      </c>
      <c r="E3726" t="inlineStr">
        <is>
          <t>ÖVERTORNEÅ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70619-2021</t>
        </is>
      </c>
      <c r="B3727" s="1" t="n">
        <v>44536</v>
      </c>
      <c r="C3727" s="1" t="n">
        <v>45798</v>
      </c>
      <c r="D3727" t="inlineStr">
        <is>
          <t>NORRBOTTENS LÄN</t>
        </is>
      </c>
      <c r="E3727" t="inlineStr">
        <is>
          <t>PITEÅ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70413-2021</t>
        </is>
      </c>
      <c r="B3728" s="1" t="n">
        <v>44536</v>
      </c>
      <c r="C3728" s="1" t="n">
        <v>45798</v>
      </c>
      <c r="D3728" t="inlineStr">
        <is>
          <t>NORRBOTTENS LÄN</t>
        </is>
      </c>
      <c r="E3728" t="inlineStr">
        <is>
          <t>ÖVERTORNEÅ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70706-2021</t>
        </is>
      </c>
      <c r="B3729" s="1" t="n">
        <v>44536</v>
      </c>
      <c r="C3729" s="1" t="n">
        <v>45798</v>
      </c>
      <c r="D3729" t="inlineStr">
        <is>
          <t>NORRBOTTENS LÄN</t>
        </is>
      </c>
      <c r="E3729" t="inlineStr">
        <is>
          <t>PITEÅ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70617-2021</t>
        </is>
      </c>
      <c r="B3730" s="1" t="n">
        <v>44537</v>
      </c>
      <c r="C3730" s="1" t="n">
        <v>45798</v>
      </c>
      <c r="D3730" t="inlineStr">
        <is>
          <t>NORRBOTTENS LÄN</t>
        </is>
      </c>
      <c r="E3730" t="inlineStr">
        <is>
          <t>ÖVERTORNEÅ</t>
        </is>
      </c>
      <c r="F3730" t="inlineStr">
        <is>
          <t>Kyrkan</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70865-2021</t>
        </is>
      </c>
      <c r="B3731" s="1" t="n">
        <v>44537</v>
      </c>
      <c r="C3731" s="1" t="n">
        <v>45798</v>
      </c>
      <c r="D3731" t="inlineStr">
        <is>
          <t>NORRBOTTENS LÄN</t>
        </is>
      </c>
      <c r="E3731" t="inlineStr">
        <is>
          <t>ARJEPLOG</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70956-2021</t>
        </is>
      </c>
      <c r="B3732" s="1" t="n">
        <v>44538</v>
      </c>
      <c r="C3732" s="1" t="n">
        <v>45798</v>
      </c>
      <c r="D3732" t="inlineStr">
        <is>
          <t>NORRBOTTENS LÄN</t>
        </is>
      </c>
      <c r="E3732" t="inlineStr">
        <is>
          <t>BODEN</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71287-2021</t>
        </is>
      </c>
      <c r="B3733" s="1" t="n">
        <v>44538</v>
      </c>
      <c r="C3733" s="1" t="n">
        <v>45798</v>
      </c>
      <c r="D3733" t="inlineStr">
        <is>
          <t>NORRBOTTENS LÄN</t>
        </is>
      </c>
      <c r="E3733" t="inlineStr">
        <is>
          <t>PITEÅ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71297-2021</t>
        </is>
      </c>
      <c r="B3734" s="1" t="n">
        <v>44538</v>
      </c>
      <c r="C3734" s="1" t="n">
        <v>45798</v>
      </c>
      <c r="D3734" t="inlineStr">
        <is>
          <t>NORRBOTTENS LÄN</t>
        </is>
      </c>
      <c r="E3734" t="inlineStr">
        <is>
          <t>PITEÅ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71242-2021</t>
        </is>
      </c>
      <c r="B3735" s="1" t="n">
        <v>44538</v>
      </c>
      <c r="C3735" s="1" t="n">
        <v>45798</v>
      </c>
      <c r="D3735" t="inlineStr">
        <is>
          <t>NORRBOTTENS LÄN</t>
        </is>
      </c>
      <c r="E3735" t="inlineStr">
        <is>
          <t>PITEÅ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71283-2021</t>
        </is>
      </c>
      <c r="B3736" s="1" t="n">
        <v>44538</v>
      </c>
      <c r="C3736" s="1" t="n">
        <v>45798</v>
      </c>
      <c r="D3736" t="inlineStr">
        <is>
          <t>NORRBOTTENS LÄN</t>
        </is>
      </c>
      <c r="E3736" t="inlineStr">
        <is>
          <t>PITEÅ</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71278-2021</t>
        </is>
      </c>
      <c r="B3737" s="1" t="n">
        <v>44538</v>
      </c>
      <c r="C3737" s="1" t="n">
        <v>45798</v>
      </c>
      <c r="D3737" t="inlineStr">
        <is>
          <t>NORRBOTTENS LÄN</t>
        </is>
      </c>
      <c r="E3737" t="inlineStr">
        <is>
          <t>PITEÅ</t>
        </is>
      </c>
      <c r="G3737" t="n">
        <v>12.6</v>
      </c>
      <c r="H3737" t="n">
        <v>0</v>
      </c>
      <c r="I3737" t="n">
        <v>0</v>
      </c>
      <c r="J3737" t="n">
        <v>0</v>
      </c>
      <c r="K3737" t="n">
        <v>0</v>
      </c>
      <c r="L3737" t="n">
        <v>0</v>
      </c>
      <c r="M3737" t="n">
        <v>0</v>
      </c>
      <c r="N3737" t="n">
        <v>0</v>
      </c>
      <c r="O3737" t="n">
        <v>0</v>
      </c>
      <c r="P3737" t="n">
        <v>0</v>
      </c>
      <c r="Q3737" t="n">
        <v>0</v>
      </c>
      <c r="R3737" s="2" t="inlineStr"/>
    </row>
    <row r="3738" ht="15" customHeight="1">
      <c r="A3738" t="inlineStr">
        <is>
          <t>A 71381-2021</t>
        </is>
      </c>
      <c r="B3738" s="1" t="n">
        <v>44538</v>
      </c>
      <c r="C3738" s="1" t="n">
        <v>45798</v>
      </c>
      <c r="D3738" t="inlineStr">
        <is>
          <t>NORRBOTTENS LÄN</t>
        </is>
      </c>
      <c r="E3738" t="inlineStr">
        <is>
          <t>ÖVERTORNEÅ</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71294-2021</t>
        </is>
      </c>
      <c r="B3739" s="1" t="n">
        <v>44538</v>
      </c>
      <c r="C3739" s="1" t="n">
        <v>45798</v>
      </c>
      <c r="D3739" t="inlineStr">
        <is>
          <t>NORRBOTTENS LÄN</t>
        </is>
      </c>
      <c r="E3739" t="inlineStr">
        <is>
          <t>PITEÅ</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71270-2021</t>
        </is>
      </c>
      <c r="B3740" s="1" t="n">
        <v>44538</v>
      </c>
      <c r="C3740" s="1" t="n">
        <v>45798</v>
      </c>
      <c r="D3740" t="inlineStr">
        <is>
          <t>NORRBOTTENS LÄN</t>
        </is>
      </c>
      <c r="E3740" t="inlineStr">
        <is>
          <t>PITEÅ</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71301-2021</t>
        </is>
      </c>
      <c r="B3741" s="1" t="n">
        <v>44538</v>
      </c>
      <c r="C3741" s="1" t="n">
        <v>45798</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71368-2021</t>
        </is>
      </c>
      <c r="B3742" s="1" t="n">
        <v>44539</v>
      </c>
      <c r="C3742" s="1" t="n">
        <v>45798</v>
      </c>
      <c r="D3742" t="inlineStr">
        <is>
          <t>NORRBOTTENS LÄN</t>
        </is>
      </c>
      <c r="E3742" t="inlineStr">
        <is>
          <t>JOKKMOKK</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71369-2021</t>
        </is>
      </c>
      <c r="B3743" s="1" t="n">
        <v>44539</v>
      </c>
      <c r="C3743" s="1" t="n">
        <v>45798</v>
      </c>
      <c r="D3743" t="inlineStr">
        <is>
          <t>NORRBOTTENS LÄN</t>
        </is>
      </c>
      <c r="E3743" t="inlineStr">
        <is>
          <t>JOKKMOKK</t>
        </is>
      </c>
      <c r="F3743" t="inlineStr">
        <is>
          <t>SCA</t>
        </is>
      </c>
      <c r="G3743" t="n">
        <v>15.7</v>
      </c>
      <c r="H3743" t="n">
        <v>0</v>
      </c>
      <c r="I3743" t="n">
        <v>0</v>
      </c>
      <c r="J3743" t="n">
        <v>0</v>
      </c>
      <c r="K3743" t="n">
        <v>0</v>
      </c>
      <c r="L3743" t="n">
        <v>0</v>
      </c>
      <c r="M3743" t="n">
        <v>0</v>
      </c>
      <c r="N3743" t="n">
        <v>0</v>
      </c>
      <c r="O3743" t="n">
        <v>0</v>
      </c>
      <c r="P3743" t="n">
        <v>0</v>
      </c>
      <c r="Q3743" t="n">
        <v>0</v>
      </c>
      <c r="R3743" s="2" t="inlineStr"/>
    </row>
    <row r="3744" ht="15" customHeight="1">
      <c r="A3744" t="inlineStr">
        <is>
          <t>A 71904-2021</t>
        </is>
      </c>
      <c r="B3744" s="1" t="n">
        <v>44539</v>
      </c>
      <c r="C3744" s="1" t="n">
        <v>45798</v>
      </c>
      <c r="D3744" t="inlineStr">
        <is>
          <t>NORRBOTTENS LÄN</t>
        </is>
      </c>
      <c r="E3744" t="inlineStr">
        <is>
          <t>PAJALA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71370-2021</t>
        </is>
      </c>
      <c r="B3745" s="1" t="n">
        <v>44539</v>
      </c>
      <c r="C3745" s="1" t="n">
        <v>45798</v>
      </c>
      <c r="D3745" t="inlineStr">
        <is>
          <t>NORRBOTTENS LÄN</t>
        </is>
      </c>
      <c r="E3745" t="inlineStr">
        <is>
          <t>JOKKMOKK</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71371-2021</t>
        </is>
      </c>
      <c r="B3746" s="1" t="n">
        <v>44539</v>
      </c>
      <c r="C3746" s="1" t="n">
        <v>45798</v>
      </c>
      <c r="D3746" t="inlineStr">
        <is>
          <t>NORRBOTTENS LÄN</t>
        </is>
      </c>
      <c r="E3746" t="inlineStr">
        <is>
          <t>JOKKMOKK</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71487-2021</t>
        </is>
      </c>
      <c r="B3747" s="1" t="n">
        <v>44539</v>
      </c>
      <c r="C3747" s="1" t="n">
        <v>45798</v>
      </c>
      <c r="D3747" t="inlineStr">
        <is>
          <t>NORRBOTTENS LÄN</t>
        </is>
      </c>
      <c r="E3747" t="inlineStr">
        <is>
          <t>PITEÅ</t>
        </is>
      </c>
      <c r="F3747" t="inlineStr">
        <is>
          <t>Kommuner</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71902-2021</t>
        </is>
      </c>
      <c r="B3748" s="1" t="n">
        <v>44539</v>
      </c>
      <c r="C3748" s="1" t="n">
        <v>45798</v>
      </c>
      <c r="D3748" t="inlineStr">
        <is>
          <t>NORRBOTTENS LÄN</t>
        </is>
      </c>
      <c r="E3748" t="inlineStr">
        <is>
          <t>ÖVERKALIX</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71402-2021</t>
        </is>
      </c>
      <c r="B3749" s="1" t="n">
        <v>44540</v>
      </c>
      <c r="C3749" s="1" t="n">
        <v>45798</v>
      </c>
      <c r="D3749" t="inlineStr">
        <is>
          <t>NORRBOTTENS LÄN</t>
        </is>
      </c>
      <c r="E3749" t="inlineStr">
        <is>
          <t>JOKKMOKK</t>
        </is>
      </c>
      <c r="F3749" t="inlineStr">
        <is>
          <t>Sveaskog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71446-2021</t>
        </is>
      </c>
      <c r="B3750" s="1" t="n">
        <v>44540</v>
      </c>
      <c r="C3750" s="1" t="n">
        <v>45798</v>
      </c>
      <c r="D3750" t="inlineStr">
        <is>
          <t>NORRBOTTENS LÄN</t>
        </is>
      </c>
      <c r="E3750" t="inlineStr">
        <is>
          <t>HAPARANDA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71683-2021</t>
        </is>
      </c>
      <c r="B3751" s="1" t="n">
        <v>44543</v>
      </c>
      <c r="C3751" s="1" t="n">
        <v>45798</v>
      </c>
      <c r="D3751" t="inlineStr">
        <is>
          <t>NORRBOTTENS LÄN</t>
        </is>
      </c>
      <c r="E3751" t="inlineStr">
        <is>
          <t>ARVIDSJAUR</t>
        </is>
      </c>
      <c r="F3751" t="inlineStr">
        <is>
          <t>Sveaskog</t>
        </is>
      </c>
      <c r="G3751" t="n">
        <v>17.8</v>
      </c>
      <c r="H3751" t="n">
        <v>0</v>
      </c>
      <c r="I3751" t="n">
        <v>0</v>
      </c>
      <c r="J3751" t="n">
        <v>0</v>
      </c>
      <c r="K3751" t="n">
        <v>0</v>
      </c>
      <c r="L3751" t="n">
        <v>0</v>
      </c>
      <c r="M3751" t="n">
        <v>0</v>
      </c>
      <c r="N3751" t="n">
        <v>0</v>
      </c>
      <c r="O3751" t="n">
        <v>0</v>
      </c>
      <c r="P3751" t="n">
        <v>0</v>
      </c>
      <c r="Q3751" t="n">
        <v>0</v>
      </c>
      <c r="R3751" s="2" t="inlineStr"/>
    </row>
    <row r="3752" ht="15" customHeight="1">
      <c r="A3752" t="inlineStr">
        <is>
          <t>A 71695-2021</t>
        </is>
      </c>
      <c r="B3752" s="1" t="n">
        <v>44543</v>
      </c>
      <c r="C3752" s="1" t="n">
        <v>45798</v>
      </c>
      <c r="D3752" t="inlineStr">
        <is>
          <t>NORRBOTTENS LÄN</t>
        </is>
      </c>
      <c r="E3752" t="inlineStr">
        <is>
          <t>ARVIDSJAUR</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71921-2021</t>
        </is>
      </c>
      <c r="B3753" s="1" t="n">
        <v>44543</v>
      </c>
      <c r="C3753" s="1" t="n">
        <v>45798</v>
      </c>
      <c r="D3753" t="inlineStr">
        <is>
          <t>NORRBOTTENS LÄN</t>
        </is>
      </c>
      <c r="E3753" t="inlineStr">
        <is>
          <t>JOKKMOKK</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71925-2021</t>
        </is>
      </c>
      <c r="B3754" s="1" t="n">
        <v>44543</v>
      </c>
      <c r="C3754" s="1" t="n">
        <v>45798</v>
      </c>
      <c r="D3754" t="inlineStr">
        <is>
          <t>NORRBOTTENS LÄN</t>
        </is>
      </c>
      <c r="E3754" t="inlineStr">
        <is>
          <t>ÄLVSBYN</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71932-2021</t>
        </is>
      </c>
      <c r="B3755" s="1" t="n">
        <v>44543</v>
      </c>
      <c r="C3755" s="1" t="n">
        <v>45798</v>
      </c>
      <c r="D3755" t="inlineStr">
        <is>
          <t>NORRBOTTENS LÄN</t>
        </is>
      </c>
      <c r="E3755" t="inlineStr">
        <is>
          <t>JOKKMOKK</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71937-2021</t>
        </is>
      </c>
      <c r="B3756" s="1" t="n">
        <v>44543</v>
      </c>
      <c r="C3756" s="1" t="n">
        <v>45798</v>
      </c>
      <c r="D3756" t="inlineStr">
        <is>
          <t>NORRBOTTENS LÄN</t>
        </is>
      </c>
      <c r="E3756" t="inlineStr">
        <is>
          <t>JOKKMOKK</t>
        </is>
      </c>
      <c r="F3756" t="inlineStr">
        <is>
          <t>Naturvårdsverket</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71948-2021</t>
        </is>
      </c>
      <c r="B3757" s="1" t="n">
        <v>44543</v>
      </c>
      <c r="C3757" s="1" t="n">
        <v>45798</v>
      </c>
      <c r="D3757" t="inlineStr">
        <is>
          <t>NORRBOTTENS LÄN</t>
        </is>
      </c>
      <c r="E3757" t="inlineStr">
        <is>
          <t>JOKKMOKK</t>
        </is>
      </c>
      <c r="F3757" t="inlineStr">
        <is>
          <t>SCA</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71955-2021</t>
        </is>
      </c>
      <c r="B3758" s="1" t="n">
        <v>44543</v>
      </c>
      <c r="C3758" s="1" t="n">
        <v>45798</v>
      </c>
      <c r="D3758" t="inlineStr">
        <is>
          <t>NORRBOTTENS LÄN</t>
        </is>
      </c>
      <c r="E3758" t="inlineStr">
        <is>
          <t>JOKKMOKK</t>
        </is>
      </c>
      <c r="F3758" t="inlineStr">
        <is>
          <t>SCA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71923-2021</t>
        </is>
      </c>
      <c r="B3759" s="1" t="n">
        <v>44543</v>
      </c>
      <c r="C3759" s="1" t="n">
        <v>45798</v>
      </c>
      <c r="D3759" t="inlineStr">
        <is>
          <t>NORRBOTTENS LÄN</t>
        </is>
      </c>
      <c r="E3759" t="inlineStr">
        <is>
          <t>ÄLVSBYN</t>
        </is>
      </c>
      <c r="F3759" t="inlineStr">
        <is>
          <t>SCA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71927-2021</t>
        </is>
      </c>
      <c r="B3760" s="1" t="n">
        <v>44543</v>
      </c>
      <c r="C3760" s="1" t="n">
        <v>45798</v>
      </c>
      <c r="D3760" t="inlineStr">
        <is>
          <t>NORRBOTTENS LÄN</t>
        </is>
      </c>
      <c r="E3760" t="inlineStr">
        <is>
          <t>JOKKMOKK</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71935-2021</t>
        </is>
      </c>
      <c r="B3761" s="1" t="n">
        <v>44543</v>
      </c>
      <c r="C3761" s="1" t="n">
        <v>45798</v>
      </c>
      <c r="D3761" t="inlineStr">
        <is>
          <t>NORRBOTTENS LÄN</t>
        </is>
      </c>
      <c r="E3761" t="inlineStr">
        <is>
          <t>PITEÅ</t>
        </is>
      </c>
      <c r="F3761" t="inlineStr">
        <is>
          <t>SCA</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71940-2021</t>
        </is>
      </c>
      <c r="B3762" s="1" t="n">
        <v>44543</v>
      </c>
      <c r="C3762" s="1" t="n">
        <v>45798</v>
      </c>
      <c r="D3762" t="inlineStr">
        <is>
          <t>NORRBOTTENS LÄN</t>
        </is>
      </c>
      <c r="E3762" t="inlineStr">
        <is>
          <t>PITEÅ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71945-2021</t>
        </is>
      </c>
      <c r="B3763" s="1" t="n">
        <v>44543</v>
      </c>
      <c r="C3763" s="1" t="n">
        <v>45798</v>
      </c>
      <c r="D3763" t="inlineStr">
        <is>
          <t>NORRBOTTENS LÄN</t>
        </is>
      </c>
      <c r="E3763" t="inlineStr">
        <is>
          <t>PITEÅ</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71953-2021</t>
        </is>
      </c>
      <c r="B3764" s="1" t="n">
        <v>44543</v>
      </c>
      <c r="C3764" s="1" t="n">
        <v>45798</v>
      </c>
      <c r="D3764" t="inlineStr">
        <is>
          <t>NORRBOTTENS LÄN</t>
        </is>
      </c>
      <c r="E3764" t="inlineStr">
        <is>
          <t>PITEÅ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71936-2021</t>
        </is>
      </c>
      <c r="B3765" s="1" t="n">
        <v>44543</v>
      </c>
      <c r="C3765" s="1" t="n">
        <v>45798</v>
      </c>
      <c r="D3765" t="inlineStr">
        <is>
          <t>NORRBOTTENS LÄN</t>
        </is>
      </c>
      <c r="E3765" t="inlineStr">
        <is>
          <t>JOKKMOKK</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71941-2021</t>
        </is>
      </c>
      <c r="B3766" s="1" t="n">
        <v>44543</v>
      </c>
      <c r="C3766" s="1" t="n">
        <v>45798</v>
      </c>
      <c r="D3766" t="inlineStr">
        <is>
          <t>NORRBOTTENS LÄN</t>
        </is>
      </c>
      <c r="E3766" t="inlineStr">
        <is>
          <t>GÄLLIVARE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71947-2021</t>
        </is>
      </c>
      <c r="B3767" s="1" t="n">
        <v>44543</v>
      </c>
      <c r="C3767" s="1" t="n">
        <v>45798</v>
      </c>
      <c r="D3767" t="inlineStr">
        <is>
          <t>NORRBOTTENS LÄN</t>
        </is>
      </c>
      <c r="E3767" t="inlineStr">
        <is>
          <t>JOKKMOKK</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71954-2021</t>
        </is>
      </c>
      <c r="B3768" s="1" t="n">
        <v>44543</v>
      </c>
      <c r="C3768" s="1" t="n">
        <v>45798</v>
      </c>
      <c r="D3768" t="inlineStr">
        <is>
          <t>NORRBOTTENS LÄN</t>
        </is>
      </c>
      <c r="E3768" t="inlineStr">
        <is>
          <t>JOKKMOKK</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71833-2021</t>
        </is>
      </c>
      <c r="B3769" s="1" t="n">
        <v>44543</v>
      </c>
      <c r="C3769" s="1" t="n">
        <v>45798</v>
      </c>
      <c r="D3769" t="inlineStr">
        <is>
          <t>NORRBOTTENS LÄN</t>
        </is>
      </c>
      <c r="E3769" t="inlineStr">
        <is>
          <t>BODEN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71909-2021</t>
        </is>
      </c>
      <c r="B3770" s="1" t="n">
        <v>44543</v>
      </c>
      <c r="C3770" s="1" t="n">
        <v>45798</v>
      </c>
      <c r="D3770" t="inlineStr">
        <is>
          <t>NORRBOTTENS LÄN</t>
        </is>
      </c>
      <c r="E3770" t="inlineStr">
        <is>
          <t>LULEÅ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71922-2021</t>
        </is>
      </c>
      <c r="B3771" s="1" t="n">
        <v>44543</v>
      </c>
      <c r="C3771" s="1" t="n">
        <v>45798</v>
      </c>
      <c r="D3771" t="inlineStr">
        <is>
          <t>NORRBOTTENS LÄN</t>
        </is>
      </c>
      <c r="E3771" t="inlineStr">
        <is>
          <t>JOKKMOKK</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71926-2021</t>
        </is>
      </c>
      <c r="B3772" s="1" t="n">
        <v>44543</v>
      </c>
      <c r="C3772" s="1" t="n">
        <v>45798</v>
      </c>
      <c r="D3772" t="inlineStr">
        <is>
          <t>NORRBOTTENS LÄN</t>
        </is>
      </c>
      <c r="E3772" t="inlineStr">
        <is>
          <t>JOKKMOKK</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71939-2021</t>
        </is>
      </c>
      <c r="B3773" s="1" t="n">
        <v>44543</v>
      </c>
      <c r="C3773" s="1" t="n">
        <v>45798</v>
      </c>
      <c r="D3773" t="inlineStr">
        <is>
          <t>NORRBOTTENS LÄN</t>
        </is>
      </c>
      <c r="E3773" t="inlineStr">
        <is>
          <t>ÄLVSBYN</t>
        </is>
      </c>
      <c r="F3773" t="inlineStr">
        <is>
          <t>SCA</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71944-2021</t>
        </is>
      </c>
      <c r="B3774" s="1" t="n">
        <v>44543</v>
      </c>
      <c r="C3774" s="1" t="n">
        <v>45798</v>
      </c>
      <c r="D3774" t="inlineStr">
        <is>
          <t>NORRBOTTENS LÄN</t>
        </is>
      </c>
      <c r="E3774" t="inlineStr">
        <is>
          <t>JOKKMOKK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71950-2021</t>
        </is>
      </c>
      <c r="B3775" s="1" t="n">
        <v>44543</v>
      </c>
      <c r="C3775" s="1" t="n">
        <v>45798</v>
      </c>
      <c r="D3775" t="inlineStr">
        <is>
          <t>NORRBOTTENS LÄN</t>
        </is>
      </c>
      <c r="E3775" t="inlineStr">
        <is>
          <t>JOKKMOKK</t>
        </is>
      </c>
      <c r="F3775" t="inlineStr">
        <is>
          <t>Naturvårdsverket</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72279-2021</t>
        </is>
      </c>
      <c r="B3776" s="1" t="n">
        <v>44543</v>
      </c>
      <c r="C3776" s="1" t="n">
        <v>45798</v>
      </c>
      <c r="D3776" t="inlineStr">
        <is>
          <t>NORRBOTTENS LÄN</t>
        </is>
      </c>
      <c r="E3776" t="inlineStr">
        <is>
          <t>ARJEPLOG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72364-2021</t>
        </is>
      </c>
      <c r="B3777" s="1" t="n">
        <v>44543</v>
      </c>
      <c r="C3777" s="1" t="n">
        <v>45798</v>
      </c>
      <c r="D3777" t="inlineStr">
        <is>
          <t>NORRBOTTENS LÄN</t>
        </is>
      </c>
      <c r="E3777" t="inlineStr">
        <is>
          <t>ÖVERKALIX</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72031-2021</t>
        </is>
      </c>
      <c r="B3778" s="1" t="n">
        <v>44544</v>
      </c>
      <c r="C3778" s="1" t="n">
        <v>45798</v>
      </c>
      <c r="D3778" t="inlineStr">
        <is>
          <t>NORRBOTTENS LÄN</t>
        </is>
      </c>
      <c r="E3778" t="inlineStr">
        <is>
          <t>KALIX</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72442-2021</t>
        </is>
      </c>
      <c r="B3779" s="1" t="n">
        <v>44544</v>
      </c>
      <c r="C3779" s="1" t="n">
        <v>45798</v>
      </c>
      <c r="D3779" t="inlineStr">
        <is>
          <t>NORRBOTTENS LÄN</t>
        </is>
      </c>
      <c r="E3779" t="inlineStr">
        <is>
          <t>ÖVERTORNEÅ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72242-2021</t>
        </is>
      </c>
      <c r="B3780" s="1" t="n">
        <v>44544</v>
      </c>
      <c r="C3780" s="1" t="n">
        <v>45798</v>
      </c>
      <c r="D3780" t="inlineStr">
        <is>
          <t>NORRBOTTENS LÄN</t>
        </is>
      </c>
      <c r="E3780" t="inlineStr">
        <is>
          <t>JOKKMOKK</t>
        </is>
      </c>
      <c r="F3780" t="inlineStr">
        <is>
          <t>SCA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72299-2021</t>
        </is>
      </c>
      <c r="B3781" s="1" t="n">
        <v>44545</v>
      </c>
      <c r="C3781" s="1" t="n">
        <v>45798</v>
      </c>
      <c r="D3781" t="inlineStr">
        <is>
          <t>NORRBOTTENS LÄN</t>
        </is>
      </c>
      <c r="E3781" t="inlineStr">
        <is>
          <t>ÖVERTORNEÅ</t>
        </is>
      </c>
      <c r="F3781" t="inlineStr">
        <is>
          <t>Sveaskog</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72550-2021</t>
        </is>
      </c>
      <c r="B3782" s="1" t="n">
        <v>44546</v>
      </c>
      <c r="C3782" s="1" t="n">
        <v>45798</v>
      </c>
      <c r="D3782" t="inlineStr">
        <is>
          <t>NORRBOTTENS LÄN</t>
        </is>
      </c>
      <c r="E3782" t="inlineStr">
        <is>
          <t>ÖVERKALIX</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72555-2021</t>
        </is>
      </c>
      <c r="B3783" s="1" t="n">
        <v>44546</v>
      </c>
      <c r="C3783" s="1" t="n">
        <v>45798</v>
      </c>
      <c r="D3783" t="inlineStr">
        <is>
          <t>NORRBOTTENS LÄN</t>
        </is>
      </c>
      <c r="E3783" t="inlineStr">
        <is>
          <t>LULEÅ</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72601-2021</t>
        </is>
      </c>
      <c r="B3784" s="1" t="n">
        <v>44546</v>
      </c>
      <c r="C3784" s="1" t="n">
        <v>45798</v>
      </c>
      <c r="D3784" t="inlineStr">
        <is>
          <t>NORRBOTTENS LÄN</t>
        </is>
      </c>
      <c r="E3784" t="inlineStr">
        <is>
          <t>ÖVERKALIX</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72616-2021</t>
        </is>
      </c>
      <c r="B3785" s="1" t="n">
        <v>44546</v>
      </c>
      <c r="C3785" s="1" t="n">
        <v>45798</v>
      </c>
      <c r="D3785" t="inlineStr">
        <is>
          <t>NORRBOTTENS LÄN</t>
        </is>
      </c>
      <c r="E3785" t="inlineStr">
        <is>
          <t>ÖVERKALIX</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72623-2021</t>
        </is>
      </c>
      <c r="B3786" s="1" t="n">
        <v>44546</v>
      </c>
      <c r="C3786" s="1" t="n">
        <v>45798</v>
      </c>
      <c r="D3786" t="inlineStr">
        <is>
          <t>NORRBOTTENS LÄN</t>
        </is>
      </c>
      <c r="E3786" t="inlineStr">
        <is>
          <t>ÖVERKALIX</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72752-2021</t>
        </is>
      </c>
      <c r="B3787" s="1" t="n">
        <v>44546</v>
      </c>
      <c r="C3787" s="1" t="n">
        <v>45798</v>
      </c>
      <c r="D3787" t="inlineStr">
        <is>
          <t>NORRBOTTENS LÄN</t>
        </is>
      </c>
      <c r="E3787" t="inlineStr">
        <is>
          <t>LULEÅ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72756-2021</t>
        </is>
      </c>
      <c r="B3788" s="1" t="n">
        <v>44546</v>
      </c>
      <c r="C3788" s="1" t="n">
        <v>45798</v>
      </c>
      <c r="D3788" t="inlineStr">
        <is>
          <t>NORRBOTTENS LÄN</t>
        </is>
      </c>
      <c r="E3788" t="inlineStr">
        <is>
          <t>LULEÅ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72762-2021</t>
        </is>
      </c>
      <c r="B3789" s="1" t="n">
        <v>44546</v>
      </c>
      <c r="C3789" s="1" t="n">
        <v>45798</v>
      </c>
      <c r="D3789" t="inlineStr">
        <is>
          <t>NORRBOTTENS LÄN</t>
        </is>
      </c>
      <c r="E3789" t="inlineStr">
        <is>
          <t>GÄLLIVARE</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72809-2021</t>
        </is>
      </c>
      <c r="B3790" s="1" t="n">
        <v>44546</v>
      </c>
      <c r="C3790" s="1" t="n">
        <v>45798</v>
      </c>
      <c r="D3790" t="inlineStr">
        <is>
          <t>NORRBOTTENS LÄN</t>
        </is>
      </c>
      <c r="E3790" t="inlineStr">
        <is>
          <t>ÖVERKALIX</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72877-2021</t>
        </is>
      </c>
      <c r="B3791" s="1" t="n">
        <v>44547</v>
      </c>
      <c r="C3791" s="1" t="n">
        <v>45798</v>
      </c>
      <c r="D3791" t="inlineStr">
        <is>
          <t>NORRBOTTENS LÄN</t>
        </is>
      </c>
      <c r="E3791" t="inlineStr">
        <is>
          <t>ÖVERKALIX</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72951-2021</t>
        </is>
      </c>
      <c r="B3792" s="1" t="n">
        <v>44547</v>
      </c>
      <c r="C3792" s="1" t="n">
        <v>45798</v>
      </c>
      <c r="D3792" t="inlineStr">
        <is>
          <t>NORRBOTTENS LÄN</t>
        </is>
      </c>
      <c r="E3792" t="inlineStr">
        <is>
          <t>ÄLVSBYN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72919-2021</t>
        </is>
      </c>
      <c r="B3793" s="1" t="n">
        <v>44547</v>
      </c>
      <c r="C3793" s="1" t="n">
        <v>45798</v>
      </c>
      <c r="D3793" t="inlineStr">
        <is>
          <t>NORRBOTTENS LÄN</t>
        </is>
      </c>
      <c r="E3793" t="inlineStr">
        <is>
          <t>LULEÅ</t>
        </is>
      </c>
      <c r="F3793" t="inlineStr">
        <is>
          <t>Övriga Aktiebolag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73216-2021</t>
        </is>
      </c>
      <c r="B3794" s="1" t="n">
        <v>44547</v>
      </c>
      <c r="C3794" s="1" t="n">
        <v>45798</v>
      </c>
      <c r="D3794" t="inlineStr">
        <is>
          <t>NORRBOTTENS LÄN</t>
        </is>
      </c>
      <c r="E3794" t="inlineStr">
        <is>
          <t>ÖVERKALIX</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72927-2021</t>
        </is>
      </c>
      <c r="B3795" s="1" t="n">
        <v>44547</v>
      </c>
      <c r="C3795" s="1" t="n">
        <v>45798</v>
      </c>
      <c r="D3795" t="inlineStr">
        <is>
          <t>NORRBOTTENS LÄN</t>
        </is>
      </c>
      <c r="E3795" t="inlineStr">
        <is>
          <t>PITEÅ</t>
        </is>
      </c>
      <c r="F3795" t="inlineStr">
        <is>
          <t>Övriga Aktiebolag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73221-2021</t>
        </is>
      </c>
      <c r="B3796" s="1" t="n">
        <v>44547</v>
      </c>
      <c r="C3796" s="1" t="n">
        <v>45798</v>
      </c>
      <c r="D3796" t="inlineStr">
        <is>
          <t>NORRBOTTENS LÄN</t>
        </is>
      </c>
      <c r="E3796" t="inlineStr">
        <is>
          <t>ÖVERKALIX</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73128-2021</t>
        </is>
      </c>
      <c r="B3797" s="1" t="n">
        <v>44547</v>
      </c>
      <c r="C3797" s="1" t="n">
        <v>45798</v>
      </c>
      <c r="D3797" t="inlineStr">
        <is>
          <t>NORRBOTTENS LÄN</t>
        </is>
      </c>
      <c r="E3797" t="inlineStr">
        <is>
          <t>PAJALA</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73026-2021</t>
        </is>
      </c>
      <c r="B3798" s="1" t="n">
        <v>44550</v>
      </c>
      <c r="C3798" s="1" t="n">
        <v>45798</v>
      </c>
      <c r="D3798" t="inlineStr">
        <is>
          <t>NORRBOTTENS LÄN</t>
        </is>
      </c>
      <c r="E3798" t="inlineStr">
        <is>
          <t>PITEÅ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73341-2021</t>
        </is>
      </c>
      <c r="B3799" s="1" t="n">
        <v>44550</v>
      </c>
      <c r="C3799" s="1" t="n">
        <v>45798</v>
      </c>
      <c r="D3799" t="inlineStr">
        <is>
          <t>NORRBOTTENS LÄN</t>
        </is>
      </c>
      <c r="E3799" t="inlineStr">
        <is>
          <t>GÄLLIVARE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73337-2021</t>
        </is>
      </c>
      <c r="B3800" s="1" t="n">
        <v>44550</v>
      </c>
      <c r="C3800" s="1" t="n">
        <v>45798</v>
      </c>
      <c r="D3800" t="inlineStr">
        <is>
          <t>NORRBOTTENS LÄN</t>
        </is>
      </c>
      <c r="E3800" t="inlineStr">
        <is>
          <t>GÄLLIVARE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73400-2021</t>
        </is>
      </c>
      <c r="B3801" s="1" t="n">
        <v>44550</v>
      </c>
      <c r="C3801" s="1" t="n">
        <v>45798</v>
      </c>
      <c r="D3801" t="inlineStr">
        <is>
          <t>NORRBOTTENS LÄN</t>
        </is>
      </c>
      <c r="E3801" t="inlineStr">
        <is>
          <t>PITEÅ</t>
        </is>
      </c>
      <c r="G3801" t="n">
        <v>10.3</v>
      </c>
      <c r="H3801" t="n">
        <v>0</v>
      </c>
      <c r="I3801" t="n">
        <v>0</v>
      </c>
      <c r="J3801" t="n">
        <v>0</v>
      </c>
      <c r="K3801" t="n">
        <v>0</v>
      </c>
      <c r="L3801" t="n">
        <v>0</v>
      </c>
      <c r="M3801" t="n">
        <v>0</v>
      </c>
      <c r="N3801" t="n">
        <v>0</v>
      </c>
      <c r="O3801" t="n">
        <v>0</v>
      </c>
      <c r="P3801" t="n">
        <v>0</v>
      </c>
      <c r="Q3801" t="n">
        <v>0</v>
      </c>
      <c r="R3801" s="2" t="inlineStr"/>
    </row>
    <row r="3802" ht="15" customHeight="1">
      <c r="A3802" t="inlineStr">
        <is>
          <t>A 73645-2021</t>
        </is>
      </c>
      <c r="B3802" s="1" t="n">
        <v>44550</v>
      </c>
      <c r="C3802" s="1" t="n">
        <v>45798</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73180-2021</t>
        </is>
      </c>
      <c r="B3803" s="1" t="n">
        <v>44550</v>
      </c>
      <c r="C3803" s="1" t="n">
        <v>45798</v>
      </c>
      <c r="D3803" t="inlineStr">
        <is>
          <t>NORRBOTTENS LÄN</t>
        </is>
      </c>
      <c r="E3803" t="inlineStr">
        <is>
          <t>PAJALA</t>
        </is>
      </c>
      <c r="F3803" t="inlineStr">
        <is>
          <t>Sveaskog</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73335-2021</t>
        </is>
      </c>
      <c r="B3804" s="1" t="n">
        <v>44550</v>
      </c>
      <c r="C3804" s="1" t="n">
        <v>45798</v>
      </c>
      <c r="D3804" t="inlineStr">
        <is>
          <t>NORRBOTTENS LÄN</t>
        </is>
      </c>
      <c r="E3804" t="inlineStr">
        <is>
          <t>GÄLLIVARE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73348-2021</t>
        </is>
      </c>
      <c r="B3805" s="1" t="n">
        <v>44550</v>
      </c>
      <c r="C3805" s="1" t="n">
        <v>45798</v>
      </c>
      <c r="D3805" t="inlineStr">
        <is>
          <t>NORRBOTTENS LÄN</t>
        </is>
      </c>
      <c r="E3805" t="inlineStr">
        <is>
          <t>ÖVERKALIX</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73393-2021</t>
        </is>
      </c>
      <c r="B3806" s="1" t="n">
        <v>44550</v>
      </c>
      <c r="C3806" s="1" t="n">
        <v>45798</v>
      </c>
      <c r="D3806" t="inlineStr">
        <is>
          <t>NORRBOTTENS LÄN</t>
        </is>
      </c>
      <c r="E3806" t="inlineStr">
        <is>
          <t>JOKKMOKK</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73539-2021</t>
        </is>
      </c>
      <c r="B3807" s="1" t="n">
        <v>44550</v>
      </c>
      <c r="C3807" s="1" t="n">
        <v>45798</v>
      </c>
      <c r="D3807" t="inlineStr">
        <is>
          <t>NORRBOTTENS LÄN</t>
        </is>
      </c>
      <c r="E3807" t="inlineStr">
        <is>
          <t>LULEÅ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73353-2021</t>
        </is>
      </c>
      <c r="B3808" s="1" t="n">
        <v>44551</v>
      </c>
      <c r="C3808" s="1" t="n">
        <v>45798</v>
      </c>
      <c r="D3808" t="inlineStr">
        <is>
          <t>NORRBOTTENS LÄN</t>
        </is>
      </c>
      <c r="E3808" t="inlineStr">
        <is>
          <t>GÄLLIVARE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73488-2021</t>
        </is>
      </c>
      <c r="B3809" s="1" t="n">
        <v>44551</v>
      </c>
      <c r="C3809" s="1" t="n">
        <v>45798</v>
      </c>
      <c r="D3809" t="inlineStr">
        <is>
          <t>NORRBOTTENS LÄN</t>
        </is>
      </c>
      <c r="E3809" t="inlineStr">
        <is>
          <t>ARVIDSJAUR</t>
        </is>
      </c>
      <c r="F3809" t="inlineStr">
        <is>
          <t>Sveaskog</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73490-2021</t>
        </is>
      </c>
      <c r="B3810" s="1" t="n">
        <v>44551</v>
      </c>
      <c r="C3810" s="1" t="n">
        <v>45798</v>
      </c>
      <c r="D3810" t="inlineStr">
        <is>
          <t>NORRBOTTENS LÄN</t>
        </is>
      </c>
      <c r="E3810" t="inlineStr">
        <is>
          <t>ARVIDSJAUR</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73757-2021</t>
        </is>
      </c>
      <c r="B3811" s="1" t="n">
        <v>44551</v>
      </c>
      <c r="C3811" s="1" t="n">
        <v>45798</v>
      </c>
      <c r="D3811" t="inlineStr">
        <is>
          <t>NORRBOTTENS LÄN</t>
        </is>
      </c>
      <c r="E3811" t="inlineStr">
        <is>
          <t>ÖVERKALIX</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73605-2021</t>
        </is>
      </c>
      <c r="B3812" s="1" t="n">
        <v>44551</v>
      </c>
      <c r="C3812" s="1" t="n">
        <v>45798</v>
      </c>
      <c r="D3812" t="inlineStr">
        <is>
          <t>NORRBOTTENS LÄN</t>
        </is>
      </c>
      <c r="E3812" t="inlineStr">
        <is>
          <t>ÖVERTORNEÅ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73603-2021</t>
        </is>
      </c>
      <c r="B3813" s="1" t="n">
        <v>44551</v>
      </c>
      <c r="C3813" s="1" t="n">
        <v>45798</v>
      </c>
      <c r="D3813" t="inlineStr">
        <is>
          <t>NORRBOTTENS LÄN</t>
        </is>
      </c>
      <c r="E3813" t="inlineStr">
        <is>
          <t>ÖVERTORNEÅ</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73759-2021</t>
        </is>
      </c>
      <c r="B3814" s="1" t="n">
        <v>44551</v>
      </c>
      <c r="C3814" s="1" t="n">
        <v>45798</v>
      </c>
      <c r="D3814" t="inlineStr">
        <is>
          <t>NORRBOTTENS LÄN</t>
        </is>
      </c>
      <c r="E3814" t="inlineStr">
        <is>
          <t>ÖVERKALIX</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73589-2021</t>
        </is>
      </c>
      <c r="B3815" s="1" t="n">
        <v>44552</v>
      </c>
      <c r="C3815" s="1" t="n">
        <v>45798</v>
      </c>
      <c r="D3815" t="inlineStr">
        <is>
          <t>NORRBOTTENS LÄN</t>
        </is>
      </c>
      <c r="E3815" t="inlineStr">
        <is>
          <t>ÄLVSBYN</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73648-2021</t>
        </is>
      </c>
      <c r="B3816" s="1" t="n">
        <v>44552</v>
      </c>
      <c r="C3816" s="1" t="n">
        <v>45798</v>
      </c>
      <c r="D3816" t="inlineStr">
        <is>
          <t>NORRBOTTENS LÄN</t>
        </is>
      </c>
      <c r="E3816" t="inlineStr">
        <is>
          <t>ÄLVSBYN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73713-2021</t>
        </is>
      </c>
      <c r="B3817" s="1" t="n">
        <v>44552</v>
      </c>
      <c r="C3817" s="1" t="n">
        <v>45798</v>
      </c>
      <c r="D3817" t="inlineStr">
        <is>
          <t>NORRBOTTENS LÄN</t>
        </is>
      </c>
      <c r="E3817" t="inlineStr">
        <is>
          <t>PAJALA</t>
        </is>
      </c>
      <c r="F3817" t="inlineStr">
        <is>
          <t>Sveaskog</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73880-2021</t>
        </is>
      </c>
      <c r="B3818" s="1" t="n">
        <v>44552</v>
      </c>
      <c r="C3818" s="1" t="n">
        <v>45798</v>
      </c>
      <c r="D3818" t="inlineStr">
        <is>
          <t>NORRBOTTENS LÄN</t>
        </is>
      </c>
      <c r="E3818" t="inlineStr">
        <is>
          <t>ARJEPLOG</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73716-2021</t>
        </is>
      </c>
      <c r="B3819" s="1" t="n">
        <v>44552</v>
      </c>
      <c r="C3819" s="1" t="n">
        <v>45798</v>
      </c>
      <c r="D3819" t="inlineStr">
        <is>
          <t>NORRBOTTENS LÄN</t>
        </is>
      </c>
      <c r="E3819" t="inlineStr">
        <is>
          <t>PAJALA</t>
        </is>
      </c>
      <c r="F3819" t="inlineStr">
        <is>
          <t>Sveaskog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73774-2021</t>
        </is>
      </c>
      <c r="B3820" s="1" t="n">
        <v>44552</v>
      </c>
      <c r="C3820" s="1" t="n">
        <v>45798</v>
      </c>
      <c r="D3820" t="inlineStr">
        <is>
          <t>NORRBOTTENS LÄN</t>
        </is>
      </c>
      <c r="E3820" t="inlineStr">
        <is>
          <t>ÄLVSBYN</t>
        </is>
      </c>
      <c r="F3820" t="inlineStr">
        <is>
          <t>Sveaskog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73782-2021</t>
        </is>
      </c>
      <c r="B3821" s="1" t="n">
        <v>44552</v>
      </c>
      <c r="C3821" s="1" t="n">
        <v>45798</v>
      </c>
      <c r="D3821" t="inlineStr">
        <is>
          <t>NORRBOTTENS LÄN</t>
        </is>
      </c>
      <c r="E3821" t="inlineStr">
        <is>
          <t>ARVIDSJAUR</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73907-2021</t>
        </is>
      </c>
      <c r="B3822" s="1" t="n">
        <v>44552</v>
      </c>
      <c r="C3822" s="1" t="n">
        <v>45798</v>
      </c>
      <c r="D3822" t="inlineStr">
        <is>
          <t>NORRBOTTENS LÄN</t>
        </is>
      </c>
      <c r="E3822" t="inlineStr">
        <is>
          <t>LULEÅ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73910-2021</t>
        </is>
      </c>
      <c r="B3823" s="1" t="n">
        <v>44552</v>
      </c>
      <c r="C3823" s="1" t="n">
        <v>45798</v>
      </c>
      <c r="D3823" t="inlineStr">
        <is>
          <t>NORRBOTTENS LÄN</t>
        </is>
      </c>
      <c r="E3823" t="inlineStr">
        <is>
          <t>BODEN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73905-2021</t>
        </is>
      </c>
      <c r="B3824" s="1" t="n">
        <v>44552</v>
      </c>
      <c r="C3824" s="1" t="n">
        <v>45798</v>
      </c>
      <c r="D3824" t="inlineStr">
        <is>
          <t>NORRBOTTENS LÄN</t>
        </is>
      </c>
      <c r="E3824" t="inlineStr">
        <is>
          <t>LULEÅ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74231-2021</t>
        </is>
      </c>
      <c r="B3825" s="1" t="n">
        <v>44553</v>
      </c>
      <c r="C3825" s="1" t="n">
        <v>45798</v>
      </c>
      <c r="D3825" t="inlineStr">
        <is>
          <t>NORRBOTTENS LÄN</t>
        </is>
      </c>
      <c r="E3825" t="inlineStr">
        <is>
          <t>ÖVERTORNEÅ</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74228-2021</t>
        </is>
      </c>
      <c r="B3826" s="1" t="n">
        <v>44553</v>
      </c>
      <c r="C3826" s="1" t="n">
        <v>45798</v>
      </c>
      <c r="D3826" t="inlineStr">
        <is>
          <t>NORRBOTTENS LÄN</t>
        </is>
      </c>
      <c r="E3826" t="inlineStr">
        <is>
          <t>ÖVERTORNEÅ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74232-2021</t>
        </is>
      </c>
      <c r="B3827" s="1" t="n">
        <v>44553</v>
      </c>
      <c r="C3827" s="1" t="n">
        <v>45798</v>
      </c>
      <c r="D3827" t="inlineStr">
        <is>
          <t>NORRBOTTENS LÄN</t>
        </is>
      </c>
      <c r="E3827" t="inlineStr">
        <is>
          <t>ÖVERTORNEÅ</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74235-2021</t>
        </is>
      </c>
      <c r="B3828" s="1" t="n">
        <v>44553</v>
      </c>
      <c r="C3828" s="1" t="n">
        <v>45798</v>
      </c>
      <c r="D3828" t="inlineStr">
        <is>
          <t>NORRBOTTENS LÄN</t>
        </is>
      </c>
      <c r="E3828" t="inlineStr">
        <is>
          <t>ÖVERTORNEÅ</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74057-2021</t>
        </is>
      </c>
      <c r="B3829" s="1" t="n">
        <v>44557</v>
      </c>
      <c r="C3829" s="1" t="n">
        <v>45798</v>
      </c>
      <c r="D3829" t="inlineStr">
        <is>
          <t>NORRBOTTENS LÄN</t>
        </is>
      </c>
      <c r="E3829" t="inlineStr">
        <is>
          <t>ÖVERTORNEÅ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74158-2021</t>
        </is>
      </c>
      <c r="B3830" s="1" t="n">
        <v>44557</v>
      </c>
      <c r="C3830" s="1" t="n">
        <v>45798</v>
      </c>
      <c r="D3830" t="inlineStr">
        <is>
          <t>NORRBOTTENS LÄN</t>
        </is>
      </c>
      <c r="E3830" t="inlineStr">
        <is>
          <t>ÖVERTORNEÅ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74163-2021</t>
        </is>
      </c>
      <c r="B3831" s="1" t="n">
        <v>44557</v>
      </c>
      <c r="C3831" s="1" t="n">
        <v>45798</v>
      </c>
      <c r="D3831" t="inlineStr">
        <is>
          <t>NORRBOTTENS LÄN</t>
        </is>
      </c>
      <c r="E3831" t="inlineStr">
        <is>
          <t>ÖVERTORNEÅ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74264-2021</t>
        </is>
      </c>
      <c r="B3832" s="1" t="n">
        <v>44558</v>
      </c>
      <c r="C3832" s="1" t="n">
        <v>45798</v>
      </c>
      <c r="D3832" t="inlineStr">
        <is>
          <t>NORRBOTTENS LÄN</t>
        </is>
      </c>
      <c r="E3832" t="inlineStr">
        <is>
          <t>BODEN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74440-2021</t>
        </is>
      </c>
      <c r="B3833" s="1" t="n">
        <v>44558</v>
      </c>
      <c r="C3833" s="1" t="n">
        <v>45798</v>
      </c>
      <c r="D3833" t="inlineStr">
        <is>
          <t>NORRBOTTENS LÄN</t>
        </is>
      </c>
      <c r="E3833" t="inlineStr">
        <is>
          <t>LULEÅ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74441-2021</t>
        </is>
      </c>
      <c r="B3834" s="1" t="n">
        <v>44558</v>
      </c>
      <c r="C3834" s="1" t="n">
        <v>45798</v>
      </c>
      <c r="D3834" t="inlineStr">
        <is>
          <t>NORRBOTTENS LÄN</t>
        </is>
      </c>
      <c r="E3834" t="inlineStr">
        <is>
          <t>LULEÅ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74276-2021</t>
        </is>
      </c>
      <c r="B3835" s="1" t="n">
        <v>44558</v>
      </c>
      <c r="C3835" s="1" t="n">
        <v>45798</v>
      </c>
      <c r="D3835" t="inlineStr">
        <is>
          <t>NORRBOTTENS LÄN</t>
        </is>
      </c>
      <c r="E3835" t="inlineStr">
        <is>
          <t>LULEÅ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74437-2021</t>
        </is>
      </c>
      <c r="B3836" s="1" t="n">
        <v>44558</v>
      </c>
      <c r="C3836" s="1" t="n">
        <v>45798</v>
      </c>
      <c r="D3836" t="inlineStr">
        <is>
          <t>NORRBOTTENS LÄN</t>
        </is>
      </c>
      <c r="E3836" t="inlineStr">
        <is>
          <t>LULEÅ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74274-2021</t>
        </is>
      </c>
      <c r="B3837" s="1" t="n">
        <v>44558</v>
      </c>
      <c r="C3837" s="1" t="n">
        <v>45798</v>
      </c>
      <c r="D3837" t="inlineStr">
        <is>
          <t>NORRBOTTENS LÄN</t>
        </is>
      </c>
      <c r="E3837" t="inlineStr">
        <is>
          <t>LULEÅ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74433-2021</t>
        </is>
      </c>
      <c r="B3838" s="1" t="n">
        <v>44558</v>
      </c>
      <c r="C3838" s="1" t="n">
        <v>45798</v>
      </c>
      <c r="D3838" t="inlineStr">
        <is>
          <t>NORRBOTTENS LÄN</t>
        </is>
      </c>
      <c r="E3838" t="inlineStr">
        <is>
          <t>LULEÅ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74445-2021</t>
        </is>
      </c>
      <c r="B3839" s="1" t="n">
        <v>44558</v>
      </c>
      <c r="C3839" s="1" t="n">
        <v>45798</v>
      </c>
      <c r="D3839" t="inlineStr">
        <is>
          <t>NORRBOTTENS LÄN</t>
        </is>
      </c>
      <c r="E3839" t="inlineStr">
        <is>
          <t>LULEÅ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225-2022</t>
        </is>
      </c>
      <c r="B3840" s="1" t="n">
        <v>44564</v>
      </c>
      <c r="C3840" s="1" t="n">
        <v>45798</v>
      </c>
      <c r="D3840" t="inlineStr">
        <is>
          <t>NORRBOTTENS LÄN</t>
        </is>
      </c>
      <c r="E3840" t="inlineStr">
        <is>
          <t>KIRUNA</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313-2022</t>
        </is>
      </c>
      <c r="B3841" s="1" t="n">
        <v>44564</v>
      </c>
      <c r="C3841" s="1" t="n">
        <v>45798</v>
      </c>
      <c r="D3841" t="inlineStr">
        <is>
          <t>NORRBOTTENS LÄN</t>
        </is>
      </c>
      <c r="E3841" t="inlineStr">
        <is>
          <t>ÖVERTORNEÅ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434-2022</t>
        </is>
      </c>
      <c r="B3842" s="1" t="n">
        <v>44565</v>
      </c>
      <c r="C3842" s="1" t="n">
        <v>45798</v>
      </c>
      <c r="D3842" t="inlineStr">
        <is>
          <t>NORRBOTTENS LÄN</t>
        </is>
      </c>
      <c r="E3842" t="inlineStr">
        <is>
          <t>LULEÅ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433-2022</t>
        </is>
      </c>
      <c r="B3843" s="1" t="n">
        <v>44565</v>
      </c>
      <c r="C3843" s="1" t="n">
        <v>45798</v>
      </c>
      <c r="D3843" t="inlineStr">
        <is>
          <t>NORRBOTTENS LÄN</t>
        </is>
      </c>
      <c r="E3843" t="inlineStr">
        <is>
          <t>LULEÅ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432-2022</t>
        </is>
      </c>
      <c r="B3844" s="1" t="n">
        <v>44565</v>
      </c>
      <c r="C3844" s="1" t="n">
        <v>45798</v>
      </c>
      <c r="D3844" t="inlineStr">
        <is>
          <t>NORRBOTTENS LÄN</t>
        </is>
      </c>
      <c r="E3844" t="inlineStr">
        <is>
          <t>LULEÅ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452-2022</t>
        </is>
      </c>
      <c r="B3845" s="1" t="n">
        <v>44565</v>
      </c>
      <c r="C3845" s="1" t="n">
        <v>45798</v>
      </c>
      <c r="D3845" t="inlineStr">
        <is>
          <t>NORRBOTTENS LÄN</t>
        </is>
      </c>
      <c r="E3845" t="inlineStr">
        <is>
          <t>BODEN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467-2022</t>
        </is>
      </c>
      <c r="B3846" s="1" t="n">
        <v>44565</v>
      </c>
      <c r="C3846" s="1" t="n">
        <v>45798</v>
      </c>
      <c r="D3846" t="inlineStr">
        <is>
          <t>NORRBOTTENS LÄN</t>
        </is>
      </c>
      <c r="E3846" t="inlineStr">
        <is>
          <t>BODEN</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446-2022</t>
        </is>
      </c>
      <c r="B3847" s="1" t="n">
        <v>44565</v>
      </c>
      <c r="C3847" s="1" t="n">
        <v>45798</v>
      </c>
      <c r="D3847" t="inlineStr">
        <is>
          <t>NORRBOTTENS LÄN</t>
        </is>
      </c>
      <c r="E3847" t="inlineStr">
        <is>
          <t>BODEN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588-2022</t>
        </is>
      </c>
      <c r="B3848" s="1" t="n">
        <v>44566</v>
      </c>
      <c r="C3848" s="1" t="n">
        <v>45798</v>
      </c>
      <c r="D3848" t="inlineStr">
        <is>
          <t>NORRBOTTENS LÄN</t>
        </is>
      </c>
      <c r="E3848" t="inlineStr">
        <is>
          <t>GÄLLIVARE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706-2022</t>
        </is>
      </c>
      <c r="B3849" s="1" t="n">
        <v>44566</v>
      </c>
      <c r="C3849" s="1" t="n">
        <v>45798</v>
      </c>
      <c r="D3849" t="inlineStr">
        <is>
          <t>NORRBOTTENS LÄN</t>
        </is>
      </c>
      <c r="E3849" t="inlineStr">
        <is>
          <t>BODEN</t>
        </is>
      </c>
      <c r="G3849" t="n">
        <v>12.4</v>
      </c>
      <c r="H3849" t="n">
        <v>0</v>
      </c>
      <c r="I3849" t="n">
        <v>0</v>
      </c>
      <c r="J3849" t="n">
        <v>0</v>
      </c>
      <c r="K3849" t="n">
        <v>0</v>
      </c>
      <c r="L3849" t="n">
        <v>0</v>
      </c>
      <c r="M3849" t="n">
        <v>0</v>
      </c>
      <c r="N3849" t="n">
        <v>0</v>
      </c>
      <c r="O3849" t="n">
        <v>0</v>
      </c>
      <c r="P3849" t="n">
        <v>0</v>
      </c>
      <c r="Q3849" t="n">
        <v>0</v>
      </c>
      <c r="R3849" s="2" t="inlineStr"/>
    </row>
    <row r="3850" ht="15" customHeight="1">
      <c r="A3850" t="inlineStr">
        <is>
          <t>A 710-2022</t>
        </is>
      </c>
      <c r="B3850" s="1" t="n">
        <v>44566</v>
      </c>
      <c r="C3850" s="1" t="n">
        <v>45798</v>
      </c>
      <c r="D3850" t="inlineStr">
        <is>
          <t>NORRBOTTENS LÄN</t>
        </is>
      </c>
      <c r="E3850" t="inlineStr">
        <is>
          <t>BODEN</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711-2022</t>
        </is>
      </c>
      <c r="B3851" s="1" t="n">
        <v>44566</v>
      </c>
      <c r="C3851" s="1" t="n">
        <v>45798</v>
      </c>
      <c r="D3851" t="inlineStr">
        <is>
          <t>NORRBOTTENS LÄN</t>
        </is>
      </c>
      <c r="E3851" t="inlineStr">
        <is>
          <t>BODEN</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714-2022</t>
        </is>
      </c>
      <c r="B3852" s="1" t="n">
        <v>44566</v>
      </c>
      <c r="C3852" s="1" t="n">
        <v>45798</v>
      </c>
      <c r="D3852" t="inlineStr">
        <is>
          <t>NORRBOTTENS LÄN</t>
        </is>
      </c>
      <c r="E3852" t="inlineStr">
        <is>
          <t>BODEN</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708-2022</t>
        </is>
      </c>
      <c r="B3853" s="1" t="n">
        <v>44566</v>
      </c>
      <c r="C3853" s="1" t="n">
        <v>45798</v>
      </c>
      <c r="D3853" t="inlineStr">
        <is>
          <t>NORRBOTTENS LÄN</t>
        </is>
      </c>
      <c r="E3853" t="inlineStr">
        <is>
          <t>BODEN</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674-2022</t>
        </is>
      </c>
      <c r="B3854" s="1" t="n">
        <v>44568</v>
      </c>
      <c r="C3854" s="1" t="n">
        <v>45798</v>
      </c>
      <c r="D3854" t="inlineStr">
        <is>
          <t>NORRBOTTENS LÄN</t>
        </is>
      </c>
      <c r="E3854" t="inlineStr">
        <is>
          <t>PAJALA</t>
        </is>
      </c>
      <c r="G3854" t="n">
        <v>19.5</v>
      </c>
      <c r="H3854" t="n">
        <v>0</v>
      </c>
      <c r="I3854" t="n">
        <v>0</v>
      </c>
      <c r="J3854" t="n">
        <v>0</v>
      </c>
      <c r="K3854" t="n">
        <v>0</v>
      </c>
      <c r="L3854" t="n">
        <v>0</v>
      </c>
      <c r="M3854" t="n">
        <v>0</v>
      </c>
      <c r="N3854" t="n">
        <v>0</v>
      </c>
      <c r="O3854" t="n">
        <v>0</v>
      </c>
      <c r="P3854" t="n">
        <v>0</v>
      </c>
      <c r="Q3854" t="n">
        <v>0</v>
      </c>
      <c r="R3854" s="2" t="inlineStr"/>
    </row>
    <row r="3855" ht="15" customHeight="1">
      <c r="A3855" t="inlineStr">
        <is>
          <t>A 718-2022</t>
        </is>
      </c>
      <c r="B3855" s="1" t="n">
        <v>44568</v>
      </c>
      <c r="C3855" s="1" t="n">
        <v>45798</v>
      </c>
      <c r="D3855" t="inlineStr">
        <is>
          <t>NORRBOTTENS LÄN</t>
        </is>
      </c>
      <c r="E3855" t="inlineStr">
        <is>
          <t>BODEN</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690-2022</t>
        </is>
      </c>
      <c r="B3856" s="1" t="n">
        <v>44568</v>
      </c>
      <c r="C3856" s="1" t="n">
        <v>45798</v>
      </c>
      <c r="D3856" t="inlineStr">
        <is>
          <t>NORRBOTTENS LÄN</t>
        </is>
      </c>
      <c r="E3856" t="inlineStr">
        <is>
          <t>KALIX</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684-2022</t>
        </is>
      </c>
      <c r="B3857" s="1" t="n">
        <v>44568</v>
      </c>
      <c r="C3857" s="1" t="n">
        <v>45798</v>
      </c>
      <c r="D3857" t="inlineStr">
        <is>
          <t>NORRBOTTENS LÄN</t>
        </is>
      </c>
      <c r="E3857" t="inlineStr">
        <is>
          <t>PAJALA</t>
        </is>
      </c>
      <c r="G3857" t="n">
        <v>20.5</v>
      </c>
      <c r="H3857" t="n">
        <v>0</v>
      </c>
      <c r="I3857" t="n">
        <v>0</v>
      </c>
      <c r="J3857" t="n">
        <v>0</v>
      </c>
      <c r="K3857" t="n">
        <v>0</v>
      </c>
      <c r="L3857" t="n">
        <v>0</v>
      </c>
      <c r="M3857" t="n">
        <v>0</v>
      </c>
      <c r="N3857" t="n">
        <v>0</v>
      </c>
      <c r="O3857" t="n">
        <v>0</v>
      </c>
      <c r="P3857" t="n">
        <v>0</v>
      </c>
      <c r="Q3857" t="n">
        <v>0</v>
      </c>
      <c r="R3857" s="2" t="inlineStr"/>
    </row>
    <row r="3858" ht="15" customHeight="1">
      <c r="A3858" t="inlineStr">
        <is>
          <t>A 694-2022</t>
        </is>
      </c>
      <c r="B3858" s="1" t="n">
        <v>44568</v>
      </c>
      <c r="C3858" s="1" t="n">
        <v>45798</v>
      </c>
      <c r="D3858" t="inlineStr">
        <is>
          <t>NORRBOTTENS LÄN</t>
        </is>
      </c>
      <c r="E3858" t="inlineStr">
        <is>
          <t>KALIX</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890-2022</t>
        </is>
      </c>
      <c r="B3859" s="1" t="n">
        <v>44568</v>
      </c>
      <c r="C3859" s="1" t="n">
        <v>45798</v>
      </c>
      <c r="D3859" t="inlineStr">
        <is>
          <t>NORRBOTTENS LÄN</t>
        </is>
      </c>
      <c r="E3859" t="inlineStr">
        <is>
          <t>HAPARANDA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810-2022</t>
        </is>
      </c>
      <c r="B3860" s="1" t="n">
        <v>44571</v>
      </c>
      <c r="C3860" s="1" t="n">
        <v>45798</v>
      </c>
      <c r="D3860" t="inlineStr">
        <is>
          <t>NORRBOTTENS LÄN</t>
        </is>
      </c>
      <c r="E3860" t="inlineStr">
        <is>
          <t>PITEÅ</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1052-2022</t>
        </is>
      </c>
      <c r="B3861" s="1" t="n">
        <v>44571</v>
      </c>
      <c r="C3861" s="1" t="n">
        <v>45798</v>
      </c>
      <c r="D3861" t="inlineStr">
        <is>
          <t>NORRBOTTENS LÄN</t>
        </is>
      </c>
      <c r="E3861" t="inlineStr">
        <is>
          <t>HAPARANDA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1091-2022</t>
        </is>
      </c>
      <c r="B3862" s="1" t="n">
        <v>44571</v>
      </c>
      <c r="C3862" s="1" t="n">
        <v>45798</v>
      </c>
      <c r="D3862" t="inlineStr">
        <is>
          <t>NORRBOTTENS LÄN</t>
        </is>
      </c>
      <c r="E3862" t="inlineStr">
        <is>
          <t>ÖVERTORNEÅ</t>
        </is>
      </c>
      <c r="G3862" t="n">
        <v>10.7</v>
      </c>
      <c r="H3862" t="n">
        <v>0</v>
      </c>
      <c r="I3862" t="n">
        <v>0</v>
      </c>
      <c r="J3862" t="n">
        <v>0</v>
      </c>
      <c r="K3862" t="n">
        <v>0</v>
      </c>
      <c r="L3862" t="n">
        <v>0</v>
      </c>
      <c r="M3862" t="n">
        <v>0</v>
      </c>
      <c r="N3862" t="n">
        <v>0</v>
      </c>
      <c r="O3862" t="n">
        <v>0</v>
      </c>
      <c r="P3862" t="n">
        <v>0</v>
      </c>
      <c r="Q3862" t="n">
        <v>0</v>
      </c>
      <c r="R3862" s="2" t="inlineStr"/>
    </row>
    <row r="3863" ht="15" customHeight="1">
      <c r="A3863" t="inlineStr">
        <is>
          <t>A 1092-2022</t>
        </is>
      </c>
      <c r="B3863" s="1" t="n">
        <v>44571</v>
      </c>
      <c r="C3863" s="1" t="n">
        <v>45798</v>
      </c>
      <c r="D3863" t="inlineStr">
        <is>
          <t>NORRBOTTENS LÄN</t>
        </is>
      </c>
      <c r="E3863" t="inlineStr">
        <is>
          <t>ÖVERTORNEÅ</t>
        </is>
      </c>
      <c r="G3863" t="n">
        <v>23.5</v>
      </c>
      <c r="H3863" t="n">
        <v>0</v>
      </c>
      <c r="I3863" t="n">
        <v>0</v>
      </c>
      <c r="J3863" t="n">
        <v>0</v>
      </c>
      <c r="K3863" t="n">
        <v>0</v>
      </c>
      <c r="L3863" t="n">
        <v>0</v>
      </c>
      <c r="M3863" t="n">
        <v>0</v>
      </c>
      <c r="N3863" t="n">
        <v>0</v>
      </c>
      <c r="O3863" t="n">
        <v>0</v>
      </c>
      <c r="P3863" t="n">
        <v>0</v>
      </c>
      <c r="Q3863" t="n">
        <v>0</v>
      </c>
      <c r="R3863" s="2" t="inlineStr"/>
    </row>
    <row r="3864" ht="15" customHeight="1">
      <c r="A3864" t="inlineStr">
        <is>
          <t>A 1206-2022</t>
        </is>
      </c>
      <c r="B3864" s="1" t="n">
        <v>44572</v>
      </c>
      <c r="C3864" s="1" t="n">
        <v>45798</v>
      </c>
      <c r="D3864" t="inlineStr">
        <is>
          <t>NORRBOTTENS LÄN</t>
        </is>
      </c>
      <c r="E3864" t="inlineStr">
        <is>
          <t>ÖVERTORNEÅ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1336-2022</t>
        </is>
      </c>
      <c r="B3865" s="1" t="n">
        <v>44572</v>
      </c>
      <c r="C3865" s="1" t="n">
        <v>45798</v>
      </c>
      <c r="D3865" t="inlineStr">
        <is>
          <t>NORRBOTTENS LÄN</t>
        </is>
      </c>
      <c r="E3865" t="inlineStr">
        <is>
          <t>LULEÅ</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1454-2022</t>
        </is>
      </c>
      <c r="B3866" s="1" t="n">
        <v>44573</v>
      </c>
      <c r="C3866" s="1" t="n">
        <v>45798</v>
      </c>
      <c r="D3866" t="inlineStr">
        <is>
          <t>NORRBOTTENS LÄN</t>
        </is>
      </c>
      <c r="E3866" t="inlineStr">
        <is>
          <t>BODEN</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1525-2022</t>
        </is>
      </c>
      <c r="B3867" s="1" t="n">
        <v>44573</v>
      </c>
      <c r="C3867" s="1" t="n">
        <v>45798</v>
      </c>
      <c r="D3867" t="inlineStr">
        <is>
          <t>NORRBOTTENS LÄN</t>
        </is>
      </c>
      <c r="E3867" t="inlineStr">
        <is>
          <t>ÖVERKALIX</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1497-2022</t>
        </is>
      </c>
      <c r="B3868" s="1" t="n">
        <v>44573</v>
      </c>
      <c r="C3868" s="1" t="n">
        <v>45798</v>
      </c>
      <c r="D3868" t="inlineStr">
        <is>
          <t>NORRBOTTENS LÄN</t>
        </is>
      </c>
      <c r="E3868" t="inlineStr">
        <is>
          <t>BODEN</t>
        </is>
      </c>
      <c r="F3868" t="inlineStr">
        <is>
          <t>Övriga statliga verk och myndigheter</t>
        </is>
      </c>
      <c r="G3868" t="n">
        <v>9.9</v>
      </c>
      <c r="H3868" t="n">
        <v>0</v>
      </c>
      <c r="I3868" t="n">
        <v>0</v>
      </c>
      <c r="J3868" t="n">
        <v>0</v>
      </c>
      <c r="K3868" t="n">
        <v>0</v>
      </c>
      <c r="L3868" t="n">
        <v>0</v>
      </c>
      <c r="M3868" t="n">
        <v>0</v>
      </c>
      <c r="N3868" t="n">
        <v>0</v>
      </c>
      <c r="O3868" t="n">
        <v>0</v>
      </c>
      <c r="P3868" t="n">
        <v>0</v>
      </c>
      <c r="Q3868" t="n">
        <v>0</v>
      </c>
      <c r="R3868" s="2" t="inlineStr"/>
    </row>
    <row r="3869" ht="15" customHeight="1">
      <c r="A3869" t="inlineStr">
        <is>
          <t>A 1447-2022</t>
        </is>
      </c>
      <c r="B3869" s="1" t="n">
        <v>44573</v>
      </c>
      <c r="C3869" s="1" t="n">
        <v>45798</v>
      </c>
      <c r="D3869" t="inlineStr">
        <is>
          <t>NORRBOTTENS LÄN</t>
        </is>
      </c>
      <c r="E3869" t="inlineStr">
        <is>
          <t>BODEN</t>
        </is>
      </c>
      <c r="F3869" t="inlineStr">
        <is>
          <t>Sveaskog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1633-2022</t>
        </is>
      </c>
      <c r="B3870" s="1" t="n">
        <v>44573</v>
      </c>
      <c r="C3870" s="1" t="n">
        <v>45798</v>
      </c>
      <c r="D3870" t="inlineStr">
        <is>
          <t>NORRBOTTENS LÄN</t>
        </is>
      </c>
      <c r="E3870" t="inlineStr">
        <is>
          <t>JOKKMOKK</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1631-2022</t>
        </is>
      </c>
      <c r="B3871" s="1" t="n">
        <v>44573</v>
      </c>
      <c r="C3871" s="1" t="n">
        <v>45798</v>
      </c>
      <c r="D3871" t="inlineStr">
        <is>
          <t>NORRBOTTENS LÄN</t>
        </is>
      </c>
      <c r="E3871" t="inlineStr">
        <is>
          <t>JOKKMOKK</t>
        </is>
      </c>
      <c r="F3871" t="inlineStr">
        <is>
          <t>SCA</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1507-2022</t>
        </is>
      </c>
      <c r="B3872" s="1" t="n">
        <v>44573</v>
      </c>
      <c r="C3872" s="1" t="n">
        <v>45798</v>
      </c>
      <c r="D3872" t="inlineStr">
        <is>
          <t>NORRBOTTENS LÄN</t>
        </is>
      </c>
      <c r="E3872" t="inlineStr">
        <is>
          <t>BODEN</t>
        </is>
      </c>
      <c r="F3872" t="inlineStr">
        <is>
          <t>Övriga statliga verk och myndigheter</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1770-2022</t>
        </is>
      </c>
      <c r="B3873" s="1" t="n">
        <v>44574</v>
      </c>
      <c r="C3873" s="1" t="n">
        <v>45798</v>
      </c>
      <c r="D3873" t="inlineStr">
        <is>
          <t>NORRBOTTENS LÄN</t>
        </is>
      </c>
      <c r="E3873" t="inlineStr">
        <is>
          <t>PAJALA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1857-2022</t>
        </is>
      </c>
      <c r="B3874" s="1" t="n">
        <v>44574</v>
      </c>
      <c r="C3874" s="1" t="n">
        <v>45798</v>
      </c>
      <c r="D3874" t="inlineStr">
        <is>
          <t>NORRBOTTENS LÄN</t>
        </is>
      </c>
      <c r="E3874" t="inlineStr">
        <is>
          <t>LULEÅ</t>
        </is>
      </c>
      <c r="G3874" t="n">
        <v>16.8</v>
      </c>
      <c r="H3874" t="n">
        <v>0</v>
      </c>
      <c r="I3874" t="n">
        <v>0</v>
      </c>
      <c r="J3874" t="n">
        <v>0</v>
      </c>
      <c r="K3874" t="n">
        <v>0</v>
      </c>
      <c r="L3874" t="n">
        <v>0</v>
      </c>
      <c r="M3874" t="n">
        <v>0</v>
      </c>
      <c r="N3874" t="n">
        <v>0</v>
      </c>
      <c r="O3874" t="n">
        <v>0</v>
      </c>
      <c r="P3874" t="n">
        <v>0</v>
      </c>
      <c r="Q3874" t="n">
        <v>0</v>
      </c>
      <c r="R3874" s="2" t="inlineStr"/>
    </row>
    <row r="3875" ht="15" customHeight="1">
      <c r="A3875" t="inlineStr">
        <is>
          <t>A 1872-2022</t>
        </is>
      </c>
      <c r="B3875" s="1" t="n">
        <v>44574</v>
      </c>
      <c r="C3875" s="1" t="n">
        <v>45798</v>
      </c>
      <c r="D3875" t="inlineStr">
        <is>
          <t>NORRBOTTENS LÄN</t>
        </is>
      </c>
      <c r="E3875" t="inlineStr">
        <is>
          <t>JOKKMOKK</t>
        </is>
      </c>
      <c r="F3875" t="inlineStr">
        <is>
          <t>SCA</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1944-2022</t>
        </is>
      </c>
      <c r="B3876" s="1" t="n">
        <v>44575</v>
      </c>
      <c r="C3876" s="1" t="n">
        <v>45798</v>
      </c>
      <c r="D3876" t="inlineStr">
        <is>
          <t>NORRBOTTENS LÄN</t>
        </is>
      </c>
      <c r="E3876" t="inlineStr">
        <is>
          <t>ÖVERKALIX</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2018-2022</t>
        </is>
      </c>
      <c r="B3877" s="1" t="n">
        <v>44575</v>
      </c>
      <c r="C3877" s="1" t="n">
        <v>45798</v>
      </c>
      <c r="D3877" t="inlineStr">
        <is>
          <t>NORRBOTTENS LÄN</t>
        </is>
      </c>
      <c r="E3877" t="inlineStr">
        <is>
          <t>GÄLLIVARE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2099-2022</t>
        </is>
      </c>
      <c r="B3878" s="1" t="n">
        <v>44577</v>
      </c>
      <c r="C3878" s="1" t="n">
        <v>45798</v>
      </c>
      <c r="D3878" t="inlineStr">
        <is>
          <t>NORRBOTTENS LÄN</t>
        </is>
      </c>
      <c r="E3878" t="inlineStr">
        <is>
          <t>KALIX</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2097-2022</t>
        </is>
      </c>
      <c r="B3879" s="1" t="n">
        <v>44577</v>
      </c>
      <c r="C3879" s="1" t="n">
        <v>45798</v>
      </c>
      <c r="D3879" t="inlineStr">
        <is>
          <t>NORRBOTTENS LÄN</t>
        </is>
      </c>
      <c r="E3879" t="inlineStr">
        <is>
          <t>KALIX</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2100-2022</t>
        </is>
      </c>
      <c r="B3880" s="1" t="n">
        <v>44577</v>
      </c>
      <c r="C3880" s="1" t="n">
        <v>45798</v>
      </c>
      <c r="D3880" t="inlineStr">
        <is>
          <t>NORRBOTTENS LÄN</t>
        </is>
      </c>
      <c r="E3880" t="inlineStr">
        <is>
          <t>BODEN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2175-2022</t>
        </is>
      </c>
      <c r="B3881" s="1" t="n">
        <v>44578</v>
      </c>
      <c r="C3881" s="1" t="n">
        <v>45798</v>
      </c>
      <c r="D3881" t="inlineStr">
        <is>
          <t>NORRBOTTENS LÄN</t>
        </is>
      </c>
      <c r="E3881" t="inlineStr">
        <is>
          <t>PAJALA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2339-2022</t>
        </is>
      </c>
      <c r="B3882" s="1" t="n">
        <v>44578</v>
      </c>
      <c r="C3882" s="1" t="n">
        <v>45798</v>
      </c>
      <c r="D3882" t="inlineStr">
        <is>
          <t>NORRBOTTENS LÄN</t>
        </is>
      </c>
      <c r="E3882" t="inlineStr">
        <is>
          <t>LULEÅ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2477-2022</t>
        </is>
      </c>
      <c r="B3883" s="1" t="n">
        <v>44579</v>
      </c>
      <c r="C3883" s="1" t="n">
        <v>45798</v>
      </c>
      <c r="D3883" t="inlineStr">
        <is>
          <t>NORRBOTTENS LÄN</t>
        </is>
      </c>
      <c r="E3883" t="inlineStr">
        <is>
          <t>HAPARANDA</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2561-2022</t>
        </is>
      </c>
      <c r="B3884" s="1" t="n">
        <v>44579</v>
      </c>
      <c r="C3884" s="1" t="n">
        <v>45798</v>
      </c>
      <c r="D3884" t="inlineStr">
        <is>
          <t>NORRBOTTENS LÄN</t>
        </is>
      </c>
      <c r="E3884" t="inlineStr">
        <is>
          <t>LULEÅ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2698-2022</t>
        </is>
      </c>
      <c r="B3885" s="1" t="n">
        <v>44580</v>
      </c>
      <c r="C3885" s="1" t="n">
        <v>45798</v>
      </c>
      <c r="D3885" t="inlineStr">
        <is>
          <t>NORRBOTTENS LÄN</t>
        </is>
      </c>
      <c r="E3885" t="inlineStr">
        <is>
          <t>ARVIDSJAUR</t>
        </is>
      </c>
      <c r="F3885" t="inlineStr">
        <is>
          <t>Sveaskog</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2629-2022</t>
        </is>
      </c>
      <c r="B3886" s="1" t="n">
        <v>44580</v>
      </c>
      <c r="C3886" s="1" t="n">
        <v>45798</v>
      </c>
      <c r="D3886" t="inlineStr">
        <is>
          <t>NORRBOTTENS LÄN</t>
        </is>
      </c>
      <c r="E3886" t="inlineStr">
        <is>
          <t>KALIX</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2748-2022</t>
        </is>
      </c>
      <c r="B3887" s="1" t="n">
        <v>44580</v>
      </c>
      <c r="C3887" s="1" t="n">
        <v>45798</v>
      </c>
      <c r="D3887" t="inlineStr">
        <is>
          <t>NORRBOTTENS LÄN</t>
        </is>
      </c>
      <c r="E3887" t="inlineStr">
        <is>
          <t>LULEÅ</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2751-2022</t>
        </is>
      </c>
      <c r="B3888" s="1" t="n">
        <v>44580</v>
      </c>
      <c r="C3888" s="1" t="n">
        <v>45798</v>
      </c>
      <c r="D3888" t="inlineStr">
        <is>
          <t>NORRBOTTENS LÄN</t>
        </is>
      </c>
      <c r="E3888" t="inlineStr">
        <is>
          <t>ÄLVSBYN</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2917-2022</t>
        </is>
      </c>
      <c r="B3889" s="1" t="n">
        <v>44581</v>
      </c>
      <c r="C3889" s="1" t="n">
        <v>45798</v>
      </c>
      <c r="D3889" t="inlineStr">
        <is>
          <t>NORRBOTTENS LÄN</t>
        </is>
      </c>
      <c r="E3889" t="inlineStr">
        <is>
          <t>KALIX</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3010-2022</t>
        </is>
      </c>
      <c r="B3890" s="1" t="n">
        <v>44581</v>
      </c>
      <c r="C3890" s="1" t="n">
        <v>45798</v>
      </c>
      <c r="D3890" t="inlineStr">
        <is>
          <t>NORRBOTTENS LÄN</t>
        </is>
      </c>
      <c r="E3890" t="inlineStr">
        <is>
          <t>ÖVERTORNEÅ</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3089-2022</t>
        </is>
      </c>
      <c r="B3891" s="1" t="n">
        <v>44582</v>
      </c>
      <c r="C3891" s="1" t="n">
        <v>45798</v>
      </c>
      <c r="D3891" t="inlineStr">
        <is>
          <t>NORRBOTTENS LÄN</t>
        </is>
      </c>
      <c r="E3891" t="inlineStr">
        <is>
          <t>PITEÅ</t>
        </is>
      </c>
      <c r="G3891" t="n">
        <v>43.8</v>
      </c>
      <c r="H3891" t="n">
        <v>0</v>
      </c>
      <c r="I3891" t="n">
        <v>0</v>
      </c>
      <c r="J3891" t="n">
        <v>0</v>
      </c>
      <c r="K3891" t="n">
        <v>0</v>
      </c>
      <c r="L3891" t="n">
        <v>0</v>
      </c>
      <c r="M3891" t="n">
        <v>0</v>
      </c>
      <c r="N3891" t="n">
        <v>0</v>
      </c>
      <c r="O3891" t="n">
        <v>0</v>
      </c>
      <c r="P3891" t="n">
        <v>0</v>
      </c>
      <c r="Q3891" t="n">
        <v>0</v>
      </c>
      <c r="R3891" s="2" t="inlineStr"/>
    </row>
    <row r="3892" ht="15" customHeight="1">
      <c r="A3892" t="inlineStr">
        <is>
          <t>A 3093-2022</t>
        </is>
      </c>
      <c r="B3892" s="1" t="n">
        <v>44582</v>
      </c>
      <c r="C3892" s="1" t="n">
        <v>45798</v>
      </c>
      <c r="D3892" t="inlineStr">
        <is>
          <t>NORRBOTTENS LÄN</t>
        </is>
      </c>
      <c r="E3892" t="inlineStr">
        <is>
          <t>PITEÅ</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3095-2022</t>
        </is>
      </c>
      <c r="B3893" s="1" t="n">
        <v>44582</v>
      </c>
      <c r="C3893" s="1" t="n">
        <v>45798</v>
      </c>
      <c r="D3893" t="inlineStr">
        <is>
          <t>NORRBOTTENS LÄN</t>
        </is>
      </c>
      <c r="E3893" t="inlineStr">
        <is>
          <t>PITEÅ</t>
        </is>
      </c>
      <c r="G3893" t="n">
        <v>12.2</v>
      </c>
      <c r="H3893" t="n">
        <v>0</v>
      </c>
      <c r="I3893" t="n">
        <v>0</v>
      </c>
      <c r="J3893" t="n">
        <v>0</v>
      </c>
      <c r="K3893" t="n">
        <v>0</v>
      </c>
      <c r="L3893" t="n">
        <v>0</v>
      </c>
      <c r="M3893" t="n">
        <v>0</v>
      </c>
      <c r="N3893" t="n">
        <v>0</v>
      </c>
      <c r="O3893" t="n">
        <v>0</v>
      </c>
      <c r="P3893" t="n">
        <v>0</v>
      </c>
      <c r="Q3893" t="n">
        <v>0</v>
      </c>
      <c r="R3893" s="2" t="inlineStr"/>
    </row>
    <row r="3894" ht="15" customHeight="1">
      <c r="A3894" t="inlineStr">
        <is>
          <t>A 3138-2022</t>
        </is>
      </c>
      <c r="B3894" s="1" t="n">
        <v>44582</v>
      </c>
      <c r="C3894" s="1" t="n">
        <v>45798</v>
      </c>
      <c r="D3894" t="inlineStr">
        <is>
          <t>NORRBOTTENS LÄN</t>
        </is>
      </c>
      <c r="E3894" t="inlineStr">
        <is>
          <t>PAJALA</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3174-2022</t>
        </is>
      </c>
      <c r="B3895" s="1" t="n">
        <v>44582</v>
      </c>
      <c r="C3895" s="1" t="n">
        <v>45798</v>
      </c>
      <c r="D3895" t="inlineStr">
        <is>
          <t>NORRBOTTENS LÄN</t>
        </is>
      </c>
      <c r="E3895" t="inlineStr">
        <is>
          <t>ÖVERKALIX</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3233-2022</t>
        </is>
      </c>
      <c r="B3896" s="1" t="n">
        <v>44582</v>
      </c>
      <c r="C3896" s="1" t="n">
        <v>45798</v>
      </c>
      <c r="D3896" t="inlineStr">
        <is>
          <t>NORRBOTTENS LÄN</t>
        </is>
      </c>
      <c r="E3896" t="inlineStr">
        <is>
          <t>ÖVERKALIX</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3242-2022</t>
        </is>
      </c>
      <c r="B3897" s="1" t="n">
        <v>44582</v>
      </c>
      <c r="C3897" s="1" t="n">
        <v>45798</v>
      </c>
      <c r="D3897" t="inlineStr">
        <is>
          <t>NORRBOTTENS LÄN</t>
        </is>
      </c>
      <c r="E3897" t="inlineStr">
        <is>
          <t>PITEÅ</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3416-2022</t>
        </is>
      </c>
      <c r="B3898" s="1" t="n">
        <v>44585</v>
      </c>
      <c r="C3898" s="1" t="n">
        <v>45798</v>
      </c>
      <c r="D3898" t="inlineStr">
        <is>
          <t>NORRBOTTENS LÄN</t>
        </is>
      </c>
      <c r="E3898" t="inlineStr">
        <is>
          <t>ÖVERTORNEÅ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3431-2022</t>
        </is>
      </c>
      <c r="B3899" s="1" t="n">
        <v>44585</v>
      </c>
      <c r="C3899" s="1" t="n">
        <v>45798</v>
      </c>
      <c r="D3899" t="inlineStr">
        <is>
          <t>NORRBOTTENS LÄN</t>
        </is>
      </c>
      <c r="E3899" t="inlineStr">
        <is>
          <t>ÖVERTORNEÅ</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3389-2022</t>
        </is>
      </c>
      <c r="B3900" s="1" t="n">
        <v>44585</v>
      </c>
      <c r="C3900" s="1" t="n">
        <v>45798</v>
      </c>
      <c r="D3900" t="inlineStr">
        <is>
          <t>NORRBOTTENS LÄN</t>
        </is>
      </c>
      <c r="E3900" t="inlineStr">
        <is>
          <t>ÖVERTORNEÅ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3462-2022</t>
        </is>
      </c>
      <c r="B3901" s="1" t="n">
        <v>44585</v>
      </c>
      <c r="C3901" s="1" t="n">
        <v>45798</v>
      </c>
      <c r="D3901" t="inlineStr">
        <is>
          <t>NORRBOTTENS LÄN</t>
        </is>
      </c>
      <c r="E3901" t="inlineStr">
        <is>
          <t>BODEN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3536-2022</t>
        </is>
      </c>
      <c r="B3902" s="1" t="n">
        <v>44585</v>
      </c>
      <c r="C3902" s="1" t="n">
        <v>45798</v>
      </c>
      <c r="D3902" t="inlineStr">
        <is>
          <t>NORRBOTTENS LÄN</t>
        </is>
      </c>
      <c r="E3902" t="inlineStr">
        <is>
          <t>LULEÅ</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3631-2022</t>
        </is>
      </c>
      <c r="B3903" s="1" t="n">
        <v>44586</v>
      </c>
      <c r="C3903" s="1" t="n">
        <v>45798</v>
      </c>
      <c r="D3903" t="inlineStr">
        <is>
          <t>NORRBOTTENS LÄN</t>
        </is>
      </c>
      <c r="E3903" t="inlineStr">
        <is>
          <t>HAPARANDA</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3772-2022</t>
        </is>
      </c>
      <c r="B3904" s="1" t="n">
        <v>44586</v>
      </c>
      <c r="C3904" s="1" t="n">
        <v>45798</v>
      </c>
      <c r="D3904" t="inlineStr">
        <is>
          <t>NORRBOTTENS LÄN</t>
        </is>
      </c>
      <c r="E3904" t="inlineStr">
        <is>
          <t>JOKKMOKK</t>
        </is>
      </c>
      <c r="F3904" t="inlineStr">
        <is>
          <t>SCA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3771-2022</t>
        </is>
      </c>
      <c r="B3905" s="1" t="n">
        <v>44586</v>
      </c>
      <c r="C3905" s="1" t="n">
        <v>45798</v>
      </c>
      <c r="D3905" t="inlineStr">
        <is>
          <t>NORRBOTTENS LÄN</t>
        </is>
      </c>
      <c r="E3905" t="inlineStr">
        <is>
          <t>JOKKMOKK</t>
        </is>
      </c>
      <c r="F3905" t="inlineStr">
        <is>
          <t>SCA</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3776-2022</t>
        </is>
      </c>
      <c r="B3906" s="1" t="n">
        <v>44586</v>
      </c>
      <c r="C3906" s="1" t="n">
        <v>45798</v>
      </c>
      <c r="D3906" t="inlineStr">
        <is>
          <t>NORRBOTTENS LÄN</t>
        </is>
      </c>
      <c r="E3906" t="inlineStr">
        <is>
          <t>JOKKMOKK</t>
        </is>
      </c>
      <c r="F3906" t="inlineStr">
        <is>
          <t>SCA</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3778-2022</t>
        </is>
      </c>
      <c r="B3907" s="1" t="n">
        <v>44586</v>
      </c>
      <c r="C3907" s="1" t="n">
        <v>45798</v>
      </c>
      <c r="D3907" t="inlineStr">
        <is>
          <t>NORRBOTTENS LÄN</t>
        </is>
      </c>
      <c r="E3907" t="inlineStr">
        <is>
          <t>JOKKMOKK</t>
        </is>
      </c>
      <c r="G3907" t="n">
        <v>13.2</v>
      </c>
      <c r="H3907" t="n">
        <v>0</v>
      </c>
      <c r="I3907" t="n">
        <v>0</v>
      </c>
      <c r="J3907" t="n">
        <v>0</v>
      </c>
      <c r="K3907" t="n">
        <v>0</v>
      </c>
      <c r="L3907" t="n">
        <v>0</v>
      </c>
      <c r="M3907" t="n">
        <v>0</v>
      </c>
      <c r="N3907" t="n">
        <v>0</v>
      </c>
      <c r="O3907" t="n">
        <v>0</v>
      </c>
      <c r="P3907" t="n">
        <v>0</v>
      </c>
      <c r="Q3907" t="n">
        <v>0</v>
      </c>
      <c r="R3907" s="2" t="inlineStr"/>
    </row>
    <row r="3908" ht="15" customHeight="1">
      <c r="A3908" t="inlineStr">
        <is>
          <t>A 3787-2022</t>
        </is>
      </c>
      <c r="B3908" s="1" t="n">
        <v>44586</v>
      </c>
      <c r="C3908" s="1" t="n">
        <v>45798</v>
      </c>
      <c r="D3908" t="inlineStr">
        <is>
          <t>NORRBOTTENS LÄN</t>
        </is>
      </c>
      <c r="E3908" t="inlineStr">
        <is>
          <t>JOKKMOKK</t>
        </is>
      </c>
      <c r="F3908" t="inlineStr">
        <is>
          <t>SCA</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3783-2022</t>
        </is>
      </c>
      <c r="B3909" s="1" t="n">
        <v>44586</v>
      </c>
      <c r="C3909" s="1" t="n">
        <v>45798</v>
      </c>
      <c r="D3909" t="inlineStr">
        <is>
          <t>NORRBOTTENS LÄN</t>
        </is>
      </c>
      <c r="E3909" t="inlineStr">
        <is>
          <t>JOKKMOKK</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3843-2022</t>
        </is>
      </c>
      <c r="B3910" s="1" t="n">
        <v>44586</v>
      </c>
      <c r="C3910" s="1" t="n">
        <v>45798</v>
      </c>
      <c r="D3910" t="inlineStr">
        <is>
          <t>NORRBOTTENS LÄN</t>
        </is>
      </c>
      <c r="E3910" t="inlineStr">
        <is>
          <t>LULEÅ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3784-2022</t>
        </is>
      </c>
      <c r="B3911" s="1" t="n">
        <v>44586</v>
      </c>
      <c r="C3911" s="1" t="n">
        <v>45798</v>
      </c>
      <c r="D3911" t="inlineStr">
        <is>
          <t>NORRBOTTENS LÄN</t>
        </is>
      </c>
      <c r="E3911" t="inlineStr">
        <is>
          <t>JOKKMOKK</t>
        </is>
      </c>
      <c r="F3911" t="inlineStr">
        <is>
          <t>SCA</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3951-2022</t>
        </is>
      </c>
      <c r="B3912" s="1" t="n">
        <v>44587</v>
      </c>
      <c r="C3912" s="1" t="n">
        <v>45798</v>
      </c>
      <c r="D3912" t="inlineStr">
        <is>
          <t>NORRBOTTENS LÄN</t>
        </is>
      </c>
      <c r="E3912" t="inlineStr">
        <is>
          <t>LULEÅ</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4012-2022</t>
        </is>
      </c>
      <c r="B3913" s="1" t="n">
        <v>44587</v>
      </c>
      <c r="C3913" s="1" t="n">
        <v>45798</v>
      </c>
      <c r="D3913" t="inlineStr">
        <is>
          <t>NORRBOTTENS LÄN</t>
        </is>
      </c>
      <c r="E3913" t="inlineStr">
        <is>
          <t>ÖVERTORNEÅ</t>
        </is>
      </c>
      <c r="F3913" t="inlineStr">
        <is>
          <t>Kommuner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4062-2022</t>
        </is>
      </c>
      <c r="B3914" s="1" t="n">
        <v>44587</v>
      </c>
      <c r="C3914" s="1" t="n">
        <v>45798</v>
      </c>
      <c r="D3914" t="inlineStr">
        <is>
          <t>NORRBOTTENS LÄN</t>
        </is>
      </c>
      <c r="E3914" t="inlineStr">
        <is>
          <t>PAJALA</t>
        </is>
      </c>
      <c r="F3914" t="inlineStr">
        <is>
          <t>Allmännings- och besparingsskogar</t>
        </is>
      </c>
      <c r="G3914" t="n">
        <v>65.8</v>
      </c>
      <c r="H3914" t="n">
        <v>0</v>
      </c>
      <c r="I3914" t="n">
        <v>0</v>
      </c>
      <c r="J3914" t="n">
        <v>0</v>
      </c>
      <c r="K3914" t="n">
        <v>0</v>
      </c>
      <c r="L3914" t="n">
        <v>0</v>
      </c>
      <c r="M3914" t="n">
        <v>0</v>
      </c>
      <c r="N3914" t="n">
        <v>0</v>
      </c>
      <c r="O3914" t="n">
        <v>0</v>
      </c>
      <c r="P3914" t="n">
        <v>0</v>
      </c>
      <c r="Q3914" t="n">
        <v>0</v>
      </c>
      <c r="R3914" s="2" t="inlineStr"/>
    </row>
    <row r="3915" ht="15" customHeight="1">
      <c r="A3915" t="inlineStr">
        <is>
          <t>A 4011-2022</t>
        </is>
      </c>
      <c r="B3915" s="1" t="n">
        <v>44587</v>
      </c>
      <c r="C3915" s="1" t="n">
        <v>45798</v>
      </c>
      <c r="D3915" t="inlineStr">
        <is>
          <t>NORRBOTTENS LÄN</t>
        </is>
      </c>
      <c r="E3915" t="inlineStr">
        <is>
          <t>ÖVERTORNEÅ</t>
        </is>
      </c>
      <c r="F3915" t="inlineStr">
        <is>
          <t>Kommuner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4016-2022</t>
        </is>
      </c>
      <c r="B3916" s="1" t="n">
        <v>44587</v>
      </c>
      <c r="C3916" s="1" t="n">
        <v>45798</v>
      </c>
      <c r="D3916" t="inlineStr">
        <is>
          <t>NORRBOTTENS LÄN</t>
        </is>
      </c>
      <c r="E3916" t="inlineStr">
        <is>
          <t>GÄLLIVARE</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4022-2022</t>
        </is>
      </c>
      <c r="B3917" s="1" t="n">
        <v>44587</v>
      </c>
      <c r="C3917" s="1" t="n">
        <v>45798</v>
      </c>
      <c r="D3917" t="inlineStr">
        <is>
          <t>NORRBOTTENS LÄN</t>
        </is>
      </c>
      <c r="E3917" t="inlineStr">
        <is>
          <t>JOKKMOKK</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4135-2022</t>
        </is>
      </c>
      <c r="B3918" s="1" t="n">
        <v>44588</v>
      </c>
      <c r="C3918" s="1" t="n">
        <v>45798</v>
      </c>
      <c r="D3918" t="inlineStr">
        <is>
          <t>NORRBOTTENS LÄN</t>
        </is>
      </c>
      <c r="E3918" t="inlineStr">
        <is>
          <t>GÄLLIVARE</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4107-2022</t>
        </is>
      </c>
      <c r="B3919" s="1" t="n">
        <v>44588</v>
      </c>
      <c r="C3919" s="1" t="n">
        <v>45798</v>
      </c>
      <c r="D3919" t="inlineStr">
        <is>
          <t>NORRBOTTENS LÄN</t>
        </is>
      </c>
      <c r="E3919" t="inlineStr">
        <is>
          <t>PAJALA</t>
        </is>
      </c>
      <c r="F3919" t="inlineStr">
        <is>
          <t>Allmännings- och besparingsskogar</t>
        </is>
      </c>
      <c r="G3919" t="n">
        <v>15.8</v>
      </c>
      <c r="H3919" t="n">
        <v>0</v>
      </c>
      <c r="I3919" t="n">
        <v>0</v>
      </c>
      <c r="J3919" t="n">
        <v>0</v>
      </c>
      <c r="K3919" t="n">
        <v>0</v>
      </c>
      <c r="L3919" t="n">
        <v>0</v>
      </c>
      <c r="M3919" t="n">
        <v>0</v>
      </c>
      <c r="N3919" t="n">
        <v>0</v>
      </c>
      <c r="O3919" t="n">
        <v>0</v>
      </c>
      <c r="P3919" t="n">
        <v>0</v>
      </c>
      <c r="Q3919" t="n">
        <v>0</v>
      </c>
      <c r="R3919" s="2" t="inlineStr"/>
    </row>
    <row r="3920" ht="15" customHeight="1">
      <c r="A3920" t="inlineStr">
        <is>
          <t>A 4330-2022</t>
        </is>
      </c>
      <c r="B3920" s="1" t="n">
        <v>44588</v>
      </c>
      <c r="C3920" s="1" t="n">
        <v>45798</v>
      </c>
      <c r="D3920" t="inlineStr">
        <is>
          <t>NORRBOTTENS LÄN</t>
        </is>
      </c>
      <c r="E3920" t="inlineStr">
        <is>
          <t>PITEÅ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4437-2022</t>
        </is>
      </c>
      <c r="B3921" s="1" t="n">
        <v>44589</v>
      </c>
      <c r="C3921" s="1" t="n">
        <v>45798</v>
      </c>
      <c r="D3921" t="inlineStr">
        <is>
          <t>NORRBOTTENS LÄN</t>
        </is>
      </c>
      <c r="E3921" t="inlineStr">
        <is>
          <t>PITEÅ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4512-2022</t>
        </is>
      </c>
      <c r="B3922" s="1" t="n">
        <v>44589</v>
      </c>
      <c r="C3922" s="1" t="n">
        <v>45798</v>
      </c>
      <c r="D3922" t="inlineStr">
        <is>
          <t>NORRBOTTENS LÄN</t>
        </is>
      </c>
      <c r="E3922" t="inlineStr">
        <is>
          <t>ÖVERTORNEÅ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4517-2022</t>
        </is>
      </c>
      <c r="B3923" s="1" t="n">
        <v>44589</v>
      </c>
      <c r="C3923" s="1" t="n">
        <v>45798</v>
      </c>
      <c r="D3923" t="inlineStr">
        <is>
          <t>NORRBOTTENS LÄN</t>
        </is>
      </c>
      <c r="E3923" t="inlineStr">
        <is>
          <t>JOKKMOKK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4515-2022</t>
        </is>
      </c>
      <c r="B3924" s="1" t="n">
        <v>44589</v>
      </c>
      <c r="C3924" s="1" t="n">
        <v>45798</v>
      </c>
      <c r="D3924" t="inlineStr">
        <is>
          <t>NORRBOTTENS LÄN</t>
        </is>
      </c>
      <c r="E3924" t="inlineStr">
        <is>
          <t>ÖVERTORNEÅ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4514-2022</t>
        </is>
      </c>
      <c r="B3925" s="1" t="n">
        <v>44589</v>
      </c>
      <c r="C3925" s="1" t="n">
        <v>45798</v>
      </c>
      <c r="D3925" t="inlineStr">
        <is>
          <t>NORRBOTTENS LÄN</t>
        </is>
      </c>
      <c r="E3925" t="inlineStr">
        <is>
          <t>ÖVERTORNEÅ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4513-2022</t>
        </is>
      </c>
      <c r="B3926" s="1" t="n">
        <v>44589</v>
      </c>
      <c r="C3926" s="1" t="n">
        <v>45798</v>
      </c>
      <c r="D3926" t="inlineStr">
        <is>
          <t>NORRBOTTENS LÄN</t>
        </is>
      </c>
      <c r="E3926" t="inlineStr">
        <is>
          <t>ÖVERTORNEÅ</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4661-2022</t>
        </is>
      </c>
      <c r="B3927" s="1" t="n">
        <v>44589</v>
      </c>
      <c r="C3927" s="1" t="n">
        <v>45798</v>
      </c>
      <c r="D3927" t="inlineStr">
        <is>
          <t>NORRBOTTENS LÄN</t>
        </is>
      </c>
      <c r="E3927" t="inlineStr">
        <is>
          <t>JOKKMOKK</t>
        </is>
      </c>
      <c r="G3927" t="n">
        <v>39.5</v>
      </c>
      <c r="H3927" t="n">
        <v>0</v>
      </c>
      <c r="I3927" t="n">
        <v>0</v>
      </c>
      <c r="J3927" t="n">
        <v>0</v>
      </c>
      <c r="K3927" t="n">
        <v>0</v>
      </c>
      <c r="L3927" t="n">
        <v>0</v>
      </c>
      <c r="M3927" t="n">
        <v>0</v>
      </c>
      <c r="N3927" t="n">
        <v>0</v>
      </c>
      <c r="O3927" t="n">
        <v>0</v>
      </c>
      <c r="P3927" t="n">
        <v>0</v>
      </c>
      <c r="Q3927" t="n">
        <v>0</v>
      </c>
      <c r="R3927" s="2" t="inlineStr"/>
    </row>
    <row r="3928" ht="15" customHeight="1">
      <c r="A3928" t="inlineStr">
        <is>
          <t>A 4535-2022</t>
        </is>
      </c>
      <c r="B3928" s="1" t="n">
        <v>44590</v>
      </c>
      <c r="C3928" s="1" t="n">
        <v>45798</v>
      </c>
      <c r="D3928" t="inlineStr">
        <is>
          <t>NORRBOTTENS LÄN</t>
        </is>
      </c>
      <c r="E3928" t="inlineStr">
        <is>
          <t>PITEÅ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4536-2022</t>
        </is>
      </c>
      <c r="B3929" s="1" t="n">
        <v>44590</v>
      </c>
      <c r="C3929" s="1" t="n">
        <v>45798</v>
      </c>
      <c r="D3929" t="inlineStr">
        <is>
          <t>NORRBOTTENS LÄN</t>
        </is>
      </c>
      <c r="E3929" t="inlineStr">
        <is>
          <t>PITEÅ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4776-2022</t>
        </is>
      </c>
      <c r="B3930" s="1" t="n">
        <v>44592</v>
      </c>
      <c r="C3930" s="1" t="n">
        <v>45798</v>
      </c>
      <c r="D3930" t="inlineStr">
        <is>
          <t>NORRBOTTENS LÄN</t>
        </is>
      </c>
      <c r="E3930" t="inlineStr">
        <is>
          <t>PITEÅ</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4847-2022</t>
        </is>
      </c>
      <c r="B3931" s="1" t="n">
        <v>44592</v>
      </c>
      <c r="C3931" s="1" t="n">
        <v>45798</v>
      </c>
      <c r="D3931" t="inlineStr">
        <is>
          <t>NORRBOTTENS LÄN</t>
        </is>
      </c>
      <c r="E3931" t="inlineStr">
        <is>
          <t>PAJALA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4848-2022</t>
        </is>
      </c>
      <c r="B3932" s="1" t="n">
        <v>44592</v>
      </c>
      <c r="C3932" s="1" t="n">
        <v>45798</v>
      </c>
      <c r="D3932" t="inlineStr">
        <is>
          <t>NORRBOTTENS LÄN</t>
        </is>
      </c>
      <c r="E3932" t="inlineStr">
        <is>
          <t>PAJALA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5290-2022</t>
        </is>
      </c>
      <c r="B3933" s="1" t="n">
        <v>44592</v>
      </c>
      <c r="C3933" s="1" t="n">
        <v>45798</v>
      </c>
      <c r="D3933" t="inlineStr">
        <is>
          <t>NORRBOTTENS LÄN</t>
        </is>
      </c>
      <c r="E3933" t="inlineStr">
        <is>
          <t>PITEÅ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4975-2022</t>
        </is>
      </c>
      <c r="B3934" s="1" t="n">
        <v>44593</v>
      </c>
      <c r="C3934" s="1" t="n">
        <v>45798</v>
      </c>
      <c r="D3934" t="inlineStr">
        <is>
          <t>NORRBOTTENS LÄN</t>
        </is>
      </c>
      <c r="E3934" t="inlineStr">
        <is>
          <t>BODEN</t>
        </is>
      </c>
      <c r="F3934" t="inlineStr">
        <is>
          <t>Sveaskog</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5646-2022</t>
        </is>
      </c>
      <c r="B3935" s="1" t="n">
        <v>44595</v>
      </c>
      <c r="C3935" s="1" t="n">
        <v>45798</v>
      </c>
      <c r="D3935" t="inlineStr">
        <is>
          <t>NORRBOTTENS LÄN</t>
        </is>
      </c>
      <c r="E3935" t="inlineStr">
        <is>
          <t>ÖVERKALIX</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5653-2022</t>
        </is>
      </c>
      <c r="B3936" s="1" t="n">
        <v>44595</v>
      </c>
      <c r="C3936" s="1" t="n">
        <v>45798</v>
      </c>
      <c r="D3936" t="inlineStr">
        <is>
          <t>NORRBOTTENS LÄN</t>
        </is>
      </c>
      <c r="E3936" t="inlineStr">
        <is>
          <t>ÖVERKALIX</t>
        </is>
      </c>
      <c r="F3936" t="inlineStr">
        <is>
          <t>SCA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5733-2022</t>
        </is>
      </c>
      <c r="B3937" s="1" t="n">
        <v>44596</v>
      </c>
      <c r="C3937" s="1" t="n">
        <v>45798</v>
      </c>
      <c r="D3937" t="inlineStr">
        <is>
          <t>NORRBOTTENS LÄN</t>
        </is>
      </c>
      <c r="E3937" t="inlineStr">
        <is>
          <t>BODEN</t>
        </is>
      </c>
      <c r="F3937" t="inlineStr">
        <is>
          <t>Övriga statliga verk och myndigheter</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5906-2022</t>
        </is>
      </c>
      <c r="B3938" s="1" t="n">
        <v>44596</v>
      </c>
      <c r="C3938" s="1" t="n">
        <v>45798</v>
      </c>
      <c r="D3938" t="inlineStr">
        <is>
          <t>NORRBOTTENS LÄN</t>
        </is>
      </c>
      <c r="E3938" t="inlineStr">
        <is>
          <t>PITEÅ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6028-2022</t>
        </is>
      </c>
      <c r="B3939" s="1" t="n">
        <v>44599</v>
      </c>
      <c r="C3939" s="1" t="n">
        <v>45798</v>
      </c>
      <c r="D3939" t="inlineStr">
        <is>
          <t>NORRBOTTENS LÄN</t>
        </is>
      </c>
      <c r="E3939" t="inlineStr">
        <is>
          <t>ÄLVSBYN</t>
        </is>
      </c>
      <c r="F3939" t="inlineStr">
        <is>
          <t>Sveaskog</t>
        </is>
      </c>
      <c r="G3939" t="n">
        <v>27.9</v>
      </c>
      <c r="H3939" t="n">
        <v>0</v>
      </c>
      <c r="I3939" t="n">
        <v>0</v>
      </c>
      <c r="J3939" t="n">
        <v>0</v>
      </c>
      <c r="K3939" t="n">
        <v>0</v>
      </c>
      <c r="L3939" t="n">
        <v>0</v>
      </c>
      <c r="M3939" t="n">
        <v>0</v>
      </c>
      <c r="N3939" t="n">
        <v>0</v>
      </c>
      <c r="O3939" t="n">
        <v>0</v>
      </c>
      <c r="P3939" t="n">
        <v>0</v>
      </c>
      <c r="Q3939" t="n">
        <v>0</v>
      </c>
      <c r="R3939" s="2" t="inlineStr"/>
    </row>
    <row r="3940" ht="15" customHeight="1">
      <c r="A3940" t="inlineStr">
        <is>
          <t>A 6110-2022</t>
        </is>
      </c>
      <c r="B3940" s="1" t="n">
        <v>44599</v>
      </c>
      <c r="C3940" s="1" t="n">
        <v>45798</v>
      </c>
      <c r="D3940" t="inlineStr">
        <is>
          <t>NORRBOTTENS LÄN</t>
        </is>
      </c>
      <c r="E3940" t="inlineStr">
        <is>
          <t>PITEÅ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6181-2022</t>
        </is>
      </c>
      <c r="B3941" s="1" t="n">
        <v>44600</v>
      </c>
      <c r="C3941" s="1" t="n">
        <v>45798</v>
      </c>
      <c r="D3941" t="inlineStr">
        <is>
          <t>NORRBOTTENS LÄN</t>
        </is>
      </c>
      <c r="E3941" t="inlineStr">
        <is>
          <t>BODEN</t>
        </is>
      </c>
      <c r="F3941" t="inlineStr">
        <is>
          <t>Sveaskog</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6514-2022</t>
        </is>
      </c>
      <c r="B3942" s="1" t="n">
        <v>44601</v>
      </c>
      <c r="C3942" s="1" t="n">
        <v>45798</v>
      </c>
      <c r="D3942" t="inlineStr">
        <is>
          <t>NORRBOTTENS LÄN</t>
        </is>
      </c>
      <c r="E3942" t="inlineStr">
        <is>
          <t>ÖVERKALIX</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6593-2022</t>
        </is>
      </c>
      <c r="B3943" s="1" t="n">
        <v>44601</v>
      </c>
      <c r="C3943" s="1" t="n">
        <v>45798</v>
      </c>
      <c r="D3943" t="inlineStr">
        <is>
          <t>NORRBOTTENS LÄN</t>
        </is>
      </c>
      <c r="E3943" t="inlineStr">
        <is>
          <t>ÖVERTORNEÅ</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6641-2022</t>
        </is>
      </c>
      <c r="B3944" s="1" t="n">
        <v>44601</v>
      </c>
      <c r="C3944" s="1" t="n">
        <v>45798</v>
      </c>
      <c r="D3944" t="inlineStr">
        <is>
          <t>NORRBOTTENS LÄN</t>
        </is>
      </c>
      <c r="E3944" t="inlineStr">
        <is>
          <t>ÖVERKALIX</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6738-2022</t>
        </is>
      </c>
      <c r="B3945" s="1" t="n">
        <v>44602</v>
      </c>
      <c r="C3945" s="1" t="n">
        <v>45798</v>
      </c>
      <c r="D3945" t="inlineStr">
        <is>
          <t>NORRBOTTENS LÄN</t>
        </is>
      </c>
      <c r="E3945" t="inlineStr">
        <is>
          <t>BODEN</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6820-2022</t>
        </is>
      </c>
      <c r="B3946" s="1" t="n">
        <v>44602</v>
      </c>
      <c r="C3946" s="1" t="n">
        <v>45798</v>
      </c>
      <c r="D3946" t="inlineStr">
        <is>
          <t>NORRBOTTENS LÄN</t>
        </is>
      </c>
      <c r="E3946" t="inlineStr">
        <is>
          <t>ÄLVSBYN</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6831-2022</t>
        </is>
      </c>
      <c r="B3947" s="1" t="n">
        <v>44602</v>
      </c>
      <c r="C3947" s="1" t="n">
        <v>45798</v>
      </c>
      <c r="D3947" t="inlineStr">
        <is>
          <t>NORRBOTTENS LÄN</t>
        </is>
      </c>
      <c r="E3947" t="inlineStr">
        <is>
          <t>ÄLVSBYN</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6907-2022</t>
        </is>
      </c>
      <c r="B3948" s="1" t="n">
        <v>44602</v>
      </c>
      <c r="C3948" s="1" t="n">
        <v>45798</v>
      </c>
      <c r="D3948" t="inlineStr">
        <is>
          <t>NORRBOTTENS LÄN</t>
        </is>
      </c>
      <c r="E3948" t="inlineStr">
        <is>
          <t>ÖVERKALIX</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6916-2022</t>
        </is>
      </c>
      <c r="B3949" s="1" t="n">
        <v>44602</v>
      </c>
      <c r="C3949" s="1" t="n">
        <v>45798</v>
      </c>
      <c r="D3949" t="inlineStr">
        <is>
          <t>NORRBOTTENS LÄN</t>
        </is>
      </c>
      <c r="E3949" t="inlineStr">
        <is>
          <t>ÖVERKALIX</t>
        </is>
      </c>
      <c r="F3949" t="inlineStr">
        <is>
          <t>SCA</t>
        </is>
      </c>
      <c r="G3949" t="n">
        <v>15.6</v>
      </c>
      <c r="H3949" t="n">
        <v>0</v>
      </c>
      <c r="I3949" t="n">
        <v>0</v>
      </c>
      <c r="J3949" t="n">
        <v>0</v>
      </c>
      <c r="K3949" t="n">
        <v>0</v>
      </c>
      <c r="L3949" t="n">
        <v>0</v>
      </c>
      <c r="M3949" t="n">
        <v>0</v>
      </c>
      <c r="N3949" t="n">
        <v>0</v>
      </c>
      <c r="O3949" t="n">
        <v>0</v>
      </c>
      <c r="P3949" t="n">
        <v>0</v>
      </c>
      <c r="Q3949" t="n">
        <v>0</v>
      </c>
      <c r="R3949" s="2" t="inlineStr"/>
    </row>
    <row r="3950" ht="15" customHeight="1">
      <c r="A3950" t="inlineStr">
        <is>
          <t>A 6913-2022</t>
        </is>
      </c>
      <c r="B3950" s="1" t="n">
        <v>44602</v>
      </c>
      <c r="C3950" s="1" t="n">
        <v>45798</v>
      </c>
      <c r="D3950" t="inlineStr">
        <is>
          <t>NORRBOTTENS LÄN</t>
        </is>
      </c>
      <c r="E3950" t="inlineStr">
        <is>
          <t>PAJALA</t>
        </is>
      </c>
      <c r="F3950" t="inlineStr">
        <is>
          <t>SCA</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6914-2022</t>
        </is>
      </c>
      <c r="B3951" s="1" t="n">
        <v>44602</v>
      </c>
      <c r="C3951" s="1" t="n">
        <v>45798</v>
      </c>
      <c r="D3951" t="inlineStr">
        <is>
          <t>NORRBOTTENS LÄN</t>
        </is>
      </c>
      <c r="E3951" t="inlineStr">
        <is>
          <t>PAJALA</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7039-2022</t>
        </is>
      </c>
      <c r="B3952" s="1" t="n">
        <v>44603</v>
      </c>
      <c r="C3952" s="1" t="n">
        <v>45798</v>
      </c>
      <c r="D3952" t="inlineStr">
        <is>
          <t>NORRBOTTENS LÄN</t>
        </is>
      </c>
      <c r="E3952" t="inlineStr">
        <is>
          <t>ÖVERKALIX</t>
        </is>
      </c>
      <c r="F3952" t="inlineStr">
        <is>
          <t>Övriga statliga verk och myndigheter</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7236-2022</t>
        </is>
      </c>
      <c r="B3953" s="1" t="n">
        <v>44603</v>
      </c>
      <c r="C3953" s="1" t="n">
        <v>45798</v>
      </c>
      <c r="D3953" t="inlineStr">
        <is>
          <t>NORRBOTTENS LÄN</t>
        </is>
      </c>
      <c r="E3953" t="inlineStr">
        <is>
          <t>KALIX</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7261-2022</t>
        </is>
      </c>
      <c r="B3954" s="1" t="n">
        <v>44603</v>
      </c>
      <c r="C3954" s="1" t="n">
        <v>45798</v>
      </c>
      <c r="D3954" t="inlineStr">
        <is>
          <t>NORRBOTTENS LÄN</t>
        </is>
      </c>
      <c r="E3954" t="inlineStr">
        <is>
          <t>KALIX</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7538-2022</t>
        </is>
      </c>
      <c r="B3955" s="1" t="n">
        <v>44607</v>
      </c>
      <c r="C3955" s="1" t="n">
        <v>45798</v>
      </c>
      <c r="D3955" t="inlineStr">
        <is>
          <t>NORRBOTTENS LÄN</t>
        </is>
      </c>
      <c r="E3955" t="inlineStr">
        <is>
          <t>GÄLLIVARE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7673-2022</t>
        </is>
      </c>
      <c r="B3956" s="1" t="n">
        <v>44607</v>
      </c>
      <c r="C3956" s="1" t="n">
        <v>45798</v>
      </c>
      <c r="D3956" t="inlineStr">
        <is>
          <t>NORRBOTTENS LÄN</t>
        </is>
      </c>
      <c r="E3956" t="inlineStr">
        <is>
          <t>PAJALA</t>
        </is>
      </c>
      <c r="F3956" t="inlineStr">
        <is>
          <t>SCA</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7677-2022</t>
        </is>
      </c>
      <c r="B3957" s="1" t="n">
        <v>44607</v>
      </c>
      <c r="C3957" s="1" t="n">
        <v>45798</v>
      </c>
      <c r="D3957" t="inlineStr">
        <is>
          <t>NORRBOTTENS LÄN</t>
        </is>
      </c>
      <c r="E3957" t="inlineStr">
        <is>
          <t>ÖVERKALIX</t>
        </is>
      </c>
      <c r="F3957" t="inlineStr">
        <is>
          <t>SCA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7683-2022</t>
        </is>
      </c>
      <c r="B3958" s="1" t="n">
        <v>44607</v>
      </c>
      <c r="C3958" s="1" t="n">
        <v>45798</v>
      </c>
      <c r="D3958" t="inlineStr">
        <is>
          <t>NORRBOTTENS LÄN</t>
        </is>
      </c>
      <c r="E3958" t="inlineStr">
        <is>
          <t>GÄLLIVARE</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7693-2022</t>
        </is>
      </c>
      <c r="B3959" s="1" t="n">
        <v>44607</v>
      </c>
      <c r="C3959" s="1" t="n">
        <v>45798</v>
      </c>
      <c r="D3959" t="inlineStr">
        <is>
          <t>NORRBOTTENS LÄN</t>
        </is>
      </c>
      <c r="E3959" t="inlineStr">
        <is>
          <t>GÄLLIVARE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7676-2022</t>
        </is>
      </c>
      <c r="B3960" s="1" t="n">
        <v>44607</v>
      </c>
      <c r="C3960" s="1" t="n">
        <v>45798</v>
      </c>
      <c r="D3960" t="inlineStr">
        <is>
          <t>NORRBOTTENS LÄN</t>
        </is>
      </c>
      <c r="E3960" t="inlineStr">
        <is>
          <t>GÄLLIVARE</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7682-2022</t>
        </is>
      </c>
      <c r="B3961" s="1" t="n">
        <v>44607</v>
      </c>
      <c r="C3961" s="1" t="n">
        <v>45798</v>
      </c>
      <c r="D3961" t="inlineStr">
        <is>
          <t>NORRBOTTENS LÄN</t>
        </is>
      </c>
      <c r="E3961" t="inlineStr">
        <is>
          <t>GÄLLIVARE</t>
        </is>
      </c>
      <c r="F3961" t="inlineStr">
        <is>
          <t>SCA</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7692-2022</t>
        </is>
      </c>
      <c r="B3962" s="1" t="n">
        <v>44607</v>
      </c>
      <c r="C3962" s="1" t="n">
        <v>45798</v>
      </c>
      <c r="D3962" t="inlineStr">
        <is>
          <t>NORRBOTTENS LÄN</t>
        </is>
      </c>
      <c r="E3962" t="inlineStr">
        <is>
          <t>ÖVERKALIX</t>
        </is>
      </c>
      <c r="F3962" t="inlineStr">
        <is>
          <t>SCA</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7681-2022</t>
        </is>
      </c>
      <c r="B3963" s="1" t="n">
        <v>44607</v>
      </c>
      <c r="C3963" s="1" t="n">
        <v>45798</v>
      </c>
      <c r="D3963" t="inlineStr">
        <is>
          <t>NORRBOTTENS LÄN</t>
        </is>
      </c>
      <c r="E3963" t="inlineStr">
        <is>
          <t>GÄLLIVARE</t>
        </is>
      </c>
      <c r="F3963" t="inlineStr">
        <is>
          <t>SCA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7690-2022</t>
        </is>
      </c>
      <c r="B3964" s="1" t="n">
        <v>44607</v>
      </c>
      <c r="C3964" s="1" t="n">
        <v>45798</v>
      </c>
      <c r="D3964" t="inlineStr">
        <is>
          <t>NORRBOTTENS LÄN</t>
        </is>
      </c>
      <c r="E3964" t="inlineStr">
        <is>
          <t>GÄLLIVARE</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7678-2022</t>
        </is>
      </c>
      <c r="B3965" s="1" t="n">
        <v>44607</v>
      </c>
      <c r="C3965" s="1" t="n">
        <v>45798</v>
      </c>
      <c r="D3965" t="inlineStr">
        <is>
          <t>NORRBOTTENS LÄN</t>
        </is>
      </c>
      <c r="E3965" t="inlineStr">
        <is>
          <t>GÄLLIVARE</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7685-2022</t>
        </is>
      </c>
      <c r="B3966" s="1" t="n">
        <v>44607</v>
      </c>
      <c r="C3966" s="1" t="n">
        <v>45798</v>
      </c>
      <c r="D3966" t="inlineStr">
        <is>
          <t>NORRBOTTENS LÄN</t>
        </is>
      </c>
      <c r="E3966" t="inlineStr">
        <is>
          <t>GÄLLIVARE</t>
        </is>
      </c>
      <c r="F3966" t="inlineStr">
        <is>
          <t>SCA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7949-2022</t>
        </is>
      </c>
      <c r="B3967" s="1" t="n">
        <v>44608</v>
      </c>
      <c r="C3967" s="1" t="n">
        <v>45798</v>
      </c>
      <c r="D3967" t="inlineStr">
        <is>
          <t>NORRBOTTENS LÄN</t>
        </is>
      </c>
      <c r="E3967" t="inlineStr">
        <is>
          <t>ÖVERKALIX</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7954-2022</t>
        </is>
      </c>
      <c r="B3968" s="1" t="n">
        <v>44608</v>
      </c>
      <c r="C3968" s="1" t="n">
        <v>45798</v>
      </c>
      <c r="D3968" t="inlineStr">
        <is>
          <t>NORRBOTTENS LÄN</t>
        </is>
      </c>
      <c r="E3968" t="inlineStr">
        <is>
          <t>PAJALA</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7928-2022</t>
        </is>
      </c>
      <c r="B3969" s="1" t="n">
        <v>44608</v>
      </c>
      <c r="C3969" s="1" t="n">
        <v>45798</v>
      </c>
      <c r="D3969" t="inlineStr">
        <is>
          <t>NORRBOTTENS LÄN</t>
        </is>
      </c>
      <c r="E3969" t="inlineStr">
        <is>
          <t>PITEÅ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8018-2022</t>
        </is>
      </c>
      <c r="B3970" s="1" t="n">
        <v>44609</v>
      </c>
      <c r="C3970" s="1" t="n">
        <v>45798</v>
      </c>
      <c r="D3970" t="inlineStr">
        <is>
          <t>NORRBOTTENS LÄN</t>
        </is>
      </c>
      <c r="E3970" t="inlineStr">
        <is>
          <t>GÄLLIVARE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8112-2022</t>
        </is>
      </c>
      <c r="B3971" s="1" t="n">
        <v>44609</v>
      </c>
      <c r="C3971" s="1" t="n">
        <v>45798</v>
      </c>
      <c r="D3971" t="inlineStr">
        <is>
          <t>NORRBOTTENS LÄN</t>
        </is>
      </c>
      <c r="E3971" t="inlineStr">
        <is>
          <t>BODEN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8120-2022</t>
        </is>
      </c>
      <c r="B3972" s="1" t="n">
        <v>44609</v>
      </c>
      <c r="C3972" s="1" t="n">
        <v>45798</v>
      </c>
      <c r="D3972" t="inlineStr">
        <is>
          <t>NORRBOTTENS LÄN</t>
        </is>
      </c>
      <c r="E3972" t="inlineStr">
        <is>
          <t>BODEN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8078-2022</t>
        </is>
      </c>
      <c r="B3973" s="1" t="n">
        <v>44609</v>
      </c>
      <c r="C3973" s="1" t="n">
        <v>45798</v>
      </c>
      <c r="D3973" t="inlineStr">
        <is>
          <t>NORRBOTTENS LÄN</t>
        </is>
      </c>
      <c r="E3973" t="inlineStr">
        <is>
          <t>BODEN</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8125-2022</t>
        </is>
      </c>
      <c r="B3974" s="1" t="n">
        <v>44609</v>
      </c>
      <c r="C3974" s="1" t="n">
        <v>45798</v>
      </c>
      <c r="D3974" t="inlineStr">
        <is>
          <t>NORRBOTTENS LÄN</t>
        </is>
      </c>
      <c r="E3974" t="inlineStr">
        <is>
          <t>BODEN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8118-2022</t>
        </is>
      </c>
      <c r="B3975" s="1" t="n">
        <v>44609</v>
      </c>
      <c r="C3975" s="1" t="n">
        <v>45798</v>
      </c>
      <c r="D3975" t="inlineStr">
        <is>
          <t>NORRBOTTENS LÄN</t>
        </is>
      </c>
      <c r="E3975" t="inlineStr">
        <is>
          <t>BODEN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8123-2022</t>
        </is>
      </c>
      <c r="B3976" s="1" t="n">
        <v>44609</v>
      </c>
      <c r="C3976" s="1" t="n">
        <v>45798</v>
      </c>
      <c r="D3976" t="inlineStr">
        <is>
          <t>NORRBOTTENS LÄN</t>
        </is>
      </c>
      <c r="E3976" t="inlineStr">
        <is>
          <t>BODEN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8121-2022</t>
        </is>
      </c>
      <c r="B3977" s="1" t="n">
        <v>44609</v>
      </c>
      <c r="C3977" s="1" t="n">
        <v>45798</v>
      </c>
      <c r="D3977" t="inlineStr">
        <is>
          <t>NORRBOTTENS LÄN</t>
        </is>
      </c>
      <c r="E3977" t="inlineStr">
        <is>
          <t>BODEN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8472-2022</t>
        </is>
      </c>
      <c r="B3978" s="1" t="n">
        <v>44610</v>
      </c>
      <c r="C3978" s="1" t="n">
        <v>45798</v>
      </c>
      <c r="D3978" t="inlineStr">
        <is>
          <t>NORRBOTTENS LÄN</t>
        </is>
      </c>
      <c r="E3978" t="inlineStr">
        <is>
          <t>LULEÅ</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8390-2022</t>
        </is>
      </c>
      <c r="B3979" s="1" t="n">
        <v>44610</v>
      </c>
      <c r="C3979" s="1" t="n">
        <v>45798</v>
      </c>
      <c r="D3979" t="inlineStr">
        <is>
          <t>NORRBOTTENS LÄN</t>
        </is>
      </c>
      <c r="E3979" t="inlineStr">
        <is>
          <t>LULEÅ</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8521-2022</t>
        </is>
      </c>
      <c r="B3980" s="1" t="n">
        <v>44610</v>
      </c>
      <c r="C3980" s="1" t="n">
        <v>45798</v>
      </c>
      <c r="D3980" t="inlineStr">
        <is>
          <t>NORRBOTTENS LÄN</t>
        </is>
      </c>
      <c r="E3980" t="inlineStr">
        <is>
          <t>LULEÅ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8727-2022</t>
        </is>
      </c>
      <c r="B3981" s="1" t="n">
        <v>44613</v>
      </c>
      <c r="C3981" s="1" t="n">
        <v>45798</v>
      </c>
      <c r="D3981" t="inlineStr">
        <is>
          <t>NORRBOTTENS LÄN</t>
        </is>
      </c>
      <c r="E3981" t="inlineStr">
        <is>
          <t>ÖVERKALIX</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8776-2022</t>
        </is>
      </c>
      <c r="B3982" s="1" t="n">
        <v>44614</v>
      </c>
      <c r="C3982" s="1" t="n">
        <v>45798</v>
      </c>
      <c r="D3982" t="inlineStr">
        <is>
          <t>NORRBOTTENS LÄN</t>
        </is>
      </c>
      <c r="E3982" t="inlineStr">
        <is>
          <t>BODEN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8914-2022</t>
        </is>
      </c>
      <c r="B3983" s="1" t="n">
        <v>44614</v>
      </c>
      <c r="C3983" s="1" t="n">
        <v>45798</v>
      </c>
      <c r="D3983" t="inlineStr">
        <is>
          <t>NORRBOTTENS LÄN</t>
        </is>
      </c>
      <c r="E3983" t="inlineStr">
        <is>
          <t>KALIX</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9031-2022</t>
        </is>
      </c>
      <c r="B3984" s="1" t="n">
        <v>44615</v>
      </c>
      <c r="C3984" s="1" t="n">
        <v>45798</v>
      </c>
      <c r="D3984" t="inlineStr">
        <is>
          <t>NORRBOTTENS LÄN</t>
        </is>
      </c>
      <c r="E3984" t="inlineStr">
        <is>
          <t>PAJALA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9193-2022</t>
        </is>
      </c>
      <c r="B3985" s="1" t="n">
        <v>44615</v>
      </c>
      <c r="C3985" s="1" t="n">
        <v>45798</v>
      </c>
      <c r="D3985" t="inlineStr">
        <is>
          <t>NORRBOTTENS LÄN</t>
        </is>
      </c>
      <c r="E3985" t="inlineStr">
        <is>
          <t>PITEÅ</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9234-2022</t>
        </is>
      </c>
      <c r="B3986" s="1" t="n">
        <v>44616</v>
      </c>
      <c r="C3986" s="1" t="n">
        <v>45798</v>
      </c>
      <c r="D3986" t="inlineStr">
        <is>
          <t>NORRBOTTENS LÄN</t>
        </is>
      </c>
      <c r="E3986" t="inlineStr">
        <is>
          <t>ARVIDSJAUR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9333-2022</t>
        </is>
      </c>
      <c r="B3987" s="1" t="n">
        <v>44616</v>
      </c>
      <c r="C3987" s="1" t="n">
        <v>45798</v>
      </c>
      <c r="D3987" t="inlineStr">
        <is>
          <t>NORRBOTTENS LÄN</t>
        </is>
      </c>
      <c r="E3987" t="inlineStr">
        <is>
          <t>ÄLVSBYN</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9497-2022</t>
        </is>
      </c>
      <c r="B3988" s="1" t="n">
        <v>44616</v>
      </c>
      <c r="C3988" s="1" t="n">
        <v>45798</v>
      </c>
      <c r="D3988" t="inlineStr">
        <is>
          <t>NORRBOTTENS LÄN</t>
        </is>
      </c>
      <c r="E3988" t="inlineStr">
        <is>
          <t>PITEÅ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9494-2022</t>
        </is>
      </c>
      <c r="B3989" s="1" t="n">
        <v>44616</v>
      </c>
      <c r="C3989" s="1" t="n">
        <v>45798</v>
      </c>
      <c r="D3989" t="inlineStr">
        <is>
          <t>NORRBOTTENS LÄN</t>
        </is>
      </c>
      <c r="E3989" t="inlineStr">
        <is>
          <t>BODEN</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9495-2022</t>
        </is>
      </c>
      <c r="B3990" s="1" t="n">
        <v>44616</v>
      </c>
      <c r="C3990" s="1" t="n">
        <v>45798</v>
      </c>
      <c r="D3990" t="inlineStr">
        <is>
          <t>NORRBOTTENS LÄN</t>
        </is>
      </c>
      <c r="E3990" t="inlineStr">
        <is>
          <t>BODEN</t>
        </is>
      </c>
      <c r="F3990" t="inlineStr">
        <is>
          <t>SCA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9504-2022</t>
        </is>
      </c>
      <c r="B3991" s="1" t="n">
        <v>44616</v>
      </c>
      <c r="C3991" s="1" t="n">
        <v>45798</v>
      </c>
      <c r="D3991" t="inlineStr">
        <is>
          <t>NORRBOTTENS LÄN</t>
        </is>
      </c>
      <c r="E3991" t="inlineStr">
        <is>
          <t>GÄLLIVARE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9493-2022</t>
        </is>
      </c>
      <c r="B3992" s="1" t="n">
        <v>44616</v>
      </c>
      <c r="C3992" s="1" t="n">
        <v>45798</v>
      </c>
      <c r="D3992" t="inlineStr">
        <is>
          <t>NORRBOTTENS LÄN</t>
        </is>
      </c>
      <c r="E3992" t="inlineStr">
        <is>
          <t>GÄLLIVARE</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9580-2022</t>
        </is>
      </c>
      <c r="B3993" s="1" t="n">
        <v>44617</v>
      </c>
      <c r="C3993" s="1" t="n">
        <v>45798</v>
      </c>
      <c r="D3993" t="inlineStr">
        <is>
          <t>NORRBOTTENS LÄN</t>
        </is>
      </c>
      <c r="E3993" t="inlineStr">
        <is>
          <t>LULEÅ</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9643-2022</t>
        </is>
      </c>
      <c r="B3994" s="1" t="n">
        <v>44617</v>
      </c>
      <c r="C3994" s="1" t="n">
        <v>45798</v>
      </c>
      <c r="D3994" t="inlineStr">
        <is>
          <t>NORRBOTTENS LÄN</t>
        </is>
      </c>
      <c r="E3994" t="inlineStr">
        <is>
          <t>ÄLVSBYN</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9530-2022</t>
        </is>
      </c>
      <c r="B3995" s="1" t="n">
        <v>44617</v>
      </c>
      <c r="C3995" s="1" t="n">
        <v>45798</v>
      </c>
      <c r="D3995" t="inlineStr">
        <is>
          <t>NORRBOTTENS LÄN</t>
        </is>
      </c>
      <c r="E3995" t="inlineStr">
        <is>
          <t>BODEN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9623-2022</t>
        </is>
      </c>
      <c r="B3996" s="1" t="n">
        <v>44617</v>
      </c>
      <c r="C3996" s="1" t="n">
        <v>45798</v>
      </c>
      <c r="D3996" t="inlineStr">
        <is>
          <t>NORRBOTTENS LÄN</t>
        </is>
      </c>
      <c r="E3996" t="inlineStr">
        <is>
          <t>ÄLVSBYN</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9631-2022</t>
        </is>
      </c>
      <c r="B3997" s="1" t="n">
        <v>44617</v>
      </c>
      <c r="C3997" s="1" t="n">
        <v>45798</v>
      </c>
      <c r="D3997" t="inlineStr">
        <is>
          <t>NORRBOTTENS LÄN</t>
        </is>
      </c>
      <c r="E3997" t="inlineStr">
        <is>
          <t>ÄLVSBYN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9527-2022</t>
        </is>
      </c>
      <c r="B3998" s="1" t="n">
        <v>44617</v>
      </c>
      <c r="C3998" s="1" t="n">
        <v>45798</v>
      </c>
      <c r="D3998" t="inlineStr">
        <is>
          <t>NORRBOTTENS LÄN</t>
        </is>
      </c>
      <c r="E3998" t="inlineStr">
        <is>
          <t>BODEN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9582-2022</t>
        </is>
      </c>
      <c r="B3999" s="1" t="n">
        <v>44617</v>
      </c>
      <c r="C3999" s="1" t="n">
        <v>45798</v>
      </c>
      <c r="D3999" t="inlineStr">
        <is>
          <t>NORRBOTTENS LÄN</t>
        </is>
      </c>
      <c r="E3999" t="inlineStr">
        <is>
          <t>LULEÅ</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9618-2022</t>
        </is>
      </c>
      <c r="B4000" s="1" t="n">
        <v>44617</v>
      </c>
      <c r="C4000" s="1" t="n">
        <v>45798</v>
      </c>
      <c r="D4000" t="inlineStr">
        <is>
          <t>NORRBOTTENS LÄN</t>
        </is>
      </c>
      <c r="E4000" t="inlineStr">
        <is>
          <t>ÄLVSBYN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9634-2022</t>
        </is>
      </c>
      <c r="B4001" s="1" t="n">
        <v>44617</v>
      </c>
      <c r="C4001" s="1" t="n">
        <v>45798</v>
      </c>
      <c r="D4001" t="inlineStr">
        <is>
          <t>NORRBOTTENS LÄN</t>
        </is>
      </c>
      <c r="E4001" t="inlineStr">
        <is>
          <t>ÄLVSBYN</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9706-2022</t>
        </is>
      </c>
      <c r="B4002" s="1" t="n">
        <v>44617</v>
      </c>
      <c r="C4002" s="1" t="n">
        <v>45798</v>
      </c>
      <c r="D4002" t="inlineStr">
        <is>
          <t>NORRBOTTENS LÄN</t>
        </is>
      </c>
      <c r="E4002" t="inlineStr">
        <is>
          <t>LULEÅ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9690-2022</t>
        </is>
      </c>
      <c r="B4003" s="1" t="n">
        <v>44617</v>
      </c>
      <c r="C4003" s="1" t="n">
        <v>45798</v>
      </c>
      <c r="D4003" t="inlineStr">
        <is>
          <t>NORRBOTTENS LÄN</t>
        </is>
      </c>
      <c r="E4003" t="inlineStr">
        <is>
          <t>PITEÅ</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9929-2022</t>
        </is>
      </c>
      <c r="B4004" s="1" t="n">
        <v>44620</v>
      </c>
      <c r="C4004" s="1" t="n">
        <v>45798</v>
      </c>
      <c r="D4004" t="inlineStr">
        <is>
          <t>NORRBOTTENS LÄN</t>
        </is>
      </c>
      <c r="E4004" t="inlineStr">
        <is>
          <t>LULEÅ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9930-2022</t>
        </is>
      </c>
      <c r="B4005" s="1" t="n">
        <v>44620</v>
      </c>
      <c r="C4005" s="1" t="n">
        <v>45798</v>
      </c>
      <c r="D4005" t="inlineStr">
        <is>
          <t>NORRBOTTENS LÄN</t>
        </is>
      </c>
      <c r="E4005" t="inlineStr">
        <is>
          <t>LULEÅ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9932-2022</t>
        </is>
      </c>
      <c r="B4006" s="1" t="n">
        <v>44620</v>
      </c>
      <c r="C4006" s="1" t="n">
        <v>45798</v>
      </c>
      <c r="D4006" t="inlineStr">
        <is>
          <t>NORRBOTTENS LÄN</t>
        </is>
      </c>
      <c r="E4006" t="inlineStr">
        <is>
          <t>LULEÅ</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9978-2022</t>
        </is>
      </c>
      <c r="B4007" s="1" t="n">
        <v>44621</v>
      </c>
      <c r="C4007" s="1" t="n">
        <v>45798</v>
      </c>
      <c r="D4007" t="inlineStr">
        <is>
          <t>NORRBOTTENS LÄN</t>
        </is>
      </c>
      <c r="E4007" t="inlineStr">
        <is>
          <t>ARVIDSJAUR</t>
        </is>
      </c>
      <c r="F4007" t="inlineStr">
        <is>
          <t>Sveaskog</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10030-2022</t>
        </is>
      </c>
      <c r="B4008" s="1" t="n">
        <v>44621</v>
      </c>
      <c r="C4008" s="1" t="n">
        <v>45798</v>
      </c>
      <c r="D4008" t="inlineStr">
        <is>
          <t>NORRBOTTENS LÄN</t>
        </is>
      </c>
      <c r="E4008" t="inlineStr">
        <is>
          <t>PITEÅ</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10134-2022</t>
        </is>
      </c>
      <c r="B4009" s="1" t="n">
        <v>44621</v>
      </c>
      <c r="C4009" s="1" t="n">
        <v>45798</v>
      </c>
      <c r="D4009" t="inlineStr">
        <is>
          <t>NORRBOTTENS LÄN</t>
        </is>
      </c>
      <c r="E4009" t="inlineStr">
        <is>
          <t>PITEÅ</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10303-2022</t>
        </is>
      </c>
      <c r="B4010" s="1" t="n">
        <v>44622</v>
      </c>
      <c r="C4010" s="1" t="n">
        <v>45798</v>
      </c>
      <c r="D4010" t="inlineStr">
        <is>
          <t>NORRBOTTENS LÄN</t>
        </is>
      </c>
      <c r="E4010" t="inlineStr">
        <is>
          <t>LULEÅ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10304-2022</t>
        </is>
      </c>
      <c r="B4011" s="1" t="n">
        <v>44622</v>
      </c>
      <c r="C4011" s="1" t="n">
        <v>45798</v>
      </c>
      <c r="D4011" t="inlineStr">
        <is>
          <t>NORRBOTTENS LÄN</t>
        </is>
      </c>
      <c r="E4011" t="inlineStr">
        <is>
          <t>LULEÅ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10195-2022</t>
        </is>
      </c>
      <c r="B4012" s="1" t="n">
        <v>44622</v>
      </c>
      <c r="C4012" s="1" t="n">
        <v>45798</v>
      </c>
      <c r="D4012" t="inlineStr">
        <is>
          <t>NORRBOTTENS LÄN</t>
        </is>
      </c>
      <c r="E4012" t="inlineStr">
        <is>
          <t>LULEÅ</t>
        </is>
      </c>
      <c r="G4012" t="n">
        <v>33.4</v>
      </c>
      <c r="H4012" t="n">
        <v>0</v>
      </c>
      <c r="I4012" t="n">
        <v>0</v>
      </c>
      <c r="J4012" t="n">
        <v>0</v>
      </c>
      <c r="K4012" t="n">
        <v>0</v>
      </c>
      <c r="L4012" t="n">
        <v>0</v>
      </c>
      <c r="M4012" t="n">
        <v>0</v>
      </c>
      <c r="N4012" t="n">
        <v>0</v>
      </c>
      <c r="O4012" t="n">
        <v>0</v>
      </c>
      <c r="P4012" t="n">
        <v>0</v>
      </c>
      <c r="Q4012" t="n">
        <v>0</v>
      </c>
      <c r="R4012" s="2" t="inlineStr"/>
    </row>
    <row r="4013" ht="15" customHeight="1">
      <c r="A4013" t="inlineStr">
        <is>
          <t>A 10216-2022</t>
        </is>
      </c>
      <c r="B4013" s="1" t="n">
        <v>44622</v>
      </c>
      <c r="C4013" s="1" t="n">
        <v>45798</v>
      </c>
      <c r="D4013" t="inlineStr">
        <is>
          <t>NORRBOTTENS LÄN</t>
        </is>
      </c>
      <c r="E4013" t="inlineStr">
        <is>
          <t>BODEN</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10395-2022</t>
        </is>
      </c>
      <c r="B4014" s="1" t="n">
        <v>44622</v>
      </c>
      <c r="C4014" s="1" t="n">
        <v>45798</v>
      </c>
      <c r="D4014" t="inlineStr">
        <is>
          <t>NORRBOTTENS LÄN</t>
        </is>
      </c>
      <c r="E4014" t="inlineStr">
        <is>
          <t>PAJALA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10353-2022</t>
        </is>
      </c>
      <c r="B4015" s="1" t="n">
        <v>44622</v>
      </c>
      <c r="C4015" s="1" t="n">
        <v>45798</v>
      </c>
      <c r="D4015" t="inlineStr">
        <is>
          <t>NORRBOTTENS LÄN</t>
        </is>
      </c>
      <c r="E4015" t="inlineStr">
        <is>
          <t>PITEÅ</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10544-2022</t>
        </is>
      </c>
      <c r="B4016" s="1" t="n">
        <v>44623</v>
      </c>
      <c r="C4016" s="1" t="n">
        <v>45798</v>
      </c>
      <c r="D4016" t="inlineStr">
        <is>
          <t>NORRBOTTENS LÄN</t>
        </is>
      </c>
      <c r="E4016" t="inlineStr">
        <is>
          <t>PITEÅ</t>
        </is>
      </c>
      <c r="G4016" t="n">
        <v>21.9</v>
      </c>
      <c r="H4016" t="n">
        <v>0</v>
      </c>
      <c r="I4016" t="n">
        <v>0</v>
      </c>
      <c r="J4016" t="n">
        <v>0</v>
      </c>
      <c r="K4016" t="n">
        <v>0</v>
      </c>
      <c r="L4016" t="n">
        <v>0</v>
      </c>
      <c r="M4016" t="n">
        <v>0</v>
      </c>
      <c r="N4016" t="n">
        <v>0</v>
      </c>
      <c r="O4016" t="n">
        <v>0</v>
      </c>
      <c r="P4016" t="n">
        <v>0</v>
      </c>
      <c r="Q4016" t="n">
        <v>0</v>
      </c>
      <c r="R4016" s="2" t="inlineStr"/>
    </row>
    <row r="4017" ht="15" customHeight="1">
      <c r="A4017" t="inlineStr">
        <is>
          <t>A 10546-2022</t>
        </is>
      </c>
      <c r="B4017" s="1" t="n">
        <v>44623</v>
      </c>
      <c r="C4017" s="1" t="n">
        <v>45798</v>
      </c>
      <c r="D4017" t="inlineStr">
        <is>
          <t>NORRBOTTENS LÄN</t>
        </is>
      </c>
      <c r="E4017" t="inlineStr">
        <is>
          <t>KIRUNA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10545-2022</t>
        </is>
      </c>
      <c r="B4018" s="1" t="n">
        <v>44623</v>
      </c>
      <c r="C4018" s="1" t="n">
        <v>45798</v>
      </c>
      <c r="D4018" t="inlineStr">
        <is>
          <t>NORRBOTTENS LÄN</t>
        </is>
      </c>
      <c r="E4018" t="inlineStr">
        <is>
          <t>KIRUNA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10553-2022</t>
        </is>
      </c>
      <c r="B4019" s="1" t="n">
        <v>44623</v>
      </c>
      <c r="C4019" s="1" t="n">
        <v>45798</v>
      </c>
      <c r="D4019" t="inlineStr">
        <is>
          <t>NORRBOTTENS LÄN</t>
        </is>
      </c>
      <c r="E4019" t="inlineStr">
        <is>
          <t>ÖVERKALIX</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10652-2022</t>
        </is>
      </c>
      <c r="B4020" s="1" t="n">
        <v>44624</v>
      </c>
      <c r="C4020" s="1" t="n">
        <v>45798</v>
      </c>
      <c r="D4020" t="inlineStr">
        <is>
          <t>NORRBOTTENS LÄN</t>
        </is>
      </c>
      <c r="E4020" t="inlineStr">
        <is>
          <t>GÄLLIVARE</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10648-2022</t>
        </is>
      </c>
      <c r="B4021" s="1" t="n">
        <v>44624</v>
      </c>
      <c r="C4021" s="1" t="n">
        <v>45798</v>
      </c>
      <c r="D4021" t="inlineStr">
        <is>
          <t>NORRBOTTENS LÄN</t>
        </is>
      </c>
      <c r="E4021" t="inlineStr">
        <is>
          <t>ARVIDSJAUR</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10709-2022</t>
        </is>
      </c>
      <c r="B4022" s="1" t="n">
        <v>44625</v>
      </c>
      <c r="C4022" s="1" t="n">
        <v>45798</v>
      </c>
      <c r="D4022" t="inlineStr">
        <is>
          <t>NORRBOTTENS LÄN</t>
        </is>
      </c>
      <c r="E4022" t="inlineStr">
        <is>
          <t>BODEN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10778-2022</t>
        </is>
      </c>
      <c r="B4023" s="1" t="n">
        <v>44627</v>
      </c>
      <c r="C4023" s="1" t="n">
        <v>45798</v>
      </c>
      <c r="D4023" t="inlineStr">
        <is>
          <t>NORRBOTTENS LÄN</t>
        </is>
      </c>
      <c r="E4023" t="inlineStr">
        <is>
          <t>PAJALA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10784-2022</t>
        </is>
      </c>
      <c r="B4024" s="1" t="n">
        <v>44627</v>
      </c>
      <c r="C4024" s="1" t="n">
        <v>45798</v>
      </c>
      <c r="D4024" t="inlineStr">
        <is>
          <t>NORRBOTTENS LÄN</t>
        </is>
      </c>
      <c r="E4024" t="inlineStr">
        <is>
          <t>PAJALA</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10798-2022</t>
        </is>
      </c>
      <c r="B4025" s="1" t="n">
        <v>44627</v>
      </c>
      <c r="C4025" s="1" t="n">
        <v>45798</v>
      </c>
      <c r="D4025" t="inlineStr">
        <is>
          <t>NORRBOTTENS LÄN</t>
        </is>
      </c>
      <c r="E4025" t="inlineStr">
        <is>
          <t>PAJALA</t>
        </is>
      </c>
      <c r="G4025" t="n">
        <v>18.1</v>
      </c>
      <c r="H4025" t="n">
        <v>0</v>
      </c>
      <c r="I4025" t="n">
        <v>0</v>
      </c>
      <c r="J4025" t="n">
        <v>0</v>
      </c>
      <c r="K4025" t="n">
        <v>0</v>
      </c>
      <c r="L4025" t="n">
        <v>0</v>
      </c>
      <c r="M4025" t="n">
        <v>0</v>
      </c>
      <c r="N4025" t="n">
        <v>0</v>
      </c>
      <c r="O4025" t="n">
        <v>0</v>
      </c>
      <c r="P4025" t="n">
        <v>0</v>
      </c>
      <c r="Q4025" t="n">
        <v>0</v>
      </c>
      <c r="R4025" s="2" t="inlineStr"/>
    </row>
    <row r="4026" ht="15" customHeight="1">
      <c r="A4026" t="inlineStr">
        <is>
          <t>A 10788-2022</t>
        </is>
      </c>
      <c r="B4026" s="1" t="n">
        <v>44627</v>
      </c>
      <c r="C4026" s="1" t="n">
        <v>45798</v>
      </c>
      <c r="D4026" t="inlineStr">
        <is>
          <t>NORRBOTTENS LÄN</t>
        </is>
      </c>
      <c r="E4026" t="inlineStr">
        <is>
          <t>PAJALA</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10812-2022</t>
        </is>
      </c>
      <c r="B4027" s="1" t="n">
        <v>44627</v>
      </c>
      <c r="C4027" s="1" t="n">
        <v>45798</v>
      </c>
      <c r="D4027" t="inlineStr">
        <is>
          <t>NORRBOTTENS LÄN</t>
        </is>
      </c>
      <c r="E4027" t="inlineStr">
        <is>
          <t>ÄLVSBYN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10930-2022</t>
        </is>
      </c>
      <c r="B4028" s="1" t="n">
        <v>44627</v>
      </c>
      <c r="C4028" s="1" t="n">
        <v>45798</v>
      </c>
      <c r="D4028" t="inlineStr">
        <is>
          <t>NORRBOTTENS LÄN</t>
        </is>
      </c>
      <c r="E4028" t="inlineStr">
        <is>
          <t>ÖVERKALIX</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11092-2022</t>
        </is>
      </c>
      <c r="B4029" s="1" t="n">
        <v>44628</v>
      </c>
      <c r="C4029" s="1" t="n">
        <v>45798</v>
      </c>
      <c r="D4029" t="inlineStr">
        <is>
          <t>NORRBOTTENS LÄN</t>
        </is>
      </c>
      <c r="E4029" t="inlineStr">
        <is>
          <t>BODEN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11208-2022</t>
        </is>
      </c>
      <c r="B4030" s="1" t="n">
        <v>44629</v>
      </c>
      <c r="C4030" s="1" t="n">
        <v>45798</v>
      </c>
      <c r="D4030" t="inlineStr">
        <is>
          <t>NORRBOTTENS LÄN</t>
        </is>
      </c>
      <c r="E4030" t="inlineStr">
        <is>
          <t>PAJALA</t>
        </is>
      </c>
      <c r="F4030" t="inlineStr">
        <is>
          <t>Allmännings- och besparingsskogar</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11284-2022</t>
        </is>
      </c>
      <c r="B4031" s="1" t="n">
        <v>44629</v>
      </c>
      <c r="C4031" s="1" t="n">
        <v>45798</v>
      </c>
      <c r="D4031" t="inlineStr">
        <is>
          <t>NORRBOTTENS LÄN</t>
        </is>
      </c>
      <c r="E4031" t="inlineStr">
        <is>
          <t>HAPARANDA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11285-2022</t>
        </is>
      </c>
      <c r="B4032" s="1" t="n">
        <v>44629</v>
      </c>
      <c r="C4032" s="1" t="n">
        <v>45798</v>
      </c>
      <c r="D4032" t="inlineStr">
        <is>
          <t>NORRBOTTENS LÄN</t>
        </is>
      </c>
      <c r="E4032" t="inlineStr">
        <is>
          <t>HAPARANDA</t>
        </is>
      </c>
      <c r="G4032" t="n">
        <v>13.3</v>
      </c>
      <c r="H4032" t="n">
        <v>0</v>
      </c>
      <c r="I4032" t="n">
        <v>0</v>
      </c>
      <c r="J4032" t="n">
        <v>0</v>
      </c>
      <c r="K4032" t="n">
        <v>0</v>
      </c>
      <c r="L4032" t="n">
        <v>0</v>
      </c>
      <c r="M4032" t="n">
        <v>0</v>
      </c>
      <c r="N4032" t="n">
        <v>0</v>
      </c>
      <c r="O4032" t="n">
        <v>0</v>
      </c>
      <c r="P4032" t="n">
        <v>0</v>
      </c>
      <c r="Q4032" t="n">
        <v>0</v>
      </c>
      <c r="R4032" s="2" t="inlineStr"/>
    </row>
    <row r="4033" ht="15" customHeight="1">
      <c r="A4033" t="inlineStr">
        <is>
          <t>A 11477-2022</t>
        </is>
      </c>
      <c r="B4033" s="1" t="n">
        <v>44630</v>
      </c>
      <c r="C4033" s="1" t="n">
        <v>45798</v>
      </c>
      <c r="D4033" t="inlineStr">
        <is>
          <t>NORRBOTTENS LÄN</t>
        </is>
      </c>
      <c r="E4033" t="inlineStr">
        <is>
          <t>ÄLVSBYN</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11704-2022</t>
        </is>
      </c>
      <c r="B4034" s="1" t="n">
        <v>44634</v>
      </c>
      <c r="C4034" s="1" t="n">
        <v>45798</v>
      </c>
      <c r="D4034" t="inlineStr">
        <is>
          <t>NORRBOTTENS LÄN</t>
        </is>
      </c>
      <c r="E4034" t="inlineStr">
        <is>
          <t>KALIX</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11717-2022</t>
        </is>
      </c>
      <c r="B4035" s="1" t="n">
        <v>44634</v>
      </c>
      <c r="C4035" s="1" t="n">
        <v>45798</v>
      </c>
      <c r="D4035" t="inlineStr">
        <is>
          <t>NORRBOTTENS LÄN</t>
        </is>
      </c>
      <c r="E4035" t="inlineStr">
        <is>
          <t>PAJALA</t>
        </is>
      </c>
      <c r="F4035" t="inlineStr">
        <is>
          <t>Allmännings- och besparingsskogar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11831-2022</t>
        </is>
      </c>
      <c r="B4036" s="1" t="n">
        <v>44634</v>
      </c>
      <c r="C4036" s="1" t="n">
        <v>45798</v>
      </c>
      <c r="D4036" t="inlineStr">
        <is>
          <t>NORRBOTTENS LÄN</t>
        </is>
      </c>
      <c r="E4036" t="inlineStr">
        <is>
          <t>ÖVERTORNEÅ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11793-2022</t>
        </is>
      </c>
      <c r="B4037" s="1" t="n">
        <v>44634</v>
      </c>
      <c r="C4037" s="1" t="n">
        <v>45798</v>
      </c>
      <c r="D4037" t="inlineStr">
        <is>
          <t>NORRBOTTENS LÄN</t>
        </is>
      </c>
      <c r="E4037" t="inlineStr">
        <is>
          <t>LULEÅ</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11830-2022</t>
        </is>
      </c>
      <c r="B4038" s="1" t="n">
        <v>44634</v>
      </c>
      <c r="C4038" s="1" t="n">
        <v>45798</v>
      </c>
      <c r="D4038" t="inlineStr">
        <is>
          <t>NORRBOTTENS LÄN</t>
        </is>
      </c>
      <c r="E4038" t="inlineStr">
        <is>
          <t>ÖVERTORNEÅ</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11833-2022</t>
        </is>
      </c>
      <c r="B4039" s="1" t="n">
        <v>44634</v>
      </c>
      <c r="C4039" s="1" t="n">
        <v>45798</v>
      </c>
      <c r="D4039" t="inlineStr">
        <is>
          <t>NORRBOTTENS LÄN</t>
        </is>
      </c>
      <c r="E4039" t="inlineStr">
        <is>
          <t>LULEÅ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11935-2022</t>
        </is>
      </c>
      <c r="B4040" s="1" t="n">
        <v>44635</v>
      </c>
      <c r="C4040" s="1" t="n">
        <v>45798</v>
      </c>
      <c r="D4040" t="inlineStr">
        <is>
          <t>NORRBOTTENS LÄN</t>
        </is>
      </c>
      <c r="E4040" t="inlineStr">
        <is>
          <t>BODEN</t>
        </is>
      </c>
      <c r="F4040" t="inlineStr">
        <is>
          <t>Kyrkan</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12010-2022</t>
        </is>
      </c>
      <c r="B4041" s="1" t="n">
        <v>44635</v>
      </c>
      <c r="C4041" s="1" t="n">
        <v>45798</v>
      </c>
      <c r="D4041" t="inlineStr">
        <is>
          <t>NORRBOTTENS LÄN</t>
        </is>
      </c>
      <c r="E4041" t="inlineStr">
        <is>
          <t>LULEÅ</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12005-2022</t>
        </is>
      </c>
      <c r="B4042" s="1" t="n">
        <v>44635</v>
      </c>
      <c r="C4042" s="1" t="n">
        <v>45798</v>
      </c>
      <c r="D4042" t="inlineStr">
        <is>
          <t>NORRBOTTENS LÄN</t>
        </is>
      </c>
      <c r="E4042" t="inlineStr">
        <is>
          <t>ÖVERTORNEÅ</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12193-2022</t>
        </is>
      </c>
      <c r="B4043" s="1" t="n">
        <v>44636</v>
      </c>
      <c r="C4043" s="1" t="n">
        <v>45798</v>
      </c>
      <c r="D4043" t="inlineStr">
        <is>
          <t>NORRBOTTENS LÄN</t>
        </is>
      </c>
      <c r="E4043" t="inlineStr">
        <is>
          <t>KALIX</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12156-2022</t>
        </is>
      </c>
      <c r="B4044" s="1" t="n">
        <v>44636</v>
      </c>
      <c r="C4044" s="1" t="n">
        <v>45798</v>
      </c>
      <c r="D4044" t="inlineStr">
        <is>
          <t>NORRBOTTENS LÄN</t>
        </is>
      </c>
      <c r="E4044" t="inlineStr">
        <is>
          <t>ÄLVSBYN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12195-2022</t>
        </is>
      </c>
      <c r="B4045" s="1" t="n">
        <v>44636</v>
      </c>
      <c r="C4045" s="1" t="n">
        <v>45798</v>
      </c>
      <c r="D4045" t="inlineStr">
        <is>
          <t>NORRBOTTENS LÄN</t>
        </is>
      </c>
      <c r="E4045" t="inlineStr">
        <is>
          <t>KALIX</t>
        </is>
      </c>
      <c r="F4045" t="inlineStr">
        <is>
          <t>SCA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12202-2022</t>
        </is>
      </c>
      <c r="B4046" s="1" t="n">
        <v>44636</v>
      </c>
      <c r="C4046" s="1" t="n">
        <v>45798</v>
      </c>
      <c r="D4046" t="inlineStr">
        <is>
          <t>NORRBOTTENS LÄN</t>
        </is>
      </c>
      <c r="E4046" t="inlineStr">
        <is>
          <t>GÄLLIVARE</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12576-2022</t>
        </is>
      </c>
      <c r="B4047" s="1" t="n">
        <v>44638</v>
      </c>
      <c r="C4047" s="1" t="n">
        <v>45798</v>
      </c>
      <c r="D4047" t="inlineStr">
        <is>
          <t>NORRBOTTENS LÄN</t>
        </is>
      </c>
      <c r="E4047" t="inlineStr">
        <is>
          <t>JOKKMOKK</t>
        </is>
      </c>
      <c r="F4047" t="inlineStr">
        <is>
          <t>SCA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12682-2022</t>
        </is>
      </c>
      <c r="B4048" s="1" t="n">
        <v>44641</v>
      </c>
      <c r="C4048" s="1" t="n">
        <v>45798</v>
      </c>
      <c r="D4048" t="inlineStr">
        <is>
          <t>NORRBOTTENS LÄN</t>
        </is>
      </c>
      <c r="E4048" t="inlineStr">
        <is>
          <t>PAJALA</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12789-2022</t>
        </is>
      </c>
      <c r="B4049" s="1" t="n">
        <v>44642</v>
      </c>
      <c r="C4049" s="1" t="n">
        <v>45798</v>
      </c>
      <c r="D4049" t="inlineStr">
        <is>
          <t>NORRBOTTENS LÄN</t>
        </is>
      </c>
      <c r="E4049" t="inlineStr">
        <is>
          <t>ARJEPLOG</t>
        </is>
      </c>
      <c r="F4049" t="inlineStr">
        <is>
          <t>Övriga statliga verk och myndigheter</t>
        </is>
      </c>
      <c r="G4049" t="n">
        <v>56.1</v>
      </c>
      <c r="H4049" t="n">
        <v>0</v>
      </c>
      <c r="I4049" t="n">
        <v>0</v>
      </c>
      <c r="J4049" t="n">
        <v>0</v>
      </c>
      <c r="K4049" t="n">
        <v>0</v>
      </c>
      <c r="L4049" t="n">
        <v>0</v>
      </c>
      <c r="M4049" t="n">
        <v>0</v>
      </c>
      <c r="N4049" t="n">
        <v>0</v>
      </c>
      <c r="O4049" t="n">
        <v>0</v>
      </c>
      <c r="P4049" t="n">
        <v>0</v>
      </c>
      <c r="Q4049" t="n">
        <v>0</v>
      </c>
      <c r="R4049" s="2" t="inlineStr"/>
    </row>
    <row r="4050" ht="15" customHeight="1">
      <c r="A4050" t="inlineStr">
        <is>
          <t>A 12832-2022</t>
        </is>
      </c>
      <c r="B4050" s="1" t="n">
        <v>44642</v>
      </c>
      <c r="C4050" s="1" t="n">
        <v>45798</v>
      </c>
      <c r="D4050" t="inlineStr">
        <is>
          <t>NORRBOTTENS LÄN</t>
        </is>
      </c>
      <c r="E4050" t="inlineStr">
        <is>
          <t>BODEN</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12902-2022</t>
        </is>
      </c>
      <c r="B4051" s="1" t="n">
        <v>44642</v>
      </c>
      <c r="C4051" s="1" t="n">
        <v>45798</v>
      </c>
      <c r="D4051" t="inlineStr">
        <is>
          <t>NORRBOTTENS LÄN</t>
        </is>
      </c>
      <c r="E4051" t="inlineStr">
        <is>
          <t>BODEN</t>
        </is>
      </c>
      <c r="F4051" t="inlineStr">
        <is>
          <t>Övriga statliga verk och myndigheter</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12893-2022</t>
        </is>
      </c>
      <c r="B4052" s="1" t="n">
        <v>44642</v>
      </c>
      <c r="C4052" s="1" t="n">
        <v>45798</v>
      </c>
      <c r="D4052" t="inlineStr">
        <is>
          <t>NORRBOTTENS LÄN</t>
        </is>
      </c>
      <c r="E4052" t="inlineStr">
        <is>
          <t>BODEN</t>
        </is>
      </c>
      <c r="F4052" t="inlineStr">
        <is>
          <t>Övriga statliga verk och myndigheter</t>
        </is>
      </c>
      <c r="G4052" t="n">
        <v>15.8</v>
      </c>
      <c r="H4052" t="n">
        <v>0</v>
      </c>
      <c r="I4052" t="n">
        <v>0</v>
      </c>
      <c r="J4052" t="n">
        <v>0</v>
      </c>
      <c r="K4052" t="n">
        <v>0</v>
      </c>
      <c r="L4052" t="n">
        <v>0</v>
      </c>
      <c r="M4052" t="n">
        <v>0</v>
      </c>
      <c r="N4052" t="n">
        <v>0</v>
      </c>
      <c r="O4052" t="n">
        <v>0</v>
      </c>
      <c r="P4052" t="n">
        <v>0</v>
      </c>
      <c r="Q4052" t="n">
        <v>0</v>
      </c>
      <c r="R4052" s="2" t="inlineStr"/>
    </row>
    <row r="4053" ht="15" customHeight="1">
      <c r="A4053" t="inlineStr">
        <is>
          <t>A 12834-2022</t>
        </is>
      </c>
      <c r="B4053" s="1" t="n">
        <v>44642</v>
      </c>
      <c r="C4053" s="1" t="n">
        <v>45798</v>
      </c>
      <c r="D4053" t="inlineStr">
        <is>
          <t>NORRBOTTENS LÄN</t>
        </is>
      </c>
      <c r="E4053" t="inlineStr">
        <is>
          <t>PAJALA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12916-2022</t>
        </is>
      </c>
      <c r="B4054" s="1" t="n">
        <v>44642</v>
      </c>
      <c r="C4054" s="1" t="n">
        <v>45798</v>
      </c>
      <c r="D4054" t="inlineStr">
        <is>
          <t>NORRBOTTENS LÄN</t>
        </is>
      </c>
      <c r="E4054" t="inlineStr">
        <is>
          <t>PITEÅ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13090-2022</t>
        </is>
      </c>
      <c r="B4055" s="1" t="n">
        <v>44643</v>
      </c>
      <c r="C4055" s="1" t="n">
        <v>45798</v>
      </c>
      <c r="D4055" t="inlineStr">
        <is>
          <t>NORRBOTTENS LÄN</t>
        </is>
      </c>
      <c r="E4055" t="inlineStr">
        <is>
          <t>PITEÅ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13095-2022</t>
        </is>
      </c>
      <c r="B4056" s="1" t="n">
        <v>44643</v>
      </c>
      <c r="C4056" s="1" t="n">
        <v>45798</v>
      </c>
      <c r="D4056" t="inlineStr">
        <is>
          <t>NORRBOTTENS LÄN</t>
        </is>
      </c>
      <c r="E4056" t="inlineStr">
        <is>
          <t>LULEÅ</t>
        </is>
      </c>
      <c r="F4056" t="inlineStr">
        <is>
          <t>SCA</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13103-2022</t>
        </is>
      </c>
      <c r="B4057" s="1" t="n">
        <v>44643</v>
      </c>
      <c r="C4057" s="1" t="n">
        <v>45798</v>
      </c>
      <c r="D4057" t="inlineStr">
        <is>
          <t>NORRBOTTENS LÄN</t>
        </is>
      </c>
      <c r="E4057" t="inlineStr">
        <is>
          <t>PITEÅ</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13234-2022</t>
        </is>
      </c>
      <c r="B4058" s="1" t="n">
        <v>44644</v>
      </c>
      <c r="C4058" s="1" t="n">
        <v>45798</v>
      </c>
      <c r="D4058" t="inlineStr">
        <is>
          <t>NORRBOTTENS LÄN</t>
        </is>
      </c>
      <c r="E4058" t="inlineStr">
        <is>
          <t>PITEÅ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13463-2022</t>
        </is>
      </c>
      <c r="B4059" s="1" t="n">
        <v>44645</v>
      </c>
      <c r="C4059" s="1" t="n">
        <v>45798</v>
      </c>
      <c r="D4059" t="inlineStr">
        <is>
          <t>NORRBOTTENS LÄN</t>
        </is>
      </c>
      <c r="E4059" t="inlineStr">
        <is>
          <t>ÖVERKALIX</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13456-2022</t>
        </is>
      </c>
      <c r="B4060" s="1" t="n">
        <v>44645</v>
      </c>
      <c r="C4060" s="1" t="n">
        <v>45798</v>
      </c>
      <c r="D4060" t="inlineStr">
        <is>
          <t>NORRBOTTENS LÄN</t>
        </is>
      </c>
      <c r="E4060" t="inlineStr">
        <is>
          <t>ÄLVSBYN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13465-2022</t>
        </is>
      </c>
      <c r="B4061" s="1" t="n">
        <v>44645</v>
      </c>
      <c r="C4061" s="1" t="n">
        <v>45798</v>
      </c>
      <c r="D4061" t="inlineStr">
        <is>
          <t>NORRBOTTENS LÄN</t>
        </is>
      </c>
      <c r="E4061" t="inlineStr">
        <is>
          <t>ÖVERKALIX</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13556-2022</t>
        </is>
      </c>
      <c r="B4062" s="1" t="n">
        <v>44648</v>
      </c>
      <c r="C4062" s="1" t="n">
        <v>45798</v>
      </c>
      <c r="D4062" t="inlineStr">
        <is>
          <t>NORRBOTTENS LÄN</t>
        </is>
      </c>
      <c r="E4062" t="inlineStr">
        <is>
          <t>BODEN</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13573-2022</t>
        </is>
      </c>
      <c r="B4063" s="1" t="n">
        <v>44648</v>
      </c>
      <c r="C4063" s="1" t="n">
        <v>45798</v>
      </c>
      <c r="D4063" t="inlineStr">
        <is>
          <t>NORRBOTTENS LÄN</t>
        </is>
      </c>
      <c r="E4063" t="inlineStr">
        <is>
          <t>BODEN</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13592-2022</t>
        </is>
      </c>
      <c r="B4064" s="1" t="n">
        <v>44648</v>
      </c>
      <c r="C4064" s="1" t="n">
        <v>45798</v>
      </c>
      <c r="D4064" t="inlineStr">
        <is>
          <t>NORRBOTTENS LÄN</t>
        </is>
      </c>
      <c r="E4064" t="inlineStr">
        <is>
          <t>BODEN</t>
        </is>
      </c>
      <c r="F4064" t="inlineStr">
        <is>
          <t>Sveaskog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13537-2022</t>
        </is>
      </c>
      <c r="B4065" s="1" t="n">
        <v>44648</v>
      </c>
      <c r="C4065" s="1" t="n">
        <v>45798</v>
      </c>
      <c r="D4065" t="inlineStr">
        <is>
          <t>NORRBOTTENS LÄN</t>
        </is>
      </c>
      <c r="E4065" t="inlineStr">
        <is>
          <t>KALIX</t>
        </is>
      </c>
      <c r="F4065" t="inlineStr">
        <is>
          <t>BillerudKorsnäs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13552-2022</t>
        </is>
      </c>
      <c r="B4066" s="1" t="n">
        <v>44648</v>
      </c>
      <c r="C4066" s="1" t="n">
        <v>45798</v>
      </c>
      <c r="D4066" t="inlineStr">
        <is>
          <t>NORRBOTTENS LÄN</t>
        </is>
      </c>
      <c r="E4066" t="inlineStr">
        <is>
          <t>BODEN</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13577-2022</t>
        </is>
      </c>
      <c r="B4067" s="1" t="n">
        <v>44648</v>
      </c>
      <c r="C4067" s="1" t="n">
        <v>45798</v>
      </c>
      <c r="D4067" t="inlineStr">
        <is>
          <t>NORRBOTTENS LÄN</t>
        </is>
      </c>
      <c r="E4067" t="inlineStr">
        <is>
          <t>BODEN</t>
        </is>
      </c>
      <c r="F4067" t="inlineStr">
        <is>
          <t>Sveaskog</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13535-2022</t>
        </is>
      </c>
      <c r="B4068" s="1" t="n">
        <v>44648</v>
      </c>
      <c r="C4068" s="1" t="n">
        <v>45798</v>
      </c>
      <c r="D4068" t="inlineStr">
        <is>
          <t>NORRBOTTENS LÄN</t>
        </is>
      </c>
      <c r="E4068" t="inlineStr">
        <is>
          <t>BODEN</t>
        </is>
      </c>
      <c r="F4068" t="inlineStr">
        <is>
          <t>Sveaskog</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13568-2022</t>
        </is>
      </c>
      <c r="B4069" s="1" t="n">
        <v>44648</v>
      </c>
      <c r="C4069" s="1" t="n">
        <v>45798</v>
      </c>
      <c r="D4069" t="inlineStr">
        <is>
          <t>NORRBOTTENS LÄN</t>
        </is>
      </c>
      <c r="E4069" t="inlineStr">
        <is>
          <t>BODEN</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13663-2022</t>
        </is>
      </c>
      <c r="B4070" s="1" t="n">
        <v>44648</v>
      </c>
      <c r="C4070" s="1" t="n">
        <v>45798</v>
      </c>
      <c r="D4070" t="inlineStr">
        <is>
          <t>NORRBOTTENS LÄN</t>
        </is>
      </c>
      <c r="E4070" t="inlineStr">
        <is>
          <t>BODEN</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13715-2022</t>
        </is>
      </c>
      <c r="B4071" s="1" t="n">
        <v>44648</v>
      </c>
      <c r="C4071" s="1" t="n">
        <v>45798</v>
      </c>
      <c r="D4071" t="inlineStr">
        <is>
          <t>NORRBOTTENS LÄN</t>
        </is>
      </c>
      <c r="E4071" t="inlineStr">
        <is>
          <t>BODEN</t>
        </is>
      </c>
      <c r="F4071" t="inlineStr">
        <is>
          <t>Sveaskog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13659-2022</t>
        </is>
      </c>
      <c r="B4072" s="1" t="n">
        <v>44648</v>
      </c>
      <c r="C4072" s="1" t="n">
        <v>45798</v>
      </c>
      <c r="D4072" t="inlineStr">
        <is>
          <t>NORRBOTTENS LÄN</t>
        </is>
      </c>
      <c r="E4072" t="inlineStr">
        <is>
          <t>BODEN</t>
        </is>
      </c>
      <c r="F4072" t="inlineStr">
        <is>
          <t>Sveaskog</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13714-2022</t>
        </is>
      </c>
      <c r="B4073" s="1" t="n">
        <v>44648</v>
      </c>
      <c r="C4073" s="1" t="n">
        <v>45798</v>
      </c>
      <c r="D4073" t="inlineStr">
        <is>
          <t>NORRBOTTENS LÄN</t>
        </is>
      </c>
      <c r="E4073" t="inlineStr">
        <is>
          <t>BODEN</t>
        </is>
      </c>
      <c r="F4073" t="inlineStr">
        <is>
          <t>Sveaskog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13717-2022</t>
        </is>
      </c>
      <c r="B4074" s="1" t="n">
        <v>44648</v>
      </c>
      <c r="C4074" s="1" t="n">
        <v>45798</v>
      </c>
      <c r="D4074" t="inlineStr">
        <is>
          <t>NORRBOTTENS LÄN</t>
        </is>
      </c>
      <c r="E4074" t="inlineStr">
        <is>
          <t>ÖVERKALIX</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14279-2022</t>
        </is>
      </c>
      <c r="B4075" s="1" t="n">
        <v>44651</v>
      </c>
      <c r="C4075" s="1" t="n">
        <v>45798</v>
      </c>
      <c r="D4075" t="inlineStr">
        <is>
          <t>NORRBOTTENS LÄN</t>
        </is>
      </c>
      <c r="E4075" t="inlineStr">
        <is>
          <t>GÄLLIVARE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14307-2022</t>
        </is>
      </c>
      <c r="B4076" s="1" t="n">
        <v>44651</v>
      </c>
      <c r="C4076" s="1" t="n">
        <v>45798</v>
      </c>
      <c r="D4076" t="inlineStr">
        <is>
          <t>NORRBOTTENS LÄN</t>
        </is>
      </c>
      <c r="E4076" t="inlineStr">
        <is>
          <t>BODEN</t>
        </is>
      </c>
      <c r="F4076" t="inlineStr">
        <is>
          <t>SCA</t>
        </is>
      </c>
      <c r="G4076" t="n">
        <v>17.2</v>
      </c>
      <c r="H4076" t="n">
        <v>0</v>
      </c>
      <c r="I4076" t="n">
        <v>0</v>
      </c>
      <c r="J4076" t="n">
        <v>0</v>
      </c>
      <c r="K4076" t="n">
        <v>0</v>
      </c>
      <c r="L4076" t="n">
        <v>0</v>
      </c>
      <c r="M4076" t="n">
        <v>0</v>
      </c>
      <c r="N4076" t="n">
        <v>0</v>
      </c>
      <c r="O4076" t="n">
        <v>0</v>
      </c>
      <c r="P4076" t="n">
        <v>0</v>
      </c>
      <c r="Q4076" t="n">
        <v>0</v>
      </c>
      <c r="R4076" s="2" t="inlineStr"/>
    </row>
    <row r="4077" ht="15" customHeight="1">
      <c r="A4077" t="inlineStr">
        <is>
          <t>A 14561-2022</t>
        </is>
      </c>
      <c r="B4077" s="1" t="n">
        <v>44655</v>
      </c>
      <c r="C4077" s="1" t="n">
        <v>45798</v>
      </c>
      <c r="D4077" t="inlineStr">
        <is>
          <t>NORRBOTTENS LÄN</t>
        </is>
      </c>
      <c r="E4077" t="inlineStr">
        <is>
          <t>LULEÅ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14685-2022</t>
        </is>
      </c>
      <c r="B4078" s="1" t="n">
        <v>44656</v>
      </c>
      <c r="C4078" s="1" t="n">
        <v>45798</v>
      </c>
      <c r="D4078" t="inlineStr">
        <is>
          <t>NORRBOTTENS LÄN</t>
        </is>
      </c>
      <c r="E4078" t="inlineStr">
        <is>
          <t>ÖVERKALIX</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14871-2022</t>
        </is>
      </c>
      <c r="B4079" s="1" t="n">
        <v>44656</v>
      </c>
      <c r="C4079" s="1" t="n">
        <v>45798</v>
      </c>
      <c r="D4079" t="inlineStr">
        <is>
          <t>NORRBOTTENS LÄN</t>
        </is>
      </c>
      <c r="E4079" t="inlineStr">
        <is>
          <t>PITEÅ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14545-2022</t>
        </is>
      </c>
      <c r="B4080" s="1" t="n">
        <v>44657</v>
      </c>
      <c r="C4080" s="1" t="n">
        <v>45798</v>
      </c>
      <c r="D4080" t="inlineStr">
        <is>
          <t>NORRBOTTENS LÄN</t>
        </is>
      </c>
      <c r="E4080" t="inlineStr">
        <is>
          <t>BODEN</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14964-2022</t>
        </is>
      </c>
      <c r="B4081" s="1" t="n">
        <v>44657</v>
      </c>
      <c r="C4081" s="1" t="n">
        <v>45798</v>
      </c>
      <c r="D4081" t="inlineStr">
        <is>
          <t>NORRBOTTENS LÄN</t>
        </is>
      </c>
      <c r="E4081" t="inlineStr">
        <is>
          <t>ARVIDSJAUR</t>
        </is>
      </c>
      <c r="F4081" t="inlineStr">
        <is>
          <t>Sveaskog</t>
        </is>
      </c>
      <c r="G4081" t="n">
        <v>15.3</v>
      </c>
      <c r="H4081" t="n">
        <v>0</v>
      </c>
      <c r="I4081" t="n">
        <v>0</v>
      </c>
      <c r="J4081" t="n">
        <v>0</v>
      </c>
      <c r="K4081" t="n">
        <v>0</v>
      </c>
      <c r="L4081" t="n">
        <v>0</v>
      </c>
      <c r="M4081" t="n">
        <v>0</v>
      </c>
      <c r="N4081" t="n">
        <v>0</v>
      </c>
      <c r="O4081" t="n">
        <v>0</v>
      </c>
      <c r="P4081" t="n">
        <v>0</v>
      </c>
      <c r="Q4081" t="n">
        <v>0</v>
      </c>
      <c r="R4081" s="2" t="inlineStr"/>
    </row>
    <row r="4082" ht="15" customHeight="1">
      <c r="A4082" t="inlineStr">
        <is>
          <t>A 14995-2022</t>
        </is>
      </c>
      <c r="B4082" s="1" t="n">
        <v>44657</v>
      </c>
      <c r="C4082" s="1" t="n">
        <v>45798</v>
      </c>
      <c r="D4082" t="inlineStr">
        <is>
          <t>NORRBOTTENS LÄN</t>
        </is>
      </c>
      <c r="E4082" t="inlineStr">
        <is>
          <t>BODEN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15017-2022</t>
        </is>
      </c>
      <c r="B4083" s="1" t="n">
        <v>44657</v>
      </c>
      <c r="C4083" s="1" t="n">
        <v>45798</v>
      </c>
      <c r="D4083" t="inlineStr">
        <is>
          <t>NORRBOTTENS LÄN</t>
        </is>
      </c>
      <c r="E4083" t="inlineStr">
        <is>
          <t>BODEN</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15047-2022</t>
        </is>
      </c>
      <c r="B4084" s="1" t="n">
        <v>44657</v>
      </c>
      <c r="C4084" s="1" t="n">
        <v>45798</v>
      </c>
      <c r="D4084" t="inlineStr">
        <is>
          <t>NORRBOTTENS LÄN</t>
        </is>
      </c>
      <c r="E4084" t="inlineStr">
        <is>
          <t>LULEÅ</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15000-2022</t>
        </is>
      </c>
      <c r="B4085" s="1" t="n">
        <v>44657</v>
      </c>
      <c r="C4085" s="1" t="n">
        <v>45798</v>
      </c>
      <c r="D4085" t="inlineStr">
        <is>
          <t>NORRBOTTENS LÄN</t>
        </is>
      </c>
      <c r="E4085" t="inlineStr">
        <is>
          <t>BODEN</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15133-2022</t>
        </is>
      </c>
      <c r="B4086" s="1" t="n">
        <v>44658</v>
      </c>
      <c r="C4086" s="1" t="n">
        <v>45798</v>
      </c>
      <c r="D4086" t="inlineStr">
        <is>
          <t>NORRBOTTENS LÄN</t>
        </is>
      </c>
      <c r="E4086" t="inlineStr">
        <is>
          <t>ÖVERKALIX</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15194-2022</t>
        </is>
      </c>
      <c r="B4087" s="1" t="n">
        <v>44658</v>
      </c>
      <c r="C4087" s="1" t="n">
        <v>45798</v>
      </c>
      <c r="D4087" t="inlineStr">
        <is>
          <t>NORRBOTTENS LÄN</t>
        </is>
      </c>
      <c r="E4087" t="inlineStr">
        <is>
          <t>LULEÅ</t>
        </is>
      </c>
      <c r="G4087" t="n">
        <v>26.9</v>
      </c>
      <c r="H4087" t="n">
        <v>0</v>
      </c>
      <c r="I4087" t="n">
        <v>0</v>
      </c>
      <c r="J4087" t="n">
        <v>0</v>
      </c>
      <c r="K4087" t="n">
        <v>0</v>
      </c>
      <c r="L4087" t="n">
        <v>0</v>
      </c>
      <c r="M4087" t="n">
        <v>0</v>
      </c>
      <c r="N4087" t="n">
        <v>0</v>
      </c>
      <c r="O4087" t="n">
        <v>0</v>
      </c>
      <c r="P4087" t="n">
        <v>0</v>
      </c>
      <c r="Q4087" t="n">
        <v>0</v>
      </c>
      <c r="R4087" s="2" t="inlineStr"/>
    </row>
    <row r="4088" ht="15" customHeight="1">
      <c r="A4088" t="inlineStr">
        <is>
          <t>A 15199-2022</t>
        </is>
      </c>
      <c r="B4088" s="1" t="n">
        <v>44658</v>
      </c>
      <c r="C4088" s="1" t="n">
        <v>45798</v>
      </c>
      <c r="D4088" t="inlineStr">
        <is>
          <t>NORRBOTTENS LÄN</t>
        </is>
      </c>
      <c r="E4088" t="inlineStr">
        <is>
          <t>PITEÅ</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15301-2022</t>
        </is>
      </c>
      <c r="B4089" s="1" t="n">
        <v>44659</v>
      </c>
      <c r="C4089" s="1" t="n">
        <v>45798</v>
      </c>
      <c r="D4089" t="inlineStr">
        <is>
          <t>NORRBOTTENS LÄN</t>
        </is>
      </c>
      <c r="E4089" t="inlineStr">
        <is>
          <t>ÖVERKALIX</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15406-2022</t>
        </is>
      </c>
      <c r="B4090" s="1" t="n">
        <v>44659</v>
      </c>
      <c r="C4090" s="1" t="n">
        <v>45798</v>
      </c>
      <c r="D4090" t="inlineStr">
        <is>
          <t>NORRBOTTENS LÄN</t>
        </is>
      </c>
      <c r="E4090" t="inlineStr">
        <is>
          <t>BODEN</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15305-2022</t>
        </is>
      </c>
      <c r="B4091" s="1" t="n">
        <v>44659</v>
      </c>
      <c r="C4091" s="1" t="n">
        <v>45798</v>
      </c>
      <c r="D4091" t="inlineStr">
        <is>
          <t>NORRBOTTENS LÄN</t>
        </is>
      </c>
      <c r="E4091" t="inlineStr">
        <is>
          <t>KALIX</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15500-2022</t>
        </is>
      </c>
      <c r="B4092" s="1" t="n">
        <v>44662</v>
      </c>
      <c r="C4092" s="1" t="n">
        <v>45798</v>
      </c>
      <c r="D4092" t="inlineStr">
        <is>
          <t>NORRBOTTENS LÄN</t>
        </is>
      </c>
      <c r="E4092" t="inlineStr">
        <is>
          <t>ÖVERTORNEÅ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15526-2022</t>
        </is>
      </c>
      <c r="B4093" s="1" t="n">
        <v>44662</v>
      </c>
      <c r="C4093" s="1" t="n">
        <v>45798</v>
      </c>
      <c r="D4093" t="inlineStr">
        <is>
          <t>NORRBOTTENS LÄN</t>
        </is>
      </c>
      <c r="E4093" t="inlineStr">
        <is>
          <t>ÄLVSBYN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15796-2022</t>
        </is>
      </c>
      <c r="B4094" s="1" t="n">
        <v>44663</v>
      </c>
      <c r="C4094" s="1" t="n">
        <v>45798</v>
      </c>
      <c r="D4094" t="inlineStr">
        <is>
          <t>NORRBOTTENS LÄN</t>
        </is>
      </c>
      <c r="E4094" t="inlineStr">
        <is>
          <t>PAJALA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15714-2022</t>
        </is>
      </c>
      <c r="B4095" s="1" t="n">
        <v>44663</v>
      </c>
      <c r="C4095" s="1" t="n">
        <v>45798</v>
      </c>
      <c r="D4095" t="inlineStr">
        <is>
          <t>NORRBOTTENS LÄN</t>
        </is>
      </c>
      <c r="E4095" t="inlineStr">
        <is>
          <t>JOKKMOKK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15798-2022</t>
        </is>
      </c>
      <c r="B4096" s="1" t="n">
        <v>44663</v>
      </c>
      <c r="C4096" s="1" t="n">
        <v>45798</v>
      </c>
      <c r="D4096" t="inlineStr">
        <is>
          <t>NORRBOTTENS LÄN</t>
        </is>
      </c>
      <c r="E4096" t="inlineStr">
        <is>
          <t>PAJALA</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15800-2022</t>
        </is>
      </c>
      <c r="B4097" s="1" t="n">
        <v>44663</v>
      </c>
      <c r="C4097" s="1" t="n">
        <v>45798</v>
      </c>
      <c r="D4097" t="inlineStr">
        <is>
          <t>NORRBOTTENS LÄN</t>
        </is>
      </c>
      <c r="E4097" t="inlineStr">
        <is>
          <t>PAJALA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15807-2022</t>
        </is>
      </c>
      <c r="B4098" s="1" t="n">
        <v>44663</v>
      </c>
      <c r="C4098" s="1" t="n">
        <v>45798</v>
      </c>
      <c r="D4098" t="inlineStr">
        <is>
          <t>NORRBOTTENS LÄN</t>
        </is>
      </c>
      <c r="E4098" t="inlineStr">
        <is>
          <t>BODEN</t>
        </is>
      </c>
      <c r="F4098" t="inlineStr">
        <is>
          <t>SCA</t>
        </is>
      </c>
      <c r="G4098" t="n">
        <v>32.9</v>
      </c>
      <c r="H4098" t="n">
        <v>0</v>
      </c>
      <c r="I4098" t="n">
        <v>0</v>
      </c>
      <c r="J4098" t="n">
        <v>0</v>
      </c>
      <c r="K4098" t="n">
        <v>0</v>
      </c>
      <c r="L4098" t="n">
        <v>0</v>
      </c>
      <c r="M4098" t="n">
        <v>0</v>
      </c>
      <c r="N4098" t="n">
        <v>0</v>
      </c>
      <c r="O4098" t="n">
        <v>0</v>
      </c>
      <c r="P4098" t="n">
        <v>0</v>
      </c>
      <c r="Q4098" t="n">
        <v>0</v>
      </c>
      <c r="R4098" s="2" t="inlineStr"/>
    </row>
    <row r="4099" ht="15" customHeight="1">
      <c r="A4099" t="inlineStr">
        <is>
          <t>A 15926-2022</t>
        </is>
      </c>
      <c r="B4099" s="1" t="n">
        <v>44664</v>
      </c>
      <c r="C4099" s="1" t="n">
        <v>45798</v>
      </c>
      <c r="D4099" t="inlineStr">
        <is>
          <t>NORRBOTTENS LÄN</t>
        </is>
      </c>
      <c r="E4099" t="inlineStr">
        <is>
          <t>ÖVERKALIX</t>
        </is>
      </c>
      <c r="F4099" t="inlineStr">
        <is>
          <t>Sveaskog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15848-2022</t>
        </is>
      </c>
      <c r="B4100" s="1" t="n">
        <v>44664</v>
      </c>
      <c r="C4100" s="1" t="n">
        <v>45798</v>
      </c>
      <c r="D4100" t="inlineStr">
        <is>
          <t>NORRBOTTENS LÄN</t>
        </is>
      </c>
      <c r="E4100" t="inlineStr">
        <is>
          <t>LULEÅ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16186-2022</t>
        </is>
      </c>
      <c r="B4101" s="1" t="n">
        <v>44669</v>
      </c>
      <c r="C4101" s="1" t="n">
        <v>45798</v>
      </c>
      <c r="D4101" t="inlineStr">
        <is>
          <t>NORRBOTTENS LÄN</t>
        </is>
      </c>
      <c r="E4101" t="inlineStr">
        <is>
          <t>KALIX</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16471-2022</t>
        </is>
      </c>
      <c r="B4102" s="1" t="n">
        <v>44671</v>
      </c>
      <c r="C4102" s="1" t="n">
        <v>45798</v>
      </c>
      <c r="D4102" t="inlineStr">
        <is>
          <t>NORRBOTTENS LÄN</t>
        </is>
      </c>
      <c r="E4102" t="inlineStr">
        <is>
          <t>ÖVERTORNEÅ</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16478-2022</t>
        </is>
      </c>
      <c r="B4103" s="1" t="n">
        <v>44671</v>
      </c>
      <c r="C4103" s="1" t="n">
        <v>45798</v>
      </c>
      <c r="D4103" t="inlineStr">
        <is>
          <t>NORRBOTTENS LÄN</t>
        </is>
      </c>
      <c r="E4103" t="inlineStr">
        <is>
          <t>BODEN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16531-2022</t>
        </is>
      </c>
      <c r="B4104" s="1" t="n">
        <v>44671</v>
      </c>
      <c r="C4104" s="1" t="n">
        <v>45798</v>
      </c>
      <c r="D4104" t="inlineStr">
        <is>
          <t>NORRBOTTENS LÄN</t>
        </is>
      </c>
      <c r="E4104" t="inlineStr">
        <is>
          <t>BODEN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16530-2022</t>
        </is>
      </c>
      <c r="B4105" s="1" t="n">
        <v>44671</v>
      </c>
      <c r="C4105" s="1" t="n">
        <v>45798</v>
      </c>
      <c r="D4105" t="inlineStr">
        <is>
          <t>NORRBOTTENS LÄN</t>
        </is>
      </c>
      <c r="E4105" t="inlineStr">
        <is>
          <t>BODEN</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16566-2022</t>
        </is>
      </c>
      <c r="B4106" s="1" t="n">
        <v>44672</v>
      </c>
      <c r="C4106" s="1" t="n">
        <v>45798</v>
      </c>
      <c r="D4106" t="inlineStr">
        <is>
          <t>NORRBOTTENS LÄN</t>
        </is>
      </c>
      <c r="E4106" t="inlineStr">
        <is>
          <t>ÖVERTORNEÅ</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16549-2022</t>
        </is>
      </c>
      <c r="B4107" s="1" t="n">
        <v>44672</v>
      </c>
      <c r="C4107" s="1" t="n">
        <v>45798</v>
      </c>
      <c r="D4107" t="inlineStr">
        <is>
          <t>NORRBOTTENS LÄN</t>
        </is>
      </c>
      <c r="E4107" t="inlineStr">
        <is>
          <t>GÄLLIVARE</t>
        </is>
      </c>
      <c r="G4107" t="n">
        <v>25.9</v>
      </c>
      <c r="H4107" t="n">
        <v>0</v>
      </c>
      <c r="I4107" t="n">
        <v>0</v>
      </c>
      <c r="J4107" t="n">
        <v>0</v>
      </c>
      <c r="K4107" t="n">
        <v>0</v>
      </c>
      <c r="L4107" t="n">
        <v>0</v>
      </c>
      <c r="M4107" t="n">
        <v>0</v>
      </c>
      <c r="N4107" t="n">
        <v>0</v>
      </c>
      <c r="O4107" t="n">
        <v>0</v>
      </c>
      <c r="P4107" t="n">
        <v>0</v>
      </c>
      <c r="Q4107" t="n">
        <v>0</v>
      </c>
      <c r="R4107" s="2" t="inlineStr"/>
    </row>
    <row r="4108" ht="15" customHeight="1">
      <c r="A4108" t="inlineStr">
        <is>
          <t>A 16561-2022</t>
        </is>
      </c>
      <c r="B4108" s="1" t="n">
        <v>44672</v>
      </c>
      <c r="C4108" s="1" t="n">
        <v>45798</v>
      </c>
      <c r="D4108" t="inlineStr">
        <is>
          <t>NORRBOTTENS LÄN</t>
        </is>
      </c>
      <c r="E4108" t="inlineStr">
        <is>
          <t>ÖVERTORNEÅ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16741-2022</t>
        </is>
      </c>
      <c r="B4109" s="1" t="n">
        <v>44673</v>
      </c>
      <c r="C4109" s="1" t="n">
        <v>45798</v>
      </c>
      <c r="D4109" t="inlineStr">
        <is>
          <t>NORRBOTTENS LÄN</t>
        </is>
      </c>
      <c r="E4109" t="inlineStr">
        <is>
          <t>BODEN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16793-2022</t>
        </is>
      </c>
      <c r="B4110" s="1" t="n">
        <v>44673</v>
      </c>
      <c r="C4110" s="1" t="n">
        <v>45798</v>
      </c>
      <c r="D4110" t="inlineStr">
        <is>
          <t>NORRBOTTENS LÄN</t>
        </is>
      </c>
      <c r="E4110" t="inlineStr">
        <is>
          <t>LULEÅ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17000-2022</t>
        </is>
      </c>
      <c r="B4111" s="1" t="n">
        <v>44676</v>
      </c>
      <c r="C4111" s="1" t="n">
        <v>45798</v>
      </c>
      <c r="D4111" t="inlineStr">
        <is>
          <t>NORRBOTTENS LÄN</t>
        </is>
      </c>
      <c r="E4111" t="inlineStr">
        <is>
          <t>JOKKMOKK</t>
        </is>
      </c>
      <c r="G4111" t="n">
        <v>36.6</v>
      </c>
      <c r="H4111" t="n">
        <v>0</v>
      </c>
      <c r="I4111" t="n">
        <v>0</v>
      </c>
      <c r="J4111" t="n">
        <v>0</v>
      </c>
      <c r="K4111" t="n">
        <v>0</v>
      </c>
      <c r="L4111" t="n">
        <v>0</v>
      </c>
      <c r="M4111" t="n">
        <v>0</v>
      </c>
      <c r="N4111" t="n">
        <v>0</v>
      </c>
      <c r="O4111" t="n">
        <v>0</v>
      </c>
      <c r="P4111" t="n">
        <v>0</v>
      </c>
      <c r="Q4111" t="n">
        <v>0</v>
      </c>
      <c r="R4111" s="2" t="inlineStr"/>
    </row>
    <row r="4112" ht="15" customHeight="1">
      <c r="A4112" t="inlineStr">
        <is>
          <t>A 16987-2022</t>
        </is>
      </c>
      <c r="B4112" s="1" t="n">
        <v>44676</v>
      </c>
      <c r="C4112" s="1" t="n">
        <v>45798</v>
      </c>
      <c r="D4112" t="inlineStr">
        <is>
          <t>NORRBOTTENS LÄN</t>
        </is>
      </c>
      <c r="E4112" t="inlineStr">
        <is>
          <t>LULEÅ</t>
        </is>
      </c>
      <c r="G4112" t="n">
        <v>29.9</v>
      </c>
      <c r="H4112" t="n">
        <v>0</v>
      </c>
      <c r="I4112" t="n">
        <v>0</v>
      </c>
      <c r="J4112" t="n">
        <v>0</v>
      </c>
      <c r="K4112" t="n">
        <v>0</v>
      </c>
      <c r="L4112" t="n">
        <v>0</v>
      </c>
      <c r="M4112" t="n">
        <v>0</v>
      </c>
      <c r="N4112" t="n">
        <v>0</v>
      </c>
      <c r="O4112" t="n">
        <v>0</v>
      </c>
      <c r="P4112" t="n">
        <v>0</v>
      </c>
      <c r="Q4112" t="n">
        <v>0</v>
      </c>
      <c r="R4112" s="2" t="inlineStr"/>
    </row>
    <row r="4113" ht="15" customHeight="1">
      <c r="A4113" t="inlineStr">
        <is>
          <t>A 17121-2022</t>
        </is>
      </c>
      <c r="B4113" s="1" t="n">
        <v>44677</v>
      </c>
      <c r="C4113" s="1" t="n">
        <v>45798</v>
      </c>
      <c r="D4113" t="inlineStr">
        <is>
          <t>NORRBOTTENS LÄN</t>
        </is>
      </c>
      <c r="E4113" t="inlineStr">
        <is>
          <t>BODEN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17094-2022</t>
        </is>
      </c>
      <c r="B4114" s="1" t="n">
        <v>44677</v>
      </c>
      <c r="C4114" s="1" t="n">
        <v>45798</v>
      </c>
      <c r="D4114" t="inlineStr">
        <is>
          <t>NORRBOTTENS LÄN</t>
        </is>
      </c>
      <c r="E4114" t="inlineStr">
        <is>
          <t>ÄLVSBYN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17289-2022</t>
        </is>
      </c>
      <c r="B4115" s="1" t="n">
        <v>44678</v>
      </c>
      <c r="C4115" s="1" t="n">
        <v>45798</v>
      </c>
      <c r="D4115" t="inlineStr">
        <is>
          <t>NORRBOTTENS LÄN</t>
        </is>
      </c>
      <c r="E4115" t="inlineStr">
        <is>
          <t>BODEN</t>
        </is>
      </c>
      <c r="F4115" t="inlineStr">
        <is>
          <t>Kyrkan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17548-2022</t>
        </is>
      </c>
      <c r="B4116" s="1" t="n">
        <v>44679</v>
      </c>
      <c r="C4116" s="1" t="n">
        <v>45798</v>
      </c>
      <c r="D4116" t="inlineStr">
        <is>
          <t>NORRBOTTENS LÄN</t>
        </is>
      </c>
      <c r="E4116" t="inlineStr">
        <is>
          <t>LULEÅ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17686-2022</t>
        </is>
      </c>
      <c r="B4117" s="1" t="n">
        <v>44680</v>
      </c>
      <c r="C4117" s="1" t="n">
        <v>45798</v>
      </c>
      <c r="D4117" t="inlineStr">
        <is>
          <t>NORRBOTTENS LÄN</t>
        </is>
      </c>
      <c r="E4117" t="inlineStr">
        <is>
          <t>ARVIDSJAUR</t>
        </is>
      </c>
      <c r="G4117" t="n">
        <v>9.5</v>
      </c>
      <c r="H4117" t="n">
        <v>0</v>
      </c>
      <c r="I4117" t="n">
        <v>0</v>
      </c>
      <c r="J4117" t="n">
        <v>0</v>
      </c>
      <c r="K4117" t="n">
        <v>0</v>
      </c>
      <c r="L4117" t="n">
        <v>0</v>
      </c>
      <c r="M4117" t="n">
        <v>0</v>
      </c>
      <c r="N4117" t="n">
        <v>0</v>
      </c>
      <c r="O4117" t="n">
        <v>0</v>
      </c>
      <c r="P4117" t="n">
        <v>0</v>
      </c>
      <c r="Q4117" t="n">
        <v>0</v>
      </c>
      <c r="R4117" s="2" t="inlineStr"/>
    </row>
    <row r="4118" ht="15" customHeight="1">
      <c r="A4118" t="inlineStr">
        <is>
          <t>A 17850-2022</t>
        </is>
      </c>
      <c r="B4118" s="1" t="n">
        <v>44683</v>
      </c>
      <c r="C4118" s="1" t="n">
        <v>45798</v>
      </c>
      <c r="D4118" t="inlineStr">
        <is>
          <t>NORRBOTTENS LÄN</t>
        </is>
      </c>
      <c r="E4118" t="inlineStr">
        <is>
          <t>ÖVERKALIX</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17928-2022</t>
        </is>
      </c>
      <c r="B4119" s="1" t="n">
        <v>44683</v>
      </c>
      <c r="C4119" s="1" t="n">
        <v>45798</v>
      </c>
      <c r="D4119" t="inlineStr">
        <is>
          <t>NORRBOTTENS LÄN</t>
        </is>
      </c>
      <c r="E4119" t="inlineStr">
        <is>
          <t>ÖVERTORNEÅ</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18059-2022</t>
        </is>
      </c>
      <c r="B4120" s="1" t="n">
        <v>44683</v>
      </c>
      <c r="C4120" s="1" t="n">
        <v>45798</v>
      </c>
      <c r="D4120" t="inlineStr">
        <is>
          <t>NORRBOTTENS LÄN</t>
        </is>
      </c>
      <c r="E4120" t="inlineStr">
        <is>
          <t>PITEÅ</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18065-2022</t>
        </is>
      </c>
      <c r="B4121" s="1" t="n">
        <v>44683</v>
      </c>
      <c r="C4121" s="1" t="n">
        <v>45798</v>
      </c>
      <c r="D4121" t="inlineStr">
        <is>
          <t>NORRBOTTENS LÄN</t>
        </is>
      </c>
      <c r="E4121" t="inlineStr">
        <is>
          <t>PITEÅ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18129-2022</t>
        </is>
      </c>
      <c r="B4122" s="1" t="n">
        <v>44684</v>
      </c>
      <c r="C4122" s="1" t="n">
        <v>45798</v>
      </c>
      <c r="D4122" t="inlineStr">
        <is>
          <t>NORRBOTTENS LÄN</t>
        </is>
      </c>
      <c r="E4122" t="inlineStr">
        <is>
          <t>PAJALA</t>
        </is>
      </c>
      <c r="G4122" t="n">
        <v>24.3</v>
      </c>
      <c r="H4122" t="n">
        <v>0</v>
      </c>
      <c r="I4122" t="n">
        <v>0</v>
      </c>
      <c r="J4122" t="n">
        <v>0</v>
      </c>
      <c r="K4122" t="n">
        <v>0</v>
      </c>
      <c r="L4122" t="n">
        <v>0</v>
      </c>
      <c r="M4122" t="n">
        <v>0</v>
      </c>
      <c r="N4122" t="n">
        <v>0</v>
      </c>
      <c r="O4122" t="n">
        <v>0</v>
      </c>
      <c r="P4122" t="n">
        <v>0</v>
      </c>
      <c r="Q4122" t="n">
        <v>0</v>
      </c>
      <c r="R4122" s="2" t="inlineStr"/>
    </row>
    <row r="4123" ht="15" customHeight="1">
      <c r="A4123" t="inlineStr">
        <is>
          <t>A 18137-2022</t>
        </is>
      </c>
      <c r="B4123" s="1" t="n">
        <v>44684</v>
      </c>
      <c r="C4123" s="1" t="n">
        <v>45798</v>
      </c>
      <c r="D4123" t="inlineStr">
        <is>
          <t>NORRBOTTENS LÄN</t>
        </is>
      </c>
      <c r="E4123" t="inlineStr">
        <is>
          <t>PAJALA</t>
        </is>
      </c>
      <c r="G4123" t="n">
        <v>19.1</v>
      </c>
      <c r="H4123" t="n">
        <v>0</v>
      </c>
      <c r="I4123" t="n">
        <v>0</v>
      </c>
      <c r="J4123" t="n">
        <v>0</v>
      </c>
      <c r="K4123" t="n">
        <v>0</v>
      </c>
      <c r="L4123" t="n">
        <v>0</v>
      </c>
      <c r="M4123" t="n">
        <v>0</v>
      </c>
      <c r="N4123" t="n">
        <v>0</v>
      </c>
      <c r="O4123" t="n">
        <v>0</v>
      </c>
      <c r="P4123" t="n">
        <v>0</v>
      </c>
      <c r="Q4123" t="n">
        <v>0</v>
      </c>
      <c r="R4123" s="2" t="inlineStr"/>
    </row>
    <row r="4124" ht="15" customHeight="1">
      <c r="A4124" t="inlineStr">
        <is>
          <t>A 18104-2022</t>
        </is>
      </c>
      <c r="B4124" s="1" t="n">
        <v>44684</v>
      </c>
      <c r="C4124" s="1" t="n">
        <v>45798</v>
      </c>
      <c r="D4124" t="inlineStr">
        <is>
          <t>NORRBOTTENS LÄN</t>
        </is>
      </c>
      <c r="E4124" t="inlineStr">
        <is>
          <t>GÄLLIVARE</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18269-2022</t>
        </is>
      </c>
      <c r="B4125" s="1" t="n">
        <v>44685</v>
      </c>
      <c r="C4125" s="1" t="n">
        <v>45798</v>
      </c>
      <c r="D4125" t="inlineStr">
        <is>
          <t>NORRBOTTENS LÄN</t>
        </is>
      </c>
      <c r="E4125" t="inlineStr">
        <is>
          <t>PITEÅ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18267-2022</t>
        </is>
      </c>
      <c r="B4126" s="1" t="n">
        <v>44685</v>
      </c>
      <c r="C4126" s="1" t="n">
        <v>45798</v>
      </c>
      <c r="D4126" t="inlineStr">
        <is>
          <t>NORRBOTTENS LÄN</t>
        </is>
      </c>
      <c r="E4126" t="inlineStr">
        <is>
          <t>PITEÅ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18248-2022</t>
        </is>
      </c>
      <c r="B4127" s="1" t="n">
        <v>44685</v>
      </c>
      <c r="C4127" s="1" t="n">
        <v>45798</v>
      </c>
      <c r="D4127" t="inlineStr">
        <is>
          <t>NORRBOTTENS LÄN</t>
        </is>
      </c>
      <c r="E4127" t="inlineStr">
        <is>
          <t>JOKKMOKK</t>
        </is>
      </c>
      <c r="F4127" t="inlineStr">
        <is>
          <t>Övriga statliga verk och myndigheter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18268-2022</t>
        </is>
      </c>
      <c r="B4128" s="1" t="n">
        <v>44685</v>
      </c>
      <c r="C4128" s="1" t="n">
        <v>45798</v>
      </c>
      <c r="D4128" t="inlineStr">
        <is>
          <t>NORRBOTTENS LÄN</t>
        </is>
      </c>
      <c r="E4128" t="inlineStr">
        <is>
          <t>ÄLVSBYN</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18397-2022</t>
        </is>
      </c>
      <c r="B4129" s="1" t="n">
        <v>44685</v>
      </c>
      <c r="C4129" s="1" t="n">
        <v>45798</v>
      </c>
      <c r="D4129" t="inlineStr">
        <is>
          <t>NORRBOTTENS LÄN</t>
        </is>
      </c>
      <c r="E4129" t="inlineStr">
        <is>
          <t>PITEÅ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18698-2022</t>
        </is>
      </c>
      <c r="B4130" s="1" t="n">
        <v>44687</v>
      </c>
      <c r="C4130" s="1" t="n">
        <v>45798</v>
      </c>
      <c r="D4130" t="inlineStr">
        <is>
          <t>NORRBOTTENS LÄN</t>
        </is>
      </c>
      <c r="E4130" t="inlineStr">
        <is>
          <t>ÖVERTORNEÅ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18738-2022</t>
        </is>
      </c>
      <c r="B4131" s="1" t="n">
        <v>44687</v>
      </c>
      <c r="C4131" s="1" t="n">
        <v>45798</v>
      </c>
      <c r="D4131" t="inlineStr">
        <is>
          <t>NORRBOTTENS LÄN</t>
        </is>
      </c>
      <c r="E4131" t="inlineStr">
        <is>
          <t>KIRUNA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18733-2022</t>
        </is>
      </c>
      <c r="B4132" s="1" t="n">
        <v>44687</v>
      </c>
      <c r="C4132" s="1" t="n">
        <v>45798</v>
      </c>
      <c r="D4132" t="inlineStr">
        <is>
          <t>NORRBOTTENS LÄN</t>
        </is>
      </c>
      <c r="E4132" t="inlineStr">
        <is>
          <t>KIRUNA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18740-2022</t>
        </is>
      </c>
      <c r="B4133" s="1" t="n">
        <v>44687</v>
      </c>
      <c r="C4133" s="1" t="n">
        <v>45798</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18742-2022</t>
        </is>
      </c>
      <c r="B4134" s="1" t="n">
        <v>44687</v>
      </c>
      <c r="C4134" s="1" t="n">
        <v>45798</v>
      </c>
      <c r="D4134" t="inlineStr">
        <is>
          <t>NORRBOTTENS LÄN</t>
        </is>
      </c>
      <c r="E4134" t="inlineStr">
        <is>
          <t>PAJALA</t>
        </is>
      </c>
      <c r="F4134" t="inlineStr">
        <is>
          <t>SCA</t>
        </is>
      </c>
      <c r="G4134" t="n">
        <v>92.09999999999999</v>
      </c>
      <c r="H4134" t="n">
        <v>0</v>
      </c>
      <c r="I4134" t="n">
        <v>0</v>
      </c>
      <c r="J4134" t="n">
        <v>0</v>
      </c>
      <c r="K4134" t="n">
        <v>0</v>
      </c>
      <c r="L4134" t="n">
        <v>0</v>
      </c>
      <c r="M4134" t="n">
        <v>0</v>
      </c>
      <c r="N4134" t="n">
        <v>0</v>
      </c>
      <c r="O4134" t="n">
        <v>0</v>
      </c>
      <c r="P4134" t="n">
        <v>0</v>
      </c>
      <c r="Q4134" t="n">
        <v>0</v>
      </c>
      <c r="R4134" s="2" t="inlineStr"/>
    </row>
    <row r="4135" ht="15" customHeight="1">
      <c r="A4135" t="inlineStr">
        <is>
          <t>A 18743-2022</t>
        </is>
      </c>
      <c r="B4135" s="1" t="n">
        <v>44688</v>
      </c>
      <c r="C4135" s="1" t="n">
        <v>45798</v>
      </c>
      <c r="D4135" t="inlineStr">
        <is>
          <t>NORRBOTTENS LÄN</t>
        </is>
      </c>
      <c r="E4135" t="inlineStr">
        <is>
          <t>KALIX</t>
        </is>
      </c>
      <c r="F4135" t="inlineStr">
        <is>
          <t>SCA</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18841-2022</t>
        </is>
      </c>
      <c r="B4136" s="1" t="n">
        <v>44690</v>
      </c>
      <c r="C4136" s="1" t="n">
        <v>45798</v>
      </c>
      <c r="D4136" t="inlineStr">
        <is>
          <t>NORRBOTTENS LÄN</t>
        </is>
      </c>
      <c r="E4136" t="inlineStr">
        <is>
          <t>ÄLVSBYN</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18920-2022</t>
        </is>
      </c>
      <c r="B4137" s="1" t="n">
        <v>44690</v>
      </c>
      <c r="C4137" s="1" t="n">
        <v>45798</v>
      </c>
      <c r="D4137" t="inlineStr">
        <is>
          <t>NORRBOTTENS LÄN</t>
        </is>
      </c>
      <c r="E4137" t="inlineStr">
        <is>
          <t>ARVIDSJAUR</t>
        </is>
      </c>
      <c r="F4137" t="inlineStr">
        <is>
          <t>Allmännings- och besparingsskogar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18879-2022</t>
        </is>
      </c>
      <c r="B4138" s="1" t="n">
        <v>44690</v>
      </c>
      <c r="C4138" s="1" t="n">
        <v>45798</v>
      </c>
      <c r="D4138" t="inlineStr">
        <is>
          <t>NORRBOTTENS LÄN</t>
        </is>
      </c>
      <c r="E4138" t="inlineStr">
        <is>
          <t>ÖVERTORNEÅ</t>
        </is>
      </c>
      <c r="G4138" t="n">
        <v>14.6</v>
      </c>
      <c r="H4138" t="n">
        <v>0</v>
      </c>
      <c r="I4138" t="n">
        <v>0</v>
      </c>
      <c r="J4138" t="n">
        <v>0</v>
      </c>
      <c r="K4138" t="n">
        <v>0</v>
      </c>
      <c r="L4138" t="n">
        <v>0</v>
      </c>
      <c r="M4138" t="n">
        <v>0</v>
      </c>
      <c r="N4138" t="n">
        <v>0</v>
      </c>
      <c r="O4138" t="n">
        <v>0</v>
      </c>
      <c r="P4138" t="n">
        <v>0</v>
      </c>
      <c r="Q4138" t="n">
        <v>0</v>
      </c>
      <c r="R4138" s="2" t="inlineStr"/>
    </row>
    <row r="4139" ht="15" customHeight="1">
      <c r="A4139" t="inlineStr">
        <is>
          <t>A 18886-2022</t>
        </is>
      </c>
      <c r="B4139" s="1" t="n">
        <v>44690</v>
      </c>
      <c r="C4139" s="1" t="n">
        <v>45798</v>
      </c>
      <c r="D4139" t="inlineStr">
        <is>
          <t>NORRBOTTENS LÄN</t>
        </is>
      </c>
      <c r="E4139" t="inlineStr">
        <is>
          <t>ARVIDSJAUR</t>
        </is>
      </c>
      <c r="F4139" t="inlineStr">
        <is>
          <t>Allmännings- och besparingsskogar</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18914-2022</t>
        </is>
      </c>
      <c r="B4140" s="1" t="n">
        <v>44690</v>
      </c>
      <c r="C4140" s="1" t="n">
        <v>45798</v>
      </c>
      <c r="D4140" t="inlineStr">
        <is>
          <t>NORRBOTTENS LÄN</t>
        </is>
      </c>
      <c r="E4140" t="inlineStr">
        <is>
          <t>ARVIDSJAUR</t>
        </is>
      </c>
      <c r="F4140" t="inlineStr">
        <is>
          <t>Allmännings- och besparingsskogar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19202-2022</t>
        </is>
      </c>
      <c r="B4141" s="1" t="n">
        <v>44692</v>
      </c>
      <c r="C4141" s="1" t="n">
        <v>45798</v>
      </c>
      <c r="D4141" t="inlineStr">
        <is>
          <t>NORRBOTTENS LÄN</t>
        </is>
      </c>
      <c r="E4141" t="inlineStr">
        <is>
          <t>KALIX</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19219-2022</t>
        </is>
      </c>
      <c r="B4142" s="1" t="n">
        <v>44691</v>
      </c>
      <c r="C4142" s="1" t="n">
        <v>45798</v>
      </c>
      <c r="D4142" t="inlineStr">
        <is>
          <t>NORRBOTTENS LÄN</t>
        </is>
      </c>
      <c r="E4142" t="inlineStr">
        <is>
          <t>PAJALA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19230-2022</t>
        </is>
      </c>
      <c r="B4143" s="1" t="n">
        <v>44691</v>
      </c>
      <c r="C4143" s="1" t="n">
        <v>45798</v>
      </c>
      <c r="D4143" t="inlineStr">
        <is>
          <t>NORRBOTTENS LÄN</t>
        </is>
      </c>
      <c r="E4143" t="inlineStr">
        <is>
          <t>PAJALA</t>
        </is>
      </c>
      <c r="G4143" t="n">
        <v>18.7</v>
      </c>
      <c r="H4143" t="n">
        <v>0</v>
      </c>
      <c r="I4143" t="n">
        <v>0</v>
      </c>
      <c r="J4143" t="n">
        <v>0</v>
      </c>
      <c r="K4143" t="n">
        <v>0</v>
      </c>
      <c r="L4143" t="n">
        <v>0</v>
      </c>
      <c r="M4143" t="n">
        <v>0</v>
      </c>
      <c r="N4143" t="n">
        <v>0</v>
      </c>
      <c r="O4143" t="n">
        <v>0</v>
      </c>
      <c r="P4143" t="n">
        <v>0</v>
      </c>
      <c r="Q4143" t="n">
        <v>0</v>
      </c>
      <c r="R4143" s="2" t="inlineStr"/>
    </row>
    <row r="4144" ht="15" customHeight="1">
      <c r="A4144" t="inlineStr">
        <is>
          <t>A 19220-2022</t>
        </is>
      </c>
      <c r="B4144" s="1" t="n">
        <v>44691</v>
      </c>
      <c r="C4144" s="1" t="n">
        <v>45798</v>
      </c>
      <c r="D4144" t="inlineStr">
        <is>
          <t>NORRBOTTENS LÄN</t>
        </is>
      </c>
      <c r="E4144" t="inlineStr">
        <is>
          <t>PAJALA</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19234-2022</t>
        </is>
      </c>
      <c r="B4145" s="1" t="n">
        <v>44691</v>
      </c>
      <c r="C4145" s="1" t="n">
        <v>45798</v>
      </c>
      <c r="D4145" t="inlineStr">
        <is>
          <t>NORRBOTTENS LÄN</t>
        </is>
      </c>
      <c r="E4145" t="inlineStr">
        <is>
          <t>PAJALA</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19217-2022</t>
        </is>
      </c>
      <c r="B4146" s="1" t="n">
        <v>44691</v>
      </c>
      <c r="C4146" s="1" t="n">
        <v>45798</v>
      </c>
      <c r="D4146" t="inlineStr">
        <is>
          <t>NORRBOTTENS LÄN</t>
        </is>
      </c>
      <c r="E4146" t="inlineStr">
        <is>
          <t>PAJALA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19227-2022</t>
        </is>
      </c>
      <c r="B4147" s="1" t="n">
        <v>44691</v>
      </c>
      <c r="C4147" s="1" t="n">
        <v>45798</v>
      </c>
      <c r="D4147" t="inlineStr">
        <is>
          <t>NORRBOTTENS LÄN</t>
        </is>
      </c>
      <c r="E4147" t="inlineStr">
        <is>
          <t>PAJALA</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19269-2022</t>
        </is>
      </c>
      <c r="B4148" s="1" t="n">
        <v>44691</v>
      </c>
      <c r="C4148" s="1" t="n">
        <v>45798</v>
      </c>
      <c r="D4148" t="inlineStr">
        <is>
          <t>NORRBOTTENS LÄN</t>
        </is>
      </c>
      <c r="E4148" t="inlineStr">
        <is>
          <t>PAJALA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19215-2022</t>
        </is>
      </c>
      <c r="B4149" s="1" t="n">
        <v>44691</v>
      </c>
      <c r="C4149" s="1" t="n">
        <v>45798</v>
      </c>
      <c r="D4149" t="inlineStr">
        <is>
          <t>NORRBOTTENS LÄN</t>
        </is>
      </c>
      <c r="E4149" t="inlineStr">
        <is>
          <t>PAJALA</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19226-2022</t>
        </is>
      </c>
      <c r="B4150" s="1" t="n">
        <v>44691</v>
      </c>
      <c r="C4150" s="1" t="n">
        <v>45798</v>
      </c>
      <c r="D4150" t="inlineStr">
        <is>
          <t>NORRBOTTENS LÄN</t>
        </is>
      </c>
      <c r="E4150" t="inlineStr">
        <is>
          <t>PAJALA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19259-2022</t>
        </is>
      </c>
      <c r="B4151" s="1" t="n">
        <v>44691</v>
      </c>
      <c r="C4151" s="1" t="n">
        <v>45798</v>
      </c>
      <c r="D4151" t="inlineStr">
        <is>
          <t>NORRBOTTENS LÄN</t>
        </is>
      </c>
      <c r="E4151" t="inlineStr">
        <is>
          <t>PAJALA</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19247-2022</t>
        </is>
      </c>
      <c r="B4152" s="1" t="n">
        <v>44692</v>
      </c>
      <c r="C4152" s="1" t="n">
        <v>45798</v>
      </c>
      <c r="D4152" t="inlineStr">
        <is>
          <t>NORRBOTTENS LÄN</t>
        </is>
      </c>
      <c r="E4152" t="inlineStr">
        <is>
          <t>ÖVERTORNEÅ</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19257-2022</t>
        </is>
      </c>
      <c r="B4153" s="1" t="n">
        <v>44692</v>
      </c>
      <c r="C4153" s="1" t="n">
        <v>45798</v>
      </c>
      <c r="D4153" t="inlineStr">
        <is>
          <t>NORRBOTTENS LÄN</t>
        </is>
      </c>
      <c r="E4153" t="inlineStr">
        <is>
          <t>ÖVERTORNEÅ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19314-2022</t>
        </is>
      </c>
      <c r="B4154" s="1" t="n">
        <v>44692</v>
      </c>
      <c r="C4154" s="1" t="n">
        <v>45798</v>
      </c>
      <c r="D4154" t="inlineStr">
        <is>
          <t>NORRBOTTENS LÄN</t>
        </is>
      </c>
      <c r="E4154" t="inlineStr">
        <is>
          <t>ARVIDSJAUR</t>
        </is>
      </c>
      <c r="F4154" t="inlineStr">
        <is>
          <t>Sveaskog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19358-2022</t>
        </is>
      </c>
      <c r="B4155" s="1" t="n">
        <v>44692</v>
      </c>
      <c r="C4155" s="1" t="n">
        <v>45798</v>
      </c>
      <c r="D4155" t="inlineStr">
        <is>
          <t>NORRBOTTENS LÄN</t>
        </is>
      </c>
      <c r="E4155" t="inlineStr">
        <is>
          <t>ÖVERTORNEÅ</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19392-2022</t>
        </is>
      </c>
      <c r="B4156" s="1" t="n">
        <v>44693</v>
      </c>
      <c r="C4156" s="1" t="n">
        <v>45798</v>
      </c>
      <c r="D4156" t="inlineStr">
        <is>
          <t>NORRBOTTENS LÄN</t>
        </is>
      </c>
      <c r="E4156" t="inlineStr">
        <is>
          <t>LULEÅ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19391-2022</t>
        </is>
      </c>
      <c r="B4157" s="1" t="n">
        <v>44693</v>
      </c>
      <c r="C4157" s="1" t="n">
        <v>45798</v>
      </c>
      <c r="D4157" t="inlineStr">
        <is>
          <t>NORRBOTTENS LÄN</t>
        </is>
      </c>
      <c r="E4157" t="inlineStr">
        <is>
          <t>LULEÅ</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19403-2022</t>
        </is>
      </c>
      <c r="B4158" s="1" t="n">
        <v>44693</v>
      </c>
      <c r="C4158" s="1" t="n">
        <v>45798</v>
      </c>
      <c r="D4158" t="inlineStr">
        <is>
          <t>NORRBOTTENS LÄN</t>
        </is>
      </c>
      <c r="E4158" t="inlineStr">
        <is>
          <t>BODEN</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19404-2022</t>
        </is>
      </c>
      <c r="B4159" s="1" t="n">
        <v>44693</v>
      </c>
      <c r="C4159" s="1" t="n">
        <v>45798</v>
      </c>
      <c r="D4159" t="inlineStr">
        <is>
          <t>NORRBOTTENS LÄN</t>
        </is>
      </c>
      <c r="E4159" t="inlineStr">
        <is>
          <t>BODEN</t>
        </is>
      </c>
      <c r="F4159" t="inlineStr">
        <is>
          <t>SCA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19459-2022</t>
        </is>
      </c>
      <c r="B4160" s="1" t="n">
        <v>44693</v>
      </c>
      <c r="C4160" s="1" t="n">
        <v>45798</v>
      </c>
      <c r="D4160" t="inlineStr">
        <is>
          <t>NORRBOTTENS LÄN</t>
        </is>
      </c>
      <c r="E4160" t="inlineStr">
        <is>
          <t>ÄLVSBYN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19514-2022</t>
        </is>
      </c>
      <c r="B4161" s="1" t="n">
        <v>44693</v>
      </c>
      <c r="C4161" s="1" t="n">
        <v>45798</v>
      </c>
      <c r="D4161" t="inlineStr">
        <is>
          <t>NORRBOTTENS LÄN</t>
        </is>
      </c>
      <c r="E4161" t="inlineStr">
        <is>
          <t>ARJEPLOG</t>
        </is>
      </c>
      <c r="F4161" t="inlineStr">
        <is>
          <t>Sveaskog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19620-2022</t>
        </is>
      </c>
      <c r="B4162" s="1" t="n">
        <v>44694</v>
      </c>
      <c r="C4162" s="1" t="n">
        <v>45798</v>
      </c>
      <c r="D4162" t="inlineStr">
        <is>
          <t>NORRBOTTENS LÄN</t>
        </is>
      </c>
      <c r="E4162" t="inlineStr">
        <is>
          <t>ARJEPLOG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19746-2022</t>
        </is>
      </c>
      <c r="B4163" s="1" t="n">
        <v>44694</v>
      </c>
      <c r="C4163" s="1" t="n">
        <v>45798</v>
      </c>
      <c r="D4163" t="inlineStr">
        <is>
          <t>NORRBOTTENS LÄN</t>
        </is>
      </c>
      <c r="E4163" t="inlineStr">
        <is>
          <t>ÄLVSBYN</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19790-2022</t>
        </is>
      </c>
      <c r="B4164" s="1" t="n">
        <v>44695</v>
      </c>
      <c r="C4164" s="1" t="n">
        <v>45798</v>
      </c>
      <c r="D4164" t="inlineStr">
        <is>
          <t>NORRBOTTENS LÄN</t>
        </is>
      </c>
      <c r="E4164" t="inlineStr">
        <is>
          <t>LULEÅ</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19747-2022</t>
        </is>
      </c>
      <c r="B4165" s="1" t="n">
        <v>44694</v>
      </c>
      <c r="C4165" s="1" t="n">
        <v>45798</v>
      </c>
      <c r="D4165" t="inlineStr">
        <is>
          <t>NORRBOTTENS LÄN</t>
        </is>
      </c>
      <c r="E4165" t="inlineStr">
        <is>
          <t>ÄLVSBYN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19824-2022</t>
        </is>
      </c>
      <c r="B4166" s="1" t="n">
        <v>44695</v>
      </c>
      <c r="C4166" s="1" t="n">
        <v>45798</v>
      </c>
      <c r="D4166" t="inlineStr">
        <is>
          <t>NORRBOTTENS LÄN</t>
        </is>
      </c>
      <c r="E4166" t="inlineStr">
        <is>
          <t>KALIX</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19791-2022</t>
        </is>
      </c>
      <c r="B4167" s="1" t="n">
        <v>44695</v>
      </c>
      <c r="C4167" s="1" t="n">
        <v>45798</v>
      </c>
      <c r="D4167" t="inlineStr">
        <is>
          <t>NORRBOTTENS LÄN</t>
        </is>
      </c>
      <c r="E4167" t="inlineStr">
        <is>
          <t>LULEÅ</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20000-2022</t>
        </is>
      </c>
      <c r="B4168" s="1" t="n">
        <v>44697</v>
      </c>
      <c r="C4168" s="1" t="n">
        <v>45798</v>
      </c>
      <c r="D4168" t="inlineStr">
        <is>
          <t>NORRBOTTENS LÄN</t>
        </is>
      </c>
      <c r="E4168" t="inlineStr">
        <is>
          <t>GÄLLIVARE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20242-2022</t>
        </is>
      </c>
      <c r="B4169" s="1" t="n">
        <v>44698</v>
      </c>
      <c r="C4169" s="1" t="n">
        <v>45798</v>
      </c>
      <c r="D4169" t="inlineStr">
        <is>
          <t>NORRBOTTENS LÄN</t>
        </is>
      </c>
      <c r="E4169" t="inlineStr">
        <is>
          <t>ÖVERKALIX</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20335-2022</t>
        </is>
      </c>
      <c r="B4170" s="1" t="n">
        <v>44698</v>
      </c>
      <c r="C4170" s="1" t="n">
        <v>45798</v>
      </c>
      <c r="D4170" t="inlineStr">
        <is>
          <t>NORRBOTTENS LÄN</t>
        </is>
      </c>
      <c r="E4170" t="inlineStr">
        <is>
          <t>ÖVERKALIX</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20403-2022</t>
        </is>
      </c>
      <c r="B4171" s="1" t="n">
        <v>44699</v>
      </c>
      <c r="C4171" s="1" t="n">
        <v>45798</v>
      </c>
      <c r="D4171" t="inlineStr">
        <is>
          <t>NORRBOTTENS LÄN</t>
        </is>
      </c>
      <c r="E4171" t="inlineStr">
        <is>
          <t>ARVIDSJAUR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20585-2022</t>
        </is>
      </c>
      <c r="B4172" s="1" t="n">
        <v>44700</v>
      </c>
      <c r="C4172" s="1" t="n">
        <v>45798</v>
      </c>
      <c r="D4172" t="inlineStr">
        <is>
          <t>NORRBOTTENS LÄN</t>
        </is>
      </c>
      <c r="E4172" t="inlineStr">
        <is>
          <t>PAJALA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20695-2022</t>
        </is>
      </c>
      <c r="B4173" s="1" t="n">
        <v>44700</v>
      </c>
      <c r="C4173" s="1" t="n">
        <v>45798</v>
      </c>
      <c r="D4173" t="inlineStr">
        <is>
          <t>NORRBOTTENS LÄN</t>
        </is>
      </c>
      <c r="E4173" t="inlineStr">
        <is>
          <t>PAJALA</t>
        </is>
      </c>
      <c r="G4173" t="n">
        <v>15.3</v>
      </c>
      <c r="H4173" t="n">
        <v>0</v>
      </c>
      <c r="I4173" t="n">
        <v>0</v>
      </c>
      <c r="J4173" t="n">
        <v>0</v>
      </c>
      <c r="K4173" t="n">
        <v>0</v>
      </c>
      <c r="L4173" t="n">
        <v>0</v>
      </c>
      <c r="M4173" t="n">
        <v>0</v>
      </c>
      <c r="N4173" t="n">
        <v>0</v>
      </c>
      <c r="O4173" t="n">
        <v>0</v>
      </c>
      <c r="P4173" t="n">
        <v>0</v>
      </c>
      <c r="Q4173" t="n">
        <v>0</v>
      </c>
      <c r="R4173" s="2" t="inlineStr"/>
    </row>
    <row r="4174" ht="15" customHeight="1">
      <c r="A4174" t="inlineStr">
        <is>
          <t>A 20689-2022</t>
        </is>
      </c>
      <c r="B4174" s="1" t="n">
        <v>44700</v>
      </c>
      <c r="C4174" s="1" t="n">
        <v>45798</v>
      </c>
      <c r="D4174" t="inlineStr">
        <is>
          <t>NORRBOTTENS LÄN</t>
        </is>
      </c>
      <c r="E4174" t="inlineStr">
        <is>
          <t>PITEÅ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20698-2022</t>
        </is>
      </c>
      <c r="B4175" s="1" t="n">
        <v>44700</v>
      </c>
      <c r="C4175" s="1" t="n">
        <v>45798</v>
      </c>
      <c r="D4175" t="inlineStr">
        <is>
          <t>NORRBOTTENS LÄN</t>
        </is>
      </c>
      <c r="E4175" t="inlineStr">
        <is>
          <t>ARVIDSJAUR</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20789-2022</t>
        </is>
      </c>
      <c r="B4176" s="1" t="n">
        <v>44701</v>
      </c>
      <c r="C4176" s="1" t="n">
        <v>45798</v>
      </c>
      <c r="D4176" t="inlineStr">
        <is>
          <t>NORRBOTTENS LÄN</t>
        </is>
      </c>
      <c r="E4176" t="inlineStr">
        <is>
          <t>ARJEPLOG</t>
        </is>
      </c>
      <c r="G4176" t="n">
        <v>20.3</v>
      </c>
      <c r="H4176" t="n">
        <v>0</v>
      </c>
      <c r="I4176" t="n">
        <v>0</v>
      </c>
      <c r="J4176" t="n">
        <v>0</v>
      </c>
      <c r="K4176" t="n">
        <v>0</v>
      </c>
      <c r="L4176" t="n">
        <v>0</v>
      </c>
      <c r="M4176" t="n">
        <v>0</v>
      </c>
      <c r="N4176" t="n">
        <v>0</v>
      </c>
      <c r="O4176" t="n">
        <v>0</v>
      </c>
      <c r="P4176" t="n">
        <v>0</v>
      </c>
      <c r="Q4176" t="n">
        <v>0</v>
      </c>
      <c r="R4176" s="2" t="inlineStr"/>
    </row>
    <row r="4177" ht="15" customHeight="1">
      <c r="A4177" t="inlineStr">
        <is>
          <t>A 20810-2022</t>
        </is>
      </c>
      <c r="B4177" s="1" t="n">
        <v>44701</v>
      </c>
      <c r="C4177" s="1" t="n">
        <v>45798</v>
      </c>
      <c r="D4177" t="inlineStr">
        <is>
          <t>NORRBOTTENS LÄN</t>
        </is>
      </c>
      <c r="E4177" t="inlineStr">
        <is>
          <t>ÄLVSBYN</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21004-2022</t>
        </is>
      </c>
      <c r="B4178" s="1" t="n">
        <v>44701</v>
      </c>
      <c r="C4178" s="1" t="n">
        <v>45798</v>
      </c>
      <c r="D4178" t="inlineStr">
        <is>
          <t>NORRBOTTENS LÄN</t>
        </is>
      </c>
      <c r="E4178" t="inlineStr">
        <is>
          <t>ARJEPLOG</t>
        </is>
      </c>
      <c r="F4178" t="inlineStr">
        <is>
          <t>Övriga statliga verk och myndigheter</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21216-2022</t>
        </is>
      </c>
      <c r="B4179" s="1" t="n">
        <v>44705</v>
      </c>
      <c r="C4179" s="1" t="n">
        <v>45798</v>
      </c>
      <c r="D4179" t="inlineStr">
        <is>
          <t>NORRBOTTENS LÄN</t>
        </is>
      </c>
      <c r="E4179" t="inlineStr">
        <is>
          <t>BODEN</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21236-2022</t>
        </is>
      </c>
      <c r="B4180" s="1" t="n">
        <v>44705</v>
      </c>
      <c r="C4180" s="1" t="n">
        <v>45798</v>
      </c>
      <c r="D4180" t="inlineStr">
        <is>
          <t>NORRBOTTENS LÄN</t>
        </is>
      </c>
      <c r="E4180" t="inlineStr">
        <is>
          <t>JOKKMOKK</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21262-2022</t>
        </is>
      </c>
      <c r="B4181" s="1" t="n">
        <v>44705</v>
      </c>
      <c r="C4181" s="1" t="n">
        <v>45798</v>
      </c>
      <c r="D4181" t="inlineStr">
        <is>
          <t>NORRBOTTENS LÄN</t>
        </is>
      </c>
      <c r="E4181" t="inlineStr">
        <is>
          <t>ÖVERTORNEÅ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21313-2022</t>
        </is>
      </c>
      <c r="B4182" s="1" t="n">
        <v>44705</v>
      </c>
      <c r="C4182" s="1" t="n">
        <v>45798</v>
      </c>
      <c r="D4182" t="inlineStr">
        <is>
          <t>NORRBOTTENS LÄN</t>
        </is>
      </c>
      <c r="E4182" t="inlineStr">
        <is>
          <t>ÄLVSBYN</t>
        </is>
      </c>
      <c r="G4182" t="n">
        <v>21.5</v>
      </c>
      <c r="H4182" t="n">
        <v>0</v>
      </c>
      <c r="I4182" t="n">
        <v>0</v>
      </c>
      <c r="J4182" t="n">
        <v>0</v>
      </c>
      <c r="K4182" t="n">
        <v>0</v>
      </c>
      <c r="L4182" t="n">
        <v>0</v>
      </c>
      <c r="M4182" t="n">
        <v>0</v>
      </c>
      <c r="N4182" t="n">
        <v>0</v>
      </c>
      <c r="O4182" t="n">
        <v>0</v>
      </c>
      <c r="P4182" t="n">
        <v>0</v>
      </c>
      <c r="Q4182" t="n">
        <v>0</v>
      </c>
      <c r="R4182" s="2" t="inlineStr"/>
    </row>
    <row r="4183" ht="15" customHeight="1">
      <c r="A4183" t="inlineStr">
        <is>
          <t>A 21421-2022</t>
        </is>
      </c>
      <c r="B4183" s="1" t="n">
        <v>44706</v>
      </c>
      <c r="C4183" s="1" t="n">
        <v>45798</v>
      </c>
      <c r="D4183" t="inlineStr">
        <is>
          <t>NORRBOTTENS LÄN</t>
        </is>
      </c>
      <c r="E4183" t="inlineStr">
        <is>
          <t>BODEN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21420-2022</t>
        </is>
      </c>
      <c r="B4184" s="1" t="n">
        <v>44706</v>
      </c>
      <c r="C4184" s="1" t="n">
        <v>45798</v>
      </c>
      <c r="D4184" t="inlineStr">
        <is>
          <t>NORRBOTTENS LÄN</t>
        </is>
      </c>
      <c r="E4184" t="inlineStr">
        <is>
          <t>BODEN</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21640-2022</t>
        </is>
      </c>
      <c r="B4185" s="1" t="n">
        <v>44707</v>
      </c>
      <c r="C4185" s="1" t="n">
        <v>45798</v>
      </c>
      <c r="D4185" t="inlineStr">
        <is>
          <t>NORRBOTTENS LÄN</t>
        </is>
      </c>
      <c r="E4185" t="inlineStr">
        <is>
          <t>KALIX</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21639-2022</t>
        </is>
      </c>
      <c r="B4186" s="1" t="n">
        <v>44707</v>
      </c>
      <c r="C4186" s="1" t="n">
        <v>45798</v>
      </c>
      <c r="D4186" t="inlineStr">
        <is>
          <t>NORRBOTTENS LÄN</t>
        </is>
      </c>
      <c r="E4186" t="inlineStr">
        <is>
          <t>KALIX</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21638-2022</t>
        </is>
      </c>
      <c r="B4187" s="1" t="n">
        <v>44707</v>
      </c>
      <c r="C4187" s="1" t="n">
        <v>45798</v>
      </c>
      <c r="D4187" t="inlineStr">
        <is>
          <t>NORRBOTTENS LÄN</t>
        </is>
      </c>
      <c r="E4187" t="inlineStr">
        <is>
          <t>KALIX</t>
        </is>
      </c>
      <c r="F4187" t="inlineStr">
        <is>
          <t>Sveaskog</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21854-2022</t>
        </is>
      </c>
      <c r="B4188" s="1" t="n">
        <v>44708</v>
      </c>
      <c r="C4188" s="1" t="n">
        <v>45798</v>
      </c>
      <c r="D4188" t="inlineStr">
        <is>
          <t>NORRBOTTENS LÄN</t>
        </is>
      </c>
      <c r="E4188" t="inlineStr">
        <is>
          <t>PITEÅ</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21856-2022</t>
        </is>
      </c>
      <c r="B4189" s="1" t="n">
        <v>44708</v>
      </c>
      <c r="C4189" s="1" t="n">
        <v>45798</v>
      </c>
      <c r="D4189" t="inlineStr">
        <is>
          <t>NORRBOTTENS LÄN</t>
        </is>
      </c>
      <c r="E4189" t="inlineStr">
        <is>
          <t>PITEÅ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21851-2022</t>
        </is>
      </c>
      <c r="B4190" s="1" t="n">
        <v>44708</v>
      </c>
      <c r="C4190" s="1" t="n">
        <v>45798</v>
      </c>
      <c r="D4190" t="inlineStr">
        <is>
          <t>NORRBOTTENS LÄN</t>
        </is>
      </c>
      <c r="E4190" t="inlineStr">
        <is>
          <t>PITEÅ</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21847-2022</t>
        </is>
      </c>
      <c r="B4191" s="1" t="n">
        <v>44711</v>
      </c>
      <c r="C4191" s="1" t="n">
        <v>45798</v>
      </c>
      <c r="D4191" t="inlineStr">
        <is>
          <t>NORRBOTTENS LÄN</t>
        </is>
      </c>
      <c r="E4191" t="inlineStr">
        <is>
          <t>ÖVERKALIX</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22098-2022</t>
        </is>
      </c>
      <c r="B4192" s="1" t="n">
        <v>44711</v>
      </c>
      <c r="C4192" s="1" t="n">
        <v>45798</v>
      </c>
      <c r="D4192" t="inlineStr">
        <is>
          <t>NORRBOTTENS LÄN</t>
        </is>
      </c>
      <c r="E4192" t="inlineStr">
        <is>
          <t>ÄLVSBYN</t>
        </is>
      </c>
      <c r="F4192" t="inlineStr">
        <is>
          <t>SCA</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22180-2022</t>
        </is>
      </c>
      <c r="B4193" s="1" t="n">
        <v>44712</v>
      </c>
      <c r="C4193" s="1" t="n">
        <v>45798</v>
      </c>
      <c r="D4193" t="inlineStr">
        <is>
          <t>NORRBOTTENS LÄN</t>
        </is>
      </c>
      <c r="E4193" t="inlineStr">
        <is>
          <t>KALIX</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22346-2022</t>
        </is>
      </c>
      <c r="B4194" s="1" t="n">
        <v>44712</v>
      </c>
      <c r="C4194" s="1" t="n">
        <v>45798</v>
      </c>
      <c r="D4194" t="inlineStr">
        <is>
          <t>NORRBOTTENS LÄN</t>
        </is>
      </c>
      <c r="E4194" t="inlineStr">
        <is>
          <t>GÄLLIVARE</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22347-2022</t>
        </is>
      </c>
      <c r="B4195" s="1" t="n">
        <v>44712</v>
      </c>
      <c r="C4195" s="1" t="n">
        <v>45798</v>
      </c>
      <c r="D4195" t="inlineStr">
        <is>
          <t>NORRBOTTENS LÄN</t>
        </is>
      </c>
      <c r="E4195" t="inlineStr">
        <is>
          <t>GÄLLIVARE</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22348-2022</t>
        </is>
      </c>
      <c r="B4196" s="1" t="n">
        <v>44712</v>
      </c>
      <c r="C4196" s="1" t="n">
        <v>45798</v>
      </c>
      <c r="D4196" t="inlineStr">
        <is>
          <t>NORRBOTTENS LÄN</t>
        </is>
      </c>
      <c r="E4196" t="inlineStr">
        <is>
          <t>GÄLLIVARE</t>
        </is>
      </c>
      <c r="F4196" t="inlineStr">
        <is>
          <t>SCA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22349-2022</t>
        </is>
      </c>
      <c r="B4197" s="1" t="n">
        <v>44712</v>
      </c>
      <c r="C4197" s="1" t="n">
        <v>45798</v>
      </c>
      <c r="D4197" t="inlineStr">
        <is>
          <t>NORRBOTTENS LÄN</t>
        </is>
      </c>
      <c r="E4197" t="inlineStr">
        <is>
          <t>GÄLLIVARE</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22784-2022</t>
        </is>
      </c>
      <c r="B4198" s="1" t="n">
        <v>44714</v>
      </c>
      <c r="C4198" s="1" t="n">
        <v>45798</v>
      </c>
      <c r="D4198" t="inlineStr">
        <is>
          <t>NORRBOTTENS LÄN</t>
        </is>
      </c>
      <c r="E4198" t="inlineStr">
        <is>
          <t>LULEÅ</t>
        </is>
      </c>
      <c r="F4198" t="inlineStr">
        <is>
          <t>SCA</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22832-2022</t>
        </is>
      </c>
      <c r="B4199" s="1" t="n">
        <v>44715</v>
      </c>
      <c r="C4199" s="1" t="n">
        <v>45798</v>
      </c>
      <c r="D4199" t="inlineStr">
        <is>
          <t>NORRBOTTENS LÄN</t>
        </is>
      </c>
      <c r="E4199" t="inlineStr">
        <is>
          <t>ARVIDSJAUR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22942-2022</t>
        </is>
      </c>
      <c r="B4200" s="1" t="n">
        <v>44715</v>
      </c>
      <c r="C4200" s="1" t="n">
        <v>45798</v>
      </c>
      <c r="D4200" t="inlineStr">
        <is>
          <t>NORRBOTTENS LÄN</t>
        </is>
      </c>
      <c r="E4200" t="inlineStr">
        <is>
          <t>ÖVERTORNEÅ</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22957-2022</t>
        </is>
      </c>
      <c r="B4201" s="1" t="n">
        <v>44716</v>
      </c>
      <c r="C4201" s="1" t="n">
        <v>45798</v>
      </c>
      <c r="D4201" t="inlineStr">
        <is>
          <t>NORRBOTTENS LÄN</t>
        </is>
      </c>
      <c r="E4201" t="inlineStr">
        <is>
          <t>PAJALA</t>
        </is>
      </c>
      <c r="F4201" t="inlineStr">
        <is>
          <t>SCA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22959-2022</t>
        </is>
      </c>
      <c r="B4202" s="1" t="n">
        <v>44715</v>
      </c>
      <c r="C4202" s="1" t="n">
        <v>45798</v>
      </c>
      <c r="D4202" t="inlineStr">
        <is>
          <t>NORRBOTTENS LÄN</t>
        </is>
      </c>
      <c r="E4202" t="inlineStr">
        <is>
          <t>BODEN</t>
        </is>
      </c>
      <c r="F4202" t="inlineStr">
        <is>
          <t>SCA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22977-2022</t>
        </is>
      </c>
      <c r="B4203" s="1" t="n">
        <v>44717</v>
      </c>
      <c r="C4203" s="1" t="n">
        <v>45798</v>
      </c>
      <c r="D4203" t="inlineStr">
        <is>
          <t>NORRBOTTENS LÄN</t>
        </is>
      </c>
      <c r="E4203" t="inlineStr">
        <is>
          <t>ÖVERKALIX</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22976-2022</t>
        </is>
      </c>
      <c r="B4204" s="1" t="n">
        <v>44717</v>
      </c>
      <c r="C4204" s="1" t="n">
        <v>45798</v>
      </c>
      <c r="D4204" t="inlineStr">
        <is>
          <t>NORRBOTTENS LÄN</t>
        </is>
      </c>
      <c r="E4204" t="inlineStr">
        <is>
          <t>ÖVERKALIX</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22988-2022</t>
        </is>
      </c>
      <c r="B4205" s="1" t="n">
        <v>44718</v>
      </c>
      <c r="C4205" s="1" t="n">
        <v>45798</v>
      </c>
      <c r="D4205" t="inlineStr">
        <is>
          <t>NORRBOTTENS LÄN</t>
        </is>
      </c>
      <c r="E4205" t="inlineStr">
        <is>
          <t>ÖVERKALIX</t>
        </is>
      </c>
      <c r="G4205" t="n">
        <v>13.2</v>
      </c>
      <c r="H4205" t="n">
        <v>0</v>
      </c>
      <c r="I4205" t="n">
        <v>0</v>
      </c>
      <c r="J4205" t="n">
        <v>0</v>
      </c>
      <c r="K4205" t="n">
        <v>0</v>
      </c>
      <c r="L4205" t="n">
        <v>0</v>
      </c>
      <c r="M4205" t="n">
        <v>0</v>
      </c>
      <c r="N4205" t="n">
        <v>0</v>
      </c>
      <c r="O4205" t="n">
        <v>0</v>
      </c>
      <c r="P4205" t="n">
        <v>0</v>
      </c>
      <c r="Q4205" t="n">
        <v>0</v>
      </c>
      <c r="R4205" s="2" t="inlineStr"/>
    </row>
    <row r="4206" ht="15" customHeight="1">
      <c r="A4206" t="inlineStr">
        <is>
          <t>A 23272-2022</t>
        </is>
      </c>
      <c r="B4206" s="1" t="n">
        <v>44720</v>
      </c>
      <c r="C4206" s="1" t="n">
        <v>45798</v>
      </c>
      <c r="D4206" t="inlineStr">
        <is>
          <t>NORRBOTTENS LÄN</t>
        </is>
      </c>
      <c r="E4206" t="inlineStr">
        <is>
          <t>KALIX</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23166-2022</t>
        </is>
      </c>
      <c r="B4207" s="1" t="n">
        <v>44720</v>
      </c>
      <c r="C4207" s="1" t="n">
        <v>45798</v>
      </c>
      <c r="D4207" t="inlineStr">
        <is>
          <t>NORRBOTTENS LÄN</t>
        </is>
      </c>
      <c r="E4207" t="inlineStr">
        <is>
          <t>LULEÅ</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23575-2022</t>
        </is>
      </c>
      <c r="B4208" s="1" t="n">
        <v>44721</v>
      </c>
      <c r="C4208" s="1" t="n">
        <v>45798</v>
      </c>
      <c r="D4208" t="inlineStr">
        <is>
          <t>NORRBOTTENS LÄN</t>
        </is>
      </c>
      <c r="E4208" t="inlineStr">
        <is>
          <t>ARVIDSJAUR</t>
        </is>
      </c>
      <c r="F4208" t="inlineStr">
        <is>
          <t>Övriga Aktiebolag</t>
        </is>
      </c>
      <c r="G4208" t="n">
        <v>13.8</v>
      </c>
      <c r="H4208" t="n">
        <v>0</v>
      </c>
      <c r="I4208" t="n">
        <v>0</v>
      </c>
      <c r="J4208" t="n">
        <v>0</v>
      </c>
      <c r="K4208" t="n">
        <v>0</v>
      </c>
      <c r="L4208" t="n">
        <v>0</v>
      </c>
      <c r="M4208" t="n">
        <v>0</v>
      </c>
      <c r="N4208" t="n">
        <v>0</v>
      </c>
      <c r="O4208" t="n">
        <v>0</v>
      </c>
      <c r="P4208" t="n">
        <v>0</v>
      </c>
      <c r="Q4208" t="n">
        <v>0</v>
      </c>
      <c r="R4208" s="2" t="inlineStr"/>
    </row>
    <row r="4209" ht="15" customHeight="1">
      <c r="A4209" t="inlineStr">
        <is>
          <t>A 23469-2022</t>
        </is>
      </c>
      <c r="B4209" s="1" t="n">
        <v>44721</v>
      </c>
      <c r="C4209" s="1" t="n">
        <v>45798</v>
      </c>
      <c r="D4209" t="inlineStr">
        <is>
          <t>NORRBOTTENS LÄN</t>
        </is>
      </c>
      <c r="E4209" t="inlineStr">
        <is>
          <t>KIRUNA</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23536-2022</t>
        </is>
      </c>
      <c r="B4210" s="1" t="n">
        <v>44721</v>
      </c>
      <c r="C4210" s="1" t="n">
        <v>45798</v>
      </c>
      <c r="D4210" t="inlineStr">
        <is>
          <t>NORRBOTTENS LÄN</t>
        </is>
      </c>
      <c r="E4210" t="inlineStr">
        <is>
          <t>ÄLVSBYN</t>
        </is>
      </c>
      <c r="F4210" t="inlineStr">
        <is>
          <t>Övriga Aktiebolag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23581-2022</t>
        </is>
      </c>
      <c r="B4211" s="1" t="n">
        <v>44721</v>
      </c>
      <c r="C4211" s="1" t="n">
        <v>45798</v>
      </c>
      <c r="D4211" t="inlineStr">
        <is>
          <t>NORRBOTTENS LÄN</t>
        </is>
      </c>
      <c r="E4211" t="inlineStr">
        <is>
          <t>ÄLVSBYN</t>
        </is>
      </c>
      <c r="F4211" t="inlineStr">
        <is>
          <t>Övriga Aktiebolag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23546-2022</t>
        </is>
      </c>
      <c r="B4212" s="1" t="n">
        <v>44721</v>
      </c>
      <c r="C4212" s="1" t="n">
        <v>45798</v>
      </c>
      <c r="D4212" t="inlineStr">
        <is>
          <t>NORRBOTTENS LÄN</t>
        </is>
      </c>
      <c r="E4212" t="inlineStr">
        <is>
          <t>BODEN</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23584-2022</t>
        </is>
      </c>
      <c r="B4213" s="1" t="n">
        <v>44721</v>
      </c>
      <c r="C4213" s="1" t="n">
        <v>45798</v>
      </c>
      <c r="D4213" t="inlineStr">
        <is>
          <t>NORRBOTTENS LÄN</t>
        </is>
      </c>
      <c r="E4213" t="inlineStr">
        <is>
          <t>KALIX</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23871-2022</t>
        </is>
      </c>
      <c r="B4214" s="1" t="n">
        <v>44722</v>
      </c>
      <c r="C4214" s="1" t="n">
        <v>45798</v>
      </c>
      <c r="D4214" t="inlineStr">
        <is>
          <t>NORRBOTTENS LÄN</t>
        </is>
      </c>
      <c r="E4214" t="inlineStr">
        <is>
          <t>BODEN</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23878-2022</t>
        </is>
      </c>
      <c r="B4215" s="1" t="n">
        <v>44722</v>
      </c>
      <c r="C4215" s="1" t="n">
        <v>45798</v>
      </c>
      <c r="D4215" t="inlineStr">
        <is>
          <t>NORRBOTTENS LÄN</t>
        </is>
      </c>
      <c r="E4215" t="inlineStr">
        <is>
          <t>KALIX</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23880-2022</t>
        </is>
      </c>
      <c r="B4216" s="1" t="n">
        <v>44722</v>
      </c>
      <c r="C4216" s="1" t="n">
        <v>45798</v>
      </c>
      <c r="D4216" t="inlineStr">
        <is>
          <t>NORRBOTTENS LÄN</t>
        </is>
      </c>
      <c r="E4216" t="inlineStr">
        <is>
          <t>PITEÅ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23884-2022</t>
        </is>
      </c>
      <c r="B4217" s="1" t="n">
        <v>44722</v>
      </c>
      <c r="C4217" s="1" t="n">
        <v>45798</v>
      </c>
      <c r="D4217" t="inlineStr">
        <is>
          <t>NORRBOTTENS LÄN</t>
        </is>
      </c>
      <c r="E4217" t="inlineStr">
        <is>
          <t>LULEÅ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24400-2022</t>
        </is>
      </c>
      <c r="B4218" s="1" t="n">
        <v>44726</v>
      </c>
      <c r="C4218" s="1" t="n">
        <v>45798</v>
      </c>
      <c r="D4218" t="inlineStr">
        <is>
          <t>NORRBOTTENS LÄN</t>
        </is>
      </c>
      <c r="E4218" t="inlineStr">
        <is>
          <t>BODEN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24519-2022</t>
        </is>
      </c>
      <c r="B4219" s="1" t="n">
        <v>44727</v>
      </c>
      <c r="C4219" s="1" t="n">
        <v>45798</v>
      </c>
      <c r="D4219" t="inlineStr">
        <is>
          <t>NORRBOTTENS LÄN</t>
        </is>
      </c>
      <c r="E4219" t="inlineStr">
        <is>
          <t>PAJALA</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24521-2022</t>
        </is>
      </c>
      <c r="B4220" s="1" t="n">
        <v>44727</v>
      </c>
      <c r="C4220" s="1" t="n">
        <v>45798</v>
      </c>
      <c r="D4220" t="inlineStr">
        <is>
          <t>NORRBOTTENS LÄN</t>
        </is>
      </c>
      <c r="E4220" t="inlineStr">
        <is>
          <t>PAJALA</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24520-2022</t>
        </is>
      </c>
      <c r="B4221" s="1" t="n">
        <v>44727</v>
      </c>
      <c r="C4221" s="1" t="n">
        <v>45798</v>
      </c>
      <c r="D4221" t="inlineStr">
        <is>
          <t>NORRBOTTENS LÄN</t>
        </is>
      </c>
      <c r="E4221" t="inlineStr">
        <is>
          <t>PAJALA</t>
        </is>
      </c>
      <c r="F4221" t="inlineStr">
        <is>
          <t>SCA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24564-2022</t>
        </is>
      </c>
      <c r="B4222" s="1" t="n">
        <v>44726</v>
      </c>
      <c r="C4222" s="1" t="n">
        <v>45798</v>
      </c>
      <c r="D4222" t="inlineStr">
        <is>
          <t>NORRBOTTENS LÄN</t>
        </is>
      </c>
      <c r="E4222" t="inlineStr">
        <is>
          <t>GÄLLIVARE</t>
        </is>
      </c>
      <c r="G4222" t="n">
        <v>12.9</v>
      </c>
      <c r="H4222" t="n">
        <v>0</v>
      </c>
      <c r="I4222" t="n">
        <v>0</v>
      </c>
      <c r="J4222" t="n">
        <v>0</v>
      </c>
      <c r="K4222" t="n">
        <v>0</v>
      </c>
      <c r="L4222" t="n">
        <v>0</v>
      </c>
      <c r="M4222" t="n">
        <v>0</v>
      </c>
      <c r="N4222" t="n">
        <v>0</v>
      </c>
      <c r="O4222" t="n">
        <v>0</v>
      </c>
      <c r="P4222" t="n">
        <v>0</v>
      </c>
      <c r="Q4222" t="n">
        <v>0</v>
      </c>
      <c r="R4222" s="2" t="inlineStr"/>
    </row>
    <row r="4223" ht="15" customHeight="1">
      <c r="A4223" t="inlineStr">
        <is>
          <t>A 24691-2022</t>
        </is>
      </c>
      <c r="B4223" s="1" t="n">
        <v>44727</v>
      </c>
      <c r="C4223" s="1" t="n">
        <v>45798</v>
      </c>
      <c r="D4223" t="inlineStr">
        <is>
          <t>NORRBOTTENS LÄN</t>
        </is>
      </c>
      <c r="E4223" t="inlineStr">
        <is>
          <t>BODEN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24665-2022</t>
        </is>
      </c>
      <c r="B4224" s="1" t="n">
        <v>44727</v>
      </c>
      <c r="C4224" s="1" t="n">
        <v>45798</v>
      </c>
      <c r="D4224" t="inlineStr">
        <is>
          <t>NORRBOTTENS LÄN</t>
        </is>
      </c>
      <c r="E4224" t="inlineStr">
        <is>
          <t>ÄLVSBYN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24724-2022</t>
        </is>
      </c>
      <c r="B4225" s="1" t="n">
        <v>44727</v>
      </c>
      <c r="C4225" s="1" t="n">
        <v>45798</v>
      </c>
      <c r="D4225" t="inlineStr">
        <is>
          <t>NORRBOTTENS LÄN</t>
        </is>
      </c>
      <c r="E4225" t="inlineStr">
        <is>
          <t>PITEÅ</t>
        </is>
      </c>
      <c r="F4225" t="inlineStr">
        <is>
          <t>SCA</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24760-2022</t>
        </is>
      </c>
      <c r="B4226" s="1" t="n">
        <v>44728</v>
      </c>
      <c r="C4226" s="1" t="n">
        <v>45798</v>
      </c>
      <c r="D4226" t="inlineStr">
        <is>
          <t>NORRBOTTENS LÄN</t>
        </is>
      </c>
      <c r="E4226" t="inlineStr">
        <is>
          <t>ÄLVSBYN</t>
        </is>
      </c>
      <c r="G4226" t="n">
        <v>14.2</v>
      </c>
      <c r="H4226" t="n">
        <v>0</v>
      </c>
      <c r="I4226" t="n">
        <v>0</v>
      </c>
      <c r="J4226" t="n">
        <v>0</v>
      </c>
      <c r="K4226" t="n">
        <v>0</v>
      </c>
      <c r="L4226" t="n">
        <v>0</v>
      </c>
      <c r="M4226" t="n">
        <v>0</v>
      </c>
      <c r="N4226" t="n">
        <v>0</v>
      </c>
      <c r="O4226" t="n">
        <v>0</v>
      </c>
      <c r="P4226" t="n">
        <v>0</v>
      </c>
      <c r="Q4226" t="n">
        <v>0</v>
      </c>
      <c r="R4226" s="2" t="inlineStr"/>
    </row>
    <row r="4227" ht="15" customHeight="1">
      <c r="A4227" t="inlineStr">
        <is>
          <t>A 24841-2022</t>
        </is>
      </c>
      <c r="B4227" s="1" t="n">
        <v>44728</v>
      </c>
      <c r="C4227" s="1" t="n">
        <v>45798</v>
      </c>
      <c r="D4227" t="inlineStr">
        <is>
          <t>NORRBOTTENS LÄN</t>
        </is>
      </c>
      <c r="E4227" t="inlineStr">
        <is>
          <t>PAJALA</t>
        </is>
      </c>
      <c r="F4227" t="inlineStr">
        <is>
          <t>Allmännings- och besparingsskogar</t>
        </is>
      </c>
      <c r="G4227" t="n">
        <v>33.8</v>
      </c>
      <c r="H4227" t="n">
        <v>0</v>
      </c>
      <c r="I4227" t="n">
        <v>0</v>
      </c>
      <c r="J4227" t="n">
        <v>0</v>
      </c>
      <c r="K4227" t="n">
        <v>0</v>
      </c>
      <c r="L4227" t="n">
        <v>0</v>
      </c>
      <c r="M4227" t="n">
        <v>0</v>
      </c>
      <c r="N4227" t="n">
        <v>0</v>
      </c>
      <c r="O4227" t="n">
        <v>0</v>
      </c>
      <c r="P4227" t="n">
        <v>0</v>
      </c>
      <c r="Q4227" t="n">
        <v>0</v>
      </c>
      <c r="R4227" s="2" t="inlineStr"/>
    </row>
    <row r="4228" ht="15" customHeight="1">
      <c r="A4228" t="inlineStr">
        <is>
          <t>A 24765-2022</t>
        </is>
      </c>
      <c r="B4228" s="1" t="n">
        <v>44728</v>
      </c>
      <c r="C4228" s="1" t="n">
        <v>45798</v>
      </c>
      <c r="D4228" t="inlineStr">
        <is>
          <t>NORRBOTTENS LÄN</t>
        </is>
      </c>
      <c r="E4228" t="inlineStr">
        <is>
          <t>ÖVERTORNEÅ</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24866-2022</t>
        </is>
      </c>
      <c r="B4229" s="1" t="n">
        <v>44728</v>
      </c>
      <c r="C4229" s="1" t="n">
        <v>45798</v>
      </c>
      <c r="D4229" t="inlineStr">
        <is>
          <t>NORRBOTTENS LÄN</t>
        </is>
      </c>
      <c r="E4229" t="inlineStr">
        <is>
          <t>ÖVERKALIX</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24929-2022</t>
        </is>
      </c>
      <c r="B4230" s="1" t="n">
        <v>44728</v>
      </c>
      <c r="C4230" s="1" t="n">
        <v>45798</v>
      </c>
      <c r="D4230" t="inlineStr">
        <is>
          <t>NORRBOTTENS LÄN</t>
        </is>
      </c>
      <c r="E4230" t="inlineStr">
        <is>
          <t>ÖVERTORNEÅ</t>
        </is>
      </c>
      <c r="F4230" t="inlineStr">
        <is>
          <t>Sveaskog</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24924-2022</t>
        </is>
      </c>
      <c r="B4231" s="1" t="n">
        <v>44728</v>
      </c>
      <c r="C4231" s="1" t="n">
        <v>45798</v>
      </c>
      <c r="D4231" t="inlineStr">
        <is>
          <t>NORRBOTTENS LÄN</t>
        </is>
      </c>
      <c r="E4231" t="inlineStr">
        <is>
          <t>ÖVERTORNEÅ</t>
        </is>
      </c>
      <c r="F4231" t="inlineStr">
        <is>
          <t>Sveaskog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24995-2022</t>
        </is>
      </c>
      <c r="B4232" s="1" t="n">
        <v>44729</v>
      </c>
      <c r="C4232" s="1" t="n">
        <v>45798</v>
      </c>
      <c r="D4232" t="inlineStr">
        <is>
          <t>NORRBOTTENS LÄN</t>
        </is>
      </c>
      <c r="E4232" t="inlineStr">
        <is>
          <t>LULEÅ</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25070-2022</t>
        </is>
      </c>
      <c r="B4233" s="1" t="n">
        <v>44729</v>
      </c>
      <c r="C4233" s="1" t="n">
        <v>45798</v>
      </c>
      <c r="D4233" t="inlineStr">
        <is>
          <t>NORRBOTTENS LÄN</t>
        </is>
      </c>
      <c r="E4233" t="inlineStr">
        <is>
          <t>BODEN</t>
        </is>
      </c>
      <c r="G4233" t="n">
        <v>19.5</v>
      </c>
      <c r="H4233" t="n">
        <v>0</v>
      </c>
      <c r="I4233" t="n">
        <v>0</v>
      </c>
      <c r="J4233" t="n">
        <v>0</v>
      </c>
      <c r="K4233" t="n">
        <v>0</v>
      </c>
      <c r="L4233" t="n">
        <v>0</v>
      </c>
      <c r="M4233" t="n">
        <v>0</v>
      </c>
      <c r="N4233" t="n">
        <v>0</v>
      </c>
      <c r="O4233" t="n">
        <v>0</v>
      </c>
      <c r="P4233" t="n">
        <v>0</v>
      </c>
      <c r="Q4233" t="n">
        <v>0</v>
      </c>
      <c r="R4233" s="2" t="inlineStr"/>
    </row>
    <row r="4234" ht="15" customHeight="1">
      <c r="A4234" t="inlineStr">
        <is>
          <t>A 25163-2022</t>
        </is>
      </c>
      <c r="B4234" s="1" t="n">
        <v>44729</v>
      </c>
      <c r="C4234" s="1" t="n">
        <v>45798</v>
      </c>
      <c r="D4234" t="inlineStr">
        <is>
          <t>NORRBOTTENS LÄN</t>
        </is>
      </c>
      <c r="E4234" t="inlineStr">
        <is>
          <t>PITEÅ</t>
        </is>
      </c>
      <c r="F4234" t="inlineStr">
        <is>
          <t>Sveaskog</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25149-2022</t>
        </is>
      </c>
      <c r="B4235" s="1" t="n">
        <v>44729</v>
      </c>
      <c r="C4235" s="1" t="n">
        <v>45798</v>
      </c>
      <c r="D4235" t="inlineStr">
        <is>
          <t>NORRBOTTENS LÄN</t>
        </is>
      </c>
      <c r="E4235" t="inlineStr">
        <is>
          <t>ÖVERTORNEÅ</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25455-2022</t>
        </is>
      </c>
      <c r="B4236" s="1" t="n">
        <v>44732</v>
      </c>
      <c r="C4236" s="1" t="n">
        <v>45798</v>
      </c>
      <c r="D4236" t="inlineStr">
        <is>
          <t>NORRBOTTENS LÄN</t>
        </is>
      </c>
      <c r="E4236" t="inlineStr">
        <is>
          <t>ÄLVSBYN</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25388-2022</t>
        </is>
      </c>
      <c r="B4237" s="1" t="n">
        <v>44732</v>
      </c>
      <c r="C4237" s="1" t="n">
        <v>45798</v>
      </c>
      <c r="D4237" t="inlineStr">
        <is>
          <t>NORRBOTTENS LÄN</t>
        </is>
      </c>
      <c r="E4237" t="inlineStr">
        <is>
          <t>ARVIDSJAUR</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25449-2022</t>
        </is>
      </c>
      <c r="B4238" s="1" t="n">
        <v>44732</v>
      </c>
      <c r="C4238" s="1" t="n">
        <v>45798</v>
      </c>
      <c r="D4238" t="inlineStr">
        <is>
          <t>NORRBOTTENS LÄN</t>
        </is>
      </c>
      <c r="E4238" t="inlineStr">
        <is>
          <t>ÄLVSBYN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25506-2022</t>
        </is>
      </c>
      <c r="B4239" s="1" t="n">
        <v>44732</v>
      </c>
      <c r="C4239" s="1" t="n">
        <v>45798</v>
      </c>
      <c r="D4239" t="inlineStr">
        <is>
          <t>NORRBOTTENS LÄN</t>
        </is>
      </c>
      <c r="E4239" t="inlineStr">
        <is>
          <t>ARVIDSJAUR</t>
        </is>
      </c>
      <c r="F4239" t="inlineStr">
        <is>
          <t>Sveaskog</t>
        </is>
      </c>
      <c r="G4239" t="n">
        <v>12.3</v>
      </c>
      <c r="H4239" t="n">
        <v>0</v>
      </c>
      <c r="I4239" t="n">
        <v>0</v>
      </c>
      <c r="J4239" t="n">
        <v>0</v>
      </c>
      <c r="K4239" t="n">
        <v>0</v>
      </c>
      <c r="L4239" t="n">
        <v>0</v>
      </c>
      <c r="M4239" t="n">
        <v>0</v>
      </c>
      <c r="N4239" t="n">
        <v>0</v>
      </c>
      <c r="O4239" t="n">
        <v>0</v>
      </c>
      <c r="P4239" t="n">
        <v>0</v>
      </c>
      <c r="Q4239" t="n">
        <v>0</v>
      </c>
      <c r="R4239" s="2" t="inlineStr"/>
    </row>
    <row r="4240" ht="15" customHeight="1">
      <c r="A4240" t="inlineStr">
        <is>
          <t>A 25395-2022</t>
        </is>
      </c>
      <c r="B4240" s="1" t="n">
        <v>44732</v>
      </c>
      <c r="C4240" s="1" t="n">
        <v>45798</v>
      </c>
      <c r="D4240" t="inlineStr">
        <is>
          <t>NORRBOTTENS LÄN</t>
        </is>
      </c>
      <c r="E4240" t="inlineStr">
        <is>
          <t>ARVIDSJAUR</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25559-2022</t>
        </is>
      </c>
      <c r="B4241" s="1" t="n">
        <v>44732</v>
      </c>
      <c r="C4241" s="1" t="n">
        <v>45798</v>
      </c>
      <c r="D4241" t="inlineStr">
        <is>
          <t>NORRBOTTENS LÄN</t>
        </is>
      </c>
      <c r="E4241" t="inlineStr">
        <is>
          <t>ARJEPLOG</t>
        </is>
      </c>
      <c r="F4241" t="inlineStr">
        <is>
          <t>Övriga statliga verk och myndigheter</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25627-2022</t>
        </is>
      </c>
      <c r="B4242" s="1" t="n">
        <v>44733</v>
      </c>
      <c r="C4242" s="1" t="n">
        <v>45798</v>
      </c>
      <c r="D4242" t="inlineStr">
        <is>
          <t>NORRBOTTENS LÄN</t>
        </is>
      </c>
      <c r="E4242" t="inlineStr">
        <is>
          <t>BODEN</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26773-2022</t>
        </is>
      </c>
      <c r="B4243" s="1" t="n">
        <v>44732</v>
      </c>
      <c r="C4243" s="1" t="n">
        <v>45798</v>
      </c>
      <c r="D4243" t="inlineStr">
        <is>
          <t>NORRBOTTENS LÄN</t>
        </is>
      </c>
      <c r="E4243" t="inlineStr">
        <is>
          <t>ARJEPLOG</t>
        </is>
      </c>
      <c r="F4243" t="inlineStr">
        <is>
          <t>Övriga statliga verk och myndigheter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25720-2022</t>
        </is>
      </c>
      <c r="B4244" s="1" t="n">
        <v>44733</v>
      </c>
      <c r="C4244" s="1" t="n">
        <v>45798</v>
      </c>
      <c r="D4244" t="inlineStr">
        <is>
          <t>NORRBOTTENS LÄN</t>
        </is>
      </c>
      <c r="E4244" t="inlineStr">
        <is>
          <t>ARVIDSJAUR</t>
        </is>
      </c>
      <c r="F4244" t="inlineStr">
        <is>
          <t>Sveaskog</t>
        </is>
      </c>
      <c r="G4244" t="n">
        <v>16.4</v>
      </c>
      <c r="H4244" t="n">
        <v>0</v>
      </c>
      <c r="I4244" t="n">
        <v>0</v>
      </c>
      <c r="J4244" t="n">
        <v>0</v>
      </c>
      <c r="K4244" t="n">
        <v>0</v>
      </c>
      <c r="L4244" t="n">
        <v>0</v>
      </c>
      <c r="M4244" t="n">
        <v>0</v>
      </c>
      <c r="N4244" t="n">
        <v>0</v>
      </c>
      <c r="O4244" t="n">
        <v>0</v>
      </c>
      <c r="P4244" t="n">
        <v>0</v>
      </c>
      <c r="Q4244" t="n">
        <v>0</v>
      </c>
      <c r="R4244" s="2" t="inlineStr"/>
    </row>
    <row r="4245" ht="15" customHeight="1">
      <c r="A4245" t="inlineStr">
        <is>
          <t>A 25740-2022</t>
        </is>
      </c>
      <c r="B4245" s="1" t="n">
        <v>44733</v>
      </c>
      <c r="C4245" s="1" t="n">
        <v>45798</v>
      </c>
      <c r="D4245" t="inlineStr">
        <is>
          <t>NORRBOTTENS LÄN</t>
        </is>
      </c>
      <c r="E4245" t="inlineStr">
        <is>
          <t>KALIX</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25695-2022</t>
        </is>
      </c>
      <c r="B4246" s="1" t="n">
        <v>44733</v>
      </c>
      <c r="C4246" s="1" t="n">
        <v>45798</v>
      </c>
      <c r="D4246" t="inlineStr">
        <is>
          <t>NORRBOTTENS LÄN</t>
        </is>
      </c>
      <c r="E4246" t="inlineStr">
        <is>
          <t>ÖVERTORNEÅ</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25744-2022</t>
        </is>
      </c>
      <c r="B4247" s="1" t="n">
        <v>44733</v>
      </c>
      <c r="C4247" s="1" t="n">
        <v>45798</v>
      </c>
      <c r="D4247" t="inlineStr">
        <is>
          <t>NORRBOTTENS LÄN</t>
        </is>
      </c>
      <c r="E4247" t="inlineStr">
        <is>
          <t>KALIX</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25871-2022</t>
        </is>
      </c>
      <c r="B4248" s="1" t="n">
        <v>44733</v>
      </c>
      <c r="C4248" s="1" t="n">
        <v>45798</v>
      </c>
      <c r="D4248" t="inlineStr">
        <is>
          <t>NORRBOTTENS LÄN</t>
        </is>
      </c>
      <c r="E4248" t="inlineStr">
        <is>
          <t>KALIX</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25888-2022</t>
        </is>
      </c>
      <c r="B4249" s="1" t="n">
        <v>44733</v>
      </c>
      <c r="C4249" s="1" t="n">
        <v>45798</v>
      </c>
      <c r="D4249" t="inlineStr">
        <is>
          <t>NORRBOTTENS LÄN</t>
        </is>
      </c>
      <c r="E4249" t="inlineStr">
        <is>
          <t>KALIX</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26022-2022</t>
        </is>
      </c>
      <c r="B4250" s="1" t="n">
        <v>44734</v>
      </c>
      <c r="C4250" s="1" t="n">
        <v>45798</v>
      </c>
      <c r="D4250" t="inlineStr">
        <is>
          <t>NORRBOTTENS LÄN</t>
        </is>
      </c>
      <c r="E4250" t="inlineStr">
        <is>
          <t>BODEN</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25910-2022</t>
        </is>
      </c>
      <c r="B4251" s="1" t="n">
        <v>44734</v>
      </c>
      <c r="C4251" s="1" t="n">
        <v>45798</v>
      </c>
      <c r="D4251" t="inlineStr">
        <is>
          <t>NORRBOTTENS LÄN</t>
        </is>
      </c>
      <c r="E4251" t="inlineStr">
        <is>
          <t>GÄLLIVARE</t>
        </is>
      </c>
      <c r="F4251" t="inlineStr">
        <is>
          <t>Sveaskog</t>
        </is>
      </c>
      <c r="G4251" t="n">
        <v>36.7</v>
      </c>
      <c r="H4251" t="n">
        <v>0</v>
      </c>
      <c r="I4251" t="n">
        <v>0</v>
      </c>
      <c r="J4251" t="n">
        <v>0</v>
      </c>
      <c r="K4251" t="n">
        <v>0</v>
      </c>
      <c r="L4251" t="n">
        <v>0</v>
      </c>
      <c r="M4251" t="n">
        <v>0</v>
      </c>
      <c r="N4251" t="n">
        <v>0</v>
      </c>
      <c r="O4251" t="n">
        <v>0</v>
      </c>
      <c r="P4251" t="n">
        <v>0</v>
      </c>
      <c r="Q4251" t="n">
        <v>0</v>
      </c>
      <c r="R4251" s="2" t="inlineStr"/>
    </row>
    <row r="4252" ht="15" customHeight="1">
      <c r="A4252" t="inlineStr">
        <is>
          <t>A 26014-2022</t>
        </is>
      </c>
      <c r="B4252" s="1" t="n">
        <v>44734</v>
      </c>
      <c r="C4252" s="1" t="n">
        <v>45798</v>
      </c>
      <c r="D4252" t="inlineStr">
        <is>
          <t>NORRBOTTENS LÄN</t>
        </is>
      </c>
      <c r="E4252" t="inlineStr">
        <is>
          <t>BODEN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26013-2022</t>
        </is>
      </c>
      <c r="B4253" s="1" t="n">
        <v>44734</v>
      </c>
      <c r="C4253" s="1" t="n">
        <v>45798</v>
      </c>
      <c r="D4253" t="inlineStr">
        <is>
          <t>NORRBOTTENS LÄN</t>
        </is>
      </c>
      <c r="E4253" t="inlineStr">
        <is>
          <t>BODEN</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26125-2022</t>
        </is>
      </c>
      <c r="B4254" s="1" t="n">
        <v>44735</v>
      </c>
      <c r="C4254" s="1" t="n">
        <v>45798</v>
      </c>
      <c r="D4254" t="inlineStr">
        <is>
          <t>NORRBOTTENS LÄN</t>
        </is>
      </c>
      <c r="E4254" t="inlineStr">
        <is>
          <t>ÄLVSBYN</t>
        </is>
      </c>
      <c r="F4254" t="inlineStr">
        <is>
          <t>SCA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26267-2022</t>
        </is>
      </c>
      <c r="B4255" s="1" t="n">
        <v>44735</v>
      </c>
      <c r="C4255" s="1" t="n">
        <v>45798</v>
      </c>
      <c r="D4255" t="inlineStr">
        <is>
          <t>NORRBOTTENS LÄN</t>
        </is>
      </c>
      <c r="E4255" t="inlineStr">
        <is>
          <t>LULEÅ</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26296-2022</t>
        </is>
      </c>
      <c r="B4256" s="1" t="n">
        <v>44735</v>
      </c>
      <c r="C4256" s="1" t="n">
        <v>45798</v>
      </c>
      <c r="D4256" t="inlineStr">
        <is>
          <t>NORRBOTTENS LÄN</t>
        </is>
      </c>
      <c r="E4256" t="inlineStr">
        <is>
          <t>PITEÅ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26223-2022</t>
        </is>
      </c>
      <c r="B4257" s="1" t="n">
        <v>44735</v>
      </c>
      <c r="C4257" s="1" t="n">
        <v>45798</v>
      </c>
      <c r="D4257" t="inlineStr">
        <is>
          <t>NORRBOTTENS LÄN</t>
        </is>
      </c>
      <c r="E4257" t="inlineStr">
        <is>
          <t>ARVIDSJAUR</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26359-2022</t>
        </is>
      </c>
      <c r="B4258" s="1" t="n">
        <v>44735</v>
      </c>
      <c r="C4258" s="1" t="n">
        <v>45798</v>
      </c>
      <c r="D4258" t="inlineStr">
        <is>
          <t>NORRBOTTENS LÄN</t>
        </is>
      </c>
      <c r="E4258" t="inlineStr">
        <is>
          <t>BODEN</t>
        </is>
      </c>
      <c r="F4258" t="inlineStr">
        <is>
          <t>Sveaskog</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26390-2022</t>
        </is>
      </c>
      <c r="B4259" s="1" t="n">
        <v>44735</v>
      </c>
      <c r="C4259" s="1" t="n">
        <v>45798</v>
      </c>
      <c r="D4259" t="inlineStr">
        <is>
          <t>NORRBOTTENS LÄN</t>
        </is>
      </c>
      <c r="E4259" t="inlineStr">
        <is>
          <t>PITEÅ</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28354-2022</t>
        </is>
      </c>
      <c r="B4260" s="1" t="n">
        <v>44735</v>
      </c>
      <c r="C4260" s="1" t="n">
        <v>45798</v>
      </c>
      <c r="D4260" t="inlineStr">
        <is>
          <t>NORRBOTTENS LÄN</t>
        </is>
      </c>
      <c r="E4260" t="inlineStr">
        <is>
          <t>ARJEPLOG</t>
        </is>
      </c>
      <c r="F4260" t="inlineStr">
        <is>
          <t>Övriga statliga verk och myndigheter</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26406-2022</t>
        </is>
      </c>
      <c r="B4261" s="1" t="n">
        <v>44736</v>
      </c>
      <c r="C4261" s="1" t="n">
        <v>45798</v>
      </c>
      <c r="D4261" t="inlineStr">
        <is>
          <t>NORRBOTTENS LÄN</t>
        </is>
      </c>
      <c r="E4261" t="inlineStr">
        <is>
          <t>ÄLVSBYN</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26811-2022</t>
        </is>
      </c>
      <c r="B4262" s="1" t="n">
        <v>44735</v>
      </c>
      <c r="C4262" s="1" t="n">
        <v>45798</v>
      </c>
      <c r="D4262" t="inlineStr">
        <is>
          <t>NORRBOTTENS LÄN</t>
        </is>
      </c>
      <c r="E4262" t="inlineStr">
        <is>
          <t>ARJEPLOG</t>
        </is>
      </c>
      <c r="F4262" t="inlineStr">
        <is>
          <t>Övriga statliga verk och myndigheter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28358-2022</t>
        </is>
      </c>
      <c r="B4263" s="1" t="n">
        <v>44735</v>
      </c>
      <c r="C4263" s="1" t="n">
        <v>45798</v>
      </c>
      <c r="D4263" t="inlineStr">
        <is>
          <t>NORRBOTTENS LÄN</t>
        </is>
      </c>
      <c r="E4263" t="inlineStr">
        <is>
          <t>ARJEPLOG</t>
        </is>
      </c>
      <c r="F4263" t="inlineStr">
        <is>
          <t>Övriga statliga verk och myndigheter</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26608-2022</t>
        </is>
      </c>
      <c r="B4264" s="1" t="n">
        <v>44739</v>
      </c>
      <c r="C4264" s="1" t="n">
        <v>45798</v>
      </c>
      <c r="D4264" t="inlineStr">
        <is>
          <t>NORRBOTTENS LÄN</t>
        </is>
      </c>
      <c r="E4264" t="inlineStr">
        <is>
          <t>ÄLVSBYN</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26610-2022</t>
        </is>
      </c>
      <c r="B4265" s="1" t="n">
        <v>44739</v>
      </c>
      <c r="C4265" s="1" t="n">
        <v>45798</v>
      </c>
      <c r="D4265" t="inlineStr">
        <is>
          <t>NORRBOTTENS LÄN</t>
        </is>
      </c>
      <c r="E4265" t="inlineStr">
        <is>
          <t>ÄLVSBYN</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26741-2022</t>
        </is>
      </c>
      <c r="B4266" s="1" t="n">
        <v>44739</v>
      </c>
      <c r="C4266" s="1" t="n">
        <v>45798</v>
      </c>
      <c r="D4266" t="inlineStr">
        <is>
          <t>NORRBOTTENS LÄN</t>
        </is>
      </c>
      <c r="E4266" t="inlineStr">
        <is>
          <t>ÄLVSBYN</t>
        </is>
      </c>
      <c r="F4266" t="inlineStr">
        <is>
          <t>SCA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26579-2022</t>
        </is>
      </c>
      <c r="B4267" s="1" t="n">
        <v>44739</v>
      </c>
      <c r="C4267" s="1" t="n">
        <v>45798</v>
      </c>
      <c r="D4267" t="inlineStr">
        <is>
          <t>NORRBOTTENS LÄN</t>
        </is>
      </c>
      <c r="E4267" t="inlineStr">
        <is>
          <t>ÄLVSBYN</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26740-2022</t>
        </is>
      </c>
      <c r="B4268" s="1" t="n">
        <v>44739</v>
      </c>
      <c r="C4268" s="1" t="n">
        <v>45798</v>
      </c>
      <c r="D4268" t="inlineStr">
        <is>
          <t>NORRBOTTENS LÄN</t>
        </is>
      </c>
      <c r="E4268" t="inlineStr">
        <is>
          <t>ÄLVSBYN</t>
        </is>
      </c>
      <c r="F4268" t="inlineStr">
        <is>
          <t>SCA</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26791-2022</t>
        </is>
      </c>
      <c r="B4269" s="1" t="n">
        <v>44740</v>
      </c>
      <c r="C4269" s="1" t="n">
        <v>45798</v>
      </c>
      <c r="D4269" t="inlineStr">
        <is>
          <t>NORRBOTTENS LÄN</t>
        </is>
      </c>
      <c r="E4269" t="inlineStr">
        <is>
          <t>PAJALA</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26938-2022</t>
        </is>
      </c>
      <c r="B4270" s="1" t="n">
        <v>44740</v>
      </c>
      <c r="C4270" s="1" t="n">
        <v>45798</v>
      </c>
      <c r="D4270" t="inlineStr">
        <is>
          <t>NORRBOTTENS LÄN</t>
        </is>
      </c>
      <c r="E4270" t="inlineStr">
        <is>
          <t>ARVIDSJAUR</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27108-2022</t>
        </is>
      </c>
      <c r="B4271" s="1" t="n">
        <v>44741</v>
      </c>
      <c r="C4271" s="1" t="n">
        <v>45798</v>
      </c>
      <c r="D4271" t="inlineStr">
        <is>
          <t>NORRBOTTENS LÄN</t>
        </is>
      </c>
      <c r="E4271" t="inlineStr">
        <is>
          <t>LULEÅ</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27184-2022</t>
        </is>
      </c>
      <c r="B4272" s="1" t="n">
        <v>44741</v>
      </c>
      <c r="C4272" s="1" t="n">
        <v>45798</v>
      </c>
      <c r="D4272" t="inlineStr">
        <is>
          <t>NORRBOTTENS LÄN</t>
        </is>
      </c>
      <c r="E4272" t="inlineStr">
        <is>
          <t>PAJALA</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27202-2022</t>
        </is>
      </c>
      <c r="B4273" s="1" t="n">
        <v>44741</v>
      </c>
      <c r="C4273" s="1" t="n">
        <v>45798</v>
      </c>
      <c r="D4273" t="inlineStr">
        <is>
          <t>NORRBOTTENS LÄN</t>
        </is>
      </c>
      <c r="E4273" t="inlineStr">
        <is>
          <t>ÄLVSBYN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27050-2022</t>
        </is>
      </c>
      <c r="B4274" s="1" t="n">
        <v>44741</v>
      </c>
      <c r="C4274" s="1" t="n">
        <v>45798</v>
      </c>
      <c r="D4274" t="inlineStr">
        <is>
          <t>NORRBOTTENS LÄN</t>
        </is>
      </c>
      <c r="E4274" t="inlineStr">
        <is>
          <t>GÄLLIVARE</t>
        </is>
      </c>
      <c r="F4274" t="inlineStr">
        <is>
          <t>Övriga Aktiebolag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27092-2022</t>
        </is>
      </c>
      <c r="B4275" s="1" t="n">
        <v>44741</v>
      </c>
      <c r="C4275" s="1" t="n">
        <v>45798</v>
      </c>
      <c r="D4275" t="inlineStr">
        <is>
          <t>NORRBOTTENS LÄN</t>
        </is>
      </c>
      <c r="E4275" t="inlineStr">
        <is>
          <t>ARJEPLOG</t>
        </is>
      </c>
      <c r="G4275" t="n">
        <v>15.6</v>
      </c>
      <c r="H4275" t="n">
        <v>0</v>
      </c>
      <c r="I4275" t="n">
        <v>0</v>
      </c>
      <c r="J4275" t="n">
        <v>0</v>
      </c>
      <c r="K4275" t="n">
        <v>0</v>
      </c>
      <c r="L4275" t="n">
        <v>0</v>
      </c>
      <c r="M4275" t="n">
        <v>0</v>
      </c>
      <c r="N4275" t="n">
        <v>0</v>
      </c>
      <c r="O4275" t="n">
        <v>0</v>
      </c>
      <c r="P4275" t="n">
        <v>0</v>
      </c>
      <c r="Q4275" t="n">
        <v>0</v>
      </c>
      <c r="R4275" s="2" t="inlineStr"/>
    </row>
    <row r="4276" ht="15" customHeight="1">
      <c r="A4276" t="inlineStr">
        <is>
          <t>A 27225-2022</t>
        </is>
      </c>
      <c r="B4276" s="1" t="n">
        <v>44741</v>
      </c>
      <c r="C4276" s="1" t="n">
        <v>45798</v>
      </c>
      <c r="D4276" t="inlineStr">
        <is>
          <t>NORRBOTTENS LÄN</t>
        </is>
      </c>
      <c r="E4276" t="inlineStr">
        <is>
          <t>ÖVERKALIX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27230-2022</t>
        </is>
      </c>
      <c r="B4277" s="1" t="n">
        <v>44741</v>
      </c>
      <c r="C4277" s="1" t="n">
        <v>45798</v>
      </c>
      <c r="D4277" t="inlineStr">
        <is>
          <t>NORRBOTTENS LÄN</t>
        </is>
      </c>
      <c r="E4277" t="inlineStr">
        <is>
          <t>ÖVERKALIX</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27268-2022</t>
        </is>
      </c>
      <c r="B4278" s="1" t="n">
        <v>44741</v>
      </c>
      <c r="C4278" s="1" t="n">
        <v>45798</v>
      </c>
      <c r="D4278" t="inlineStr">
        <is>
          <t>NORRBOTTENS LÄN</t>
        </is>
      </c>
      <c r="E4278" t="inlineStr">
        <is>
          <t>PITEÅ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27269-2022</t>
        </is>
      </c>
      <c r="B4279" s="1" t="n">
        <v>44741</v>
      </c>
      <c r="C4279" s="1" t="n">
        <v>45798</v>
      </c>
      <c r="D4279" t="inlineStr">
        <is>
          <t>NORRBOTTENS LÄN</t>
        </is>
      </c>
      <c r="E4279" t="inlineStr">
        <is>
          <t>PITEÅ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27305-2022</t>
        </is>
      </c>
      <c r="B4280" s="1" t="n">
        <v>44741</v>
      </c>
      <c r="C4280" s="1" t="n">
        <v>45798</v>
      </c>
      <c r="D4280" t="inlineStr">
        <is>
          <t>NORRBOTTENS LÄN</t>
        </is>
      </c>
      <c r="E4280" t="inlineStr">
        <is>
          <t>LULEÅ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27303-2022</t>
        </is>
      </c>
      <c r="B4281" s="1" t="n">
        <v>44741</v>
      </c>
      <c r="C4281" s="1" t="n">
        <v>45798</v>
      </c>
      <c r="D4281" t="inlineStr">
        <is>
          <t>NORRBOTTENS LÄN</t>
        </is>
      </c>
      <c r="E4281" t="inlineStr">
        <is>
          <t>LULEÅ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27234-2022</t>
        </is>
      </c>
      <c r="B4282" s="1" t="n">
        <v>44741</v>
      </c>
      <c r="C4282" s="1" t="n">
        <v>45798</v>
      </c>
      <c r="D4282" t="inlineStr">
        <is>
          <t>NORRBOTTENS LÄN</t>
        </is>
      </c>
      <c r="E4282" t="inlineStr">
        <is>
          <t>ARVIDSJAUR</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27270-2022</t>
        </is>
      </c>
      <c r="B4283" s="1" t="n">
        <v>44741</v>
      </c>
      <c r="C4283" s="1" t="n">
        <v>45798</v>
      </c>
      <c r="D4283" t="inlineStr">
        <is>
          <t>NORRBOTTENS LÄN</t>
        </is>
      </c>
      <c r="E4283" t="inlineStr">
        <is>
          <t>PITEÅ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27277-2022</t>
        </is>
      </c>
      <c r="B4284" s="1" t="n">
        <v>44742</v>
      </c>
      <c r="C4284" s="1" t="n">
        <v>45798</v>
      </c>
      <c r="D4284" t="inlineStr">
        <is>
          <t>NORRBOTTENS LÄN</t>
        </is>
      </c>
      <c r="E4284" t="inlineStr">
        <is>
          <t>ÄLVSBYN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27300-2022</t>
        </is>
      </c>
      <c r="B4285" s="1" t="n">
        <v>44742</v>
      </c>
      <c r="C4285" s="1" t="n">
        <v>45798</v>
      </c>
      <c r="D4285" t="inlineStr">
        <is>
          <t>NORRBOTTENS LÄN</t>
        </is>
      </c>
      <c r="E4285" t="inlineStr">
        <is>
          <t>ÖVERTORNEÅ</t>
        </is>
      </c>
      <c r="F4285" t="inlineStr">
        <is>
          <t>Sveaskog</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27377-2022</t>
        </is>
      </c>
      <c r="B4286" s="1" t="n">
        <v>44742</v>
      </c>
      <c r="C4286" s="1" t="n">
        <v>45798</v>
      </c>
      <c r="D4286" t="inlineStr">
        <is>
          <t>NORRBOTTENS LÄN</t>
        </is>
      </c>
      <c r="E4286" t="inlineStr">
        <is>
          <t>KALIX</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27448-2022</t>
        </is>
      </c>
      <c r="B4287" s="1" t="n">
        <v>44742</v>
      </c>
      <c r="C4287" s="1" t="n">
        <v>45798</v>
      </c>
      <c r="D4287" t="inlineStr">
        <is>
          <t>NORRBOTTENS LÄN</t>
        </is>
      </c>
      <c r="E4287" t="inlineStr">
        <is>
          <t>HAPARANDA</t>
        </is>
      </c>
      <c r="G4287" t="n">
        <v>9.1</v>
      </c>
      <c r="H4287" t="n">
        <v>0</v>
      </c>
      <c r="I4287" t="n">
        <v>0</v>
      </c>
      <c r="J4287" t="n">
        <v>0</v>
      </c>
      <c r="K4287" t="n">
        <v>0</v>
      </c>
      <c r="L4287" t="n">
        <v>0</v>
      </c>
      <c r="M4287" t="n">
        <v>0</v>
      </c>
      <c r="N4287" t="n">
        <v>0</v>
      </c>
      <c r="O4287" t="n">
        <v>0</v>
      </c>
      <c r="P4287" t="n">
        <v>0</v>
      </c>
      <c r="Q4287" t="n">
        <v>0</v>
      </c>
      <c r="R4287" s="2" t="inlineStr"/>
    </row>
    <row r="4288" ht="15" customHeight="1">
      <c r="A4288" t="inlineStr">
        <is>
          <t>A 27497-2022</t>
        </is>
      </c>
      <c r="B4288" s="1" t="n">
        <v>44742</v>
      </c>
      <c r="C4288" s="1" t="n">
        <v>45798</v>
      </c>
      <c r="D4288" t="inlineStr">
        <is>
          <t>NORRBOTTENS LÄN</t>
        </is>
      </c>
      <c r="E4288" t="inlineStr">
        <is>
          <t>HAPARANDA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27571-2022</t>
        </is>
      </c>
      <c r="B4289" s="1" t="n">
        <v>44743</v>
      </c>
      <c r="C4289" s="1" t="n">
        <v>45798</v>
      </c>
      <c r="D4289" t="inlineStr">
        <is>
          <t>NORRBOTTENS LÄN</t>
        </is>
      </c>
      <c r="E4289" t="inlineStr">
        <is>
          <t>PITEÅ</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27688-2022</t>
        </is>
      </c>
      <c r="B4290" s="1" t="n">
        <v>44743</v>
      </c>
      <c r="C4290" s="1" t="n">
        <v>45798</v>
      </c>
      <c r="D4290" t="inlineStr">
        <is>
          <t>NORRBOTTENS LÄN</t>
        </is>
      </c>
      <c r="E4290" t="inlineStr">
        <is>
          <t>BODEN</t>
        </is>
      </c>
      <c r="G4290" t="n">
        <v>13.5</v>
      </c>
      <c r="H4290" t="n">
        <v>0</v>
      </c>
      <c r="I4290" t="n">
        <v>0</v>
      </c>
      <c r="J4290" t="n">
        <v>0</v>
      </c>
      <c r="K4290" t="n">
        <v>0</v>
      </c>
      <c r="L4290" t="n">
        <v>0</v>
      </c>
      <c r="M4290" t="n">
        <v>0</v>
      </c>
      <c r="N4290" t="n">
        <v>0</v>
      </c>
      <c r="O4290" t="n">
        <v>0</v>
      </c>
      <c r="P4290" t="n">
        <v>0</v>
      </c>
      <c r="Q4290" t="n">
        <v>0</v>
      </c>
      <c r="R4290" s="2" t="inlineStr"/>
    </row>
    <row r="4291" ht="15" customHeight="1">
      <c r="A4291" t="inlineStr">
        <is>
          <t>A 27781-2022</t>
        </is>
      </c>
      <c r="B4291" s="1" t="n">
        <v>44743</v>
      </c>
      <c r="C4291" s="1" t="n">
        <v>45798</v>
      </c>
      <c r="D4291" t="inlineStr">
        <is>
          <t>NORRBOTTENS LÄN</t>
        </is>
      </c>
      <c r="E4291" t="inlineStr">
        <is>
          <t>JOKKMOKK</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27716-2022</t>
        </is>
      </c>
      <c r="B4292" s="1" t="n">
        <v>44743</v>
      </c>
      <c r="C4292" s="1" t="n">
        <v>45798</v>
      </c>
      <c r="D4292" t="inlineStr">
        <is>
          <t>NORRBOTTENS LÄN</t>
        </is>
      </c>
      <c r="E4292" t="inlineStr">
        <is>
          <t>BODEN</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27808-2022</t>
        </is>
      </c>
      <c r="B4293" s="1" t="n">
        <v>44743</v>
      </c>
      <c r="C4293" s="1" t="n">
        <v>45798</v>
      </c>
      <c r="D4293" t="inlineStr">
        <is>
          <t>NORRBOTTENS LÄN</t>
        </is>
      </c>
      <c r="E4293" t="inlineStr">
        <is>
          <t>PITEÅ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27853-2022</t>
        </is>
      </c>
      <c r="B4294" s="1" t="n">
        <v>44743</v>
      </c>
      <c r="C4294" s="1" t="n">
        <v>45798</v>
      </c>
      <c r="D4294" t="inlineStr">
        <is>
          <t>NORRBOTTENS LÄN</t>
        </is>
      </c>
      <c r="E4294" t="inlineStr">
        <is>
          <t>PAJALA</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27709-2022</t>
        </is>
      </c>
      <c r="B4295" s="1" t="n">
        <v>44743</v>
      </c>
      <c r="C4295" s="1" t="n">
        <v>45798</v>
      </c>
      <c r="D4295" t="inlineStr">
        <is>
          <t>NORRBOTTENS LÄN</t>
        </is>
      </c>
      <c r="E4295" t="inlineStr">
        <is>
          <t>PAJALA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27734-2022</t>
        </is>
      </c>
      <c r="B4296" s="1" t="n">
        <v>44743</v>
      </c>
      <c r="C4296" s="1" t="n">
        <v>45798</v>
      </c>
      <c r="D4296" t="inlineStr">
        <is>
          <t>NORRBOTTENS LÄN</t>
        </is>
      </c>
      <c r="E4296" t="inlineStr">
        <is>
          <t>ARVIDSJAUR</t>
        </is>
      </c>
      <c r="F4296" t="inlineStr">
        <is>
          <t>Sveaskog</t>
        </is>
      </c>
      <c r="G4296" t="n">
        <v>18.1</v>
      </c>
      <c r="H4296" t="n">
        <v>0</v>
      </c>
      <c r="I4296" t="n">
        <v>0</v>
      </c>
      <c r="J4296" t="n">
        <v>0</v>
      </c>
      <c r="K4296" t="n">
        <v>0</v>
      </c>
      <c r="L4296" t="n">
        <v>0</v>
      </c>
      <c r="M4296" t="n">
        <v>0</v>
      </c>
      <c r="N4296" t="n">
        <v>0</v>
      </c>
      <c r="O4296" t="n">
        <v>0</v>
      </c>
      <c r="P4296" t="n">
        <v>0</v>
      </c>
      <c r="Q4296" t="n">
        <v>0</v>
      </c>
      <c r="R4296" s="2" t="inlineStr"/>
    </row>
    <row r="4297" ht="15" customHeight="1">
      <c r="A4297" t="inlineStr">
        <is>
          <t>A 27894-2022</t>
        </is>
      </c>
      <c r="B4297" s="1" t="n">
        <v>44743</v>
      </c>
      <c r="C4297" s="1" t="n">
        <v>45798</v>
      </c>
      <c r="D4297" t="inlineStr">
        <is>
          <t>NORRBOTTENS LÄN</t>
        </is>
      </c>
      <c r="E4297" t="inlineStr">
        <is>
          <t>BODEN</t>
        </is>
      </c>
      <c r="F4297" t="inlineStr">
        <is>
          <t>Sveaskog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27925-2022</t>
        </is>
      </c>
      <c r="B4298" s="1" t="n">
        <v>44743</v>
      </c>
      <c r="C4298" s="1" t="n">
        <v>45798</v>
      </c>
      <c r="D4298" t="inlineStr">
        <is>
          <t>NORRBOTTENS LÄN</t>
        </is>
      </c>
      <c r="E4298" t="inlineStr">
        <is>
          <t>KALIX</t>
        </is>
      </c>
      <c r="F4298" t="inlineStr">
        <is>
          <t>SCA</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28052-2022</t>
        </is>
      </c>
      <c r="B4299" s="1" t="n">
        <v>44746</v>
      </c>
      <c r="C4299" s="1" t="n">
        <v>45798</v>
      </c>
      <c r="D4299" t="inlineStr">
        <is>
          <t>NORRBOTTENS LÄN</t>
        </is>
      </c>
      <c r="E4299" t="inlineStr">
        <is>
          <t>ARVIDSJAUR</t>
        </is>
      </c>
      <c r="F4299" t="inlineStr">
        <is>
          <t>Övriga Aktiebolag</t>
        </is>
      </c>
      <c r="G4299" t="n">
        <v>18.3</v>
      </c>
      <c r="H4299" t="n">
        <v>0</v>
      </c>
      <c r="I4299" t="n">
        <v>0</v>
      </c>
      <c r="J4299" t="n">
        <v>0</v>
      </c>
      <c r="K4299" t="n">
        <v>0</v>
      </c>
      <c r="L4299" t="n">
        <v>0</v>
      </c>
      <c r="M4299" t="n">
        <v>0</v>
      </c>
      <c r="N4299" t="n">
        <v>0</v>
      </c>
      <c r="O4299" t="n">
        <v>0</v>
      </c>
      <c r="P4299" t="n">
        <v>0</v>
      </c>
      <c r="Q4299" t="n">
        <v>0</v>
      </c>
      <c r="R4299" s="2" t="inlineStr"/>
    </row>
    <row r="4300" ht="15" customHeight="1">
      <c r="A4300" t="inlineStr">
        <is>
          <t>A 28079-2022</t>
        </is>
      </c>
      <c r="B4300" s="1" t="n">
        <v>44746</v>
      </c>
      <c r="C4300" s="1" t="n">
        <v>45798</v>
      </c>
      <c r="D4300" t="inlineStr">
        <is>
          <t>NORRBOTTENS LÄN</t>
        </is>
      </c>
      <c r="E4300" t="inlineStr">
        <is>
          <t>JOKKMOKK</t>
        </is>
      </c>
      <c r="G4300" t="n">
        <v>17.6</v>
      </c>
      <c r="H4300" t="n">
        <v>0</v>
      </c>
      <c r="I4300" t="n">
        <v>0</v>
      </c>
      <c r="J4300" t="n">
        <v>0</v>
      </c>
      <c r="K4300" t="n">
        <v>0</v>
      </c>
      <c r="L4300" t="n">
        <v>0</v>
      </c>
      <c r="M4300" t="n">
        <v>0</v>
      </c>
      <c r="N4300" t="n">
        <v>0</v>
      </c>
      <c r="O4300" t="n">
        <v>0</v>
      </c>
      <c r="P4300" t="n">
        <v>0</v>
      </c>
      <c r="Q4300" t="n">
        <v>0</v>
      </c>
      <c r="R4300" s="2" t="inlineStr"/>
    </row>
    <row r="4301" ht="15" customHeight="1">
      <c r="A4301" t="inlineStr">
        <is>
          <t>A 28225-2022</t>
        </is>
      </c>
      <c r="B4301" s="1" t="n">
        <v>44746</v>
      </c>
      <c r="C4301" s="1" t="n">
        <v>45798</v>
      </c>
      <c r="D4301" t="inlineStr">
        <is>
          <t>NORRBOTTENS LÄN</t>
        </is>
      </c>
      <c r="E4301" t="inlineStr">
        <is>
          <t>ÖVERKALIX</t>
        </is>
      </c>
      <c r="F4301" t="inlineStr">
        <is>
          <t>Sveaskog</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28274-2022</t>
        </is>
      </c>
      <c r="B4302" s="1" t="n">
        <v>44747</v>
      </c>
      <c r="C4302" s="1" t="n">
        <v>45798</v>
      </c>
      <c r="D4302" t="inlineStr">
        <is>
          <t>NORRBOTTENS LÄN</t>
        </is>
      </c>
      <c r="E4302" t="inlineStr">
        <is>
          <t>LULEÅ</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28276-2022</t>
        </is>
      </c>
      <c r="B4303" s="1" t="n">
        <v>44746</v>
      </c>
      <c r="C4303" s="1" t="n">
        <v>45798</v>
      </c>
      <c r="D4303" t="inlineStr">
        <is>
          <t>NORRBOTTENS LÄN</t>
        </is>
      </c>
      <c r="E4303" t="inlineStr">
        <is>
          <t>LULEÅ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28272-2022</t>
        </is>
      </c>
      <c r="B4304" s="1" t="n">
        <v>44747</v>
      </c>
      <c r="C4304" s="1" t="n">
        <v>45798</v>
      </c>
      <c r="D4304" t="inlineStr">
        <is>
          <t>NORRBOTTENS LÄN</t>
        </is>
      </c>
      <c r="E4304" t="inlineStr">
        <is>
          <t>LULEÅ</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28273-2022</t>
        </is>
      </c>
      <c r="B4305" s="1" t="n">
        <v>44747</v>
      </c>
      <c r="C4305" s="1" t="n">
        <v>45798</v>
      </c>
      <c r="D4305" t="inlineStr">
        <is>
          <t>NORRBOTTENS LÄN</t>
        </is>
      </c>
      <c r="E4305" t="inlineStr">
        <is>
          <t>LULEÅ</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28275-2022</t>
        </is>
      </c>
      <c r="B4306" s="1" t="n">
        <v>44746</v>
      </c>
      <c r="C4306" s="1" t="n">
        <v>45798</v>
      </c>
      <c r="D4306" t="inlineStr">
        <is>
          <t>NORRBOTTENS LÄN</t>
        </is>
      </c>
      <c r="E4306" t="inlineStr">
        <is>
          <t>LULEÅ</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28370-2022</t>
        </is>
      </c>
      <c r="B4307" s="1" t="n">
        <v>44747</v>
      </c>
      <c r="C4307" s="1" t="n">
        <v>45798</v>
      </c>
      <c r="D4307" t="inlineStr">
        <is>
          <t>NORRBOTTENS LÄN</t>
        </is>
      </c>
      <c r="E4307" t="inlineStr">
        <is>
          <t>JOKKMOKK</t>
        </is>
      </c>
      <c r="F4307" t="inlineStr">
        <is>
          <t>Övriga Aktiebolag</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28350-2022</t>
        </is>
      </c>
      <c r="B4308" s="1" t="n">
        <v>44747</v>
      </c>
      <c r="C4308" s="1" t="n">
        <v>45798</v>
      </c>
      <c r="D4308" t="inlineStr">
        <is>
          <t>NORRBOTTENS LÄN</t>
        </is>
      </c>
      <c r="E4308" t="inlineStr">
        <is>
          <t>JOKKMOKK</t>
        </is>
      </c>
      <c r="F4308" t="inlineStr">
        <is>
          <t>Övriga Aktiebolag</t>
        </is>
      </c>
      <c r="G4308" t="n">
        <v>48.8</v>
      </c>
      <c r="H4308" t="n">
        <v>0</v>
      </c>
      <c r="I4308" t="n">
        <v>0</v>
      </c>
      <c r="J4308" t="n">
        <v>0</v>
      </c>
      <c r="K4308" t="n">
        <v>0</v>
      </c>
      <c r="L4308" t="n">
        <v>0</v>
      </c>
      <c r="M4308" t="n">
        <v>0</v>
      </c>
      <c r="N4308" t="n">
        <v>0</v>
      </c>
      <c r="O4308" t="n">
        <v>0</v>
      </c>
      <c r="P4308" t="n">
        <v>0</v>
      </c>
      <c r="Q4308" t="n">
        <v>0</v>
      </c>
      <c r="R4308" s="2" t="inlineStr"/>
    </row>
    <row r="4309" ht="15" customHeight="1">
      <c r="A4309" t="inlineStr">
        <is>
          <t>A 28432-2022</t>
        </is>
      </c>
      <c r="B4309" s="1" t="n">
        <v>44747</v>
      </c>
      <c r="C4309" s="1" t="n">
        <v>45798</v>
      </c>
      <c r="D4309" t="inlineStr">
        <is>
          <t>NORRBOTTENS LÄN</t>
        </is>
      </c>
      <c r="E4309" t="inlineStr">
        <is>
          <t>BODEN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28488-2022</t>
        </is>
      </c>
      <c r="B4310" s="1" t="n">
        <v>44748</v>
      </c>
      <c r="C4310" s="1" t="n">
        <v>45798</v>
      </c>
      <c r="D4310" t="inlineStr">
        <is>
          <t>NORRBOTTENS LÄN</t>
        </is>
      </c>
      <c r="E4310" t="inlineStr">
        <is>
          <t>PITEÅ</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28491-2022</t>
        </is>
      </c>
      <c r="B4311" s="1" t="n">
        <v>44747</v>
      </c>
      <c r="C4311" s="1" t="n">
        <v>45798</v>
      </c>
      <c r="D4311" t="inlineStr">
        <is>
          <t>NORRBOTTENS LÄN</t>
        </is>
      </c>
      <c r="E4311" t="inlineStr">
        <is>
          <t>PITEÅ</t>
        </is>
      </c>
      <c r="F4311" t="inlineStr">
        <is>
          <t>SCA</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28651-2022</t>
        </is>
      </c>
      <c r="B4312" s="1" t="n">
        <v>44748</v>
      </c>
      <c r="C4312" s="1" t="n">
        <v>45798</v>
      </c>
      <c r="D4312" t="inlineStr">
        <is>
          <t>NORRBOTTENS LÄN</t>
        </is>
      </c>
      <c r="E4312" t="inlineStr">
        <is>
          <t>ÖVERTORNEÅ</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28659-2022</t>
        </is>
      </c>
      <c r="B4313" s="1" t="n">
        <v>44748</v>
      </c>
      <c r="C4313" s="1" t="n">
        <v>45798</v>
      </c>
      <c r="D4313" t="inlineStr">
        <is>
          <t>NORRBOTTENS LÄN</t>
        </is>
      </c>
      <c r="E4313" t="inlineStr">
        <is>
          <t>PITEÅ</t>
        </is>
      </c>
      <c r="F4313" t="inlineStr">
        <is>
          <t>Sveaskog</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28624-2022</t>
        </is>
      </c>
      <c r="B4314" s="1" t="n">
        <v>44748</v>
      </c>
      <c r="C4314" s="1" t="n">
        <v>45798</v>
      </c>
      <c r="D4314" t="inlineStr">
        <is>
          <t>NORRBOTTENS LÄN</t>
        </is>
      </c>
      <c r="E4314" t="inlineStr">
        <is>
          <t>PITEÅ</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28542-2022</t>
        </is>
      </c>
      <c r="B4315" s="1" t="n">
        <v>44748</v>
      </c>
      <c r="C4315" s="1" t="n">
        <v>45798</v>
      </c>
      <c r="D4315" t="inlineStr">
        <is>
          <t>NORRBOTTENS LÄN</t>
        </is>
      </c>
      <c r="E4315" t="inlineStr">
        <is>
          <t>HAPARANDA</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28637-2022</t>
        </is>
      </c>
      <c r="B4316" s="1" t="n">
        <v>44748</v>
      </c>
      <c r="C4316" s="1" t="n">
        <v>45798</v>
      </c>
      <c r="D4316" t="inlineStr">
        <is>
          <t>NORRBOTTENS LÄN</t>
        </is>
      </c>
      <c r="E4316" t="inlineStr">
        <is>
          <t>ÄLVSBYN</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28658-2022</t>
        </is>
      </c>
      <c r="B4317" s="1" t="n">
        <v>44748</v>
      </c>
      <c r="C4317" s="1" t="n">
        <v>45798</v>
      </c>
      <c r="D4317" t="inlineStr">
        <is>
          <t>NORRBOTTENS LÄN</t>
        </is>
      </c>
      <c r="E4317" t="inlineStr">
        <is>
          <t>ÖVERTORNEÅ</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28707-2022</t>
        </is>
      </c>
      <c r="B4318" s="1" t="n">
        <v>44748</v>
      </c>
      <c r="C4318" s="1" t="n">
        <v>45798</v>
      </c>
      <c r="D4318" t="inlineStr">
        <is>
          <t>NORRBOTTENS LÄN</t>
        </is>
      </c>
      <c r="E4318" t="inlineStr">
        <is>
          <t>KIRUNA</t>
        </is>
      </c>
      <c r="G4318" t="n">
        <v>15.2</v>
      </c>
      <c r="H4318" t="n">
        <v>0</v>
      </c>
      <c r="I4318" t="n">
        <v>0</v>
      </c>
      <c r="J4318" t="n">
        <v>0</v>
      </c>
      <c r="K4318" t="n">
        <v>0</v>
      </c>
      <c r="L4318" t="n">
        <v>0</v>
      </c>
      <c r="M4318" t="n">
        <v>0</v>
      </c>
      <c r="N4318" t="n">
        <v>0</v>
      </c>
      <c r="O4318" t="n">
        <v>0</v>
      </c>
      <c r="P4318" t="n">
        <v>0</v>
      </c>
      <c r="Q4318" t="n">
        <v>0</v>
      </c>
      <c r="R4318" s="2" t="inlineStr"/>
    </row>
    <row r="4319" ht="15" customHeight="1">
      <c r="A4319" t="inlineStr">
        <is>
          <t>A 28789-2022</t>
        </is>
      </c>
      <c r="B4319" s="1" t="n">
        <v>44749</v>
      </c>
      <c r="C4319" s="1" t="n">
        <v>45798</v>
      </c>
      <c r="D4319" t="inlineStr">
        <is>
          <t>NORRBOTTENS LÄN</t>
        </is>
      </c>
      <c r="E4319" t="inlineStr">
        <is>
          <t>PAJALA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28812-2022</t>
        </is>
      </c>
      <c r="B4320" s="1" t="n">
        <v>44749</v>
      </c>
      <c r="C4320" s="1" t="n">
        <v>45798</v>
      </c>
      <c r="D4320" t="inlineStr">
        <is>
          <t>NORRBOTTENS LÄN</t>
        </is>
      </c>
      <c r="E4320" t="inlineStr">
        <is>
          <t>ÖVERTORNEÅ</t>
        </is>
      </c>
      <c r="F4320" t="inlineStr">
        <is>
          <t>Sveaskog</t>
        </is>
      </c>
      <c r="G4320" t="n">
        <v>22.3</v>
      </c>
      <c r="H4320" t="n">
        <v>0</v>
      </c>
      <c r="I4320" t="n">
        <v>0</v>
      </c>
      <c r="J4320" t="n">
        <v>0</v>
      </c>
      <c r="K4320" t="n">
        <v>0</v>
      </c>
      <c r="L4320" t="n">
        <v>0</v>
      </c>
      <c r="M4320" t="n">
        <v>0</v>
      </c>
      <c r="N4320" t="n">
        <v>0</v>
      </c>
      <c r="O4320" t="n">
        <v>0</v>
      </c>
      <c r="P4320" t="n">
        <v>0</v>
      </c>
      <c r="Q4320" t="n">
        <v>0</v>
      </c>
      <c r="R4320" s="2" t="inlineStr"/>
    </row>
    <row r="4321" ht="15" customHeight="1">
      <c r="A4321" t="inlineStr">
        <is>
          <t>A 28937-2022</t>
        </is>
      </c>
      <c r="B4321" s="1" t="n">
        <v>44749</v>
      </c>
      <c r="C4321" s="1" t="n">
        <v>45798</v>
      </c>
      <c r="D4321" t="inlineStr">
        <is>
          <t>NORRBOTTENS LÄN</t>
        </is>
      </c>
      <c r="E4321" t="inlineStr">
        <is>
          <t>ARVIDSJAUR</t>
        </is>
      </c>
      <c r="F4321" t="inlineStr">
        <is>
          <t>Sveaskog</t>
        </is>
      </c>
      <c r="G4321" t="n">
        <v>12.6</v>
      </c>
      <c r="H4321" t="n">
        <v>0</v>
      </c>
      <c r="I4321" t="n">
        <v>0</v>
      </c>
      <c r="J4321" t="n">
        <v>0</v>
      </c>
      <c r="K4321" t="n">
        <v>0</v>
      </c>
      <c r="L4321" t="n">
        <v>0</v>
      </c>
      <c r="M4321" t="n">
        <v>0</v>
      </c>
      <c r="N4321" t="n">
        <v>0</v>
      </c>
      <c r="O4321" t="n">
        <v>0</v>
      </c>
      <c r="P4321" t="n">
        <v>0</v>
      </c>
      <c r="Q4321" t="n">
        <v>0</v>
      </c>
      <c r="R4321" s="2" t="inlineStr"/>
    </row>
    <row r="4322" ht="15" customHeight="1">
      <c r="A4322" t="inlineStr">
        <is>
          <t>A 28946-2022</t>
        </is>
      </c>
      <c r="B4322" s="1" t="n">
        <v>44749</v>
      </c>
      <c r="C4322" s="1" t="n">
        <v>45798</v>
      </c>
      <c r="D4322" t="inlineStr">
        <is>
          <t>NORRBOTTENS LÄN</t>
        </is>
      </c>
      <c r="E4322" t="inlineStr">
        <is>
          <t>KALIX</t>
        </is>
      </c>
      <c r="F4322" t="inlineStr">
        <is>
          <t>Sveaskog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29119-2022</t>
        </is>
      </c>
      <c r="B4323" s="1" t="n">
        <v>44749</v>
      </c>
      <c r="C4323" s="1" t="n">
        <v>45798</v>
      </c>
      <c r="D4323" t="inlineStr">
        <is>
          <t>NORRBOTTENS LÄN</t>
        </is>
      </c>
      <c r="E4323" t="inlineStr">
        <is>
          <t>BODEN</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29104-2022</t>
        </is>
      </c>
      <c r="B4324" s="1" t="n">
        <v>44750</v>
      </c>
      <c r="C4324" s="1" t="n">
        <v>45798</v>
      </c>
      <c r="D4324" t="inlineStr">
        <is>
          <t>NORRBOTTENS LÄN</t>
        </is>
      </c>
      <c r="E4324" t="inlineStr">
        <is>
          <t>ARVIDSJAUR</t>
        </is>
      </c>
      <c r="F4324" t="inlineStr">
        <is>
          <t>Sveaskog</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29120-2022</t>
        </is>
      </c>
      <c r="B4325" s="1" t="n">
        <v>44750</v>
      </c>
      <c r="C4325" s="1" t="n">
        <v>45798</v>
      </c>
      <c r="D4325" t="inlineStr">
        <is>
          <t>NORRBOTTENS LÄN</t>
        </is>
      </c>
      <c r="E4325" t="inlineStr">
        <is>
          <t>PITEÅ</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29190-2022</t>
        </is>
      </c>
      <c r="B4326" s="1" t="n">
        <v>44750</v>
      </c>
      <c r="C4326" s="1" t="n">
        <v>45798</v>
      </c>
      <c r="D4326" t="inlineStr">
        <is>
          <t>NORRBOTTENS LÄN</t>
        </is>
      </c>
      <c r="E4326" t="inlineStr">
        <is>
          <t>ÄLVSBYN</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29176-2022</t>
        </is>
      </c>
      <c r="B4327" s="1" t="n">
        <v>44750</v>
      </c>
      <c r="C4327" s="1" t="n">
        <v>45798</v>
      </c>
      <c r="D4327" t="inlineStr">
        <is>
          <t>NORRBOTTENS LÄN</t>
        </is>
      </c>
      <c r="E4327" t="inlineStr">
        <is>
          <t>ÄLVSBYN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29148-2022</t>
        </is>
      </c>
      <c r="B4328" s="1" t="n">
        <v>44750</v>
      </c>
      <c r="C4328" s="1" t="n">
        <v>45798</v>
      </c>
      <c r="D4328" t="inlineStr">
        <is>
          <t>NORRBOTTENS LÄN</t>
        </is>
      </c>
      <c r="E4328" t="inlineStr">
        <is>
          <t>HAPARANDA</t>
        </is>
      </c>
      <c r="F4328" t="inlineStr">
        <is>
          <t>Kommuner</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29140-2022</t>
        </is>
      </c>
      <c r="B4329" s="1" t="n">
        <v>44750</v>
      </c>
      <c r="C4329" s="1" t="n">
        <v>45798</v>
      </c>
      <c r="D4329" t="inlineStr">
        <is>
          <t>NORRBOTTENS LÄN</t>
        </is>
      </c>
      <c r="E4329" t="inlineStr">
        <is>
          <t>GÄLLIVARE</t>
        </is>
      </c>
      <c r="G4329" t="n">
        <v>13.6</v>
      </c>
      <c r="H4329" t="n">
        <v>0</v>
      </c>
      <c r="I4329" t="n">
        <v>0</v>
      </c>
      <c r="J4329" t="n">
        <v>0</v>
      </c>
      <c r="K4329" t="n">
        <v>0</v>
      </c>
      <c r="L4329" t="n">
        <v>0</v>
      </c>
      <c r="M4329" t="n">
        <v>0</v>
      </c>
      <c r="N4329" t="n">
        <v>0</v>
      </c>
      <c r="O4329" t="n">
        <v>0</v>
      </c>
      <c r="P4329" t="n">
        <v>0</v>
      </c>
      <c r="Q4329" t="n">
        <v>0</v>
      </c>
      <c r="R4329" s="2" t="inlineStr"/>
    </row>
    <row r="4330" ht="15" customHeight="1">
      <c r="A4330" t="inlineStr">
        <is>
          <t>A 29708-2022</t>
        </is>
      </c>
      <c r="B4330" s="1" t="n">
        <v>44755</v>
      </c>
      <c r="C4330" s="1" t="n">
        <v>45798</v>
      </c>
      <c r="D4330" t="inlineStr">
        <is>
          <t>NORRBOTTENS LÄN</t>
        </is>
      </c>
      <c r="E4330" t="inlineStr">
        <is>
          <t>PAJALA</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29712-2022</t>
        </is>
      </c>
      <c r="B4331" s="1" t="n">
        <v>44755</v>
      </c>
      <c r="C4331" s="1" t="n">
        <v>45798</v>
      </c>
      <c r="D4331" t="inlineStr">
        <is>
          <t>NORRBOTTENS LÄN</t>
        </is>
      </c>
      <c r="E4331" t="inlineStr">
        <is>
          <t>ÖVERKALIX</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29729-2022</t>
        </is>
      </c>
      <c r="B4332" s="1" t="n">
        <v>44755</v>
      </c>
      <c r="C4332" s="1" t="n">
        <v>45798</v>
      </c>
      <c r="D4332" t="inlineStr">
        <is>
          <t>NORRBOTTENS LÄN</t>
        </is>
      </c>
      <c r="E4332" t="inlineStr">
        <is>
          <t>PAJALA</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29769-2022</t>
        </is>
      </c>
      <c r="B4333" s="1" t="n">
        <v>44755</v>
      </c>
      <c r="C4333" s="1" t="n">
        <v>45798</v>
      </c>
      <c r="D4333" t="inlineStr">
        <is>
          <t>NORRBOTTENS LÄN</t>
        </is>
      </c>
      <c r="E4333" t="inlineStr">
        <is>
          <t>PAJALA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29706-2022</t>
        </is>
      </c>
      <c r="B4334" s="1" t="n">
        <v>44755</v>
      </c>
      <c r="C4334" s="1" t="n">
        <v>45798</v>
      </c>
      <c r="D4334" t="inlineStr">
        <is>
          <t>NORRBOTTENS LÄN</t>
        </is>
      </c>
      <c r="E4334" t="inlineStr">
        <is>
          <t>ÖVERKALIX</t>
        </is>
      </c>
      <c r="F4334" t="inlineStr">
        <is>
          <t>Sveaskog</t>
        </is>
      </c>
      <c r="G4334" t="n">
        <v>3.3</v>
      </c>
      <c r="H4334" t="n">
        <v>0</v>
      </c>
      <c r="I4334" t="n">
        <v>0</v>
      </c>
      <c r="J4334" t="n">
        <v>0</v>
      </c>
      <c r="K4334" t="n">
        <v>0</v>
      </c>
      <c r="L4334" t="n">
        <v>0</v>
      </c>
      <c r="M4334" t="n">
        <v>0</v>
      </c>
      <c r="N4334" t="n">
        <v>0</v>
      </c>
      <c r="O4334" t="n">
        <v>0</v>
      </c>
      <c r="P4334" t="n">
        <v>0</v>
      </c>
      <c r="Q4334" t="n">
        <v>0</v>
      </c>
      <c r="R4334" s="2" t="inlineStr"/>
      <c r="U4334">
        <f>HYPERLINK("https://klasma.github.io/Logging_2513/knärot/A 29706-2022 karta knärot.png", "A 29706-2022")</f>
        <v/>
      </c>
      <c r="V4334">
        <f>HYPERLINK("https://klasma.github.io/Logging_2513/klagomål/A 29706-2022 FSC-klagomål.docx", "A 29706-2022")</f>
        <v/>
      </c>
      <c r="W4334">
        <f>HYPERLINK("https://klasma.github.io/Logging_2513/klagomålsmail/A 29706-2022 FSC-klagomål mail.docx", "A 29706-2022")</f>
        <v/>
      </c>
      <c r="X4334">
        <f>HYPERLINK("https://klasma.github.io/Logging_2513/tillsyn/A 29706-2022 tillsynsbegäran.docx", "A 29706-2022")</f>
        <v/>
      </c>
      <c r="Y4334">
        <f>HYPERLINK("https://klasma.github.io/Logging_2513/tillsynsmail/A 29706-2022 tillsynsbegäran mail.docx", "A 29706-2022")</f>
        <v/>
      </c>
    </row>
    <row r="4335" ht="15" customHeight="1">
      <c r="A4335" t="inlineStr">
        <is>
          <t>A 29756-2022</t>
        </is>
      </c>
      <c r="B4335" s="1" t="n">
        <v>44755</v>
      </c>
      <c r="C4335" s="1" t="n">
        <v>45798</v>
      </c>
      <c r="D4335" t="inlineStr">
        <is>
          <t>NORRBOTTENS LÄN</t>
        </is>
      </c>
      <c r="E4335" t="inlineStr">
        <is>
          <t>PAJALA</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29793-2022</t>
        </is>
      </c>
      <c r="B4336" s="1" t="n">
        <v>44755</v>
      </c>
      <c r="C4336" s="1" t="n">
        <v>45798</v>
      </c>
      <c r="D4336" t="inlineStr">
        <is>
          <t>NORRBOTTENS LÄN</t>
        </is>
      </c>
      <c r="E4336" t="inlineStr">
        <is>
          <t>PAJALA</t>
        </is>
      </c>
      <c r="G4336" t="n">
        <v>8.800000000000001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29747-2022</t>
        </is>
      </c>
      <c r="B4337" s="1" t="n">
        <v>44755</v>
      </c>
      <c r="C4337" s="1" t="n">
        <v>45798</v>
      </c>
      <c r="D4337" t="inlineStr">
        <is>
          <t>NORRBOTTENS LÄN</t>
        </is>
      </c>
      <c r="E4337" t="inlineStr">
        <is>
          <t>PAJALA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29709-2022</t>
        </is>
      </c>
      <c r="B4338" s="1" t="n">
        <v>44755</v>
      </c>
      <c r="C4338" s="1" t="n">
        <v>45798</v>
      </c>
      <c r="D4338" t="inlineStr">
        <is>
          <t>NORRBOTTENS LÄN</t>
        </is>
      </c>
      <c r="E4338" t="inlineStr">
        <is>
          <t>ÖVERKALIX</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29797-2022</t>
        </is>
      </c>
      <c r="B4339" s="1" t="n">
        <v>44755</v>
      </c>
      <c r="C4339" s="1" t="n">
        <v>45798</v>
      </c>
      <c r="D4339" t="inlineStr">
        <is>
          <t>NORRBOTTENS LÄN</t>
        </is>
      </c>
      <c r="E4339" t="inlineStr">
        <is>
          <t>BODEN</t>
        </is>
      </c>
      <c r="F4339" t="inlineStr">
        <is>
          <t>Kyrkan</t>
        </is>
      </c>
      <c r="G4339" t="n">
        <v>29.2</v>
      </c>
      <c r="H4339" t="n">
        <v>0</v>
      </c>
      <c r="I4339" t="n">
        <v>0</v>
      </c>
      <c r="J4339" t="n">
        <v>0</v>
      </c>
      <c r="K4339" t="n">
        <v>0</v>
      </c>
      <c r="L4339" t="n">
        <v>0</v>
      </c>
      <c r="M4339" t="n">
        <v>0</v>
      </c>
      <c r="N4339" t="n">
        <v>0</v>
      </c>
      <c r="O4339" t="n">
        <v>0</v>
      </c>
      <c r="P4339" t="n">
        <v>0</v>
      </c>
      <c r="Q4339" t="n">
        <v>0</v>
      </c>
      <c r="R4339" s="2" t="inlineStr"/>
    </row>
    <row r="4340" ht="15" customHeight="1">
      <c r="A4340" t="inlineStr">
        <is>
          <t>A 29881-2022</t>
        </is>
      </c>
      <c r="B4340" s="1" t="n">
        <v>44755</v>
      </c>
      <c r="C4340" s="1" t="n">
        <v>45798</v>
      </c>
      <c r="D4340" t="inlineStr">
        <is>
          <t>NORRBOTTENS LÄN</t>
        </is>
      </c>
      <c r="E4340" t="inlineStr">
        <is>
          <t>PAJALA</t>
        </is>
      </c>
      <c r="G4340" t="n">
        <v>10.1</v>
      </c>
      <c r="H4340" t="n">
        <v>0</v>
      </c>
      <c r="I4340" t="n">
        <v>0</v>
      </c>
      <c r="J4340" t="n">
        <v>0</v>
      </c>
      <c r="K4340" t="n">
        <v>0</v>
      </c>
      <c r="L4340" t="n">
        <v>0</v>
      </c>
      <c r="M4340" t="n">
        <v>0</v>
      </c>
      <c r="N4340" t="n">
        <v>0</v>
      </c>
      <c r="O4340" t="n">
        <v>0</v>
      </c>
      <c r="P4340" t="n">
        <v>0</v>
      </c>
      <c r="Q4340" t="n">
        <v>0</v>
      </c>
      <c r="R4340" s="2" t="inlineStr"/>
    </row>
    <row r="4341" ht="15" customHeight="1">
      <c r="A4341" t="inlineStr">
        <is>
          <t>A 29877-2022</t>
        </is>
      </c>
      <c r="B4341" s="1" t="n">
        <v>44756</v>
      </c>
      <c r="C4341" s="1" t="n">
        <v>45798</v>
      </c>
      <c r="D4341" t="inlineStr">
        <is>
          <t>NORRBOTTENS LÄN</t>
        </is>
      </c>
      <c r="E4341" t="inlineStr">
        <is>
          <t>PAJALA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29866-2022</t>
        </is>
      </c>
      <c r="B4342" s="1" t="n">
        <v>44756</v>
      </c>
      <c r="C4342" s="1" t="n">
        <v>45798</v>
      </c>
      <c r="D4342" t="inlineStr">
        <is>
          <t>NORRBOTTENS LÄN</t>
        </is>
      </c>
      <c r="E4342" t="inlineStr">
        <is>
          <t>PAJALA</t>
        </is>
      </c>
      <c r="F4342" t="inlineStr">
        <is>
          <t>Allmännings- och besparingsskogar</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29894-2022</t>
        </is>
      </c>
      <c r="B4343" s="1" t="n">
        <v>44756</v>
      </c>
      <c r="C4343" s="1" t="n">
        <v>45798</v>
      </c>
      <c r="D4343" t="inlineStr">
        <is>
          <t>NORRBOTTENS LÄN</t>
        </is>
      </c>
      <c r="E4343" t="inlineStr">
        <is>
          <t>PITEÅ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29939-2022</t>
        </is>
      </c>
      <c r="B4344" s="1" t="n">
        <v>44756</v>
      </c>
      <c r="C4344" s="1" t="n">
        <v>45798</v>
      </c>
      <c r="D4344" t="inlineStr">
        <is>
          <t>NORRBOTTENS LÄN</t>
        </is>
      </c>
      <c r="E4344" t="inlineStr">
        <is>
          <t>PAJALA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30005-2022</t>
        </is>
      </c>
      <c r="B4345" s="1" t="n">
        <v>44756</v>
      </c>
      <c r="C4345" s="1" t="n">
        <v>45798</v>
      </c>
      <c r="D4345" t="inlineStr">
        <is>
          <t>NORRBOTTENS LÄN</t>
        </is>
      </c>
      <c r="E4345" t="inlineStr">
        <is>
          <t>KALIX</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30004-2022</t>
        </is>
      </c>
      <c r="B4346" s="1" t="n">
        <v>44757</v>
      </c>
      <c r="C4346" s="1" t="n">
        <v>45798</v>
      </c>
      <c r="D4346" t="inlineStr">
        <is>
          <t>NORRBOTTENS LÄN</t>
        </is>
      </c>
      <c r="E4346" t="inlineStr">
        <is>
          <t>HAPARANDA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30003-2022</t>
        </is>
      </c>
      <c r="B4347" s="1" t="n">
        <v>44757</v>
      </c>
      <c r="C4347" s="1" t="n">
        <v>45798</v>
      </c>
      <c r="D4347" t="inlineStr">
        <is>
          <t>NORRBOTTENS LÄN</t>
        </is>
      </c>
      <c r="E4347" t="inlineStr">
        <is>
          <t>HAPARANDA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30099-2022</t>
        </is>
      </c>
      <c r="B4348" s="1" t="n">
        <v>44757</v>
      </c>
      <c r="C4348" s="1" t="n">
        <v>45798</v>
      </c>
      <c r="D4348" t="inlineStr">
        <is>
          <t>NORRBOTTENS LÄN</t>
        </is>
      </c>
      <c r="E4348" t="inlineStr">
        <is>
          <t>KALIX</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30114-2022</t>
        </is>
      </c>
      <c r="B4349" s="1" t="n">
        <v>44757</v>
      </c>
      <c r="C4349" s="1" t="n">
        <v>45798</v>
      </c>
      <c r="D4349" t="inlineStr">
        <is>
          <t>NORRBOTTENS LÄN</t>
        </is>
      </c>
      <c r="E4349" t="inlineStr">
        <is>
          <t>ÖVERTORNEÅ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30178-2022</t>
        </is>
      </c>
      <c r="B4350" s="1" t="n">
        <v>44757</v>
      </c>
      <c r="C4350" s="1" t="n">
        <v>45798</v>
      </c>
      <c r="D4350" t="inlineStr">
        <is>
          <t>NORRBOTTENS LÄN</t>
        </is>
      </c>
      <c r="E4350" t="inlineStr">
        <is>
          <t>BODEN</t>
        </is>
      </c>
      <c r="F4350" t="inlineStr">
        <is>
          <t>Sveaskog</t>
        </is>
      </c>
      <c r="G4350" t="n">
        <v>16.7</v>
      </c>
      <c r="H4350" t="n">
        <v>0</v>
      </c>
      <c r="I4350" t="n">
        <v>0</v>
      </c>
      <c r="J4350" t="n">
        <v>0</v>
      </c>
      <c r="K4350" t="n">
        <v>0</v>
      </c>
      <c r="L4350" t="n">
        <v>0</v>
      </c>
      <c r="M4350" t="n">
        <v>0</v>
      </c>
      <c r="N4350" t="n">
        <v>0</v>
      </c>
      <c r="O4350" t="n">
        <v>0</v>
      </c>
      <c r="P4350" t="n">
        <v>0</v>
      </c>
      <c r="Q4350" t="n">
        <v>0</v>
      </c>
      <c r="R4350" s="2" t="inlineStr"/>
    </row>
    <row r="4351" ht="15" customHeight="1">
      <c r="A4351" t="inlineStr">
        <is>
          <t>A 30215-2022</t>
        </is>
      </c>
      <c r="B4351" s="1" t="n">
        <v>44757</v>
      </c>
      <c r="C4351" s="1" t="n">
        <v>45798</v>
      </c>
      <c r="D4351" t="inlineStr">
        <is>
          <t>NORRBOTTENS LÄN</t>
        </is>
      </c>
      <c r="E4351" t="inlineStr">
        <is>
          <t>KALIX</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30440-2022</t>
        </is>
      </c>
      <c r="B4352" s="1" t="n">
        <v>44761</v>
      </c>
      <c r="C4352" s="1" t="n">
        <v>45798</v>
      </c>
      <c r="D4352" t="inlineStr">
        <is>
          <t>NORRBOTTENS LÄN</t>
        </is>
      </c>
      <c r="E4352" t="inlineStr">
        <is>
          <t>PITEÅ</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30521-2022</t>
        </is>
      </c>
      <c r="B4353" s="1" t="n">
        <v>44762</v>
      </c>
      <c r="C4353" s="1" t="n">
        <v>45798</v>
      </c>
      <c r="D4353" t="inlineStr">
        <is>
          <t>NORRBOTTENS LÄN</t>
        </is>
      </c>
      <c r="E4353" t="inlineStr">
        <is>
          <t>LULEÅ</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30528-2022</t>
        </is>
      </c>
      <c r="B4354" s="1" t="n">
        <v>44762</v>
      </c>
      <c r="C4354" s="1" t="n">
        <v>45798</v>
      </c>
      <c r="D4354" t="inlineStr">
        <is>
          <t>NORRBOTTENS LÄN</t>
        </is>
      </c>
      <c r="E4354" t="inlineStr">
        <is>
          <t>KALIX</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30588-2022</t>
        </is>
      </c>
      <c r="B4355" s="1" t="n">
        <v>44762</v>
      </c>
      <c r="C4355" s="1" t="n">
        <v>45798</v>
      </c>
      <c r="D4355" t="inlineStr">
        <is>
          <t>NORRBOTTENS LÄN</t>
        </is>
      </c>
      <c r="E4355" t="inlineStr">
        <is>
          <t>JOKKMOKK</t>
        </is>
      </c>
      <c r="F4355" t="inlineStr">
        <is>
          <t>Övriga statliga verk och myndigheter</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30679-2022</t>
        </is>
      </c>
      <c r="B4356" s="1" t="n">
        <v>44762</v>
      </c>
      <c r="C4356" s="1" t="n">
        <v>45798</v>
      </c>
      <c r="D4356" t="inlineStr">
        <is>
          <t>NORRBOTTENS LÄN</t>
        </is>
      </c>
      <c r="E4356" t="inlineStr">
        <is>
          <t>JOKKMOKK</t>
        </is>
      </c>
      <c r="F4356" t="inlineStr">
        <is>
          <t>Övriga statliga verk och myndigheter</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30610-2022</t>
        </is>
      </c>
      <c r="B4357" s="1" t="n">
        <v>44762</v>
      </c>
      <c r="C4357" s="1" t="n">
        <v>45798</v>
      </c>
      <c r="D4357" t="inlineStr">
        <is>
          <t>NORRBOTTENS LÄN</t>
        </is>
      </c>
      <c r="E4357" t="inlineStr">
        <is>
          <t>JOKKMOKK</t>
        </is>
      </c>
      <c r="F4357" t="inlineStr">
        <is>
          <t>Övriga statliga verk och myndigheter</t>
        </is>
      </c>
      <c r="G4357" t="n">
        <v>43.3</v>
      </c>
      <c r="H4357" t="n">
        <v>0</v>
      </c>
      <c r="I4357" t="n">
        <v>0</v>
      </c>
      <c r="J4357" t="n">
        <v>0</v>
      </c>
      <c r="K4357" t="n">
        <v>0</v>
      </c>
      <c r="L4357" t="n">
        <v>0</v>
      </c>
      <c r="M4357" t="n">
        <v>0</v>
      </c>
      <c r="N4357" t="n">
        <v>0</v>
      </c>
      <c r="O4357" t="n">
        <v>0</v>
      </c>
      <c r="P4357" t="n">
        <v>0</v>
      </c>
      <c r="Q4357" t="n">
        <v>0</v>
      </c>
      <c r="R4357" s="2" t="inlineStr"/>
    </row>
    <row r="4358" ht="15" customHeight="1">
      <c r="A4358" t="inlineStr">
        <is>
          <t>A 31117-2022</t>
        </is>
      </c>
      <c r="B4358" s="1" t="n">
        <v>44769</v>
      </c>
      <c r="C4358" s="1" t="n">
        <v>45798</v>
      </c>
      <c r="D4358" t="inlineStr">
        <is>
          <t>NORRBOTTENS LÄN</t>
        </is>
      </c>
      <c r="E4358" t="inlineStr">
        <is>
          <t>GÄLLIVARE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31145-2022</t>
        </is>
      </c>
      <c r="B4359" s="1" t="n">
        <v>44770</v>
      </c>
      <c r="C4359" s="1" t="n">
        <v>45798</v>
      </c>
      <c r="D4359" t="inlineStr">
        <is>
          <t>NORRBOTTENS LÄN</t>
        </is>
      </c>
      <c r="E4359" t="inlineStr">
        <is>
          <t>ÖVERTORNEÅ</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31322-2022</t>
        </is>
      </c>
      <c r="B4360" s="1" t="n">
        <v>44774</v>
      </c>
      <c r="C4360" s="1" t="n">
        <v>45798</v>
      </c>
      <c r="D4360" t="inlineStr">
        <is>
          <t>NORRBOTTENS LÄN</t>
        </is>
      </c>
      <c r="E4360" t="inlineStr">
        <is>
          <t>ÄLVSBYN</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31456-2022</t>
        </is>
      </c>
      <c r="B4361" s="1" t="n">
        <v>44775</v>
      </c>
      <c r="C4361" s="1" t="n">
        <v>45798</v>
      </c>
      <c r="D4361" t="inlineStr">
        <is>
          <t>NORRBOTTENS LÄN</t>
        </is>
      </c>
      <c r="E4361" t="inlineStr">
        <is>
          <t>ÖVERKALIX</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31576-2022</t>
        </is>
      </c>
      <c r="B4362" s="1" t="n">
        <v>44775</v>
      </c>
      <c r="C4362" s="1" t="n">
        <v>45798</v>
      </c>
      <c r="D4362" t="inlineStr">
        <is>
          <t>NORRBOTTENS LÄN</t>
        </is>
      </c>
      <c r="E4362" t="inlineStr">
        <is>
          <t>ARVIDSJAUR</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31634-2022</t>
        </is>
      </c>
      <c r="B4363" s="1" t="n">
        <v>44775</v>
      </c>
      <c r="C4363" s="1" t="n">
        <v>45798</v>
      </c>
      <c r="D4363" t="inlineStr">
        <is>
          <t>NORRBOTTENS LÄN</t>
        </is>
      </c>
      <c r="E4363" t="inlineStr">
        <is>
          <t>GÄLLIVARE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31643-2022</t>
        </is>
      </c>
      <c r="B4364" s="1" t="n">
        <v>44775</v>
      </c>
      <c r="C4364" s="1" t="n">
        <v>45798</v>
      </c>
      <c r="D4364" t="inlineStr">
        <is>
          <t>NORRBOTTENS LÄN</t>
        </is>
      </c>
      <c r="E4364" t="inlineStr">
        <is>
          <t>JOKKMOKK</t>
        </is>
      </c>
      <c r="F4364" t="inlineStr">
        <is>
          <t>SCA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31635-2022</t>
        </is>
      </c>
      <c r="B4365" s="1" t="n">
        <v>44776</v>
      </c>
      <c r="C4365" s="1" t="n">
        <v>45798</v>
      </c>
      <c r="D4365" t="inlineStr">
        <is>
          <t>NORRBOTTENS LÄN</t>
        </is>
      </c>
      <c r="E4365" t="inlineStr">
        <is>
          <t>PITEÅ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31721-2022</t>
        </is>
      </c>
      <c r="B4366" s="1" t="n">
        <v>44776</v>
      </c>
      <c r="C4366" s="1" t="n">
        <v>45798</v>
      </c>
      <c r="D4366" t="inlineStr">
        <is>
          <t>NORRBOTTENS LÄN</t>
        </is>
      </c>
      <c r="E4366" t="inlineStr">
        <is>
          <t>KALIX</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31766-2022</t>
        </is>
      </c>
      <c r="B4367" s="1" t="n">
        <v>44776</v>
      </c>
      <c r="C4367" s="1" t="n">
        <v>45798</v>
      </c>
      <c r="D4367" t="inlineStr">
        <is>
          <t>NORRBOTTENS LÄN</t>
        </is>
      </c>
      <c r="E4367" t="inlineStr">
        <is>
          <t>BODEN</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31774-2022</t>
        </is>
      </c>
      <c r="B4368" s="1" t="n">
        <v>44776</v>
      </c>
      <c r="C4368" s="1" t="n">
        <v>45798</v>
      </c>
      <c r="D4368" t="inlineStr">
        <is>
          <t>NORRBOTTENS LÄN</t>
        </is>
      </c>
      <c r="E4368" t="inlineStr">
        <is>
          <t>ÖVERTORNEÅ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31812-2022</t>
        </is>
      </c>
      <c r="B4369" s="1" t="n">
        <v>44776</v>
      </c>
      <c r="C4369" s="1" t="n">
        <v>45798</v>
      </c>
      <c r="D4369" t="inlineStr">
        <is>
          <t>NORRBOTTENS LÄN</t>
        </is>
      </c>
      <c r="E4369" t="inlineStr">
        <is>
          <t>KALIX</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31977-2022</t>
        </is>
      </c>
      <c r="B4370" s="1" t="n">
        <v>44777</v>
      </c>
      <c r="C4370" s="1" t="n">
        <v>45798</v>
      </c>
      <c r="D4370" t="inlineStr">
        <is>
          <t>NORRBOTTENS LÄN</t>
        </is>
      </c>
      <c r="E4370" t="inlineStr">
        <is>
          <t>PITEÅ</t>
        </is>
      </c>
      <c r="F4370" t="inlineStr">
        <is>
          <t>SCA</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32108-2022</t>
        </is>
      </c>
      <c r="B4371" s="1" t="n">
        <v>44779</v>
      </c>
      <c r="C4371" s="1" t="n">
        <v>45798</v>
      </c>
      <c r="D4371" t="inlineStr">
        <is>
          <t>NORRBOTTENS LÄN</t>
        </is>
      </c>
      <c r="E4371" t="inlineStr">
        <is>
          <t>LULEÅ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32091-2022</t>
        </is>
      </c>
      <c r="B4372" s="1" t="n">
        <v>44778</v>
      </c>
      <c r="C4372" s="1" t="n">
        <v>45798</v>
      </c>
      <c r="D4372" t="inlineStr">
        <is>
          <t>NORRBOTTENS LÄN</t>
        </is>
      </c>
      <c r="E4372" t="inlineStr">
        <is>
          <t>ÖVERKALIX</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32110-2022</t>
        </is>
      </c>
      <c r="B4373" s="1" t="n">
        <v>44779</v>
      </c>
      <c r="C4373" s="1" t="n">
        <v>45798</v>
      </c>
      <c r="D4373" t="inlineStr">
        <is>
          <t>NORRBOTTENS LÄN</t>
        </is>
      </c>
      <c r="E4373" t="inlineStr">
        <is>
          <t>LULEÅ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32010-2022</t>
        </is>
      </c>
      <c r="B4374" s="1" t="n">
        <v>44778</v>
      </c>
      <c r="C4374" s="1" t="n">
        <v>45798</v>
      </c>
      <c r="D4374" t="inlineStr">
        <is>
          <t>NORRBOTTENS LÄN</t>
        </is>
      </c>
      <c r="E4374" t="inlineStr">
        <is>
          <t>PAJALA</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32196-2022</t>
        </is>
      </c>
      <c r="B4375" s="1" t="n">
        <v>44781</v>
      </c>
      <c r="C4375" s="1" t="n">
        <v>45798</v>
      </c>
      <c r="D4375" t="inlineStr">
        <is>
          <t>NORRBOTTENS LÄN</t>
        </is>
      </c>
      <c r="E4375" t="inlineStr">
        <is>
          <t>GÄLLIVARE</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32341-2022</t>
        </is>
      </c>
      <c r="B4376" s="1" t="n">
        <v>44781</v>
      </c>
      <c r="C4376" s="1" t="n">
        <v>45798</v>
      </c>
      <c r="D4376" t="inlineStr">
        <is>
          <t>NORRBOTTENS LÄN</t>
        </is>
      </c>
      <c r="E4376" t="inlineStr">
        <is>
          <t>ARVIDSJAUR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32314-2022</t>
        </is>
      </c>
      <c r="B4377" s="1" t="n">
        <v>44781</v>
      </c>
      <c r="C4377" s="1" t="n">
        <v>45798</v>
      </c>
      <c r="D4377" t="inlineStr">
        <is>
          <t>NORRBOTTENS LÄN</t>
        </is>
      </c>
      <c r="E4377" t="inlineStr">
        <is>
          <t>ÖVERTORNEÅ</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32348-2022</t>
        </is>
      </c>
      <c r="B4378" s="1" t="n">
        <v>44781</v>
      </c>
      <c r="C4378" s="1" t="n">
        <v>45798</v>
      </c>
      <c r="D4378" t="inlineStr">
        <is>
          <t>NORRBOTTENS LÄN</t>
        </is>
      </c>
      <c r="E4378" t="inlineStr">
        <is>
          <t>KALIX</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32368-2022</t>
        </is>
      </c>
      <c r="B4379" s="1" t="n">
        <v>44781</v>
      </c>
      <c r="C4379" s="1" t="n">
        <v>45798</v>
      </c>
      <c r="D4379" t="inlineStr">
        <is>
          <t>NORRBOTTENS LÄN</t>
        </is>
      </c>
      <c r="E4379" t="inlineStr">
        <is>
          <t>ÄLVSBYN</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32391-2022</t>
        </is>
      </c>
      <c r="B4380" s="1" t="n">
        <v>44781</v>
      </c>
      <c r="C4380" s="1" t="n">
        <v>45798</v>
      </c>
      <c r="D4380" t="inlineStr">
        <is>
          <t>NORRBOTTENS LÄN</t>
        </is>
      </c>
      <c r="E4380" t="inlineStr">
        <is>
          <t>PITEÅ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32720-2022</t>
        </is>
      </c>
      <c r="B4381" s="1" t="n">
        <v>44783</v>
      </c>
      <c r="C4381" s="1" t="n">
        <v>45798</v>
      </c>
      <c r="D4381" t="inlineStr">
        <is>
          <t>NORRBOTTENS LÄN</t>
        </is>
      </c>
      <c r="E4381" t="inlineStr">
        <is>
          <t>GÄLLIVARE</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32653-2022</t>
        </is>
      </c>
      <c r="B4382" s="1" t="n">
        <v>44783</v>
      </c>
      <c r="C4382" s="1" t="n">
        <v>45798</v>
      </c>
      <c r="D4382" t="inlineStr">
        <is>
          <t>NORRBOTTENS LÄN</t>
        </is>
      </c>
      <c r="E4382" t="inlineStr">
        <is>
          <t>LULEÅ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32690-2022</t>
        </is>
      </c>
      <c r="B4383" s="1" t="n">
        <v>44783</v>
      </c>
      <c r="C4383" s="1" t="n">
        <v>45798</v>
      </c>
      <c r="D4383" t="inlineStr">
        <is>
          <t>NORRBOTTENS LÄN</t>
        </is>
      </c>
      <c r="E4383" t="inlineStr">
        <is>
          <t>PITEÅ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32724-2022</t>
        </is>
      </c>
      <c r="B4384" s="1" t="n">
        <v>44783</v>
      </c>
      <c r="C4384" s="1" t="n">
        <v>45798</v>
      </c>
      <c r="D4384" t="inlineStr">
        <is>
          <t>NORRBOTTENS LÄN</t>
        </is>
      </c>
      <c r="E4384" t="inlineStr">
        <is>
          <t>ÖVERKALIX</t>
        </is>
      </c>
      <c r="F4384" t="inlineStr">
        <is>
          <t>Sveaskog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32754-2022</t>
        </is>
      </c>
      <c r="B4385" s="1" t="n">
        <v>44783</v>
      </c>
      <c r="C4385" s="1" t="n">
        <v>45798</v>
      </c>
      <c r="D4385" t="inlineStr">
        <is>
          <t>NORRBOTTENS LÄN</t>
        </is>
      </c>
      <c r="E4385" t="inlineStr">
        <is>
          <t>BODEN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32975-2022</t>
        </is>
      </c>
      <c r="B4386" s="1" t="n">
        <v>44785</v>
      </c>
      <c r="C4386" s="1" t="n">
        <v>45798</v>
      </c>
      <c r="D4386" t="inlineStr">
        <is>
          <t>NORRBOTTENS LÄN</t>
        </is>
      </c>
      <c r="E4386" t="inlineStr">
        <is>
          <t>ÄLVSBYN</t>
        </is>
      </c>
      <c r="F4386" t="inlineStr">
        <is>
          <t>SCA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32981-2022</t>
        </is>
      </c>
      <c r="B4387" s="1" t="n">
        <v>44785</v>
      </c>
      <c r="C4387" s="1" t="n">
        <v>45798</v>
      </c>
      <c r="D4387" t="inlineStr">
        <is>
          <t>NORRBOTTENS LÄN</t>
        </is>
      </c>
      <c r="E4387" t="inlineStr">
        <is>
          <t>PITEÅ</t>
        </is>
      </c>
      <c r="F4387" t="inlineStr">
        <is>
          <t>Naturvårdsverket</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32917-2022</t>
        </is>
      </c>
      <c r="B4388" s="1" t="n">
        <v>44784</v>
      </c>
      <c r="C4388" s="1" t="n">
        <v>45798</v>
      </c>
      <c r="D4388" t="inlineStr">
        <is>
          <t>NORRBOTTENS LÄN</t>
        </is>
      </c>
      <c r="E4388" t="inlineStr">
        <is>
          <t>PAJALA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32977-2022</t>
        </is>
      </c>
      <c r="B4389" s="1" t="n">
        <v>44785</v>
      </c>
      <c r="C4389" s="1" t="n">
        <v>45798</v>
      </c>
      <c r="D4389" t="inlineStr">
        <is>
          <t>NORRBOTTENS LÄN</t>
        </is>
      </c>
      <c r="E4389" t="inlineStr">
        <is>
          <t>ÄLVSBYN</t>
        </is>
      </c>
      <c r="F4389" t="inlineStr">
        <is>
          <t>SCA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32991-2022</t>
        </is>
      </c>
      <c r="B4390" s="1" t="n">
        <v>44784</v>
      </c>
      <c r="C4390" s="1" t="n">
        <v>45798</v>
      </c>
      <c r="D4390" t="inlineStr">
        <is>
          <t>NORRBOTTENS LÄN</t>
        </is>
      </c>
      <c r="E4390" t="inlineStr">
        <is>
          <t>PITEÅ</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33094-2022</t>
        </is>
      </c>
      <c r="B4391" s="1" t="n">
        <v>44785</v>
      </c>
      <c r="C4391" s="1" t="n">
        <v>45798</v>
      </c>
      <c r="D4391" t="inlineStr">
        <is>
          <t>NORRBOTTENS LÄN</t>
        </is>
      </c>
      <c r="E4391" t="inlineStr">
        <is>
          <t>ÖVERTORNEÅ</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33084-2022</t>
        </is>
      </c>
      <c r="B4392" s="1" t="n">
        <v>44785</v>
      </c>
      <c r="C4392" s="1" t="n">
        <v>45798</v>
      </c>
      <c r="D4392" t="inlineStr">
        <is>
          <t>NORRBOTTENS LÄN</t>
        </is>
      </c>
      <c r="E4392" t="inlineStr">
        <is>
          <t>ÖVERTORNEÅ</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33092-2022</t>
        </is>
      </c>
      <c r="B4393" s="1" t="n">
        <v>44785</v>
      </c>
      <c r="C4393" s="1" t="n">
        <v>45798</v>
      </c>
      <c r="D4393" t="inlineStr">
        <is>
          <t>NORRBOTTENS LÄN</t>
        </is>
      </c>
      <c r="E4393" t="inlineStr">
        <is>
          <t>ÖVERTORNEÅ</t>
        </is>
      </c>
      <c r="F4393" t="inlineStr">
        <is>
          <t>Sveaskog</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33097-2022</t>
        </is>
      </c>
      <c r="B4394" s="1" t="n">
        <v>44785</v>
      </c>
      <c r="C4394" s="1" t="n">
        <v>45798</v>
      </c>
      <c r="D4394" t="inlineStr">
        <is>
          <t>NORRBOTTENS LÄN</t>
        </is>
      </c>
      <c r="E4394" t="inlineStr">
        <is>
          <t>ÖVERTORNEÅ</t>
        </is>
      </c>
      <c r="F4394" t="inlineStr">
        <is>
          <t>Sveaskog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33005-2022</t>
        </is>
      </c>
      <c r="B4395" s="1" t="n">
        <v>44785</v>
      </c>
      <c r="C4395" s="1" t="n">
        <v>45798</v>
      </c>
      <c r="D4395" t="inlineStr">
        <is>
          <t>NORRBOTTENS LÄN</t>
        </is>
      </c>
      <c r="E4395" t="inlineStr">
        <is>
          <t>KALIX</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33100-2022</t>
        </is>
      </c>
      <c r="B4396" s="1" t="n">
        <v>44785</v>
      </c>
      <c r="C4396" s="1" t="n">
        <v>45798</v>
      </c>
      <c r="D4396" t="inlineStr">
        <is>
          <t>NORRBOTTENS LÄN</t>
        </is>
      </c>
      <c r="E4396" t="inlineStr">
        <is>
          <t>ÖVERKALIX</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33158-2022</t>
        </is>
      </c>
      <c r="B4397" s="1" t="n">
        <v>44785</v>
      </c>
      <c r="C4397" s="1" t="n">
        <v>45798</v>
      </c>
      <c r="D4397" t="inlineStr">
        <is>
          <t>NORRBOTTENS LÄN</t>
        </is>
      </c>
      <c r="E4397" t="inlineStr">
        <is>
          <t>KALIX</t>
        </is>
      </c>
      <c r="F4397" t="inlineStr">
        <is>
          <t>Sveaskog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33159-2022</t>
        </is>
      </c>
      <c r="B4398" s="1" t="n">
        <v>44785</v>
      </c>
      <c r="C4398" s="1" t="n">
        <v>45798</v>
      </c>
      <c r="D4398" t="inlineStr">
        <is>
          <t>NORRBOTTENS LÄN</t>
        </is>
      </c>
      <c r="E4398" t="inlineStr">
        <is>
          <t>KALIX</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33196-2022</t>
        </is>
      </c>
      <c r="B4399" s="1" t="n">
        <v>44785</v>
      </c>
      <c r="C4399" s="1" t="n">
        <v>45798</v>
      </c>
      <c r="D4399" t="inlineStr">
        <is>
          <t>NORRBOTTENS LÄN</t>
        </is>
      </c>
      <c r="E4399" t="inlineStr">
        <is>
          <t>PITEÅ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33399-2022</t>
        </is>
      </c>
      <c r="B4400" s="1" t="n">
        <v>44788</v>
      </c>
      <c r="C4400" s="1" t="n">
        <v>45798</v>
      </c>
      <c r="D4400" t="inlineStr">
        <is>
          <t>NORRBOTTENS LÄN</t>
        </is>
      </c>
      <c r="E4400" t="inlineStr">
        <is>
          <t>BODEN</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33415-2022</t>
        </is>
      </c>
      <c r="B4401" s="1" t="n">
        <v>44788</v>
      </c>
      <c r="C4401" s="1" t="n">
        <v>45798</v>
      </c>
      <c r="D4401" t="inlineStr">
        <is>
          <t>NORRBOTTENS LÄN</t>
        </is>
      </c>
      <c r="E4401" t="inlineStr">
        <is>
          <t>ÖVERTORNEÅ</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33407-2022</t>
        </is>
      </c>
      <c r="B4402" s="1" t="n">
        <v>44788</v>
      </c>
      <c r="C4402" s="1" t="n">
        <v>45798</v>
      </c>
      <c r="D4402" t="inlineStr">
        <is>
          <t>NORRBOTTENS LÄN</t>
        </is>
      </c>
      <c r="E4402" t="inlineStr">
        <is>
          <t>ÄLVSBYN</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33458-2022</t>
        </is>
      </c>
      <c r="B4403" s="1" t="n">
        <v>44788</v>
      </c>
      <c r="C4403" s="1" t="n">
        <v>45798</v>
      </c>
      <c r="D4403" t="inlineStr">
        <is>
          <t>NORRBOTTENS LÄN</t>
        </is>
      </c>
      <c r="E4403" t="inlineStr">
        <is>
          <t>ARVIDSJAUR</t>
        </is>
      </c>
      <c r="F4403" t="inlineStr">
        <is>
          <t>Allmännings- och besparingsskogar</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33446-2022</t>
        </is>
      </c>
      <c r="B4404" s="1" t="n">
        <v>44788</v>
      </c>
      <c r="C4404" s="1" t="n">
        <v>45798</v>
      </c>
      <c r="D4404" t="inlineStr">
        <is>
          <t>NORRBOTTENS LÄN</t>
        </is>
      </c>
      <c r="E4404" t="inlineStr">
        <is>
          <t>GÄLLIVARE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33454-2022</t>
        </is>
      </c>
      <c r="B4405" s="1" t="n">
        <v>44788</v>
      </c>
      <c r="C4405" s="1" t="n">
        <v>45798</v>
      </c>
      <c r="D4405" t="inlineStr">
        <is>
          <t>NORRBOTTENS LÄN</t>
        </is>
      </c>
      <c r="E4405" t="inlineStr">
        <is>
          <t>BODEN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33517-2022</t>
        </is>
      </c>
      <c r="B4406" s="1" t="n">
        <v>44789</v>
      </c>
      <c r="C4406" s="1" t="n">
        <v>45798</v>
      </c>
      <c r="D4406" t="inlineStr">
        <is>
          <t>NORRBOTTENS LÄN</t>
        </is>
      </c>
      <c r="E4406" t="inlineStr">
        <is>
          <t>BODEN</t>
        </is>
      </c>
      <c r="F4406" t="inlineStr">
        <is>
          <t>SCA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33461-2022</t>
        </is>
      </c>
      <c r="B4407" s="1" t="n">
        <v>44788</v>
      </c>
      <c r="C4407" s="1" t="n">
        <v>45798</v>
      </c>
      <c r="D4407" t="inlineStr">
        <is>
          <t>NORRBOTTENS LÄN</t>
        </is>
      </c>
      <c r="E4407" t="inlineStr">
        <is>
          <t>ARVIDSJAUR</t>
        </is>
      </c>
      <c r="F4407" t="inlineStr">
        <is>
          <t>Allmännings- och besparingsskogar</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33518-2022</t>
        </is>
      </c>
      <c r="B4408" s="1" t="n">
        <v>44789</v>
      </c>
      <c r="C4408" s="1" t="n">
        <v>45798</v>
      </c>
      <c r="D4408" t="inlineStr">
        <is>
          <t>NORRBOTTENS LÄN</t>
        </is>
      </c>
      <c r="E4408" t="inlineStr">
        <is>
          <t>BODEN</t>
        </is>
      </c>
      <c r="F4408" t="inlineStr">
        <is>
          <t>SCA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33463-2022</t>
        </is>
      </c>
      <c r="B4409" s="1" t="n">
        <v>44788</v>
      </c>
      <c r="C4409" s="1" t="n">
        <v>45798</v>
      </c>
      <c r="D4409" t="inlineStr">
        <is>
          <t>NORRBOTTENS LÄN</t>
        </is>
      </c>
      <c r="E4409" t="inlineStr">
        <is>
          <t>ARVIDSJAUR</t>
        </is>
      </c>
      <c r="F4409" t="inlineStr">
        <is>
          <t>Allmännings- och besparingsskogar</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33497-2022</t>
        </is>
      </c>
      <c r="B4410" s="1" t="n">
        <v>44789</v>
      </c>
      <c r="C4410" s="1" t="n">
        <v>45798</v>
      </c>
      <c r="D4410" t="inlineStr">
        <is>
          <t>NORRBOTTENS LÄN</t>
        </is>
      </c>
      <c r="E4410" t="inlineStr">
        <is>
          <t>ÖVERKALIX</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33523-2022</t>
        </is>
      </c>
      <c r="B4411" s="1" t="n">
        <v>44789</v>
      </c>
      <c r="C4411" s="1" t="n">
        <v>45798</v>
      </c>
      <c r="D4411" t="inlineStr">
        <is>
          <t>NORRBOTTENS LÄN</t>
        </is>
      </c>
      <c r="E4411" t="inlineStr">
        <is>
          <t>ÖVERTORNEÅ</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33516-2022</t>
        </is>
      </c>
      <c r="B4412" s="1" t="n">
        <v>44789</v>
      </c>
      <c r="C4412" s="1" t="n">
        <v>45798</v>
      </c>
      <c r="D4412" t="inlineStr">
        <is>
          <t>NORRBOTTENS LÄN</t>
        </is>
      </c>
      <c r="E4412" t="inlineStr">
        <is>
          <t>BODEN</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33594-2022</t>
        </is>
      </c>
      <c r="B4413" s="1" t="n">
        <v>44789</v>
      </c>
      <c r="C4413" s="1" t="n">
        <v>45798</v>
      </c>
      <c r="D4413" t="inlineStr">
        <is>
          <t>NORRBOTTENS LÄN</t>
        </is>
      </c>
      <c r="E4413" t="inlineStr">
        <is>
          <t>LULEÅ</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33643-2022</t>
        </is>
      </c>
      <c r="B4414" s="1" t="n">
        <v>44789</v>
      </c>
      <c r="C4414" s="1" t="n">
        <v>45798</v>
      </c>
      <c r="D4414" t="inlineStr">
        <is>
          <t>NORRBOTTENS LÄN</t>
        </is>
      </c>
      <c r="E4414" t="inlineStr">
        <is>
          <t>LULEÅ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33739-2022</t>
        </is>
      </c>
      <c r="B4415" s="1" t="n">
        <v>44790</v>
      </c>
      <c r="C4415" s="1" t="n">
        <v>45798</v>
      </c>
      <c r="D4415" t="inlineStr">
        <is>
          <t>NORRBOTTENS LÄN</t>
        </is>
      </c>
      <c r="E4415" t="inlineStr">
        <is>
          <t>BODEN</t>
        </is>
      </c>
      <c r="F4415" t="inlineStr">
        <is>
          <t>SCA</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33868-2022</t>
        </is>
      </c>
      <c r="B4416" s="1" t="n">
        <v>44790</v>
      </c>
      <c r="C4416" s="1" t="n">
        <v>45798</v>
      </c>
      <c r="D4416" t="inlineStr">
        <is>
          <t>NORRBOTTENS LÄN</t>
        </is>
      </c>
      <c r="E4416" t="inlineStr">
        <is>
          <t>PAJALA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33848-2022</t>
        </is>
      </c>
      <c r="B4417" s="1" t="n">
        <v>44790</v>
      </c>
      <c r="C4417" s="1" t="n">
        <v>45798</v>
      </c>
      <c r="D4417" t="inlineStr">
        <is>
          <t>NORRBOTTENS LÄN</t>
        </is>
      </c>
      <c r="E4417" t="inlineStr">
        <is>
          <t>ÄLVSBYN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34013-2022</t>
        </is>
      </c>
      <c r="B4418" s="1" t="n">
        <v>44790</v>
      </c>
      <c r="C4418" s="1" t="n">
        <v>45798</v>
      </c>
      <c r="D4418" t="inlineStr">
        <is>
          <t>NORRBOTTENS LÄN</t>
        </is>
      </c>
      <c r="E4418" t="inlineStr">
        <is>
          <t>ÄLVSBYN</t>
        </is>
      </c>
      <c r="F4418" t="inlineStr">
        <is>
          <t>SCA</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33932-2022</t>
        </is>
      </c>
      <c r="B4419" s="1" t="n">
        <v>44790</v>
      </c>
      <c r="C4419" s="1" t="n">
        <v>45798</v>
      </c>
      <c r="D4419" t="inlineStr">
        <is>
          <t>NORRBOTTENS LÄN</t>
        </is>
      </c>
      <c r="E4419" t="inlineStr">
        <is>
          <t>PAJALA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34012-2022</t>
        </is>
      </c>
      <c r="B4420" s="1" t="n">
        <v>44791</v>
      </c>
      <c r="C4420" s="1" t="n">
        <v>45798</v>
      </c>
      <c r="D4420" t="inlineStr">
        <is>
          <t>NORRBOTTENS LÄN</t>
        </is>
      </c>
      <c r="E4420" t="inlineStr">
        <is>
          <t>ÄLVSBYN</t>
        </is>
      </c>
      <c r="F4420" t="inlineStr">
        <is>
          <t>SCA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34074-2022</t>
        </is>
      </c>
      <c r="B4421" s="1" t="n">
        <v>44791</v>
      </c>
      <c r="C4421" s="1" t="n">
        <v>45798</v>
      </c>
      <c r="D4421" t="inlineStr">
        <is>
          <t>NORRBOTTENS LÄN</t>
        </is>
      </c>
      <c r="E4421" t="inlineStr">
        <is>
          <t>PAJALA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34261-2022</t>
        </is>
      </c>
      <c r="B4422" s="1" t="n">
        <v>44791</v>
      </c>
      <c r="C4422" s="1" t="n">
        <v>45798</v>
      </c>
      <c r="D4422" t="inlineStr">
        <is>
          <t>NORRBOTTENS LÄN</t>
        </is>
      </c>
      <c r="E4422" t="inlineStr">
        <is>
          <t>ÖVERKALIX</t>
        </is>
      </c>
      <c r="F4422" t="inlineStr">
        <is>
          <t>SCA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34318-2022</t>
        </is>
      </c>
      <c r="B4423" s="1" t="n">
        <v>44792</v>
      </c>
      <c r="C4423" s="1" t="n">
        <v>45798</v>
      </c>
      <c r="D4423" t="inlineStr">
        <is>
          <t>NORRBOTTENS LÄN</t>
        </is>
      </c>
      <c r="E4423" t="inlineStr">
        <is>
          <t>GÄLLIVARE</t>
        </is>
      </c>
      <c r="G4423" t="n">
        <v>13.3</v>
      </c>
      <c r="H4423" t="n">
        <v>0</v>
      </c>
      <c r="I4423" t="n">
        <v>0</v>
      </c>
      <c r="J4423" t="n">
        <v>0</v>
      </c>
      <c r="K4423" t="n">
        <v>0</v>
      </c>
      <c r="L4423" t="n">
        <v>0</v>
      </c>
      <c r="M4423" t="n">
        <v>0</v>
      </c>
      <c r="N4423" t="n">
        <v>0</v>
      </c>
      <c r="O4423" t="n">
        <v>0</v>
      </c>
      <c r="P4423" t="n">
        <v>0</v>
      </c>
      <c r="Q4423" t="n">
        <v>0</v>
      </c>
      <c r="R4423" s="2" t="inlineStr"/>
    </row>
    <row r="4424" ht="15" customHeight="1">
      <c r="A4424" t="inlineStr">
        <is>
          <t>A 34337-2022</t>
        </is>
      </c>
      <c r="B4424" s="1" t="n">
        <v>44792</v>
      </c>
      <c r="C4424" s="1" t="n">
        <v>45798</v>
      </c>
      <c r="D4424" t="inlineStr">
        <is>
          <t>NORRBOTTENS LÄN</t>
        </is>
      </c>
      <c r="E4424" t="inlineStr">
        <is>
          <t>PITEÅ</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34466-2022</t>
        </is>
      </c>
      <c r="B4425" s="1" t="n">
        <v>44792</v>
      </c>
      <c r="C4425" s="1" t="n">
        <v>45798</v>
      </c>
      <c r="D4425" t="inlineStr">
        <is>
          <t>NORRBOTTENS LÄN</t>
        </is>
      </c>
      <c r="E4425" t="inlineStr">
        <is>
          <t>ARVIDSJAUR</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34471-2022</t>
        </is>
      </c>
      <c r="B4426" s="1" t="n">
        <v>44792</v>
      </c>
      <c r="C4426" s="1" t="n">
        <v>45798</v>
      </c>
      <c r="D4426" t="inlineStr">
        <is>
          <t>NORRBOTTENS LÄN</t>
        </is>
      </c>
      <c r="E4426" t="inlineStr">
        <is>
          <t>ARVIDSJAUR</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34474-2022</t>
        </is>
      </c>
      <c r="B4427" s="1" t="n">
        <v>44792</v>
      </c>
      <c r="C4427" s="1" t="n">
        <v>45798</v>
      </c>
      <c r="D4427" t="inlineStr">
        <is>
          <t>NORRBOTTENS LÄN</t>
        </is>
      </c>
      <c r="E4427" t="inlineStr">
        <is>
          <t>ARVIDSJAUR</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34439-2022</t>
        </is>
      </c>
      <c r="B4428" s="1" t="n">
        <v>44792</v>
      </c>
      <c r="C4428" s="1" t="n">
        <v>45798</v>
      </c>
      <c r="D4428" t="inlineStr">
        <is>
          <t>NORRBOTTENS LÄN</t>
        </is>
      </c>
      <c r="E4428" t="inlineStr">
        <is>
          <t>PITEÅ</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34477-2022</t>
        </is>
      </c>
      <c r="B4429" s="1" t="n">
        <v>44792</v>
      </c>
      <c r="C4429" s="1" t="n">
        <v>45798</v>
      </c>
      <c r="D4429" t="inlineStr">
        <is>
          <t>NORRBOTTENS LÄN</t>
        </is>
      </c>
      <c r="E4429" t="inlineStr">
        <is>
          <t>ARVIDSJAUR</t>
        </is>
      </c>
      <c r="F4429" t="inlineStr">
        <is>
          <t>Sveaskog</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34548-2022</t>
        </is>
      </c>
      <c r="B4430" s="1" t="n">
        <v>44794</v>
      </c>
      <c r="C4430" s="1" t="n">
        <v>45798</v>
      </c>
      <c r="D4430" t="inlineStr">
        <is>
          <t>NORRBOTTENS LÄN</t>
        </is>
      </c>
      <c r="E4430" t="inlineStr">
        <is>
          <t>JOKKMOKK</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34615-2022</t>
        </is>
      </c>
      <c r="B4431" s="1" t="n">
        <v>44795</v>
      </c>
      <c r="C4431" s="1" t="n">
        <v>45798</v>
      </c>
      <c r="D4431" t="inlineStr">
        <is>
          <t>NORRBOTTENS LÄN</t>
        </is>
      </c>
      <c r="E4431" t="inlineStr">
        <is>
          <t>PITEÅ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34656-2022</t>
        </is>
      </c>
      <c r="B4432" s="1" t="n">
        <v>44795</v>
      </c>
      <c r="C4432" s="1" t="n">
        <v>45798</v>
      </c>
      <c r="D4432" t="inlineStr">
        <is>
          <t>NORRBOTTENS LÄN</t>
        </is>
      </c>
      <c r="E4432" t="inlineStr">
        <is>
          <t>ÄLVSBYN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34671-2022</t>
        </is>
      </c>
      <c r="B4433" s="1" t="n">
        <v>44795</v>
      </c>
      <c r="C4433" s="1" t="n">
        <v>45798</v>
      </c>
      <c r="D4433" t="inlineStr">
        <is>
          <t>NORRBOTTENS LÄN</t>
        </is>
      </c>
      <c r="E4433" t="inlineStr">
        <is>
          <t>GÄLLIVARE</t>
        </is>
      </c>
      <c r="F4433" t="inlineStr">
        <is>
          <t>Allmännings- och besparingsskogar</t>
        </is>
      </c>
      <c r="G4433" t="n">
        <v>20.5</v>
      </c>
      <c r="H4433" t="n">
        <v>0</v>
      </c>
      <c r="I4433" t="n">
        <v>0</v>
      </c>
      <c r="J4433" t="n">
        <v>0</v>
      </c>
      <c r="K4433" t="n">
        <v>0</v>
      </c>
      <c r="L4433" t="n">
        <v>0</v>
      </c>
      <c r="M4433" t="n">
        <v>0</v>
      </c>
      <c r="N4433" t="n">
        <v>0</v>
      </c>
      <c r="O4433" t="n">
        <v>0</v>
      </c>
      <c r="P4433" t="n">
        <v>0</v>
      </c>
      <c r="Q4433" t="n">
        <v>0</v>
      </c>
      <c r="R4433" s="2" t="inlineStr"/>
    </row>
    <row r="4434" ht="15" customHeight="1">
      <c r="A4434" t="inlineStr">
        <is>
          <t>A 34701-2022</t>
        </is>
      </c>
      <c r="B4434" s="1" t="n">
        <v>44795</v>
      </c>
      <c r="C4434" s="1" t="n">
        <v>45798</v>
      </c>
      <c r="D4434" t="inlineStr">
        <is>
          <t>NORRBOTTENS LÄN</t>
        </is>
      </c>
      <c r="E4434" t="inlineStr">
        <is>
          <t>LULEÅ</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34713-2022</t>
        </is>
      </c>
      <c r="B4435" s="1" t="n">
        <v>44795</v>
      </c>
      <c r="C4435" s="1" t="n">
        <v>45798</v>
      </c>
      <c r="D4435" t="inlineStr">
        <is>
          <t>NORRBOTTENS LÄN</t>
        </is>
      </c>
      <c r="E4435" t="inlineStr">
        <is>
          <t>ÖVERKALIX</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34609-2022</t>
        </is>
      </c>
      <c r="B4436" s="1" t="n">
        <v>44795</v>
      </c>
      <c r="C4436" s="1" t="n">
        <v>45798</v>
      </c>
      <c r="D4436" t="inlineStr">
        <is>
          <t>NORRBOTTENS LÄN</t>
        </is>
      </c>
      <c r="E4436" t="inlineStr">
        <is>
          <t>ÄLVSBYN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34693-2022</t>
        </is>
      </c>
      <c r="B4437" s="1" t="n">
        <v>44795</v>
      </c>
      <c r="C4437" s="1" t="n">
        <v>45798</v>
      </c>
      <c r="D4437" t="inlineStr">
        <is>
          <t>NORRBOTTENS LÄN</t>
        </is>
      </c>
      <c r="E4437" t="inlineStr">
        <is>
          <t>KIRUNA</t>
        </is>
      </c>
      <c r="G4437" t="n">
        <v>12.3</v>
      </c>
      <c r="H4437" t="n">
        <v>0</v>
      </c>
      <c r="I4437" t="n">
        <v>0</v>
      </c>
      <c r="J4437" t="n">
        <v>0</v>
      </c>
      <c r="K4437" t="n">
        <v>0</v>
      </c>
      <c r="L4437" t="n">
        <v>0</v>
      </c>
      <c r="M4437" t="n">
        <v>0</v>
      </c>
      <c r="N4437" t="n">
        <v>0</v>
      </c>
      <c r="O4437" t="n">
        <v>0</v>
      </c>
      <c r="P4437" t="n">
        <v>0</v>
      </c>
      <c r="Q4437" t="n">
        <v>0</v>
      </c>
      <c r="R4437" s="2" t="inlineStr"/>
    </row>
    <row r="4438" ht="15" customHeight="1">
      <c r="A4438" t="inlineStr">
        <is>
          <t>A 34674-2022</t>
        </is>
      </c>
      <c r="B4438" s="1" t="n">
        <v>44795</v>
      </c>
      <c r="C4438" s="1" t="n">
        <v>45798</v>
      </c>
      <c r="D4438" t="inlineStr">
        <is>
          <t>NORRBOTTENS LÄN</t>
        </is>
      </c>
      <c r="E4438" t="inlineStr">
        <is>
          <t>GÄLLIVARE</t>
        </is>
      </c>
      <c r="F4438" t="inlineStr">
        <is>
          <t>Allmännings- och besparingsskogar</t>
        </is>
      </c>
      <c r="G4438" t="n">
        <v>96.7</v>
      </c>
      <c r="H4438" t="n">
        <v>0</v>
      </c>
      <c r="I4438" t="n">
        <v>0</v>
      </c>
      <c r="J4438" t="n">
        <v>0</v>
      </c>
      <c r="K4438" t="n">
        <v>0</v>
      </c>
      <c r="L4438" t="n">
        <v>0</v>
      </c>
      <c r="M4438" t="n">
        <v>0</v>
      </c>
      <c r="N4438" t="n">
        <v>0</v>
      </c>
      <c r="O4438" t="n">
        <v>0</v>
      </c>
      <c r="P4438" t="n">
        <v>0</v>
      </c>
      <c r="Q4438" t="n">
        <v>0</v>
      </c>
      <c r="R4438" s="2" t="inlineStr"/>
    </row>
    <row r="4439" ht="15" customHeight="1">
      <c r="A4439" t="inlineStr">
        <is>
          <t>A 34688-2022</t>
        </is>
      </c>
      <c r="B4439" s="1" t="n">
        <v>44795</v>
      </c>
      <c r="C4439" s="1" t="n">
        <v>45798</v>
      </c>
      <c r="D4439" t="inlineStr">
        <is>
          <t>NORRBOTTENS LÄN</t>
        </is>
      </c>
      <c r="E4439" t="inlineStr">
        <is>
          <t>PITEÅ</t>
        </is>
      </c>
      <c r="F4439" t="inlineStr">
        <is>
          <t>Övriga Aktiebolag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34760-2022</t>
        </is>
      </c>
      <c r="B4440" s="1" t="n">
        <v>44795</v>
      </c>
      <c r="C4440" s="1" t="n">
        <v>45798</v>
      </c>
      <c r="D4440" t="inlineStr">
        <is>
          <t>NORRBOTTENS LÄN</t>
        </is>
      </c>
      <c r="E4440" t="inlineStr">
        <is>
          <t>BODEN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34801-2022</t>
        </is>
      </c>
      <c r="B4441" s="1" t="n">
        <v>44796</v>
      </c>
      <c r="C4441" s="1" t="n">
        <v>45798</v>
      </c>
      <c r="D4441" t="inlineStr">
        <is>
          <t>NORRBOTTENS LÄN</t>
        </is>
      </c>
      <c r="E4441" t="inlineStr">
        <is>
          <t>ÖVERKALIX</t>
        </is>
      </c>
      <c r="F4441" t="inlineStr">
        <is>
          <t>SCA</t>
        </is>
      </c>
      <c r="G4441" t="n">
        <v>9.5</v>
      </c>
      <c r="H4441" t="n">
        <v>0</v>
      </c>
      <c r="I4441" t="n">
        <v>0</v>
      </c>
      <c r="J4441" t="n">
        <v>0</v>
      </c>
      <c r="K4441" t="n">
        <v>0</v>
      </c>
      <c r="L4441" t="n">
        <v>0</v>
      </c>
      <c r="M4441" t="n">
        <v>0</v>
      </c>
      <c r="N4441" t="n">
        <v>0</v>
      </c>
      <c r="O4441" t="n">
        <v>0</v>
      </c>
      <c r="P4441" t="n">
        <v>0</v>
      </c>
      <c r="Q4441" t="n">
        <v>0</v>
      </c>
      <c r="R4441" s="2" t="inlineStr"/>
    </row>
    <row r="4442" ht="15" customHeight="1">
      <c r="A4442" t="inlineStr">
        <is>
          <t>A 34802-2022</t>
        </is>
      </c>
      <c r="B4442" s="1" t="n">
        <v>44796</v>
      </c>
      <c r="C4442" s="1" t="n">
        <v>45798</v>
      </c>
      <c r="D4442" t="inlineStr">
        <is>
          <t>NORRBOTTENS LÄN</t>
        </is>
      </c>
      <c r="E4442" t="inlineStr">
        <is>
          <t>ÖVERKALIX</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34811-2022</t>
        </is>
      </c>
      <c r="B4443" s="1" t="n">
        <v>44796</v>
      </c>
      <c r="C4443" s="1" t="n">
        <v>45798</v>
      </c>
      <c r="D4443" t="inlineStr">
        <is>
          <t>NORRBOTTENS LÄN</t>
        </is>
      </c>
      <c r="E4443" t="inlineStr">
        <is>
          <t>BODEN</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34863-2022</t>
        </is>
      </c>
      <c r="B4444" s="1" t="n">
        <v>44795</v>
      </c>
      <c r="C4444" s="1" t="n">
        <v>45798</v>
      </c>
      <c r="D4444" t="inlineStr">
        <is>
          <t>NORRBOTTENS LÄN</t>
        </is>
      </c>
      <c r="E4444" t="inlineStr">
        <is>
          <t>ÄLVSBYN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34789-2022</t>
        </is>
      </c>
      <c r="B4445" s="1" t="n">
        <v>44795</v>
      </c>
      <c r="C4445" s="1" t="n">
        <v>45798</v>
      </c>
      <c r="D4445" t="inlineStr">
        <is>
          <t>NORRBOTTENS LÄN</t>
        </is>
      </c>
      <c r="E4445" t="inlineStr">
        <is>
          <t>BODEN</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34796-2022</t>
        </is>
      </c>
      <c r="B4446" s="1" t="n">
        <v>44796</v>
      </c>
      <c r="C4446" s="1" t="n">
        <v>45798</v>
      </c>
      <c r="D4446" t="inlineStr">
        <is>
          <t>NORRBOTTENS LÄN</t>
        </is>
      </c>
      <c r="E4446" t="inlineStr">
        <is>
          <t>BODEN</t>
        </is>
      </c>
      <c r="F4446" t="inlineStr">
        <is>
          <t>SCA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34875-2022</t>
        </is>
      </c>
      <c r="B4447" s="1" t="n">
        <v>44796</v>
      </c>
      <c r="C4447" s="1" t="n">
        <v>45798</v>
      </c>
      <c r="D4447" t="inlineStr">
        <is>
          <t>NORRBOTTENS LÄN</t>
        </is>
      </c>
      <c r="E4447" t="inlineStr">
        <is>
          <t>ÖVERTORNEÅ</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34894-2022</t>
        </is>
      </c>
      <c r="B4448" s="1" t="n">
        <v>44796</v>
      </c>
      <c r="C4448" s="1" t="n">
        <v>45798</v>
      </c>
      <c r="D4448" t="inlineStr">
        <is>
          <t>NORRBOTTENS LÄN</t>
        </is>
      </c>
      <c r="E4448" t="inlineStr">
        <is>
          <t>PAJALA</t>
        </is>
      </c>
      <c r="F4448" t="inlineStr">
        <is>
          <t>Sveaskog</t>
        </is>
      </c>
      <c r="G4448" t="n">
        <v>13.1</v>
      </c>
      <c r="H4448" t="n">
        <v>0</v>
      </c>
      <c r="I4448" t="n">
        <v>0</v>
      </c>
      <c r="J4448" t="n">
        <v>0</v>
      </c>
      <c r="K4448" t="n">
        <v>0</v>
      </c>
      <c r="L4448" t="n">
        <v>0</v>
      </c>
      <c r="M4448" t="n">
        <v>0</v>
      </c>
      <c r="N4448" t="n">
        <v>0</v>
      </c>
      <c r="O4448" t="n">
        <v>0</v>
      </c>
      <c r="P4448" t="n">
        <v>0</v>
      </c>
      <c r="Q4448" t="n">
        <v>0</v>
      </c>
      <c r="R4448" s="2" t="inlineStr"/>
    </row>
    <row r="4449" ht="15" customHeight="1">
      <c r="A4449" t="inlineStr">
        <is>
          <t>A 35044-2022</t>
        </is>
      </c>
      <c r="B4449" s="1" t="n">
        <v>44796</v>
      </c>
      <c r="C4449" s="1" t="n">
        <v>45798</v>
      </c>
      <c r="D4449" t="inlineStr">
        <is>
          <t>NORRBOTTENS LÄN</t>
        </is>
      </c>
      <c r="E4449" t="inlineStr">
        <is>
          <t>BODEN</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35046-2022</t>
        </is>
      </c>
      <c r="B4450" s="1" t="n">
        <v>44796</v>
      </c>
      <c r="C4450" s="1" t="n">
        <v>45798</v>
      </c>
      <c r="D4450" t="inlineStr">
        <is>
          <t>NORRBOTTENS LÄN</t>
        </is>
      </c>
      <c r="E4450" t="inlineStr">
        <is>
          <t>BODEN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35041-2022</t>
        </is>
      </c>
      <c r="B4451" s="1" t="n">
        <v>44796</v>
      </c>
      <c r="C4451" s="1" t="n">
        <v>45798</v>
      </c>
      <c r="D4451" t="inlineStr">
        <is>
          <t>NORRBOTTENS LÄN</t>
        </is>
      </c>
      <c r="E4451" t="inlineStr">
        <is>
          <t>BODEN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35040-2022</t>
        </is>
      </c>
      <c r="B4452" s="1" t="n">
        <v>44796</v>
      </c>
      <c r="C4452" s="1" t="n">
        <v>45798</v>
      </c>
      <c r="D4452" t="inlineStr">
        <is>
          <t>NORRBOTTENS LÄN</t>
        </is>
      </c>
      <c r="E4452" t="inlineStr">
        <is>
          <t>BODEN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35069-2022</t>
        </is>
      </c>
      <c r="B4453" s="1" t="n">
        <v>44797</v>
      </c>
      <c r="C4453" s="1" t="n">
        <v>45798</v>
      </c>
      <c r="D4453" t="inlineStr">
        <is>
          <t>NORRBOTTENS LÄN</t>
        </is>
      </c>
      <c r="E4453" t="inlineStr">
        <is>
          <t>BODEN</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35062-2022</t>
        </is>
      </c>
      <c r="B4454" s="1" t="n">
        <v>44797</v>
      </c>
      <c r="C4454" s="1" t="n">
        <v>45798</v>
      </c>
      <c r="D4454" t="inlineStr">
        <is>
          <t>NORRBOTTENS LÄN</t>
        </is>
      </c>
      <c r="E4454" t="inlineStr">
        <is>
          <t>KALIX</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35169-2022</t>
        </is>
      </c>
      <c r="B4455" s="1" t="n">
        <v>44797</v>
      </c>
      <c r="C4455" s="1" t="n">
        <v>45798</v>
      </c>
      <c r="D4455" t="inlineStr">
        <is>
          <t>NORRBOTTENS LÄN</t>
        </is>
      </c>
      <c r="E4455" t="inlineStr">
        <is>
          <t>ÖVERKALIX</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35170-2022</t>
        </is>
      </c>
      <c r="B4456" s="1" t="n">
        <v>44797</v>
      </c>
      <c r="C4456" s="1" t="n">
        <v>45798</v>
      </c>
      <c r="D4456" t="inlineStr">
        <is>
          <t>NORRBOTTENS LÄN</t>
        </is>
      </c>
      <c r="E4456" t="inlineStr">
        <is>
          <t>ÖVERKALIX</t>
        </is>
      </c>
      <c r="F4456" t="inlineStr">
        <is>
          <t>Sveaskog</t>
        </is>
      </c>
      <c r="G4456" t="n">
        <v>8.199999999999999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35167-2022</t>
        </is>
      </c>
      <c r="B4457" s="1" t="n">
        <v>44797</v>
      </c>
      <c r="C4457" s="1" t="n">
        <v>45798</v>
      </c>
      <c r="D4457" t="inlineStr">
        <is>
          <t>NORRBOTTENS LÄN</t>
        </is>
      </c>
      <c r="E4457" t="inlineStr">
        <is>
          <t>ÖVERKALIX</t>
        </is>
      </c>
      <c r="F4457" t="inlineStr">
        <is>
          <t>Sveaskog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35218-2022</t>
        </is>
      </c>
      <c r="B4458" s="1" t="n">
        <v>44798</v>
      </c>
      <c r="C4458" s="1" t="n">
        <v>45798</v>
      </c>
      <c r="D4458" t="inlineStr">
        <is>
          <t>NORRBOTTENS LÄN</t>
        </is>
      </c>
      <c r="E4458" t="inlineStr">
        <is>
          <t>ÖVERTORNEÅ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35238-2022</t>
        </is>
      </c>
      <c r="B4459" s="1" t="n">
        <v>44798</v>
      </c>
      <c r="C4459" s="1" t="n">
        <v>45798</v>
      </c>
      <c r="D4459" t="inlineStr">
        <is>
          <t>NORRBOTTENS LÄN</t>
        </is>
      </c>
      <c r="E4459" t="inlineStr">
        <is>
          <t>ÄLVSBYN</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35239-2022</t>
        </is>
      </c>
      <c r="B4460" s="1" t="n">
        <v>44798</v>
      </c>
      <c r="C4460" s="1" t="n">
        <v>45798</v>
      </c>
      <c r="D4460" t="inlineStr">
        <is>
          <t>NORRBOTTENS LÄN</t>
        </is>
      </c>
      <c r="E4460" t="inlineStr">
        <is>
          <t>ÄLVSBYN</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35220-2022</t>
        </is>
      </c>
      <c r="B4461" s="1" t="n">
        <v>44798</v>
      </c>
      <c r="C4461" s="1" t="n">
        <v>45798</v>
      </c>
      <c r="D4461" t="inlineStr">
        <is>
          <t>NORRBOTTENS LÄN</t>
        </is>
      </c>
      <c r="E4461" t="inlineStr">
        <is>
          <t>ÖVERTORNEÅ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35237-2022</t>
        </is>
      </c>
      <c r="B4462" s="1" t="n">
        <v>44797</v>
      </c>
      <c r="C4462" s="1" t="n">
        <v>45798</v>
      </c>
      <c r="D4462" t="inlineStr">
        <is>
          <t>NORRBOTTENS LÄN</t>
        </is>
      </c>
      <c r="E4462" t="inlineStr">
        <is>
          <t>BODEN</t>
        </is>
      </c>
      <c r="F4462" t="inlineStr">
        <is>
          <t>SCA</t>
        </is>
      </c>
      <c r="G4462" t="n">
        <v>9.199999999999999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35323-2022</t>
        </is>
      </c>
      <c r="B4463" s="1" t="n">
        <v>44798</v>
      </c>
      <c r="C4463" s="1" t="n">
        <v>45798</v>
      </c>
      <c r="D4463" t="inlineStr">
        <is>
          <t>NORRBOTTENS LÄN</t>
        </is>
      </c>
      <c r="E4463" t="inlineStr">
        <is>
          <t>BODEN</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35317-2022</t>
        </is>
      </c>
      <c r="B4464" s="1" t="n">
        <v>44798</v>
      </c>
      <c r="C4464" s="1" t="n">
        <v>45798</v>
      </c>
      <c r="D4464" t="inlineStr">
        <is>
          <t>NORRBOTTENS LÄN</t>
        </is>
      </c>
      <c r="E4464" t="inlineStr">
        <is>
          <t>GÄLLIVARE</t>
        </is>
      </c>
      <c r="F4464" t="inlineStr">
        <is>
          <t>Sveaskog</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35414-2022</t>
        </is>
      </c>
      <c r="B4465" s="1" t="n">
        <v>44798</v>
      </c>
      <c r="C4465" s="1" t="n">
        <v>45798</v>
      </c>
      <c r="D4465" t="inlineStr">
        <is>
          <t>NORRBOTTENS LÄN</t>
        </is>
      </c>
      <c r="E4465" t="inlineStr">
        <is>
          <t>ÖVERKALIX</t>
        </is>
      </c>
      <c r="F4465" t="inlineStr">
        <is>
          <t>Sveaskog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35420-2022</t>
        </is>
      </c>
      <c r="B4466" s="1" t="n">
        <v>44798</v>
      </c>
      <c r="C4466" s="1" t="n">
        <v>45798</v>
      </c>
      <c r="D4466" t="inlineStr">
        <is>
          <t>NORRBOTTENS LÄN</t>
        </is>
      </c>
      <c r="E4466" t="inlineStr">
        <is>
          <t>ÖVERKALIX</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35576-2022</t>
        </is>
      </c>
      <c r="B4467" s="1" t="n">
        <v>44799</v>
      </c>
      <c r="C4467" s="1" t="n">
        <v>45798</v>
      </c>
      <c r="D4467" t="inlineStr">
        <is>
          <t>NORRBOTTENS LÄN</t>
        </is>
      </c>
      <c r="E4467" t="inlineStr">
        <is>
          <t>GÄLLIVARE</t>
        </is>
      </c>
      <c r="F4467" t="inlineStr">
        <is>
          <t>Allmännings- och besparingsskogar</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35546-2022</t>
        </is>
      </c>
      <c r="B4468" s="1" t="n">
        <v>44799</v>
      </c>
      <c r="C4468" s="1" t="n">
        <v>45798</v>
      </c>
      <c r="D4468" t="inlineStr">
        <is>
          <t>NORRBOTTENS LÄN</t>
        </is>
      </c>
      <c r="E4468" t="inlineStr">
        <is>
          <t>ÖVERTORNEÅ</t>
        </is>
      </c>
      <c r="F4468" t="inlineStr">
        <is>
          <t>Sveaskog</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35579-2022</t>
        </is>
      </c>
      <c r="B4469" s="1" t="n">
        <v>44799</v>
      </c>
      <c r="C4469" s="1" t="n">
        <v>45798</v>
      </c>
      <c r="D4469" t="inlineStr">
        <is>
          <t>NORRBOTTENS LÄN</t>
        </is>
      </c>
      <c r="E4469" t="inlineStr">
        <is>
          <t>GÄLLIVARE</t>
        </is>
      </c>
      <c r="F4469" t="inlineStr">
        <is>
          <t>Allmännings- och besparingsskogar</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35752-2022</t>
        </is>
      </c>
      <c r="B4470" s="1" t="n">
        <v>44800</v>
      </c>
      <c r="C4470" s="1" t="n">
        <v>45798</v>
      </c>
      <c r="D4470" t="inlineStr">
        <is>
          <t>NORRBOTTENS LÄN</t>
        </is>
      </c>
      <c r="E4470" t="inlineStr">
        <is>
          <t>BODEN</t>
        </is>
      </c>
      <c r="F4470" t="inlineStr">
        <is>
          <t>SCA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35753-2022</t>
        </is>
      </c>
      <c r="B4471" s="1" t="n">
        <v>44800</v>
      </c>
      <c r="C4471" s="1" t="n">
        <v>45798</v>
      </c>
      <c r="D4471" t="inlineStr">
        <is>
          <t>NORRBOTTENS LÄN</t>
        </is>
      </c>
      <c r="E4471" t="inlineStr">
        <is>
          <t>BODEN</t>
        </is>
      </c>
      <c r="F4471" t="inlineStr">
        <is>
          <t>SCA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35755-2022</t>
        </is>
      </c>
      <c r="B4472" s="1" t="n">
        <v>44799</v>
      </c>
      <c r="C4472" s="1" t="n">
        <v>45798</v>
      </c>
      <c r="D4472" t="inlineStr">
        <is>
          <t>NORRBOTTENS LÄN</t>
        </is>
      </c>
      <c r="E4472" t="inlineStr">
        <is>
          <t>BODEN</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35766-2022</t>
        </is>
      </c>
      <c r="B4473" s="1" t="n">
        <v>44800</v>
      </c>
      <c r="C4473" s="1" t="n">
        <v>45798</v>
      </c>
      <c r="D4473" t="inlineStr">
        <is>
          <t>NORRBOTTENS LÄN</t>
        </is>
      </c>
      <c r="E4473" t="inlineStr">
        <is>
          <t>LULEÅ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35876-2022</t>
        </is>
      </c>
      <c r="B4474" s="1" t="n">
        <v>44802</v>
      </c>
      <c r="C4474" s="1" t="n">
        <v>45798</v>
      </c>
      <c r="D4474" t="inlineStr">
        <is>
          <t>NORRBOTTENS LÄN</t>
        </is>
      </c>
      <c r="E4474" t="inlineStr">
        <is>
          <t>JOKKMOKK</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35856-2022</t>
        </is>
      </c>
      <c r="B4475" s="1" t="n">
        <v>44802</v>
      </c>
      <c r="C4475" s="1" t="n">
        <v>45798</v>
      </c>
      <c r="D4475" t="inlineStr">
        <is>
          <t>NORRBOTTENS LÄN</t>
        </is>
      </c>
      <c r="E4475" t="inlineStr">
        <is>
          <t>KALIX</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35953-2022</t>
        </is>
      </c>
      <c r="B4476" s="1" t="n">
        <v>44802</v>
      </c>
      <c r="C4476" s="1" t="n">
        <v>45798</v>
      </c>
      <c r="D4476" t="inlineStr">
        <is>
          <t>NORRBOTTENS LÄN</t>
        </is>
      </c>
      <c r="E4476" t="inlineStr">
        <is>
          <t>KALIX</t>
        </is>
      </c>
      <c r="F4476" t="inlineStr">
        <is>
          <t>Kommuner</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36104-2022</t>
        </is>
      </c>
      <c r="B4477" s="1" t="n">
        <v>44803</v>
      </c>
      <c r="C4477" s="1" t="n">
        <v>45798</v>
      </c>
      <c r="D4477" t="inlineStr">
        <is>
          <t>NORRBOTTENS LÄN</t>
        </is>
      </c>
      <c r="E4477" t="inlineStr">
        <is>
          <t>KALIX</t>
        </is>
      </c>
      <c r="F4477" t="inlineStr">
        <is>
          <t>SCA</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36245-2022</t>
        </is>
      </c>
      <c r="B4478" s="1" t="n">
        <v>44803</v>
      </c>
      <c r="C4478" s="1" t="n">
        <v>45798</v>
      </c>
      <c r="D4478" t="inlineStr">
        <is>
          <t>NORRBOTTENS LÄN</t>
        </is>
      </c>
      <c r="E4478" t="inlineStr">
        <is>
          <t>PITEÅ</t>
        </is>
      </c>
      <c r="F4478" t="inlineStr">
        <is>
          <t>Sveaskog</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36178-2022</t>
        </is>
      </c>
      <c r="B4479" s="1" t="n">
        <v>44803</v>
      </c>
      <c r="C4479" s="1" t="n">
        <v>45798</v>
      </c>
      <c r="D4479" t="inlineStr">
        <is>
          <t>NORRBOTTENS LÄN</t>
        </is>
      </c>
      <c r="E4479" t="inlineStr">
        <is>
          <t>PAJALA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36417-2022</t>
        </is>
      </c>
      <c r="B4480" s="1" t="n">
        <v>44804</v>
      </c>
      <c r="C4480" s="1" t="n">
        <v>45798</v>
      </c>
      <c r="D4480" t="inlineStr">
        <is>
          <t>NORRBOTTENS LÄN</t>
        </is>
      </c>
      <c r="E4480" t="inlineStr">
        <is>
          <t>ARVIDSJAUR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36541-2022</t>
        </is>
      </c>
      <c r="B4481" s="1" t="n">
        <v>44804</v>
      </c>
      <c r="C4481" s="1" t="n">
        <v>45798</v>
      </c>
      <c r="D4481" t="inlineStr">
        <is>
          <t>NORRBOTTENS LÄN</t>
        </is>
      </c>
      <c r="E4481" t="inlineStr">
        <is>
          <t>PAJALA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36400-2022</t>
        </is>
      </c>
      <c r="B4482" s="1" t="n">
        <v>44804</v>
      </c>
      <c r="C4482" s="1" t="n">
        <v>45798</v>
      </c>
      <c r="D4482" t="inlineStr">
        <is>
          <t>NORRBOTTENS LÄN</t>
        </is>
      </c>
      <c r="E4482" t="inlineStr">
        <is>
          <t>ARVIDSJAUR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36405-2022</t>
        </is>
      </c>
      <c r="B4483" s="1" t="n">
        <v>44804</v>
      </c>
      <c r="C4483" s="1" t="n">
        <v>45798</v>
      </c>
      <c r="D4483" t="inlineStr">
        <is>
          <t>NORRBOTTENS LÄN</t>
        </is>
      </c>
      <c r="E4483" t="inlineStr">
        <is>
          <t>ARVIDSJAUR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36459-2022</t>
        </is>
      </c>
      <c r="B4484" s="1" t="n">
        <v>44804</v>
      </c>
      <c r="C4484" s="1" t="n">
        <v>45798</v>
      </c>
      <c r="D4484" t="inlineStr">
        <is>
          <t>NORRBOTTENS LÄN</t>
        </is>
      </c>
      <c r="E4484" t="inlineStr">
        <is>
          <t>ARVIDSJAUR</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36414-2022</t>
        </is>
      </c>
      <c r="B4485" s="1" t="n">
        <v>44804</v>
      </c>
      <c r="C4485" s="1" t="n">
        <v>45798</v>
      </c>
      <c r="D4485" t="inlineStr">
        <is>
          <t>NORRBOTTENS LÄN</t>
        </is>
      </c>
      <c r="E4485" t="inlineStr">
        <is>
          <t>ARVIDSJAUR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36483-2022</t>
        </is>
      </c>
      <c r="B4486" s="1" t="n">
        <v>44804</v>
      </c>
      <c r="C4486" s="1" t="n">
        <v>45798</v>
      </c>
      <c r="D4486" t="inlineStr">
        <is>
          <t>NORRBOTTENS LÄN</t>
        </is>
      </c>
      <c r="E4486" t="inlineStr">
        <is>
          <t>ARVIDSJAUR</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36683-2022</t>
        </is>
      </c>
      <c r="B4487" s="1" t="n">
        <v>44805</v>
      </c>
      <c r="C4487" s="1" t="n">
        <v>45798</v>
      </c>
      <c r="D4487" t="inlineStr">
        <is>
          <t>NORRBOTTENS LÄN</t>
        </is>
      </c>
      <c r="E4487" t="inlineStr">
        <is>
          <t>PITEÅ</t>
        </is>
      </c>
      <c r="F4487" t="inlineStr">
        <is>
          <t>SCA</t>
        </is>
      </c>
      <c r="G4487" t="n">
        <v>13.7</v>
      </c>
      <c r="H4487" t="n">
        <v>0</v>
      </c>
      <c r="I4487" t="n">
        <v>0</v>
      </c>
      <c r="J4487" t="n">
        <v>0</v>
      </c>
      <c r="K4487" t="n">
        <v>0</v>
      </c>
      <c r="L4487" t="n">
        <v>0</v>
      </c>
      <c r="M4487" t="n">
        <v>0</v>
      </c>
      <c r="N4487" t="n">
        <v>0</v>
      </c>
      <c r="O4487" t="n">
        <v>0</v>
      </c>
      <c r="P4487" t="n">
        <v>0</v>
      </c>
      <c r="Q4487" t="n">
        <v>0</v>
      </c>
      <c r="R4487" s="2" t="inlineStr"/>
    </row>
    <row r="4488" ht="15" customHeight="1">
      <c r="A4488" t="inlineStr">
        <is>
          <t>A 36939-2022</t>
        </is>
      </c>
      <c r="B4488" s="1" t="n">
        <v>44805</v>
      </c>
      <c r="C4488" s="1" t="n">
        <v>45798</v>
      </c>
      <c r="D4488" t="inlineStr">
        <is>
          <t>NORRBOTTENS LÄN</t>
        </is>
      </c>
      <c r="E4488" t="inlineStr">
        <is>
          <t>KIRUNA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37111-2022</t>
        </is>
      </c>
      <c r="B4489" s="1" t="n">
        <v>44806</v>
      </c>
      <c r="C4489" s="1" t="n">
        <v>45798</v>
      </c>
      <c r="D4489" t="inlineStr">
        <is>
          <t>NORRBOTTENS LÄN</t>
        </is>
      </c>
      <c r="E4489" t="inlineStr">
        <is>
          <t>ARVIDSJAUR</t>
        </is>
      </c>
      <c r="F4489" t="inlineStr">
        <is>
          <t>Sveaskog</t>
        </is>
      </c>
      <c r="G4489" t="n">
        <v>15.7</v>
      </c>
      <c r="H4489" t="n">
        <v>0</v>
      </c>
      <c r="I4489" t="n">
        <v>0</v>
      </c>
      <c r="J4489" t="n">
        <v>0</v>
      </c>
      <c r="K4489" t="n">
        <v>0</v>
      </c>
      <c r="L4489" t="n">
        <v>0</v>
      </c>
      <c r="M4489" t="n">
        <v>0</v>
      </c>
      <c r="N4489" t="n">
        <v>0</v>
      </c>
      <c r="O4489" t="n">
        <v>0</v>
      </c>
      <c r="P4489" t="n">
        <v>0</v>
      </c>
      <c r="Q4489" t="n">
        <v>0</v>
      </c>
      <c r="R4489" s="2" t="inlineStr"/>
    </row>
    <row r="4490" ht="15" customHeight="1">
      <c r="A4490" t="inlineStr">
        <is>
          <t>A 37119-2022</t>
        </is>
      </c>
      <c r="B4490" s="1" t="n">
        <v>44806</v>
      </c>
      <c r="C4490" s="1" t="n">
        <v>45798</v>
      </c>
      <c r="D4490" t="inlineStr">
        <is>
          <t>NORRBOTTENS LÄN</t>
        </is>
      </c>
      <c r="E4490" t="inlineStr">
        <is>
          <t>ARVIDSJAUR</t>
        </is>
      </c>
      <c r="F4490" t="inlineStr">
        <is>
          <t>Sveaskog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37030-2022</t>
        </is>
      </c>
      <c r="B4491" s="1" t="n">
        <v>44806</v>
      </c>
      <c r="C4491" s="1" t="n">
        <v>45798</v>
      </c>
      <c r="D4491" t="inlineStr">
        <is>
          <t>NORRBOTTENS LÄN</t>
        </is>
      </c>
      <c r="E4491" t="inlineStr">
        <is>
          <t>PITEÅ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37125-2022</t>
        </is>
      </c>
      <c r="B4492" s="1" t="n">
        <v>44806</v>
      </c>
      <c r="C4492" s="1" t="n">
        <v>45798</v>
      </c>
      <c r="D4492" t="inlineStr">
        <is>
          <t>NORRBOTTENS LÄN</t>
        </is>
      </c>
      <c r="E4492" t="inlineStr">
        <is>
          <t>ARVIDSJAUR</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37236-2022</t>
        </is>
      </c>
      <c r="B4493" s="1" t="n">
        <v>44806</v>
      </c>
      <c r="C4493" s="1" t="n">
        <v>45798</v>
      </c>
      <c r="D4493" t="inlineStr">
        <is>
          <t>NORRBOTTENS LÄN</t>
        </is>
      </c>
      <c r="E4493" t="inlineStr">
        <is>
          <t>ÖVERKALIX</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37308-2022</t>
        </is>
      </c>
      <c r="B4494" s="1" t="n">
        <v>44809</v>
      </c>
      <c r="C4494" s="1" t="n">
        <v>45798</v>
      </c>
      <c r="D4494" t="inlineStr">
        <is>
          <t>NORRBOTTENS LÄN</t>
        </is>
      </c>
      <c r="E4494" t="inlineStr">
        <is>
          <t>PITEÅ</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37306-2022</t>
        </is>
      </c>
      <c r="B4495" s="1" t="n">
        <v>44809</v>
      </c>
      <c r="C4495" s="1" t="n">
        <v>45798</v>
      </c>
      <c r="D4495" t="inlineStr">
        <is>
          <t>NORRBOTTENS LÄN</t>
        </is>
      </c>
      <c r="E4495" t="inlineStr">
        <is>
          <t>PITEÅ</t>
        </is>
      </c>
      <c r="F4495" t="inlineStr">
        <is>
          <t>SCA</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37594-2022</t>
        </is>
      </c>
      <c r="B4496" s="1" t="n">
        <v>44809</v>
      </c>
      <c r="C4496" s="1" t="n">
        <v>45798</v>
      </c>
      <c r="D4496" t="inlineStr">
        <is>
          <t>NORRBOTTENS LÄN</t>
        </is>
      </c>
      <c r="E4496" t="inlineStr">
        <is>
          <t>BODEN</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37706-2022</t>
        </is>
      </c>
      <c r="B4497" s="1" t="n">
        <v>44810</v>
      </c>
      <c r="C4497" s="1" t="n">
        <v>45798</v>
      </c>
      <c r="D4497" t="inlineStr">
        <is>
          <t>NORRBOTTENS LÄN</t>
        </is>
      </c>
      <c r="E4497" t="inlineStr">
        <is>
          <t>ÖVERTORNEÅ</t>
        </is>
      </c>
      <c r="F4497" t="inlineStr">
        <is>
          <t>Sveaskog</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37710-2022</t>
        </is>
      </c>
      <c r="B4498" s="1" t="n">
        <v>44810</v>
      </c>
      <c r="C4498" s="1" t="n">
        <v>45798</v>
      </c>
      <c r="D4498" t="inlineStr">
        <is>
          <t>NORRBOTTENS LÄN</t>
        </is>
      </c>
      <c r="E4498" t="inlineStr">
        <is>
          <t>ÖVERTORNEÅ</t>
        </is>
      </c>
      <c r="F4498" t="inlineStr">
        <is>
          <t>Sveaskog</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37731-2022</t>
        </is>
      </c>
      <c r="B4499" s="1" t="n">
        <v>44810</v>
      </c>
      <c r="C4499" s="1" t="n">
        <v>45798</v>
      </c>
      <c r="D4499" t="inlineStr">
        <is>
          <t>NORRBOTTENS LÄN</t>
        </is>
      </c>
      <c r="E4499" t="inlineStr">
        <is>
          <t>ÄLVSBYN</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37798-2022</t>
        </is>
      </c>
      <c r="B4500" s="1" t="n">
        <v>44810</v>
      </c>
      <c r="C4500" s="1" t="n">
        <v>45798</v>
      </c>
      <c r="D4500" t="inlineStr">
        <is>
          <t>NORRBOTTENS LÄN</t>
        </is>
      </c>
      <c r="E4500" t="inlineStr">
        <is>
          <t>JOKKMOKK</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37820-2022</t>
        </is>
      </c>
      <c r="B4501" s="1" t="n">
        <v>44810</v>
      </c>
      <c r="C4501" s="1" t="n">
        <v>45798</v>
      </c>
      <c r="D4501" t="inlineStr">
        <is>
          <t>NORRBOTTENS LÄN</t>
        </is>
      </c>
      <c r="E4501" t="inlineStr">
        <is>
          <t>LULEÅ</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37837-2022</t>
        </is>
      </c>
      <c r="B4502" s="1" t="n">
        <v>44810</v>
      </c>
      <c r="C4502" s="1" t="n">
        <v>45798</v>
      </c>
      <c r="D4502" t="inlineStr">
        <is>
          <t>NORRBOTTENS LÄN</t>
        </is>
      </c>
      <c r="E4502" t="inlineStr">
        <is>
          <t>ÖVERTORNEÅ</t>
        </is>
      </c>
      <c r="F4502" t="inlineStr">
        <is>
          <t>Sveaskog</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38112-2022</t>
        </is>
      </c>
      <c r="B4503" s="1" t="n">
        <v>44811</v>
      </c>
      <c r="C4503" s="1" t="n">
        <v>45798</v>
      </c>
      <c r="D4503" t="inlineStr">
        <is>
          <t>NORRBOTTENS LÄN</t>
        </is>
      </c>
      <c r="E4503" t="inlineStr">
        <is>
          <t>PITEÅ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38183-2022</t>
        </is>
      </c>
      <c r="B4504" s="1" t="n">
        <v>44812</v>
      </c>
      <c r="C4504" s="1" t="n">
        <v>45798</v>
      </c>
      <c r="D4504" t="inlineStr">
        <is>
          <t>NORRBOTTENS LÄN</t>
        </is>
      </c>
      <c r="E4504" t="inlineStr">
        <is>
          <t>ARVIDSJAUR</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38213-2022</t>
        </is>
      </c>
      <c r="B4505" s="1" t="n">
        <v>44812</v>
      </c>
      <c r="C4505" s="1" t="n">
        <v>45798</v>
      </c>
      <c r="D4505" t="inlineStr">
        <is>
          <t>NORRBOTTENS LÄN</t>
        </is>
      </c>
      <c r="E4505" t="inlineStr">
        <is>
          <t>BODEN</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38219-2022</t>
        </is>
      </c>
      <c r="B4506" s="1" t="n">
        <v>44812</v>
      </c>
      <c r="C4506" s="1" t="n">
        <v>45798</v>
      </c>
      <c r="D4506" t="inlineStr">
        <is>
          <t>NORRBOTTENS LÄN</t>
        </is>
      </c>
      <c r="E4506" t="inlineStr">
        <is>
          <t>BODEN</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38360-2022</t>
        </is>
      </c>
      <c r="B4507" s="1" t="n">
        <v>44812</v>
      </c>
      <c r="C4507" s="1" t="n">
        <v>45798</v>
      </c>
      <c r="D4507" t="inlineStr">
        <is>
          <t>NORRBOTTENS LÄN</t>
        </is>
      </c>
      <c r="E4507" t="inlineStr">
        <is>
          <t>ARVIDSJAUR</t>
        </is>
      </c>
      <c r="F4507" t="inlineStr">
        <is>
          <t>Sveaskog</t>
        </is>
      </c>
      <c r="G4507" t="n">
        <v>21.2</v>
      </c>
      <c r="H4507" t="n">
        <v>0</v>
      </c>
      <c r="I4507" t="n">
        <v>0</v>
      </c>
      <c r="J4507" t="n">
        <v>0</v>
      </c>
      <c r="K4507" t="n">
        <v>0</v>
      </c>
      <c r="L4507" t="n">
        <v>0</v>
      </c>
      <c r="M4507" t="n">
        <v>0</v>
      </c>
      <c r="N4507" t="n">
        <v>0</v>
      </c>
      <c r="O4507" t="n">
        <v>0</v>
      </c>
      <c r="P4507" t="n">
        <v>0</v>
      </c>
      <c r="Q4507" t="n">
        <v>0</v>
      </c>
      <c r="R4507" s="2" t="inlineStr"/>
    </row>
    <row r="4508" ht="15" customHeight="1">
      <c r="A4508" t="inlineStr">
        <is>
          <t>A 38371-2022</t>
        </is>
      </c>
      <c r="B4508" s="1" t="n">
        <v>44812</v>
      </c>
      <c r="C4508" s="1" t="n">
        <v>45798</v>
      </c>
      <c r="D4508" t="inlineStr">
        <is>
          <t>NORRBOTTENS LÄN</t>
        </is>
      </c>
      <c r="E4508" t="inlineStr">
        <is>
          <t>KALIX</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38506-2022</t>
        </is>
      </c>
      <c r="B4509" s="1" t="n">
        <v>44813</v>
      </c>
      <c r="C4509" s="1" t="n">
        <v>45798</v>
      </c>
      <c r="D4509" t="inlineStr">
        <is>
          <t>NORRBOTTENS LÄN</t>
        </is>
      </c>
      <c r="E4509" t="inlineStr">
        <is>
          <t>ÄLVSBYN</t>
        </is>
      </c>
      <c r="F4509" t="inlineStr">
        <is>
          <t>Sveaskog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38490-2022</t>
        </is>
      </c>
      <c r="B4510" s="1" t="n">
        <v>44813</v>
      </c>
      <c r="C4510" s="1" t="n">
        <v>45798</v>
      </c>
      <c r="D4510" t="inlineStr">
        <is>
          <t>NORRBOTTENS LÄN</t>
        </is>
      </c>
      <c r="E4510" t="inlineStr">
        <is>
          <t>ÄLVSBYN</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38510-2022</t>
        </is>
      </c>
      <c r="B4511" s="1" t="n">
        <v>44813</v>
      </c>
      <c r="C4511" s="1" t="n">
        <v>45798</v>
      </c>
      <c r="D4511" t="inlineStr">
        <is>
          <t>NORRBOTTENS LÄN</t>
        </is>
      </c>
      <c r="E4511" t="inlineStr">
        <is>
          <t>HAPARANDA</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38625-2022</t>
        </is>
      </c>
      <c r="B4512" s="1" t="n">
        <v>44813</v>
      </c>
      <c r="C4512" s="1" t="n">
        <v>45798</v>
      </c>
      <c r="D4512" t="inlineStr">
        <is>
          <t>NORRBOTTENS LÄN</t>
        </is>
      </c>
      <c r="E4512" t="inlineStr">
        <is>
          <t>PITEÅ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38667-2022</t>
        </is>
      </c>
      <c r="B4513" s="1" t="n">
        <v>44814</v>
      </c>
      <c r="C4513" s="1" t="n">
        <v>45798</v>
      </c>
      <c r="D4513" t="inlineStr">
        <is>
          <t>NORRBOTTENS LÄN</t>
        </is>
      </c>
      <c r="E4513" t="inlineStr">
        <is>
          <t>ÖVERKALIX</t>
        </is>
      </c>
      <c r="F4513" t="inlineStr">
        <is>
          <t>SCA</t>
        </is>
      </c>
      <c r="G4513" t="n">
        <v>19.3</v>
      </c>
      <c r="H4513" t="n">
        <v>0</v>
      </c>
      <c r="I4513" t="n">
        <v>0</v>
      </c>
      <c r="J4513" t="n">
        <v>0</v>
      </c>
      <c r="K4513" t="n">
        <v>0</v>
      </c>
      <c r="L4513" t="n">
        <v>0</v>
      </c>
      <c r="M4513" t="n">
        <v>0</v>
      </c>
      <c r="N4513" t="n">
        <v>0</v>
      </c>
      <c r="O4513" t="n">
        <v>0</v>
      </c>
      <c r="P4513" t="n">
        <v>0</v>
      </c>
      <c r="Q4513" t="n">
        <v>0</v>
      </c>
      <c r="R4513" s="2" t="inlineStr"/>
    </row>
    <row r="4514" ht="15" customHeight="1">
      <c r="A4514" t="inlineStr">
        <is>
          <t>A 38624-2022</t>
        </is>
      </c>
      <c r="B4514" s="1" t="n">
        <v>44813</v>
      </c>
      <c r="C4514" s="1" t="n">
        <v>45798</v>
      </c>
      <c r="D4514" t="inlineStr">
        <is>
          <t>NORRBOTTENS LÄN</t>
        </is>
      </c>
      <c r="E4514" t="inlineStr">
        <is>
          <t>PITEÅ</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38757-2022</t>
        </is>
      </c>
      <c r="B4515" s="1" t="n">
        <v>44813</v>
      </c>
      <c r="C4515" s="1" t="n">
        <v>45798</v>
      </c>
      <c r="D4515" t="inlineStr">
        <is>
          <t>NORRBOTTENS LÄN</t>
        </is>
      </c>
      <c r="E4515" t="inlineStr">
        <is>
          <t>PITEÅ</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38751-2022</t>
        </is>
      </c>
      <c r="B4516" s="1" t="n">
        <v>44813</v>
      </c>
      <c r="C4516" s="1" t="n">
        <v>45798</v>
      </c>
      <c r="D4516" t="inlineStr">
        <is>
          <t>NORRBOTTENS LÄN</t>
        </is>
      </c>
      <c r="E4516" t="inlineStr">
        <is>
          <t>PITEÅ</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38755-2022</t>
        </is>
      </c>
      <c r="B4517" s="1" t="n">
        <v>44813</v>
      </c>
      <c r="C4517" s="1" t="n">
        <v>45798</v>
      </c>
      <c r="D4517" t="inlineStr">
        <is>
          <t>NORRBOTTENS LÄN</t>
        </is>
      </c>
      <c r="E4517" t="inlineStr">
        <is>
          <t>PITEÅ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38722-2022</t>
        </is>
      </c>
      <c r="B4518" s="1" t="n">
        <v>44815</v>
      </c>
      <c r="C4518" s="1" t="n">
        <v>45798</v>
      </c>
      <c r="D4518" t="inlineStr">
        <is>
          <t>NORRBOTTENS LÄN</t>
        </is>
      </c>
      <c r="E4518" t="inlineStr">
        <is>
          <t>BODEN</t>
        </is>
      </c>
      <c r="F4518" t="inlineStr">
        <is>
          <t>Övriga statliga verk och myndigheter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38857-2022</t>
        </is>
      </c>
      <c r="B4519" s="1" t="n">
        <v>44816</v>
      </c>
      <c r="C4519" s="1" t="n">
        <v>45798</v>
      </c>
      <c r="D4519" t="inlineStr">
        <is>
          <t>NORRBOTTENS LÄN</t>
        </is>
      </c>
      <c r="E4519" t="inlineStr">
        <is>
          <t>KALIX</t>
        </is>
      </c>
      <c r="F4519" t="inlineStr">
        <is>
          <t>Kommuner</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38896-2022</t>
        </is>
      </c>
      <c r="B4520" s="1" t="n">
        <v>44816</v>
      </c>
      <c r="C4520" s="1" t="n">
        <v>45798</v>
      </c>
      <c r="D4520" t="inlineStr">
        <is>
          <t>NORRBOTTENS LÄN</t>
        </is>
      </c>
      <c r="E4520" t="inlineStr">
        <is>
          <t>PITEÅ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38863-2022</t>
        </is>
      </c>
      <c r="B4521" s="1" t="n">
        <v>44816</v>
      </c>
      <c r="C4521" s="1" t="n">
        <v>45798</v>
      </c>
      <c r="D4521" t="inlineStr">
        <is>
          <t>NORRBOTTENS LÄN</t>
        </is>
      </c>
      <c r="E4521" t="inlineStr">
        <is>
          <t>KALIX</t>
        </is>
      </c>
      <c r="F4521" t="inlineStr">
        <is>
          <t>Kommuner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38902-2022</t>
        </is>
      </c>
      <c r="B4522" s="1" t="n">
        <v>44816</v>
      </c>
      <c r="C4522" s="1" t="n">
        <v>45798</v>
      </c>
      <c r="D4522" t="inlineStr">
        <is>
          <t>NORRBOTTENS LÄN</t>
        </is>
      </c>
      <c r="E4522" t="inlineStr">
        <is>
          <t>PITEÅ</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38980-2022</t>
        </is>
      </c>
      <c r="B4523" s="1" t="n">
        <v>44816</v>
      </c>
      <c r="C4523" s="1" t="n">
        <v>45798</v>
      </c>
      <c r="D4523" t="inlineStr">
        <is>
          <t>NORRBOTTENS LÄN</t>
        </is>
      </c>
      <c r="E4523" t="inlineStr">
        <is>
          <t>ÖVERTORNEÅ</t>
        </is>
      </c>
      <c r="F4523" t="inlineStr">
        <is>
          <t>Sveaskog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39005-2022</t>
        </is>
      </c>
      <c r="B4524" s="1" t="n">
        <v>44817</v>
      </c>
      <c r="C4524" s="1" t="n">
        <v>45798</v>
      </c>
      <c r="D4524" t="inlineStr">
        <is>
          <t>NORRBOTTENS LÄN</t>
        </is>
      </c>
      <c r="E4524" t="inlineStr">
        <is>
          <t>PITEÅ</t>
        </is>
      </c>
      <c r="F4524" t="inlineStr">
        <is>
          <t>SCA</t>
        </is>
      </c>
      <c r="G4524" t="n">
        <v>23.9</v>
      </c>
      <c r="H4524" t="n">
        <v>0</v>
      </c>
      <c r="I4524" t="n">
        <v>0</v>
      </c>
      <c r="J4524" t="n">
        <v>0</v>
      </c>
      <c r="K4524" t="n">
        <v>0</v>
      </c>
      <c r="L4524" t="n">
        <v>0</v>
      </c>
      <c r="M4524" t="n">
        <v>0</v>
      </c>
      <c r="N4524" t="n">
        <v>0</v>
      </c>
      <c r="O4524" t="n">
        <v>0</v>
      </c>
      <c r="P4524" t="n">
        <v>0</v>
      </c>
      <c r="Q4524" t="n">
        <v>0</v>
      </c>
      <c r="R4524" s="2" t="inlineStr"/>
    </row>
    <row r="4525" ht="15" customHeight="1">
      <c r="A4525" t="inlineStr">
        <is>
          <t>A 39346-2022</t>
        </is>
      </c>
      <c r="B4525" s="1" t="n">
        <v>44817</v>
      </c>
      <c r="C4525" s="1" t="n">
        <v>45798</v>
      </c>
      <c r="D4525" t="inlineStr">
        <is>
          <t>NORRBOTTENS LÄN</t>
        </is>
      </c>
      <c r="E4525" t="inlineStr">
        <is>
          <t>PITEÅ</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39369-2022</t>
        </is>
      </c>
      <c r="B4526" s="1" t="n">
        <v>44818</v>
      </c>
      <c r="C4526" s="1" t="n">
        <v>45798</v>
      </c>
      <c r="D4526" t="inlineStr">
        <is>
          <t>NORRBOTTENS LÄN</t>
        </is>
      </c>
      <c r="E4526" t="inlineStr">
        <is>
          <t>PITEÅ</t>
        </is>
      </c>
      <c r="F4526" t="inlineStr">
        <is>
          <t>SCA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39397-2022</t>
        </is>
      </c>
      <c r="B4527" s="1" t="n">
        <v>44817</v>
      </c>
      <c r="C4527" s="1" t="n">
        <v>45798</v>
      </c>
      <c r="D4527" t="inlineStr">
        <is>
          <t>NORRBOTTENS LÄN</t>
        </is>
      </c>
      <c r="E4527" t="inlineStr">
        <is>
          <t>GÄLLIVARE</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39368-2022</t>
        </is>
      </c>
      <c r="B4528" s="1" t="n">
        <v>44818</v>
      </c>
      <c r="C4528" s="1" t="n">
        <v>45798</v>
      </c>
      <c r="D4528" t="inlineStr">
        <is>
          <t>NORRBOTTENS LÄN</t>
        </is>
      </c>
      <c r="E4528" t="inlineStr">
        <is>
          <t>PITEÅ</t>
        </is>
      </c>
      <c r="F4528" t="inlineStr">
        <is>
          <t>SCA</t>
        </is>
      </c>
      <c r="G4528" t="n">
        <v>11.9</v>
      </c>
      <c r="H4528" t="n">
        <v>0</v>
      </c>
      <c r="I4528" t="n">
        <v>0</v>
      </c>
      <c r="J4528" t="n">
        <v>0</v>
      </c>
      <c r="K4528" t="n">
        <v>0</v>
      </c>
      <c r="L4528" t="n">
        <v>0</v>
      </c>
      <c r="M4528" t="n">
        <v>0</v>
      </c>
      <c r="N4528" t="n">
        <v>0</v>
      </c>
      <c r="O4528" t="n">
        <v>0</v>
      </c>
      <c r="P4528" t="n">
        <v>0</v>
      </c>
      <c r="Q4528" t="n">
        <v>0</v>
      </c>
      <c r="R4528" s="2" t="inlineStr"/>
    </row>
    <row r="4529" ht="15" customHeight="1">
      <c r="A4529" t="inlineStr">
        <is>
          <t>A 39379-2022</t>
        </is>
      </c>
      <c r="B4529" s="1" t="n">
        <v>44818</v>
      </c>
      <c r="C4529" s="1" t="n">
        <v>45798</v>
      </c>
      <c r="D4529" t="inlineStr">
        <is>
          <t>NORRBOTTENS LÄN</t>
        </is>
      </c>
      <c r="E4529" t="inlineStr">
        <is>
          <t>GÄLLIVARE</t>
        </is>
      </c>
      <c r="F4529" t="inlineStr">
        <is>
          <t>SCA</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39405-2022</t>
        </is>
      </c>
      <c r="B4530" s="1" t="n">
        <v>44817</v>
      </c>
      <c r="C4530" s="1" t="n">
        <v>45798</v>
      </c>
      <c r="D4530" t="inlineStr">
        <is>
          <t>NORRBOTTENS LÄN</t>
        </is>
      </c>
      <c r="E4530" t="inlineStr">
        <is>
          <t>ÖVERKALIX</t>
        </is>
      </c>
      <c r="F4530" t="inlineStr">
        <is>
          <t>SCA</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39410-2022</t>
        </is>
      </c>
      <c r="B4531" s="1" t="n">
        <v>44818</v>
      </c>
      <c r="C4531" s="1" t="n">
        <v>45798</v>
      </c>
      <c r="D4531" t="inlineStr">
        <is>
          <t>NORRBOTTENS LÄN</t>
        </is>
      </c>
      <c r="E4531" t="inlineStr">
        <is>
          <t>PITEÅ</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39378-2022</t>
        </is>
      </c>
      <c r="B4532" s="1" t="n">
        <v>44817</v>
      </c>
      <c r="C4532" s="1" t="n">
        <v>45798</v>
      </c>
      <c r="D4532" t="inlineStr">
        <is>
          <t>NORRBOTTENS LÄN</t>
        </is>
      </c>
      <c r="E4532" t="inlineStr">
        <is>
          <t>GÄLLIVARE</t>
        </is>
      </c>
      <c r="F4532" t="inlineStr">
        <is>
          <t>SCA</t>
        </is>
      </c>
      <c r="G4532" t="n">
        <v>11.5</v>
      </c>
      <c r="H4532" t="n">
        <v>0</v>
      </c>
      <c r="I4532" t="n">
        <v>0</v>
      </c>
      <c r="J4532" t="n">
        <v>0</v>
      </c>
      <c r="K4532" t="n">
        <v>0</v>
      </c>
      <c r="L4532" t="n">
        <v>0</v>
      </c>
      <c r="M4532" t="n">
        <v>0</v>
      </c>
      <c r="N4532" t="n">
        <v>0</v>
      </c>
      <c r="O4532" t="n">
        <v>0</v>
      </c>
      <c r="P4532" t="n">
        <v>0</v>
      </c>
      <c r="Q4532" t="n">
        <v>0</v>
      </c>
      <c r="R4532" s="2" t="inlineStr"/>
    </row>
    <row r="4533" ht="15" customHeight="1">
      <c r="A4533" t="inlineStr">
        <is>
          <t>A 39347-2022</t>
        </is>
      </c>
      <c r="B4533" s="1" t="n">
        <v>44817</v>
      </c>
      <c r="C4533" s="1" t="n">
        <v>45798</v>
      </c>
      <c r="D4533" t="inlineStr">
        <is>
          <t>NORRBOTTENS LÄN</t>
        </is>
      </c>
      <c r="E4533" t="inlineStr">
        <is>
          <t>PITEÅ</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39377-2022</t>
        </is>
      </c>
      <c r="B4534" s="1" t="n">
        <v>44817</v>
      </c>
      <c r="C4534" s="1" t="n">
        <v>45798</v>
      </c>
      <c r="D4534" t="inlineStr">
        <is>
          <t>NORRBOTTENS LÄN</t>
        </is>
      </c>
      <c r="E4534" t="inlineStr">
        <is>
          <t>GÄLLIVARE</t>
        </is>
      </c>
      <c r="F4534" t="inlineStr">
        <is>
          <t>SCA</t>
        </is>
      </c>
      <c r="G4534" t="n">
        <v>11.8</v>
      </c>
      <c r="H4534" t="n">
        <v>0</v>
      </c>
      <c r="I4534" t="n">
        <v>0</v>
      </c>
      <c r="J4534" t="n">
        <v>0</v>
      </c>
      <c r="K4534" t="n">
        <v>0</v>
      </c>
      <c r="L4534" t="n">
        <v>0</v>
      </c>
      <c r="M4534" t="n">
        <v>0</v>
      </c>
      <c r="N4534" t="n">
        <v>0</v>
      </c>
      <c r="O4534" t="n">
        <v>0</v>
      </c>
      <c r="P4534" t="n">
        <v>0</v>
      </c>
      <c r="Q4534" t="n">
        <v>0</v>
      </c>
      <c r="R4534" s="2" t="inlineStr"/>
    </row>
    <row r="4535" ht="15" customHeight="1">
      <c r="A4535" t="inlineStr">
        <is>
          <t>A 39399-2022</t>
        </is>
      </c>
      <c r="B4535" s="1" t="n">
        <v>44818</v>
      </c>
      <c r="C4535" s="1" t="n">
        <v>45798</v>
      </c>
      <c r="D4535" t="inlineStr">
        <is>
          <t>NORRBOTTENS LÄN</t>
        </is>
      </c>
      <c r="E4535" t="inlineStr">
        <is>
          <t>PITEÅ</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39403-2022</t>
        </is>
      </c>
      <c r="B4536" s="1" t="n">
        <v>44817</v>
      </c>
      <c r="C4536" s="1" t="n">
        <v>45798</v>
      </c>
      <c r="D4536" t="inlineStr">
        <is>
          <t>NORRBOTTENS LÄN</t>
        </is>
      </c>
      <c r="E4536" t="inlineStr">
        <is>
          <t>ÖVERKALIX</t>
        </is>
      </c>
      <c r="F4536" t="inlineStr">
        <is>
          <t>SCA</t>
        </is>
      </c>
      <c r="G4536" t="n">
        <v>16.6</v>
      </c>
      <c r="H4536" t="n">
        <v>0</v>
      </c>
      <c r="I4536" t="n">
        <v>0</v>
      </c>
      <c r="J4536" t="n">
        <v>0</v>
      </c>
      <c r="K4536" t="n">
        <v>0</v>
      </c>
      <c r="L4536" t="n">
        <v>0</v>
      </c>
      <c r="M4536" t="n">
        <v>0</v>
      </c>
      <c r="N4536" t="n">
        <v>0</v>
      </c>
      <c r="O4536" t="n">
        <v>0</v>
      </c>
      <c r="P4536" t="n">
        <v>0</v>
      </c>
      <c r="Q4536" t="n">
        <v>0</v>
      </c>
      <c r="R4536" s="2" t="inlineStr"/>
    </row>
    <row r="4537" ht="15" customHeight="1">
      <c r="A4537" t="inlineStr">
        <is>
          <t>A 39409-2022</t>
        </is>
      </c>
      <c r="B4537" s="1" t="n">
        <v>44818</v>
      </c>
      <c r="C4537" s="1" t="n">
        <v>45798</v>
      </c>
      <c r="D4537" t="inlineStr">
        <is>
          <t>NORRBOTTENS LÄN</t>
        </is>
      </c>
      <c r="E4537" t="inlineStr">
        <is>
          <t>PITEÅ</t>
        </is>
      </c>
      <c r="F4537" t="inlineStr">
        <is>
          <t>SCA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39650-2022</t>
        </is>
      </c>
      <c r="B4538" s="1" t="n">
        <v>44817</v>
      </c>
      <c r="C4538" s="1" t="n">
        <v>45798</v>
      </c>
      <c r="D4538" t="inlineStr">
        <is>
          <t>NORRBOTTENS LÄN</t>
        </is>
      </c>
      <c r="E4538" t="inlineStr">
        <is>
          <t>HAPARANDA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39501-2022</t>
        </is>
      </c>
      <c r="B4539" s="1" t="n">
        <v>44817</v>
      </c>
      <c r="C4539" s="1" t="n">
        <v>45798</v>
      </c>
      <c r="D4539" t="inlineStr">
        <is>
          <t>NORRBOTTENS LÄN</t>
        </is>
      </c>
      <c r="E4539" t="inlineStr">
        <is>
          <t>ARVIDSJAUR</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41009-2022</t>
        </is>
      </c>
      <c r="B4540" s="1" t="n">
        <v>44817</v>
      </c>
      <c r="C4540" s="1" t="n">
        <v>45798</v>
      </c>
      <c r="D4540" t="inlineStr">
        <is>
          <t>NORRBOTTENS LÄN</t>
        </is>
      </c>
      <c r="E4540" t="inlineStr">
        <is>
          <t>HAPARANDA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39475-2022</t>
        </is>
      </c>
      <c r="B4541" s="1" t="n">
        <v>44818</v>
      </c>
      <c r="C4541" s="1" t="n">
        <v>45798</v>
      </c>
      <c r="D4541" t="inlineStr">
        <is>
          <t>NORRBOTTENS LÄN</t>
        </is>
      </c>
      <c r="E4541" t="inlineStr">
        <is>
          <t>PITEÅ</t>
        </is>
      </c>
      <c r="F4541" t="inlineStr">
        <is>
          <t>Sveaskog</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39538-2022</t>
        </is>
      </c>
      <c r="B4542" s="1" t="n">
        <v>44818</v>
      </c>
      <c r="C4542" s="1" t="n">
        <v>45798</v>
      </c>
      <c r="D4542" t="inlineStr">
        <is>
          <t>NORRBOTTENS LÄN</t>
        </is>
      </c>
      <c r="E4542" t="inlineStr">
        <is>
          <t>HAPARANDA</t>
        </is>
      </c>
      <c r="G4542" t="n">
        <v>13.6</v>
      </c>
      <c r="H4542" t="n">
        <v>0</v>
      </c>
      <c r="I4542" t="n">
        <v>0</v>
      </c>
      <c r="J4542" t="n">
        <v>0</v>
      </c>
      <c r="K4542" t="n">
        <v>0</v>
      </c>
      <c r="L4542" t="n">
        <v>0</v>
      </c>
      <c r="M4542" t="n">
        <v>0</v>
      </c>
      <c r="N4542" t="n">
        <v>0</v>
      </c>
      <c r="O4542" t="n">
        <v>0</v>
      </c>
      <c r="P4542" t="n">
        <v>0</v>
      </c>
      <c r="Q4542" t="n">
        <v>0</v>
      </c>
      <c r="R4542" s="2" t="inlineStr"/>
    </row>
    <row r="4543" ht="15" customHeight="1">
      <c r="A4543" t="inlineStr">
        <is>
          <t>A 39559-2022</t>
        </is>
      </c>
      <c r="B4543" s="1" t="n">
        <v>44818</v>
      </c>
      <c r="C4543" s="1" t="n">
        <v>45798</v>
      </c>
      <c r="D4543" t="inlineStr">
        <is>
          <t>NORRBOTTENS LÄN</t>
        </is>
      </c>
      <c r="E4543" t="inlineStr">
        <is>
          <t>GÄLLIVARE</t>
        </is>
      </c>
      <c r="F4543" t="inlineStr">
        <is>
          <t>Sveaskog</t>
        </is>
      </c>
      <c r="G4543" t="n">
        <v>11.6</v>
      </c>
      <c r="H4543" t="n">
        <v>0</v>
      </c>
      <c r="I4543" t="n">
        <v>0</v>
      </c>
      <c r="J4543" t="n">
        <v>0</v>
      </c>
      <c r="K4543" t="n">
        <v>0</v>
      </c>
      <c r="L4543" t="n">
        <v>0</v>
      </c>
      <c r="M4543" t="n">
        <v>0</v>
      </c>
      <c r="N4543" t="n">
        <v>0</v>
      </c>
      <c r="O4543" t="n">
        <v>0</v>
      </c>
      <c r="P4543" t="n">
        <v>0</v>
      </c>
      <c r="Q4543" t="n">
        <v>0</v>
      </c>
      <c r="R4543" s="2" t="inlineStr"/>
    </row>
    <row r="4544" ht="15" customHeight="1">
      <c r="A4544" t="inlineStr">
        <is>
          <t>A 39444-2022</t>
        </is>
      </c>
      <c r="B4544" s="1" t="n">
        <v>44818</v>
      </c>
      <c r="C4544" s="1" t="n">
        <v>45798</v>
      </c>
      <c r="D4544" t="inlineStr">
        <is>
          <t>NORRBOTTENS LÄN</t>
        </is>
      </c>
      <c r="E4544" t="inlineStr">
        <is>
          <t>ÄLVSBYN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39564-2022</t>
        </is>
      </c>
      <c r="B4545" s="1" t="n">
        <v>44818</v>
      </c>
      <c r="C4545" s="1" t="n">
        <v>45798</v>
      </c>
      <c r="D4545" t="inlineStr">
        <is>
          <t>NORRBOTTENS LÄN</t>
        </is>
      </c>
      <c r="E4545" t="inlineStr">
        <is>
          <t>PAJALA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39619-2022</t>
        </is>
      </c>
      <c r="B4546" s="1" t="n">
        <v>44818</v>
      </c>
      <c r="C4546" s="1" t="n">
        <v>45798</v>
      </c>
      <c r="D4546" t="inlineStr">
        <is>
          <t>NORRBOTTENS LÄN</t>
        </is>
      </c>
      <c r="E4546" t="inlineStr">
        <is>
          <t>ARVIDSJAUR</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40152-2022</t>
        </is>
      </c>
      <c r="B4547" s="1" t="n">
        <v>44818</v>
      </c>
      <c r="C4547" s="1" t="n">
        <v>45798</v>
      </c>
      <c r="D4547" t="inlineStr">
        <is>
          <t>NORRBOTTENS LÄN</t>
        </is>
      </c>
      <c r="E4547" t="inlineStr">
        <is>
          <t>PITEÅ</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40418-2022</t>
        </is>
      </c>
      <c r="B4548" s="1" t="n">
        <v>44818</v>
      </c>
      <c r="C4548" s="1" t="n">
        <v>45798</v>
      </c>
      <c r="D4548" t="inlineStr">
        <is>
          <t>NORRBOTTENS LÄN</t>
        </is>
      </c>
      <c r="E4548" t="inlineStr">
        <is>
          <t>BODEN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40080-2022</t>
        </is>
      </c>
      <c r="B4549" s="1" t="n">
        <v>44818</v>
      </c>
      <c r="C4549" s="1" t="n">
        <v>45798</v>
      </c>
      <c r="D4549" t="inlineStr">
        <is>
          <t>NORRBOTTENS LÄN</t>
        </is>
      </c>
      <c r="E4549" t="inlineStr">
        <is>
          <t>ARVIDSJAUR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39759-2022</t>
        </is>
      </c>
      <c r="B4550" s="1" t="n">
        <v>44819</v>
      </c>
      <c r="C4550" s="1" t="n">
        <v>45798</v>
      </c>
      <c r="D4550" t="inlineStr">
        <is>
          <t>NORRBOTTENS LÄN</t>
        </is>
      </c>
      <c r="E4550" t="inlineStr">
        <is>
          <t>ARVIDSJAUR</t>
        </is>
      </c>
      <c r="F4550" t="inlineStr">
        <is>
          <t>Sveaskog</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39775-2022</t>
        </is>
      </c>
      <c r="B4551" s="1" t="n">
        <v>44819</v>
      </c>
      <c r="C4551" s="1" t="n">
        <v>45798</v>
      </c>
      <c r="D4551" t="inlineStr">
        <is>
          <t>NORRBOTTENS LÄN</t>
        </is>
      </c>
      <c r="E4551" t="inlineStr">
        <is>
          <t>ARVIDSJAUR</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39760-2022</t>
        </is>
      </c>
      <c r="B4552" s="1" t="n">
        <v>44819</v>
      </c>
      <c r="C4552" s="1" t="n">
        <v>45798</v>
      </c>
      <c r="D4552" t="inlineStr">
        <is>
          <t>NORRBOTTENS LÄN</t>
        </is>
      </c>
      <c r="E4552" t="inlineStr">
        <is>
          <t>ARVIDSJAUR</t>
        </is>
      </c>
      <c r="F4552" t="inlineStr">
        <is>
          <t>Sveaskog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39838-2022</t>
        </is>
      </c>
      <c r="B4553" s="1" t="n">
        <v>44819</v>
      </c>
      <c r="C4553" s="1" t="n">
        <v>45798</v>
      </c>
      <c r="D4553" t="inlineStr">
        <is>
          <t>NORRBOTTENS LÄN</t>
        </is>
      </c>
      <c r="E4553" t="inlineStr">
        <is>
          <t>BODEN</t>
        </is>
      </c>
      <c r="F4553" t="inlineStr">
        <is>
          <t>Sveaskog</t>
        </is>
      </c>
      <c r="G4553" t="n">
        <v>16.5</v>
      </c>
      <c r="H4553" t="n">
        <v>0</v>
      </c>
      <c r="I4553" t="n">
        <v>0</v>
      </c>
      <c r="J4553" t="n">
        <v>0</v>
      </c>
      <c r="K4553" t="n">
        <v>0</v>
      </c>
      <c r="L4553" t="n">
        <v>0</v>
      </c>
      <c r="M4553" t="n">
        <v>0</v>
      </c>
      <c r="N4553" t="n">
        <v>0</v>
      </c>
      <c r="O4553" t="n">
        <v>0</v>
      </c>
      <c r="P4553" t="n">
        <v>0</v>
      </c>
      <c r="Q4553" t="n">
        <v>0</v>
      </c>
      <c r="R4553" s="2" t="inlineStr"/>
    </row>
    <row r="4554" ht="15" customHeight="1">
      <c r="A4554" t="inlineStr">
        <is>
          <t>A 39938-2022</t>
        </is>
      </c>
      <c r="B4554" s="1" t="n">
        <v>44820</v>
      </c>
      <c r="C4554" s="1" t="n">
        <v>45798</v>
      </c>
      <c r="D4554" t="inlineStr">
        <is>
          <t>NORRBOTTENS LÄN</t>
        </is>
      </c>
      <c r="E4554" t="inlineStr">
        <is>
          <t>ÖVERKALIX</t>
        </is>
      </c>
      <c r="F4554" t="inlineStr">
        <is>
          <t>SCA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39958-2022</t>
        </is>
      </c>
      <c r="B4555" s="1" t="n">
        <v>44819</v>
      </c>
      <c r="C4555" s="1" t="n">
        <v>45798</v>
      </c>
      <c r="D4555" t="inlineStr">
        <is>
          <t>NORRBOTTENS LÄN</t>
        </is>
      </c>
      <c r="E4555" t="inlineStr">
        <is>
          <t>GÄLLIVARE</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39927-2022</t>
        </is>
      </c>
      <c r="B4556" s="1" t="n">
        <v>44820</v>
      </c>
      <c r="C4556" s="1" t="n">
        <v>45798</v>
      </c>
      <c r="D4556" t="inlineStr">
        <is>
          <t>NORRBOTTENS LÄN</t>
        </is>
      </c>
      <c r="E4556" t="inlineStr">
        <is>
          <t>ÖVERKALIX</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39914-2022</t>
        </is>
      </c>
      <c r="B4557" s="1" t="n">
        <v>44819</v>
      </c>
      <c r="C4557" s="1" t="n">
        <v>45798</v>
      </c>
      <c r="D4557" t="inlineStr">
        <is>
          <t>NORRBOTTENS LÄN</t>
        </is>
      </c>
      <c r="E4557" t="inlineStr">
        <is>
          <t>ÄLVSBYN</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40473-2022</t>
        </is>
      </c>
      <c r="B4558" s="1" t="n">
        <v>44819</v>
      </c>
      <c r="C4558" s="1" t="n">
        <v>45798</v>
      </c>
      <c r="D4558" t="inlineStr">
        <is>
          <t>NORRBOTTENS LÄN</t>
        </is>
      </c>
      <c r="E4558" t="inlineStr">
        <is>
          <t>JOKKMOKK</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40492-2022</t>
        </is>
      </c>
      <c r="B4559" s="1" t="n">
        <v>44819</v>
      </c>
      <c r="C4559" s="1" t="n">
        <v>45798</v>
      </c>
      <c r="D4559" t="inlineStr">
        <is>
          <t>NORRBOTTENS LÄN</t>
        </is>
      </c>
      <c r="E4559" t="inlineStr">
        <is>
          <t>PITEÅ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40500-2022</t>
        </is>
      </c>
      <c r="B4560" s="1" t="n">
        <v>44819</v>
      </c>
      <c r="C4560" s="1" t="n">
        <v>45798</v>
      </c>
      <c r="D4560" t="inlineStr">
        <is>
          <t>NORRBOTTENS LÄN</t>
        </is>
      </c>
      <c r="E4560" t="inlineStr">
        <is>
          <t>ARVIDSJAUR</t>
        </is>
      </c>
      <c r="F4560" t="inlineStr">
        <is>
          <t>Allmännings- och besparingsskogar</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39971-2022</t>
        </is>
      </c>
      <c r="B4561" s="1" t="n">
        <v>44820</v>
      </c>
      <c r="C4561" s="1" t="n">
        <v>45798</v>
      </c>
      <c r="D4561" t="inlineStr">
        <is>
          <t>NORRBOTTENS LÄN</t>
        </is>
      </c>
      <c r="E4561" t="inlineStr">
        <is>
          <t>BODEN</t>
        </is>
      </c>
      <c r="F4561" t="inlineStr">
        <is>
          <t>Sveaskog</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40136-2022</t>
        </is>
      </c>
      <c r="B4562" s="1" t="n">
        <v>44820</v>
      </c>
      <c r="C4562" s="1" t="n">
        <v>45798</v>
      </c>
      <c r="D4562" t="inlineStr">
        <is>
          <t>NORRBOTTENS LÄN</t>
        </is>
      </c>
      <c r="E4562" t="inlineStr">
        <is>
          <t>BODEN</t>
        </is>
      </c>
      <c r="F4562" t="inlineStr">
        <is>
          <t>Sveaskog</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40129-2022</t>
        </is>
      </c>
      <c r="B4563" s="1" t="n">
        <v>44820</v>
      </c>
      <c r="C4563" s="1" t="n">
        <v>45798</v>
      </c>
      <c r="D4563" t="inlineStr">
        <is>
          <t>NORRBOTTENS LÄN</t>
        </is>
      </c>
      <c r="E4563" t="inlineStr">
        <is>
          <t>JOKKMOKK</t>
        </is>
      </c>
      <c r="F4563" t="inlineStr">
        <is>
          <t>Sveaskog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40260-2022</t>
        </is>
      </c>
      <c r="B4564" s="1" t="n">
        <v>44820</v>
      </c>
      <c r="C4564" s="1" t="n">
        <v>45798</v>
      </c>
      <c r="D4564" t="inlineStr">
        <is>
          <t>NORRBOTTENS LÄN</t>
        </is>
      </c>
      <c r="E4564" t="inlineStr">
        <is>
          <t>ÖVERKALIX</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39969-2022</t>
        </is>
      </c>
      <c r="B4565" s="1" t="n">
        <v>44820</v>
      </c>
      <c r="C4565" s="1" t="n">
        <v>45798</v>
      </c>
      <c r="D4565" t="inlineStr">
        <is>
          <t>NORRBOTTENS LÄN</t>
        </is>
      </c>
      <c r="E4565" t="inlineStr">
        <is>
          <t>ÖVERTORNEÅ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40166-2022</t>
        </is>
      </c>
      <c r="B4566" s="1" t="n">
        <v>44820</v>
      </c>
      <c r="C4566" s="1" t="n">
        <v>45798</v>
      </c>
      <c r="D4566" t="inlineStr">
        <is>
          <t>NORRBOTTENS LÄN</t>
        </is>
      </c>
      <c r="E4566" t="inlineStr">
        <is>
          <t>HAPARANDA</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40248-2022</t>
        </is>
      </c>
      <c r="B4567" s="1" t="n">
        <v>44820</v>
      </c>
      <c r="C4567" s="1" t="n">
        <v>45798</v>
      </c>
      <c r="D4567" t="inlineStr">
        <is>
          <t>NORRBOTTENS LÄN</t>
        </is>
      </c>
      <c r="E4567" t="inlineStr">
        <is>
          <t>JOKKMOKK</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40251-2022</t>
        </is>
      </c>
      <c r="B4568" s="1" t="n">
        <v>44820</v>
      </c>
      <c r="C4568" s="1" t="n">
        <v>45798</v>
      </c>
      <c r="D4568" t="inlineStr">
        <is>
          <t>NORRBOTTENS LÄN</t>
        </is>
      </c>
      <c r="E4568" t="inlineStr">
        <is>
          <t>JOKKMOKK</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40713-2022</t>
        </is>
      </c>
      <c r="B4569" s="1" t="n">
        <v>44820</v>
      </c>
      <c r="C4569" s="1" t="n">
        <v>45798</v>
      </c>
      <c r="D4569" t="inlineStr">
        <is>
          <t>NORRBOTTENS LÄN</t>
        </is>
      </c>
      <c r="E4569" t="inlineStr">
        <is>
          <t>PITEÅ</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40281-2022</t>
        </is>
      </c>
      <c r="B4570" s="1" t="n">
        <v>44821</v>
      </c>
      <c r="C4570" s="1" t="n">
        <v>45798</v>
      </c>
      <c r="D4570" t="inlineStr">
        <is>
          <t>NORRBOTTENS LÄN</t>
        </is>
      </c>
      <c r="E4570" t="inlineStr">
        <is>
          <t>ÖVERKALIX</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40691-2022</t>
        </is>
      </c>
      <c r="B4571" s="1" t="n">
        <v>44820</v>
      </c>
      <c r="C4571" s="1" t="n">
        <v>45798</v>
      </c>
      <c r="D4571" t="inlineStr">
        <is>
          <t>NORRBOTTENS LÄN</t>
        </is>
      </c>
      <c r="E4571" t="inlineStr">
        <is>
          <t>ÄLVSBYN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40871-2022</t>
        </is>
      </c>
      <c r="B4572" s="1" t="n">
        <v>44820</v>
      </c>
      <c r="C4572" s="1" t="n">
        <v>45798</v>
      </c>
      <c r="D4572" t="inlineStr">
        <is>
          <t>NORRBOTTENS LÄN</t>
        </is>
      </c>
      <c r="E4572" t="inlineStr">
        <is>
          <t>LULEÅ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40375-2022</t>
        </is>
      </c>
      <c r="B4573" s="1" t="n">
        <v>44823</v>
      </c>
      <c r="C4573" s="1" t="n">
        <v>45798</v>
      </c>
      <c r="D4573" t="inlineStr">
        <is>
          <t>NORRBOTTENS LÄN</t>
        </is>
      </c>
      <c r="E4573" t="inlineStr">
        <is>
          <t>PITEÅ</t>
        </is>
      </c>
      <c r="F4573" t="inlineStr">
        <is>
          <t>Sveaskog</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40560-2022</t>
        </is>
      </c>
      <c r="B4574" s="1" t="n">
        <v>44823</v>
      </c>
      <c r="C4574" s="1" t="n">
        <v>45798</v>
      </c>
      <c r="D4574" t="inlineStr">
        <is>
          <t>NORRBOTTENS LÄN</t>
        </is>
      </c>
      <c r="E4574" t="inlineStr">
        <is>
          <t>ÄLVSBYN</t>
        </is>
      </c>
      <c r="F4574" t="inlineStr">
        <is>
          <t>Sveaskog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40427-2022</t>
        </is>
      </c>
      <c r="B4575" s="1" t="n">
        <v>44823</v>
      </c>
      <c r="C4575" s="1" t="n">
        <v>45798</v>
      </c>
      <c r="D4575" t="inlineStr">
        <is>
          <t>NORRBOTTENS LÄN</t>
        </is>
      </c>
      <c r="E4575" t="inlineStr">
        <is>
          <t>GÄLLIVARE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40525-2022</t>
        </is>
      </c>
      <c r="B4576" s="1" t="n">
        <v>44823</v>
      </c>
      <c r="C4576" s="1" t="n">
        <v>45798</v>
      </c>
      <c r="D4576" t="inlineStr">
        <is>
          <t>NORRBOTTENS LÄN</t>
        </is>
      </c>
      <c r="E4576" t="inlineStr">
        <is>
          <t>ÄLVSBYN</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40619-2022</t>
        </is>
      </c>
      <c r="B4577" s="1" t="n">
        <v>44824</v>
      </c>
      <c r="C4577" s="1" t="n">
        <v>45798</v>
      </c>
      <c r="D4577" t="inlineStr">
        <is>
          <t>NORRBOTTENS LÄN</t>
        </is>
      </c>
      <c r="E4577" t="inlineStr">
        <is>
          <t>ÖVERKALIX</t>
        </is>
      </c>
      <c r="F4577" t="inlineStr">
        <is>
          <t>SCA</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40624-2022</t>
        </is>
      </c>
      <c r="B4578" s="1" t="n">
        <v>44823</v>
      </c>
      <c r="C4578" s="1" t="n">
        <v>45798</v>
      </c>
      <c r="D4578" t="inlineStr">
        <is>
          <t>NORRBOTTENS LÄN</t>
        </is>
      </c>
      <c r="E4578" t="inlineStr">
        <is>
          <t>BODEN</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41007-2022</t>
        </is>
      </c>
      <c r="B4579" s="1" t="n">
        <v>44823</v>
      </c>
      <c r="C4579" s="1" t="n">
        <v>45798</v>
      </c>
      <c r="D4579" t="inlineStr">
        <is>
          <t>NORRBOTTENS LÄN</t>
        </is>
      </c>
      <c r="E4579" t="inlineStr">
        <is>
          <t>ARJEPLOG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40756-2022</t>
        </is>
      </c>
      <c r="B4580" s="1" t="n">
        <v>44824</v>
      </c>
      <c r="C4580" s="1" t="n">
        <v>45798</v>
      </c>
      <c r="D4580" t="inlineStr">
        <is>
          <t>NORRBOTTENS LÄN</t>
        </is>
      </c>
      <c r="E4580" t="inlineStr">
        <is>
          <t>ARVIDSJAUR</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40813-2022</t>
        </is>
      </c>
      <c r="B4581" s="1" t="n">
        <v>44824</v>
      </c>
      <c r="C4581" s="1" t="n">
        <v>45798</v>
      </c>
      <c r="D4581" t="inlineStr">
        <is>
          <t>NORRBOTTENS LÄN</t>
        </is>
      </c>
      <c r="E4581" t="inlineStr">
        <is>
          <t>PITEÅ</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40836-2022</t>
        </is>
      </c>
      <c r="B4582" s="1" t="n">
        <v>44824</v>
      </c>
      <c r="C4582" s="1" t="n">
        <v>45798</v>
      </c>
      <c r="D4582" t="inlineStr">
        <is>
          <t>NORRBOTTENS LÄN</t>
        </is>
      </c>
      <c r="E4582" t="inlineStr">
        <is>
          <t>JOKKMOKK</t>
        </is>
      </c>
      <c r="F4582" t="inlineStr">
        <is>
          <t>SCA</t>
        </is>
      </c>
      <c r="G4582" t="n">
        <v>229.8</v>
      </c>
      <c r="H4582" t="n">
        <v>0</v>
      </c>
      <c r="I4582" t="n">
        <v>0</v>
      </c>
      <c r="J4582" t="n">
        <v>0</v>
      </c>
      <c r="K4582" t="n">
        <v>0</v>
      </c>
      <c r="L4582" t="n">
        <v>0</v>
      </c>
      <c r="M4582" t="n">
        <v>0</v>
      </c>
      <c r="N4582" t="n">
        <v>0</v>
      </c>
      <c r="O4582" t="n">
        <v>0</v>
      </c>
      <c r="P4582" t="n">
        <v>0</v>
      </c>
      <c r="Q4582" t="n">
        <v>0</v>
      </c>
      <c r="R4582" s="2" t="inlineStr"/>
    </row>
    <row r="4583" ht="15" customHeight="1">
      <c r="A4583" t="inlineStr">
        <is>
          <t>A 40781-2022</t>
        </is>
      </c>
      <c r="B4583" s="1" t="n">
        <v>44824</v>
      </c>
      <c r="C4583" s="1" t="n">
        <v>45798</v>
      </c>
      <c r="D4583" t="inlineStr">
        <is>
          <t>NORRBOTTENS LÄN</t>
        </is>
      </c>
      <c r="E4583" t="inlineStr">
        <is>
          <t>ÄLVSBYN</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40833-2022</t>
        </is>
      </c>
      <c r="B4584" s="1" t="n">
        <v>44824</v>
      </c>
      <c r="C4584" s="1" t="n">
        <v>45798</v>
      </c>
      <c r="D4584" t="inlineStr">
        <is>
          <t>NORRBOTTENS LÄN</t>
        </is>
      </c>
      <c r="E4584" t="inlineStr">
        <is>
          <t>JOKKMOKK</t>
        </is>
      </c>
      <c r="F4584" t="inlineStr">
        <is>
          <t>SCA</t>
        </is>
      </c>
      <c r="G4584" t="n">
        <v>122.1</v>
      </c>
      <c r="H4584" t="n">
        <v>0</v>
      </c>
      <c r="I4584" t="n">
        <v>0</v>
      </c>
      <c r="J4584" t="n">
        <v>0</v>
      </c>
      <c r="K4584" t="n">
        <v>0</v>
      </c>
      <c r="L4584" t="n">
        <v>0</v>
      </c>
      <c r="M4584" t="n">
        <v>0</v>
      </c>
      <c r="N4584" t="n">
        <v>0</v>
      </c>
      <c r="O4584" t="n">
        <v>0</v>
      </c>
      <c r="P4584" t="n">
        <v>0</v>
      </c>
      <c r="Q4584" t="n">
        <v>0</v>
      </c>
      <c r="R4584" s="2" t="inlineStr"/>
    </row>
    <row r="4585" ht="15" customHeight="1">
      <c r="A4585" t="inlineStr">
        <is>
          <t>A 41030-2022</t>
        </is>
      </c>
      <c r="B4585" s="1" t="n">
        <v>44824</v>
      </c>
      <c r="C4585" s="1" t="n">
        <v>45798</v>
      </c>
      <c r="D4585" t="inlineStr">
        <is>
          <t>NORRBOTTENS LÄN</t>
        </is>
      </c>
      <c r="E4585" t="inlineStr">
        <is>
          <t>JOKKMOKK</t>
        </is>
      </c>
      <c r="F4585" t="inlineStr">
        <is>
          <t>Övriga Aktiebolag</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40834-2022</t>
        </is>
      </c>
      <c r="B4586" s="1" t="n">
        <v>44824</v>
      </c>
      <c r="C4586" s="1" t="n">
        <v>45798</v>
      </c>
      <c r="D4586" t="inlineStr">
        <is>
          <t>NORRBOTTENS LÄN</t>
        </is>
      </c>
      <c r="E4586" t="inlineStr">
        <is>
          <t>JOKKMOKK</t>
        </is>
      </c>
      <c r="F4586" t="inlineStr">
        <is>
          <t>SCA</t>
        </is>
      </c>
      <c r="G4586" t="n">
        <v>106.1</v>
      </c>
      <c r="H4586" t="n">
        <v>0</v>
      </c>
      <c r="I4586" t="n">
        <v>0</v>
      </c>
      <c r="J4586" t="n">
        <v>0</v>
      </c>
      <c r="K4586" t="n">
        <v>0</v>
      </c>
      <c r="L4586" t="n">
        <v>0</v>
      </c>
      <c r="M4586" t="n">
        <v>0</v>
      </c>
      <c r="N4586" t="n">
        <v>0</v>
      </c>
      <c r="O4586" t="n">
        <v>0</v>
      </c>
      <c r="P4586" t="n">
        <v>0</v>
      </c>
      <c r="Q4586" t="n">
        <v>0</v>
      </c>
      <c r="R4586" s="2" t="inlineStr"/>
    </row>
    <row r="4587" ht="15" customHeight="1">
      <c r="A4587" t="inlineStr">
        <is>
          <t>A 40845-2022</t>
        </is>
      </c>
      <c r="B4587" s="1" t="n">
        <v>44824</v>
      </c>
      <c r="C4587" s="1" t="n">
        <v>45798</v>
      </c>
      <c r="D4587" t="inlineStr">
        <is>
          <t>NORRBOTTENS LÄN</t>
        </is>
      </c>
      <c r="E4587" t="inlineStr">
        <is>
          <t>GÄLLIVARE</t>
        </is>
      </c>
      <c r="F4587" t="inlineStr">
        <is>
          <t>SCA</t>
        </is>
      </c>
      <c r="G4587" t="n">
        <v>30.9</v>
      </c>
      <c r="H4587" t="n">
        <v>0</v>
      </c>
      <c r="I4587" t="n">
        <v>0</v>
      </c>
      <c r="J4587" t="n">
        <v>0</v>
      </c>
      <c r="K4587" t="n">
        <v>0</v>
      </c>
      <c r="L4587" t="n">
        <v>0</v>
      </c>
      <c r="M4587" t="n">
        <v>0</v>
      </c>
      <c r="N4587" t="n">
        <v>0</v>
      </c>
      <c r="O4587" t="n">
        <v>0</v>
      </c>
      <c r="P4587" t="n">
        <v>0</v>
      </c>
      <c r="Q4587" t="n">
        <v>0</v>
      </c>
      <c r="R4587" s="2" t="inlineStr"/>
    </row>
    <row r="4588" ht="15" customHeight="1">
      <c r="A4588" t="inlineStr">
        <is>
          <t>A 41504-2022</t>
        </is>
      </c>
      <c r="B4588" s="1" t="n">
        <v>44824</v>
      </c>
      <c r="C4588" s="1" t="n">
        <v>45798</v>
      </c>
      <c r="D4588" t="inlineStr">
        <is>
          <t>NORRBOTTENS LÄN</t>
        </is>
      </c>
      <c r="E4588" t="inlineStr">
        <is>
          <t>PAJALA</t>
        </is>
      </c>
      <c r="G4588" t="n">
        <v>15.4</v>
      </c>
      <c r="H4588" t="n">
        <v>0</v>
      </c>
      <c r="I4588" t="n">
        <v>0</v>
      </c>
      <c r="J4588" t="n">
        <v>0</v>
      </c>
      <c r="K4588" t="n">
        <v>0</v>
      </c>
      <c r="L4588" t="n">
        <v>0</v>
      </c>
      <c r="M4588" t="n">
        <v>0</v>
      </c>
      <c r="N4588" t="n">
        <v>0</v>
      </c>
      <c r="O4588" t="n">
        <v>0</v>
      </c>
      <c r="P4588" t="n">
        <v>0</v>
      </c>
      <c r="Q4588" t="n">
        <v>0</v>
      </c>
      <c r="R4588" s="2" t="inlineStr"/>
    </row>
    <row r="4589" ht="15" customHeight="1">
      <c r="A4589" t="inlineStr">
        <is>
          <t>A 40854-2022</t>
        </is>
      </c>
      <c r="B4589" s="1" t="n">
        <v>44825</v>
      </c>
      <c r="C4589" s="1" t="n">
        <v>45798</v>
      </c>
      <c r="D4589" t="inlineStr">
        <is>
          <t>NORRBOTTENS LÄN</t>
        </is>
      </c>
      <c r="E4589" t="inlineStr">
        <is>
          <t>BODEN</t>
        </is>
      </c>
      <c r="F4589" t="inlineStr">
        <is>
          <t>Sveaskog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41128-2022</t>
        </is>
      </c>
      <c r="B4590" s="1" t="n">
        <v>44825</v>
      </c>
      <c r="C4590" s="1" t="n">
        <v>45798</v>
      </c>
      <c r="D4590" t="inlineStr">
        <is>
          <t>NORRBOTTENS LÄN</t>
        </is>
      </c>
      <c r="E4590" t="inlineStr">
        <is>
          <t>KALIX</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41159-2022</t>
        </is>
      </c>
      <c r="B4591" s="1" t="n">
        <v>44825</v>
      </c>
      <c r="C4591" s="1" t="n">
        <v>45798</v>
      </c>
      <c r="D4591" t="inlineStr">
        <is>
          <t>NORRBOTTENS LÄN</t>
        </is>
      </c>
      <c r="E4591" t="inlineStr">
        <is>
          <t>ÄLVSBYN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41235-2022</t>
        </is>
      </c>
      <c r="B4592" s="1" t="n">
        <v>44825</v>
      </c>
      <c r="C4592" s="1" t="n">
        <v>45798</v>
      </c>
      <c r="D4592" t="inlineStr">
        <is>
          <t>NORRBOTTENS LÄN</t>
        </is>
      </c>
      <c r="E4592" t="inlineStr">
        <is>
          <t>ARVIDSJAUR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41471-2022</t>
        </is>
      </c>
      <c r="B4593" s="1" t="n">
        <v>44826</v>
      </c>
      <c r="C4593" s="1" t="n">
        <v>45798</v>
      </c>
      <c r="D4593" t="inlineStr">
        <is>
          <t>NORRBOTTENS LÄN</t>
        </is>
      </c>
      <c r="E4593" t="inlineStr">
        <is>
          <t>KALIX</t>
        </is>
      </c>
      <c r="F4593" t="inlineStr">
        <is>
          <t>SCA</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41579-2022</t>
        </is>
      </c>
      <c r="B4594" s="1" t="n">
        <v>44827</v>
      </c>
      <c r="C4594" s="1" t="n">
        <v>45798</v>
      </c>
      <c r="D4594" t="inlineStr">
        <is>
          <t>NORRBOTTENS LÄN</t>
        </is>
      </c>
      <c r="E4594" t="inlineStr">
        <is>
          <t>JOKKMOKK</t>
        </is>
      </c>
      <c r="F4594" t="inlineStr">
        <is>
          <t>Övriga Aktiebolag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41747-2022</t>
        </is>
      </c>
      <c r="B4595" s="1" t="n">
        <v>44827</v>
      </c>
      <c r="C4595" s="1" t="n">
        <v>45798</v>
      </c>
      <c r="D4595" t="inlineStr">
        <is>
          <t>NORRBOTTENS LÄN</t>
        </is>
      </c>
      <c r="E4595" t="inlineStr">
        <is>
          <t>PITEÅ</t>
        </is>
      </c>
      <c r="F4595" t="inlineStr">
        <is>
          <t>Sveaskog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41762-2022</t>
        </is>
      </c>
      <c r="B4596" s="1" t="n">
        <v>44827</v>
      </c>
      <c r="C4596" s="1" t="n">
        <v>45798</v>
      </c>
      <c r="D4596" t="inlineStr">
        <is>
          <t>NORRBOTTENS LÄN</t>
        </is>
      </c>
      <c r="E4596" t="inlineStr">
        <is>
          <t>PAJALA</t>
        </is>
      </c>
      <c r="F4596" t="inlineStr">
        <is>
          <t>Sveaskog</t>
        </is>
      </c>
      <c r="G4596" t="n">
        <v>21.1</v>
      </c>
      <c r="H4596" t="n">
        <v>0</v>
      </c>
      <c r="I4596" t="n">
        <v>0</v>
      </c>
      <c r="J4596" t="n">
        <v>0</v>
      </c>
      <c r="K4596" t="n">
        <v>0</v>
      </c>
      <c r="L4596" t="n">
        <v>0</v>
      </c>
      <c r="M4596" t="n">
        <v>0</v>
      </c>
      <c r="N4596" t="n">
        <v>0</v>
      </c>
      <c r="O4596" t="n">
        <v>0</v>
      </c>
      <c r="P4596" t="n">
        <v>0</v>
      </c>
      <c r="Q4596" t="n">
        <v>0</v>
      </c>
      <c r="R4596" s="2" t="inlineStr"/>
    </row>
    <row r="4597" ht="15" customHeight="1">
      <c r="A4597" t="inlineStr">
        <is>
          <t>A 41763-2022</t>
        </is>
      </c>
      <c r="B4597" s="1" t="n">
        <v>44827</v>
      </c>
      <c r="C4597" s="1" t="n">
        <v>45798</v>
      </c>
      <c r="D4597" t="inlineStr">
        <is>
          <t>NORRBOTTENS LÄN</t>
        </is>
      </c>
      <c r="E4597" t="inlineStr">
        <is>
          <t>ARVIDSJAUR</t>
        </is>
      </c>
      <c r="F4597" t="inlineStr">
        <is>
          <t>Sveaskog</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42278-2022</t>
        </is>
      </c>
      <c r="B4598" s="1" t="n">
        <v>44831</v>
      </c>
      <c r="C4598" s="1" t="n">
        <v>45798</v>
      </c>
      <c r="D4598" t="inlineStr">
        <is>
          <t>NORRBOTTENS LÄN</t>
        </is>
      </c>
      <c r="E4598" t="inlineStr">
        <is>
          <t>GÄLLIVARE</t>
        </is>
      </c>
      <c r="F4598" t="inlineStr">
        <is>
          <t>SCA</t>
        </is>
      </c>
      <c r="G4598" t="n">
        <v>15.2</v>
      </c>
      <c r="H4598" t="n">
        <v>0</v>
      </c>
      <c r="I4598" t="n">
        <v>0</v>
      </c>
      <c r="J4598" t="n">
        <v>0</v>
      </c>
      <c r="K4598" t="n">
        <v>0</v>
      </c>
      <c r="L4598" t="n">
        <v>0</v>
      </c>
      <c r="M4598" t="n">
        <v>0</v>
      </c>
      <c r="N4598" t="n">
        <v>0</v>
      </c>
      <c r="O4598" t="n">
        <v>0</v>
      </c>
      <c r="P4598" t="n">
        <v>0</v>
      </c>
      <c r="Q4598" t="n">
        <v>0</v>
      </c>
      <c r="R4598" s="2" t="inlineStr"/>
    </row>
    <row r="4599" ht="15" customHeight="1">
      <c r="A4599" t="inlineStr">
        <is>
          <t>A 42254-2022</t>
        </is>
      </c>
      <c r="B4599" s="1" t="n">
        <v>44831</v>
      </c>
      <c r="C4599" s="1" t="n">
        <v>45798</v>
      </c>
      <c r="D4599" t="inlineStr">
        <is>
          <t>NORRBOTTENS LÄN</t>
        </is>
      </c>
      <c r="E4599" t="inlineStr">
        <is>
          <t>ÖVERTORNEÅ</t>
        </is>
      </c>
      <c r="G4599" t="n">
        <v>10.3</v>
      </c>
      <c r="H4599" t="n">
        <v>0</v>
      </c>
      <c r="I4599" t="n">
        <v>0</v>
      </c>
      <c r="J4599" t="n">
        <v>0</v>
      </c>
      <c r="K4599" t="n">
        <v>0</v>
      </c>
      <c r="L4599" t="n">
        <v>0</v>
      </c>
      <c r="M4599" t="n">
        <v>0</v>
      </c>
      <c r="N4599" t="n">
        <v>0</v>
      </c>
      <c r="O4599" t="n">
        <v>0</v>
      </c>
      <c r="P4599" t="n">
        <v>0</v>
      </c>
      <c r="Q4599" t="n">
        <v>0</v>
      </c>
      <c r="R4599" s="2" t="inlineStr"/>
    </row>
    <row r="4600" ht="15" customHeight="1">
      <c r="A4600" t="inlineStr">
        <is>
          <t>A 42258-2022</t>
        </is>
      </c>
      <c r="B4600" s="1" t="n">
        <v>44831</v>
      </c>
      <c r="C4600" s="1" t="n">
        <v>45798</v>
      </c>
      <c r="D4600" t="inlineStr">
        <is>
          <t>NORRBOTTENS LÄN</t>
        </is>
      </c>
      <c r="E4600" t="inlineStr">
        <is>
          <t>JOKKMOKK</t>
        </is>
      </c>
      <c r="F4600" t="inlineStr">
        <is>
          <t>Allmännings- och besparingsskogar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42256-2022</t>
        </is>
      </c>
      <c r="B4601" s="1" t="n">
        <v>44831</v>
      </c>
      <c r="C4601" s="1" t="n">
        <v>45798</v>
      </c>
      <c r="D4601" t="inlineStr">
        <is>
          <t>NORRBOTTENS LÄN</t>
        </is>
      </c>
      <c r="E4601" t="inlineStr">
        <is>
          <t>JOKKMOKK</t>
        </is>
      </c>
      <c r="F4601" t="inlineStr">
        <is>
          <t>Allmännings- och besparingsskogar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42407-2022</t>
        </is>
      </c>
      <c r="B4602" s="1" t="n">
        <v>44830</v>
      </c>
      <c r="C4602" s="1" t="n">
        <v>45798</v>
      </c>
      <c r="D4602" t="inlineStr">
        <is>
          <t>NORRBOTTENS LÄN</t>
        </is>
      </c>
      <c r="E4602" t="inlineStr">
        <is>
          <t>ÖVERKALIX</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42257-2022</t>
        </is>
      </c>
      <c r="B4603" s="1" t="n">
        <v>44831</v>
      </c>
      <c r="C4603" s="1" t="n">
        <v>45798</v>
      </c>
      <c r="D4603" t="inlineStr">
        <is>
          <t>NORRBOTTENS LÄN</t>
        </is>
      </c>
      <c r="E4603" t="inlineStr">
        <is>
          <t>JOKKMOKK</t>
        </is>
      </c>
      <c r="F4603" t="inlineStr">
        <is>
          <t>Allmännings- och besparingsskogar</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42263-2022</t>
        </is>
      </c>
      <c r="B4604" s="1" t="n">
        <v>44830</v>
      </c>
      <c r="C4604" s="1" t="n">
        <v>45798</v>
      </c>
      <c r="D4604" t="inlineStr">
        <is>
          <t>NORRBOTTENS LÄN</t>
        </is>
      </c>
      <c r="E4604" t="inlineStr">
        <is>
          <t>JOKKMOKK</t>
        </is>
      </c>
      <c r="F4604" t="inlineStr">
        <is>
          <t>Allmännings- och besparingsskogar</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42274-2022</t>
        </is>
      </c>
      <c r="B4605" s="1" t="n">
        <v>44830</v>
      </c>
      <c r="C4605" s="1" t="n">
        <v>45798</v>
      </c>
      <c r="D4605" t="inlineStr">
        <is>
          <t>NORRBOTTENS LÄN</t>
        </is>
      </c>
      <c r="E4605" t="inlineStr">
        <is>
          <t>ARJEPLOG</t>
        </is>
      </c>
      <c r="F4605" t="inlineStr">
        <is>
          <t>SCA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42356-2022</t>
        </is>
      </c>
      <c r="B4606" s="1" t="n">
        <v>44830</v>
      </c>
      <c r="C4606" s="1" t="n">
        <v>45798</v>
      </c>
      <c r="D4606" t="inlineStr">
        <is>
          <t>NORRBOTTENS LÄN</t>
        </is>
      </c>
      <c r="E4606" t="inlineStr">
        <is>
          <t>HAPARANDA</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42604-2022</t>
        </is>
      </c>
      <c r="B4607" s="1" t="n">
        <v>44831</v>
      </c>
      <c r="C4607" s="1" t="n">
        <v>45798</v>
      </c>
      <c r="D4607" t="inlineStr">
        <is>
          <t>NORRBOTTENS LÄN</t>
        </is>
      </c>
      <c r="E4607" t="inlineStr">
        <is>
          <t>ÖVERTORNEÅ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42602-2022</t>
        </is>
      </c>
      <c r="B4608" s="1" t="n">
        <v>44831</v>
      </c>
      <c r="C4608" s="1" t="n">
        <v>45798</v>
      </c>
      <c r="D4608" t="inlineStr">
        <is>
          <t>NORRBOTTENS LÄN</t>
        </is>
      </c>
      <c r="E4608" t="inlineStr">
        <is>
          <t>ÖVERTORNEÅ</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42641-2022</t>
        </is>
      </c>
      <c r="B4609" s="1" t="n">
        <v>44831</v>
      </c>
      <c r="C4609" s="1" t="n">
        <v>45798</v>
      </c>
      <c r="D4609" t="inlineStr">
        <is>
          <t>NORRBOTTENS LÄN</t>
        </is>
      </c>
      <c r="E4609" t="inlineStr">
        <is>
          <t>BODEN</t>
        </is>
      </c>
      <c r="F4609" t="inlineStr">
        <is>
          <t>SCA</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42535-2022</t>
        </is>
      </c>
      <c r="B4610" s="1" t="n">
        <v>44831</v>
      </c>
      <c r="C4610" s="1" t="n">
        <v>45798</v>
      </c>
      <c r="D4610" t="inlineStr">
        <is>
          <t>NORRBOTTENS LÄN</t>
        </is>
      </c>
      <c r="E4610" t="inlineStr">
        <is>
          <t>HAPARANDA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42607-2022</t>
        </is>
      </c>
      <c r="B4611" s="1" t="n">
        <v>44831</v>
      </c>
      <c r="C4611" s="1" t="n">
        <v>45798</v>
      </c>
      <c r="D4611" t="inlineStr">
        <is>
          <t>NORRBOTTENS LÄN</t>
        </is>
      </c>
      <c r="E4611" t="inlineStr">
        <is>
          <t>ÖVERTORNEÅ</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42642-2022</t>
        </is>
      </c>
      <c r="B4612" s="1" t="n">
        <v>44831</v>
      </c>
      <c r="C4612" s="1" t="n">
        <v>45798</v>
      </c>
      <c r="D4612" t="inlineStr">
        <is>
          <t>NORRBOTTENS LÄN</t>
        </is>
      </c>
      <c r="E4612" t="inlineStr">
        <is>
          <t>BODEN</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42608-2022</t>
        </is>
      </c>
      <c r="B4613" s="1" t="n">
        <v>44831</v>
      </c>
      <c r="C4613" s="1" t="n">
        <v>45798</v>
      </c>
      <c r="D4613" t="inlineStr">
        <is>
          <t>NORRBOTTENS LÄN</t>
        </is>
      </c>
      <c r="E4613" t="inlineStr">
        <is>
          <t>ÖVERTORNEÅ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42632-2022</t>
        </is>
      </c>
      <c r="B4614" s="1" t="n">
        <v>44832</v>
      </c>
      <c r="C4614" s="1" t="n">
        <v>45798</v>
      </c>
      <c r="D4614" t="inlineStr">
        <is>
          <t>NORRBOTTENS LÄN</t>
        </is>
      </c>
      <c r="E4614" t="inlineStr">
        <is>
          <t>BODEN</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42643-2022</t>
        </is>
      </c>
      <c r="B4615" s="1" t="n">
        <v>44831</v>
      </c>
      <c r="C4615" s="1" t="n">
        <v>45798</v>
      </c>
      <c r="D4615" t="inlineStr">
        <is>
          <t>NORRBOTTENS LÄN</t>
        </is>
      </c>
      <c r="E4615" t="inlineStr">
        <is>
          <t>BODEN</t>
        </is>
      </c>
      <c r="F4615" t="inlineStr">
        <is>
          <t>SCA</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42697-2022</t>
        </is>
      </c>
      <c r="B4616" s="1" t="n">
        <v>44831</v>
      </c>
      <c r="C4616" s="1" t="n">
        <v>45798</v>
      </c>
      <c r="D4616" t="inlineStr">
        <is>
          <t>NORRBOTTENS LÄN</t>
        </is>
      </c>
      <c r="E4616" t="inlineStr">
        <is>
          <t>HAPARANDA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42667-2022</t>
        </is>
      </c>
      <c r="B4617" s="1" t="n">
        <v>44832</v>
      </c>
      <c r="C4617" s="1" t="n">
        <v>45798</v>
      </c>
      <c r="D4617" t="inlineStr">
        <is>
          <t>NORRBOTTENS LÄN</t>
        </is>
      </c>
      <c r="E4617" t="inlineStr">
        <is>
          <t>BODEN</t>
        </is>
      </c>
      <c r="F4617" t="inlineStr">
        <is>
          <t>Sveaskog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42796-2022</t>
        </is>
      </c>
      <c r="B4618" s="1" t="n">
        <v>44832</v>
      </c>
      <c r="C4618" s="1" t="n">
        <v>45798</v>
      </c>
      <c r="D4618" t="inlineStr">
        <is>
          <t>NORRBOTTENS LÄN</t>
        </is>
      </c>
      <c r="E4618" t="inlineStr">
        <is>
          <t>PAJALA</t>
        </is>
      </c>
      <c r="G4618" t="n">
        <v>31.1</v>
      </c>
      <c r="H4618" t="n">
        <v>0</v>
      </c>
      <c r="I4618" t="n">
        <v>0</v>
      </c>
      <c r="J4618" t="n">
        <v>0</v>
      </c>
      <c r="K4618" t="n">
        <v>0</v>
      </c>
      <c r="L4618" t="n">
        <v>0</v>
      </c>
      <c r="M4618" t="n">
        <v>0</v>
      </c>
      <c r="N4618" t="n">
        <v>0</v>
      </c>
      <c r="O4618" t="n">
        <v>0</v>
      </c>
      <c r="P4618" t="n">
        <v>0</v>
      </c>
      <c r="Q4618" t="n">
        <v>0</v>
      </c>
      <c r="R4618" s="2" t="inlineStr"/>
    </row>
    <row r="4619" ht="15" customHeight="1">
      <c r="A4619" t="inlineStr">
        <is>
          <t>A 42753-2022</t>
        </is>
      </c>
      <c r="B4619" s="1" t="n">
        <v>44832</v>
      </c>
      <c r="C4619" s="1" t="n">
        <v>45798</v>
      </c>
      <c r="D4619" t="inlineStr">
        <is>
          <t>NORRBOTTENS LÄN</t>
        </is>
      </c>
      <c r="E4619" t="inlineStr">
        <is>
          <t>LULEÅ</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42805-2022</t>
        </is>
      </c>
      <c r="B4620" s="1" t="n">
        <v>44832</v>
      </c>
      <c r="C4620" s="1" t="n">
        <v>45798</v>
      </c>
      <c r="D4620" t="inlineStr">
        <is>
          <t>NORRBOTTENS LÄN</t>
        </is>
      </c>
      <c r="E4620" t="inlineStr">
        <is>
          <t>ÄLVSBYN</t>
        </is>
      </c>
      <c r="F4620" t="inlineStr">
        <is>
          <t>Sveaskog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42886-2022</t>
        </is>
      </c>
      <c r="B4621" s="1" t="n">
        <v>44833</v>
      </c>
      <c r="C4621" s="1" t="n">
        <v>45798</v>
      </c>
      <c r="D4621" t="inlineStr">
        <is>
          <t>NORRBOTTENS LÄN</t>
        </is>
      </c>
      <c r="E4621" t="inlineStr">
        <is>
          <t>GÄLLIVARE</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42990-2022</t>
        </is>
      </c>
      <c r="B4622" s="1" t="n">
        <v>44832</v>
      </c>
      <c r="C4622" s="1" t="n">
        <v>45798</v>
      </c>
      <c r="D4622" t="inlineStr">
        <is>
          <t>NORRBOTTENS LÄN</t>
        </is>
      </c>
      <c r="E4622" t="inlineStr">
        <is>
          <t>BODEN</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43003-2022</t>
        </is>
      </c>
      <c r="B4623" s="1" t="n">
        <v>44833</v>
      </c>
      <c r="C4623" s="1" t="n">
        <v>45798</v>
      </c>
      <c r="D4623" t="inlineStr">
        <is>
          <t>NORRBOTTENS LÄN</t>
        </is>
      </c>
      <c r="E4623" t="inlineStr">
        <is>
          <t>ÖVERTORNEÅ</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43045-2022</t>
        </is>
      </c>
      <c r="B4624" s="1" t="n">
        <v>44833</v>
      </c>
      <c r="C4624" s="1" t="n">
        <v>45798</v>
      </c>
      <c r="D4624" t="inlineStr">
        <is>
          <t>NORRBOTTENS LÄN</t>
        </is>
      </c>
      <c r="E4624" t="inlineStr">
        <is>
          <t>ARJEPLOG</t>
        </is>
      </c>
      <c r="G4624" t="n">
        <v>49.2</v>
      </c>
      <c r="H4624" t="n">
        <v>0</v>
      </c>
      <c r="I4624" t="n">
        <v>0</v>
      </c>
      <c r="J4624" t="n">
        <v>0</v>
      </c>
      <c r="K4624" t="n">
        <v>0</v>
      </c>
      <c r="L4624" t="n">
        <v>0</v>
      </c>
      <c r="M4624" t="n">
        <v>0</v>
      </c>
      <c r="N4624" t="n">
        <v>0</v>
      </c>
      <c r="O4624" t="n">
        <v>0</v>
      </c>
      <c r="P4624" t="n">
        <v>0</v>
      </c>
      <c r="Q4624" t="n">
        <v>0</v>
      </c>
      <c r="R4624" s="2" t="inlineStr"/>
    </row>
    <row r="4625" ht="15" customHeight="1">
      <c r="A4625" t="inlineStr">
        <is>
          <t>A 42995-2022</t>
        </is>
      </c>
      <c r="B4625" s="1" t="n">
        <v>44833</v>
      </c>
      <c r="C4625" s="1" t="n">
        <v>45798</v>
      </c>
      <c r="D4625" t="inlineStr">
        <is>
          <t>NORRBOTTENS LÄN</t>
        </is>
      </c>
      <c r="E4625" t="inlineStr">
        <is>
          <t>BODEN</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43026-2022</t>
        </is>
      </c>
      <c r="B4626" s="1" t="n">
        <v>44833</v>
      </c>
      <c r="C4626" s="1" t="n">
        <v>45798</v>
      </c>
      <c r="D4626" t="inlineStr">
        <is>
          <t>NORRBOTTENS LÄN</t>
        </is>
      </c>
      <c r="E4626" t="inlineStr">
        <is>
          <t>PAJALA</t>
        </is>
      </c>
      <c r="F4626" t="inlineStr">
        <is>
          <t>Sveaskog</t>
        </is>
      </c>
      <c r="G4626" t="n">
        <v>40</v>
      </c>
      <c r="H4626" t="n">
        <v>0</v>
      </c>
      <c r="I4626" t="n">
        <v>0</v>
      </c>
      <c r="J4626" t="n">
        <v>0</v>
      </c>
      <c r="K4626" t="n">
        <v>0</v>
      </c>
      <c r="L4626" t="n">
        <v>0</v>
      </c>
      <c r="M4626" t="n">
        <v>0</v>
      </c>
      <c r="N4626" t="n">
        <v>0</v>
      </c>
      <c r="O4626" t="n">
        <v>0</v>
      </c>
      <c r="P4626" t="n">
        <v>0</v>
      </c>
      <c r="Q4626" t="n">
        <v>0</v>
      </c>
      <c r="R4626" s="2" t="inlineStr"/>
    </row>
    <row r="4627" ht="15" customHeight="1">
      <c r="A4627" t="inlineStr">
        <is>
          <t>A 43042-2022</t>
        </is>
      </c>
      <c r="B4627" s="1" t="n">
        <v>44833</v>
      </c>
      <c r="C4627" s="1" t="n">
        <v>45798</v>
      </c>
      <c r="D4627" t="inlineStr">
        <is>
          <t>NORRBOTTENS LÄN</t>
        </is>
      </c>
      <c r="E4627" t="inlineStr">
        <is>
          <t>ÖVERKALIX</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43007-2022</t>
        </is>
      </c>
      <c r="B4628" s="1" t="n">
        <v>44833</v>
      </c>
      <c r="C4628" s="1" t="n">
        <v>45798</v>
      </c>
      <c r="D4628" t="inlineStr">
        <is>
          <t>NORRBOTTENS LÄN</t>
        </is>
      </c>
      <c r="E4628" t="inlineStr">
        <is>
          <t>BODEN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43153-2022</t>
        </is>
      </c>
      <c r="B4629" s="1" t="n">
        <v>44834</v>
      </c>
      <c r="C4629" s="1" t="n">
        <v>45798</v>
      </c>
      <c r="D4629" t="inlineStr">
        <is>
          <t>NORRBOTTENS LÄN</t>
        </is>
      </c>
      <c r="E4629" t="inlineStr">
        <is>
          <t>GÄLLIVARE</t>
        </is>
      </c>
      <c r="F4629" t="inlineStr">
        <is>
          <t>SCA</t>
        </is>
      </c>
      <c r="G4629" t="n">
        <v>22.3</v>
      </c>
      <c r="H4629" t="n">
        <v>0</v>
      </c>
      <c r="I4629" t="n">
        <v>0</v>
      </c>
      <c r="J4629" t="n">
        <v>0</v>
      </c>
      <c r="K4629" t="n">
        <v>0</v>
      </c>
      <c r="L4629" t="n">
        <v>0</v>
      </c>
      <c r="M4629" t="n">
        <v>0</v>
      </c>
      <c r="N4629" t="n">
        <v>0</v>
      </c>
      <c r="O4629" t="n">
        <v>0</v>
      </c>
      <c r="P4629" t="n">
        <v>0</v>
      </c>
      <c r="Q4629" t="n">
        <v>0</v>
      </c>
      <c r="R4629" s="2" t="inlineStr"/>
    </row>
    <row r="4630" ht="15" customHeight="1">
      <c r="A4630" t="inlineStr">
        <is>
          <t>A 43055-2022</t>
        </is>
      </c>
      <c r="B4630" s="1" t="n">
        <v>44833</v>
      </c>
      <c r="C4630" s="1" t="n">
        <v>45798</v>
      </c>
      <c r="D4630" t="inlineStr">
        <is>
          <t>NORRBOTTENS LÄN</t>
        </is>
      </c>
      <c r="E4630" t="inlineStr">
        <is>
          <t>ÖVERTORNEÅ</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43070-2022</t>
        </is>
      </c>
      <c r="B4631" s="1" t="n">
        <v>44833</v>
      </c>
      <c r="C4631" s="1" t="n">
        <v>45798</v>
      </c>
      <c r="D4631" t="inlineStr">
        <is>
          <t>NORRBOTTENS LÄN</t>
        </is>
      </c>
      <c r="E4631" t="inlineStr">
        <is>
          <t>KALIX</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43154-2022</t>
        </is>
      </c>
      <c r="B4632" s="1" t="n">
        <v>44834</v>
      </c>
      <c r="C4632" s="1" t="n">
        <v>45798</v>
      </c>
      <c r="D4632" t="inlineStr">
        <is>
          <t>NORRBOTTENS LÄN</t>
        </is>
      </c>
      <c r="E4632" t="inlineStr">
        <is>
          <t>GÄLLIVARE</t>
        </is>
      </c>
      <c r="F4632" t="inlineStr">
        <is>
          <t>SCA</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43155-2022</t>
        </is>
      </c>
      <c r="B4633" s="1" t="n">
        <v>44834</v>
      </c>
      <c r="C4633" s="1" t="n">
        <v>45798</v>
      </c>
      <c r="D4633" t="inlineStr">
        <is>
          <t>NORRBOTTENS LÄN</t>
        </is>
      </c>
      <c r="E4633" t="inlineStr">
        <is>
          <t>GÄLLIVARE</t>
        </is>
      </c>
      <c r="F4633" t="inlineStr">
        <is>
          <t>SCA</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43159-2022</t>
        </is>
      </c>
      <c r="B4634" s="1" t="n">
        <v>44834</v>
      </c>
      <c r="C4634" s="1" t="n">
        <v>45798</v>
      </c>
      <c r="D4634" t="inlineStr">
        <is>
          <t>NORRBOTTENS LÄN</t>
        </is>
      </c>
      <c r="E4634" t="inlineStr">
        <is>
          <t>GÄLLIVARE</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43294-2022</t>
        </is>
      </c>
      <c r="B4635" s="1" t="n">
        <v>44833</v>
      </c>
      <c r="C4635" s="1" t="n">
        <v>45798</v>
      </c>
      <c r="D4635" t="inlineStr">
        <is>
          <t>NORRBOTTENS LÄN</t>
        </is>
      </c>
      <c r="E4635" t="inlineStr">
        <is>
          <t>ÖVERTORNEÅ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43157-2022</t>
        </is>
      </c>
      <c r="B4636" s="1" t="n">
        <v>44834</v>
      </c>
      <c r="C4636" s="1" t="n">
        <v>45798</v>
      </c>
      <c r="D4636" t="inlineStr">
        <is>
          <t>NORRBOTTENS LÄN</t>
        </is>
      </c>
      <c r="E4636" t="inlineStr">
        <is>
          <t>GÄLLIVARE</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43282-2022</t>
        </is>
      </c>
      <c r="B4637" s="1" t="n">
        <v>44833</v>
      </c>
      <c r="C4637" s="1" t="n">
        <v>45798</v>
      </c>
      <c r="D4637" t="inlineStr">
        <is>
          <t>NORRBOTTENS LÄN</t>
        </is>
      </c>
      <c r="E4637" t="inlineStr">
        <is>
          <t>ÖVERTORNEÅ</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43188-2022</t>
        </is>
      </c>
      <c r="B4638" s="1" t="n">
        <v>44833</v>
      </c>
      <c r="C4638" s="1" t="n">
        <v>45798</v>
      </c>
      <c r="D4638" t="inlineStr">
        <is>
          <t>NORRBOTTENS LÄN</t>
        </is>
      </c>
      <c r="E4638" t="inlineStr">
        <is>
          <t>KALIX</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43156-2022</t>
        </is>
      </c>
      <c r="B4639" s="1" t="n">
        <v>44834</v>
      </c>
      <c r="C4639" s="1" t="n">
        <v>45798</v>
      </c>
      <c r="D4639" t="inlineStr">
        <is>
          <t>NORRBOTTENS LÄN</t>
        </is>
      </c>
      <c r="E4639" t="inlineStr">
        <is>
          <t>GÄLLIVARE</t>
        </is>
      </c>
      <c r="F4639" t="inlineStr">
        <is>
          <t>SCA</t>
        </is>
      </c>
      <c r="G4639" t="n">
        <v>10.7</v>
      </c>
      <c r="H4639" t="n">
        <v>0</v>
      </c>
      <c r="I4639" t="n">
        <v>0</v>
      </c>
      <c r="J4639" t="n">
        <v>0</v>
      </c>
      <c r="K4639" t="n">
        <v>0</v>
      </c>
      <c r="L4639" t="n">
        <v>0</v>
      </c>
      <c r="M4639" t="n">
        <v>0</v>
      </c>
      <c r="N4639" t="n">
        <v>0</v>
      </c>
      <c r="O4639" t="n">
        <v>0</v>
      </c>
      <c r="P4639" t="n">
        <v>0</v>
      </c>
      <c r="Q4639" t="n">
        <v>0</v>
      </c>
      <c r="R4639" s="2" t="inlineStr"/>
    </row>
    <row r="4640" ht="15" customHeight="1">
      <c r="A4640" t="inlineStr">
        <is>
          <t>A 43314-2022</t>
        </is>
      </c>
      <c r="B4640" s="1" t="n">
        <v>44834</v>
      </c>
      <c r="C4640" s="1" t="n">
        <v>45798</v>
      </c>
      <c r="D4640" t="inlineStr">
        <is>
          <t>NORRBOTTENS LÄN</t>
        </is>
      </c>
      <c r="E4640" t="inlineStr">
        <is>
          <t>ÖVERKALIX</t>
        </is>
      </c>
      <c r="G4640" t="n">
        <v>13.1</v>
      </c>
      <c r="H4640" t="n">
        <v>0</v>
      </c>
      <c r="I4640" t="n">
        <v>0</v>
      </c>
      <c r="J4640" t="n">
        <v>0</v>
      </c>
      <c r="K4640" t="n">
        <v>0</v>
      </c>
      <c r="L4640" t="n">
        <v>0</v>
      </c>
      <c r="M4640" t="n">
        <v>0</v>
      </c>
      <c r="N4640" t="n">
        <v>0</v>
      </c>
      <c r="O4640" t="n">
        <v>0</v>
      </c>
      <c r="P4640" t="n">
        <v>0</v>
      </c>
      <c r="Q4640" t="n">
        <v>0</v>
      </c>
      <c r="R4640" s="2" t="inlineStr"/>
    </row>
    <row r="4641" ht="15" customHeight="1">
      <c r="A4641" t="inlineStr">
        <is>
          <t>A 43327-2022</t>
        </is>
      </c>
      <c r="B4641" s="1" t="n">
        <v>44834</v>
      </c>
      <c r="C4641" s="1" t="n">
        <v>45798</v>
      </c>
      <c r="D4641" t="inlineStr">
        <is>
          <t>NORRBOTTENS LÄN</t>
        </is>
      </c>
      <c r="E4641" t="inlineStr">
        <is>
          <t>ÖVERKALIX</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43316-2022</t>
        </is>
      </c>
      <c r="B4642" s="1" t="n">
        <v>44834</v>
      </c>
      <c r="C4642" s="1" t="n">
        <v>45798</v>
      </c>
      <c r="D4642" t="inlineStr">
        <is>
          <t>NORRBOTTENS LÄN</t>
        </is>
      </c>
      <c r="E4642" t="inlineStr">
        <is>
          <t>PAJALA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43396-2022</t>
        </is>
      </c>
      <c r="B4643" s="1" t="n">
        <v>44834</v>
      </c>
      <c r="C4643" s="1" t="n">
        <v>45798</v>
      </c>
      <c r="D4643" t="inlineStr">
        <is>
          <t>NORRBOTTENS LÄN</t>
        </is>
      </c>
      <c r="E4643" t="inlineStr">
        <is>
          <t>PAJALA</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43464-2022</t>
        </is>
      </c>
      <c r="B4644" s="1" t="n">
        <v>44836</v>
      </c>
      <c r="C4644" s="1" t="n">
        <v>45798</v>
      </c>
      <c r="D4644" t="inlineStr">
        <is>
          <t>NORRBOTTENS LÄN</t>
        </is>
      </c>
      <c r="E4644" t="inlineStr">
        <is>
          <t>BODEN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43482-2022</t>
        </is>
      </c>
      <c r="B4645" s="1" t="n">
        <v>44837</v>
      </c>
      <c r="C4645" s="1" t="n">
        <v>45798</v>
      </c>
      <c r="D4645" t="inlineStr">
        <is>
          <t>NORRBOTTENS LÄN</t>
        </is>
      </c>
      <c r="E4645" t="inlineStr">
        <is>
          <t>ÖVERTORNEÅ</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43579-2022</t>
        </is>
      </c>
      <c r="B4646" s="1" t="n">
        <v>44837</v>
      </c>
      <c r="C4646" s="1" t="n">
        <v>45798</v>
      </c>
      <c r="D4646" t="inlineStr">
        <is>
          <t>NORRBOTTENS LÄN</t>
        </is>
      </c>
      <c r="E4646" t="inlineStr">
        <is>
          <t>ÄLVSBYN</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43749-2022</t>
        </is>
      </c>
      <c r="B4647" s="1" t="n">
        <v>44837</v>
      </c>
      <c r="C4647" s="1" t="n">
        <v>45798</v>
      </c>
      <c r="D4647" t="inlineStr">
        <is>
          <t>NORRBOTTENS LÄN</t>
        </is>
      </c>
      <c r="E4647" t="inlineStr">
        <is>
          <t>PAJALA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43751-2022</t>
        </is>
      </c>
      <c r="B4648" s="1" t="n">
        <v>44837</v>
      </c>
      <c r="C4648" s="1" t="n">
        <v>45798</v>
      </c>
      <c r="D4648" t="inlineStr">
        <is>
          <t>NORRBOTTENS LÄN</t>
        </is>
      </c>
      <c r="E4648" t="inlineStr">
        <is>
          <t>PAJALA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43599-2022</t>
        </is>
      </c>
      <c r="B4649" s="1" t="n">
        <v>44837</v>
      </c>
      <c r="C4649" s="1" t="n">
        <v>45798</v>
      </c>
      <c r="D4649" t="inlineStr">
        <is>
          <t>NORRBOTTENS LÄN</t>
        </is>
      </c>
      <c r="E4649" t="inlineStr">
        <is>
          <t>PAJALA</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43750-2022</t>
        </is>
      </c>
      <c r="B4650" s="1" t="n">
        <v>44837</v>
      </c>
      <c r="C4650" s="1" t="n">
        <v>45798</v>
      </c>
      <c r="D4650" t="inlineStr">
        <is>
          <t>NORRBOTTENS LÄN</t>
        </is>
      </c>
      <c r="E4650" t="inlineStr">
        <is>
          <t>PAJALA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44205-2022</t>
        </is>
      </c>
      <c r="B4651" s="1" t="n">
        <v>44837</v>
      </c>
      <c r="C4651" s="1" t="n">
        <v>45798</v>
      </c>
      <c r="D4651" t="inlineStr">
        <is>
          <t>NORRBOTTENS LÄN</t>
        </is>
      </c>
      <c r="E4651" t="inlineStr">
        <is>
          <t>LULEÅ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44192-2022</t>
        </is>
      </c>
      <c r="B4652" s="1" t="n">
        <v>44837</v>
      </c>
      <c r="C4652" s="1" t="n">
        <v>45798</v>
      </c>
      <c r="D4652" t="inlineStr">
        <is>
          <t>NORRBOTTENS LÄN</t>
        </is>
      </c>
      <c r="E4652" t="inlineStr">
        <is>
          <t>LULEÅ</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43861-2022</t>
        </is>
      </c>
      <c r="B4653" s="1" t="n">
        <v>44838</v>
      </c>
      <c r="C4653" s="1" t="n">
        <v>45798</v>
      </c>
      <c r="D4653" t="inlineStr">
        <is>
          <t>NORRBOTTENS LÄN</t>
        </is>
      </c>
      <c r="E4653" t="inlineStr">
        <is>
          <t>PITEÅ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43878-2022</t>
        </is>
      </c>
      <c r="B4654" s="1" t="n">
        <v>44838</v>
      </c>
      <c r="C4654" s="1" t="n">
        <v>45798</v>
      </c>
      <c r="D4654" t="inlineStr">
        <is>
          <t>NORRBOTTENS LÄN</t>
        </is>
      </c>
      <c r="E4654" t="inlineStr">
        <is>
          <t>JOKKMOKK</t>
        </is>
      </c>
      <c r="F4654" t="inlineStr">
        <is>
          <t>Allmännings- och besparingsskogar</t>
        </is>
      </c>
      <c r="G4654" t="n">
        <v>30.9</v>
      </c>
      <c r="H4654" t="n">
        <v>0</v>
      </c>
      <c r="I4654" t="n">
        <v>0</v>
      </c>
      <c r="J4654" t="n">
        <v>0</v>
      </c>
      <c r="K4654" t="n">
        <v>0</v>
      </c>
      <c r="L4654" t="n">
        <v>0</v>
      </c>
      <c r="M4654" t="n">
        <v>0</v>
      </c>
      <c r="N4654" t="n">
        <v>0</v>
      </c>
      <c r="O4654" t="n">
        <v>0</v>
      </c>
      <c r="P4654" t="n">
        <v>0</v>
      </c>
      <c r="Q4654" t="n">
        <v>0</v>
      </c>
      <c r="R4654" s="2" t="inlineStr"/>
    </row>
    <row r="4655" ht="15" customHeight="1">
      <c r="A4655" t="inlineStr">
        <is>
          <t>A 44031-2022</t>
        </is>
      </c>
      <c r="B4655" s="1" t="n">
        <v>44838</v>
      </c>
      <c r="C4655" s="1" t="n">
        <v>45798</v>
      </c>
      <c r="D4655" t="inlineStr">
        <is>
          <t>NORRBOTTENS LÄN</t>
        </is>
      </c>
      <c r="E4655" t="inlineStr">
        <is>
          <t>ÖVERTORNEÅ</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44046-2022</t>
        </is>
      </c>
      <c r="B4656" s="1" t="n">
        <v>44839</v>
      </c>
      <c r="C4656" s="1" t="n">
        <v>45798</v>
      </c>
      <c r="D4656" t="inlineStr">
        <is>
          <t>NORRBOTTENS LÄN</t>
        </is>
      </c>
      <c r="E4656" t="inlineStr">
        <is>
          <t>BODEN</t>
        </is>
      </c>
      <c r="F4656" t="inlineStr">
        <is>
          <t>SCA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44496-2022</t>
        </is>
      </c>
      <c r="B4657" s="1" t="n">
        <v>44838</v>
      </c>
      <c r="C4657" s="1" t="n">
        <v>45798</v>
      </c>
      <c r="D4657" t="inlineStr">
        <is>
          <t>NORRBOTTENS LÄN</t>
        </is>
      </c>
      <c r="E4657" t="inlineStr">
        <is>
          <t>PITEÅ</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44051-2022</t>
        </is>
      </c>
      <c r="B4658" s="1" t="n">
        <v>44838</v>
      </c>
      <c r="C4658" s="1" t="n">
        <v>45798</v>
      </c>
      <c r="D4658" t="inlineStr">
        <is>
          <t>NORRBOTTENS LÄN</t>
        </is>
      </c>
      <c r="E4658" t="inlineStr">
        <is>
          <t>BODEN</t>
        </is>
      </c>
      <c r="F4658" t="inlineStr">
        <is>
          <t>SCA</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44258-2022</t>
        </is>
      </c>
      <c r="B4659" s="1" t="n">
        <v>44839</v>
      </c>
      <c r="C4659" s="1" t="n">
        <v>45798</v>
      </c>
      <c r="D4659" t="inlineStr">
        <is>
          <t>NORRBOTTENS LÄN</t>
        </is>
      </c>
      <c r="E4659" t="inlineStr">
        <is>
          <t>BODEN</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44304-2022</t>
        </is>
      </c>
      <c r="B4660" s="1" t="n">
        <v>44839</v>
      </c>
      <c r="C4660" s="1" t="n">
        <v>45798</v>
      </c>
      <c r="D4660" t="inlineStr">
        <is>
          <t>NORRBOTTENS LÄN</t>
        </is>
      </c>
      <c r="E4660" t="inlineStr">
        <is>
          <t>PITEÅ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44345-2022</t>
        </is>
      </c>
      <c r="B4661" s="1" t="n">
        <v>44839</v>
      </c>
      <c r="C4661" s="1" t="n">
        <v>45798</v>
      </c>
      <c r="D4661" t="inlineStr">
        <is>
          <t>NORRBOTTENS LÄN</t>
        </is>
      </c>
      <c r="E4661" t="inlineStr">
        <is>
          <t>BODEN</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44688-2022</t>
        </is>
      </c>
      <c r="B4662" s="1" t="n">
        <v>44839</v>
      </c>
      <c r="C4662" s="1" t="n">
        <v>45798</v>
      </c>
      <c r="D4662" t="inlineStr">
        <is>
          <t>NORRBOTTENS LÄN</t>
        </is>
      </c>
      <c r="E4662" t="inlineStr">
        <is>
          <t>LULEÅ</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44335-2022</t>
        </is>
      </c>
      <c r="B4663" s="1" t="n">
        <v>44839</v>
      </c>
      <c r="C4663" s="1" t="n">
        <v>45798</v>
      </c>
      <c r="D4663" t="inlineStr">
        <is>
          <t>NORRBOTTENS LÄN</t>
        </is>
      </c>
      <c r="E4663" t="inlineStr">
        <is>
          <t>JOKKMOKK</t>
        </is>
      </c>
      <c r="F4663" t="inlineStr">
        <is>
          <t>Allmännings- och besparingsskogar</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44840-2022</t>
        </is>
      </c>
      <c r="B4664" s="1" t="n">
        <v>44839</v>
      </c>
      <c r="C4664" s="1" t="n">
        <v>45798</v>
      </c>
      <c r="D4664" t="inlineStr">
        <is>
          <t>NORRBOTTENS LÄN</t>
        </is>
      </c>
      <c r="E4664" t="inlineStr">
        <is>
          <t>GÄLLIVARE</t>
        </is>
      </c>
      <c r="F4664" t="inlineStr">
        <is>
          <t>Övriga statliga verk och myndigheter</t>
        </is>
      </c>
      <c r="G4664" t="n">
        <v>20.9</v>
      </c>
      <c r="H4664" t="n">
        <v>0</v>
      </c>
      <c r="I4664" t="n">
        <v>0</v>
      </c>
      <c r="J4664" t="n">
        <v>0</v>
      </c>
      <c r="K4664" t="n">
        <v>0</v>
      </c>
      <c r="L4664" t="n">
        <v>0</v>
      </c>
      <c r="M4664" t="n">
        <v>0</v>
      </c>
      <c r="N4664" t="n">
        <v>0</v>
      </c>
      <c r="O4664" t="n">
        <v>0</v>
      </c>
      <c r="P4664" t="n">
        <v>0</v>
      </c>
      <c r="Q4664" t="n">
        <v>0</v>
      </c>
      <c r="R4664" s="2" t="inlineStr"/>
    </row>
    <row r="4665" ht="15" customHeight="1">
      <c r="A4665" t="inlineStr">
        <is>
          <t>A 44833-2022</t>
        </is>
      </c>
      <c r="B4665" s="1" t="n">
        <v>44839</v>
      </c>
      <c r="C4665" s="1" t="n">
        <v>45798</v>
      </c>
      <c r="D4665" t="inlineStr">
        <is>
          <t>NORRBOTTENS LÄN</t>
        </is>
      </c>
      <c r="E4665" t="inlineStr">
        <is>
          <t>PAJALA</t>
        </is>
      </c>
      <c r="G4665" t="n">
        <v>19.9</v>
      </c>
      <c r="H4665" t="n">
        <v>0</v>
      </c>
      <c r="I4665" t="n">
        <v>0</v>
      </c>
      <c r="J4665" t="n">
        <v>0</v>
      </c>
      <c r="K4665" t="n">
        <v>0</v>
      </c>
      <c r="L4665" t="n">
        <v>0</v>
      </c>
      <c r="M4665" t="n">
        <v>0</v>
      </c>
      <c r="N4665" t="n">
        <v>0</v>
      </c>
      <c r="O4665" t="n">
        <v>0</v>
      </c>
      <c r="P4665" t="n">
        <v>0</v>
      </c>
      <c r="Q4665" t="n">
        <v>0</v>
      </c>
      <c r="R4665" s="2" t="inlineStr"/>
    </row>
    <row r="4666" ht="15" customHeight="1">
      <c r="A4666" t="inlineStr">
        <is>
          <t>A 44868-2022</t>
        </is>
      </c>
      <c r="B4666" s="1" t="n">
        <v>44839</v>
      </c>
      <c r="C4666" s="1" t="n">
        <v>45798</v>
      </c>
      <c r="D4666" t="inlineStr">
        <is>
          <t>NORRBOTTENS LÄN</t>
        </is>
      </c>
      <c r="E4666" t="inlineStr">
        <is>
          <t>PAJALA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44705-2022</t>
        </is>
      </c>
      <c r="B4667" s="1" t="n">
        <v>44839</v>
      </c>
      <c r="C4667" s="1" t="n">
        <v>45798</v>
      </c>
      <c r="D4667" t="inlineStr">
        <is>
          <t>NORRBOTTENS LÄN</t>
        </is>
      </c>
      <c r="E4667" t="inlineStr">
        <is>
          <t>LULEÅ</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44682-2022</t>
        </is>
      </c>
      <c r="B4668" s="1" t="n">
        <v>44840</v>
      </c>
      <c r="C4668" s="1" t="n">
        <v>45798</v>
      </c>
      <c r="D4668" t="inlineStr">
        <is>
          <t>NORRBOTTENS LÄN</t>
        </is>
      </c>
      <c r="E4668" t="inlineStr">
        <is>
          <t>BODEN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44509-2022</t>
        </is>
      </c>
      <c r="B4669" s="1" t="n">
        <v>44840</v>
      </c>
      <c r="C4669" s="1" t="n">
        <v>45798</v>
      </c>
      <c r="D4669" t="inlineStr">
        <is>
          <t>NORRBOTTENS LÄN</t>
        </is>
      </c>
      <c r="E4669" t="inlineStr">
        <is>
          <t>PITEÅ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44686-2022</t>
        </is>
      </c>
      <c r="B4670" s="1" t="n">
        <v>44840</v>
      </c>
      <c r="C4670" s="1" t="n">
        <v>45798</v>
      </c>
      <c r="D4670" t="inlineStr">
        <is>
          <t>NORRBOTTENS LÄN</t>
        </is>
      </c>
      <c r="E4670" t="inlineStr">
        <is>
          <t>BODEN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44511-2022</t>
        </is>
      </c>
      <c r="B4671" s="1" t="n">
        <v>44840</v>
      </c>
      <c r="C4671" s="1" t="n">
        <v>45798</v>
      </c>
      <c r="D4671" t="inlineStr">
        <is>
          <t>NORRBOTTENS LÄN</t>
        </is>
      </c>
      <c r="E4671" t="inlineStr">
        <is>
          <t>PITEÅ</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44679-2022</t>
        </is>
      </c>
      <c r="B4672" s="1" t="n">
        <v>44840</v>
      </c>
      <c r="C4672" s="1" t="n">
        <v>45798</v>
      </c>
      <c r="D4672" t="inlineStr">
        <is>
          <t>NORRBOTTENS LÄN</t>
        </is>
      </c>
      <c r="E4672" t="inlineStr">
        <is>
          <t>BODEN</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44751-2022</t>
        </is>
      </c>
      <c r="B4673" s="1" t="n">
        <v>44840</v>
      </c>
      <c r="C4673" s="1" t="n">
        <v>45798</v>
      </c>
      <c r="D4673" t="inlineStr">
        <is>
          <t>NORRBOTTENS LÄN</t>
        </is>
      </c>
      <c r="E4673" t="inlineStr">
        <is>
          <t>ARJEPLOG</t>
        </is>
      </c>
      <c r="F4673" t="inlineStr">
        <is>
          <t>SCA</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45205-2022</t>
        </is>
      </c>
      <c r="B4674" s="1" t="n">
        <v>44840</v>
      </c>
      <c r="C4674" s="1" t="n">
        <v>45798</v>
      </c>
      <c r="D4674" t="inlineStr">
        <is>
          <t>NORRBOTTENS LÄN</t>
        </is>
      </c>
      <c r="E4674" t="inlineStr">
        <is>
          <t>KIRUNA</t>
        </is>
      </c>
      <c r="F4674" t="inlineStr">
        <is>
          <t>Övriga statliga verk och myndigheter</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44772-2022</t>
        </is>
      </c>
      <c r="B4675" s="1" t="n">
        <v>44841</v>
      </c>
      <c r="C4675" s="1" t="n">
        <v>45798</v>
      </c>
      <c r="D4675" t="inlineStr">
        <is>
          <t>NORRBOTTENS LÄN</t>
        </is>
      </c>
      <c r="E4675" t="inlineStr">
        <is>
          <t>PAJALA</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44809-2022</t>
        </is>
      </c>
      <c r="B4676" s="1" t="n">
        <v>44841</v>
      </c>
      <c r="C4676" s="1" t="n">
        <v>45798</v>
      </c>
      <c r="D4676" t="inlineStr">
        <is>
          <t>NORRBOTTENS LÄN</t>
        </is>
      </c>
      <c r="E4676" t="inlineStr">
        <is>
          <t>PITEÅ</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44821-2022</t>
        </is>
      </c>
      <c r="B4677" s="1" t="n">
        <v>44841</v>
      </c>
      <c r="C4677" s="1" t="n">
        <v>45798</v>
      </c>
      <c r="D4677" t="inlineStr">
        <is>
          <t>NORRBOTTENS LÄN</t>
        </is>
      </c>
      <c r="E4677" t="inlineStr">
        <is>
          <t>PAJALA</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45035-2022</t>
        </is>
      </c>
      <c r="B4678" s="1" t="n">
        <v>44841</v>
      </c>
      <c r="C4678" s="1" t="n">
        <v>45798</v>
      </c>
      <c r="D4678" t="inlineStr">
        <is>
          <t>NORRBOTTENS LÄN</t>
        </is>
      </c>
      <c r="E4678" t="inlineStr">
        <is>
          <t>BODEN</t>
        </is>
      </c>
      <c r="F4678" t="inlineStr">
        <is>
          <t>Sveaskog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44987-2022</t>
        </is>
      </c>
      <c r="B4679" s="1" t="n">
        <v>44841</v>
      </c>
      <c r="C4679" s="1" t="n">
        <v>45798</v>
      </c>
      <c r="D4679" t="inlineStr">
        <is>
          <t>NORRBOTTENS LÄN</t>
        </is>
      </c>
      <c r="E4679" t="inlineStr">
        <is>
          <t>LULEÅ</t>
        </is>
      </c>
      <c r="F4679" t="inlineStr">
        <is>
          <t>Sveaskog</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45468-2022</t>
        </is>
      </c>
      <c r="B4680" s="1" t="n">
        <v>44841</v>
      </c>
      <c r="C4680" s="1" t="n">
        <v>45798</v>
      </c>
      <c r="D4680" t="inlineStr">
        <is>
          <t>NORRBOTTENS LÄN</t>
        </is>
      </c>
      <c r="E4680" t="inlineStr">
        <is>
          <t>JOKKMOKK</t>
        </is>
      </c>
      <c r="F4680" t="inlineStr">
        <is>
          <t>Övriga Aktiebolag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45512-2022</t>
        </is>
      </c>
      <c r="B4681" s="1" t="n">
        <v>44841</v>
      </c>
      <c r="C4681" s="1" t="n">
        <v>45798</v>
      </c>
      <c r="D4681" t="inlineStr">
        <is>
          <t>NORRBOTTENS LÄN</t>
        </is>
      </c>
      <c r="E4681" t="inlineStr">
        <is>
          <t>JOKKMOKK</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45469-2022</t>
        </is>
      </c>
      <c r="B4682" s="1" t="n">
        <v>44841</v>
      </c>
      <c r="C4682" s="1" t="n">
        <v>45798</v>
      </c>
      <c r="D4682" t="inlineStr">
        <is>
          <t>NORRBOTTENS LÄN</t>
        </is>
      </c>
      <c r="E4682" t="inlineStr">
        <is>
          <t>JOKKMOKK</t>
        </is>
      </c>
      <c r="F4682" t="inlineStr">
        <is>
          <t>Övriga Aktiebolag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45505-2022</t>
        </is>
      </c>
      <c r="B4683" s="1" t="n">
        <v>44841</v>
      </c>
      <c r="C4683" s="1" t="n">
        <v>45798</v>
      </c>
      <c r="D4683" t="inlineStr">
        <is>
          <t>NORRBOTTENS LÄN</t>
        </is>
      </c>
      <c r="E4683" t="inlineStr">
        <is>
          <t>JOKKMOKK</t>
        </is>
      </c>
      <c r="F4683" t="inlineStr">
        <is>
          <t>Övriga Aktiebolag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45510-2022</t>
        </is>
      </c>
      <c r="B4684" s="1" t="n">
        <v>44841</v>
      </c>
      <c r="C4684" s="1" t="n">
        <v>45798</v>
      </c>
      <c r="D4684" t="inlineStr">
        <is>
          <t>NORRBOTTENS LÄN</t>
        </is>
      </c>
      <c r="E4684" t="inlineStr">
        <is>
          <t>JOKKMOKK</t>
        </is>
      </c>
      <c r="F4684" t="inlineStr">
        <is>
          <t>Övriga Aktiebolag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45164-2022</t>
        </is>
      </c>
      <c r="B4685" s="1" t="n">
        <v>44844</v>
      </c>
      <c r="C4685" s="1" t="n">
        <v>45798</v>
      </c>
      <c r="D4685" t="inlineStr">
        <is>
          <t>NORRBOTTENS LÄN</t>
        </is>
      </c>
      <c r="E4685" t="inlineStr">
        <is>
          <t>BODEN</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45176-2022</t>
        </is>
      </c>
      <c r="B4686" s="1" t="n">
        <v>44844</v>
      </c>
      <c r="C4686" s="1" t="n">
        <v>45798</v>
      </c>
      <c r="D4686" t="inlineStr">
        <is>
          <t>NORRBOTTENS LÄN</t>
        </is>
      </c>
      <c r="E4686" t="inlineStr">
        <is>
          <t>BODEN</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45181-2022</t>
        </is>
      </c>
      <c r="B4687" s="1" t="n">
        <v>44844</v>
      </c>
      <c r="C4687" s="1" t="n">
        <v>45798</v>
      </c>
      <c r="D4687" t="inlineStr">
        <is>
          <t>NORRBOTTENS LÄN</t>
        </is>
      </c>
      <c r="E4687" t="inlineStr">
        <is>
          <t>PAJALA</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45178-2022</t>
        </is>
      </c>
      <c r="B4688" s="1" t="n">
        <v>44844</v>
      </c>
      <c r="C4688" s="1" t="n">
        <v>45798</v>
      </c>
      <c r="D4688" t="inlineStr">
        <is>
          <t>NORRBOTTENS LÄN</t>
        </is>
      </c>
      <c r="E4688" t="inlineStr">
        <is>
          <t>ÖVERTORNEÅ</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45281-2022</t>
        </is>
      </c>
      <c r="B4689" s="1" t="n">
        <v>44844</v>
      </c>
      <c r="C4689" s="1" t="n">
        <v>45798</v>
      </c>
      <c r="D4689" t="inlineStr">
        <is>
          <t>NORRBOTTENS LÄN</t>
        </is>
      </c>
      <c r="E4689" t="inlineStr">
        <is>
          <t>ÖVERKALIX</t>
        </is>
      </c>
      <c r="F4689" t="inlineStr">
        <is>
          <t>Sveaskog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45434-2022</t>
        </is>
      </c>
      <c r="B4690" s="1" t="n">
        <v>44845</v>
      </c>
      <c r="C4690" s="1" t="n">
        <v>45798</v>
      </c>
      <c r="D4690" t="inlineStr">
        <is>
          <t>NORRBOTTENS LÄN</t>
        </is>
      </c>
      <c r="E4690" t="inlineStr">
        <is>
          <t>PITEÅ</t>
        </is>
      </c>
      <c r="F4690" t="inlineStr">
        <is>
          <t>SCA</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45433-2022</t>
        </is>
      </c>
      <c r="B4691" s="1" t="n">
        <v>44845</v>
      </c>
      <c r="C4691" s="1" t="n">
        <v>45798</v>
      </c>
      <c r="D4691" t="inlineStr">
        <is>
          <t>NORRBOTTENS LÄN</t>
        </is>
      </c>
      <c r="E4691" t="inlineStr">
        <is>
          <t>PITEÅ</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45801-2022</t>
        </is>
      </c>
      <c r="B4692" s="1" t="n">
        <v>44844</v>
      </c>
      <c r="C4692" s="1" t="n">
        <v>45798</v>
      </c>
      <c r="D4692" t="inlineStr">
        <is>
          <t>NORRBOTTENS LÄN</t>
        </is>
      </c>
      <c r="E4692" t="inlineStr">
        <is>
          <t>KIRUNA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45791-2022</t>
        </is>
      </c>
      <c r="B4693" s="1" t="n">
        <v>44844</v>
      </c>
      <c r="C4693" s="1" t="n">
        <v>45798</v>
      </c>
      <c r="D4693" t="inlineStr">
        <is>
          <t>NORRBOTTENS LÄN</t>
        </is>
      </c>
      <c r="E4693" t="inlineStr">
        <is>
          <t>KALIX</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45577-2022</t>
        </is>
      </c>
      <c r="B4694" s="1" t="n">
        <v>44845</v>
      </c>
      <c r="C4694" s="1" t="n">
        <v>45798</v>
      </c>
      <c r="D4694" t="inlineStr">
        <is>
          <t>NORRBOTTENS LÄN</t>
        </is>
      </c>
      <c r="E4694" t="inlineStr">
        <is>
          <t>HAPARANDA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45480-2022</t>
        </is>
      </c>
      <c r="B4695" s="1" t="n">
        <v>44845</v>
      </c>
      <c r="C4695" s="1" t="n">
        <v>45798</v>
      </c>
      <c r="D4695" t="inlineStr">
        <is>
          <t>NORRBOTTENS LÄN</t>
        </is>
      </c>
      <c r="E4695" t="inlineStr">
        <is>
          <t>PAJALA</t>
        </is>
      </c>
      <c r="G4695" t="n">
        <v>15.5</v>
      </c>
      <c r="H4695" t="n">
        <v>0</v>
      </c>
      <c r="I4695" t="n">
        <v>0</v>
      </c>
      <c r="J4695" t="n">
        <v>0</v>
      </c>
      <c r="K4695" t="n">
        <v>0</v>
      </c>
      <c r="L4695" t="n">
        <v>0</v>
      </c>
      <c r="M4695" t="n">
        <v>0</v>
      </c>
      <c r="N4695" t="n">
        <v>0</v>
      </c>
      <c r="O4695" t="n">
        <v>0</v>
      </c>
      <c r="P4695" t="n">
        <v>0</v>
      </c>
      <c r="Q4695" t="n">
        <v>0</v>
      </c>
      <c r="R4695" s="2" t="inlineStr"/>
    </row>
    <row r="4696" ht="15" customHeight="1">
      <c r="A4696" t="inlineStr">
        <is>
          <t>A 45707-2022</t>
        </is>
      </c>
      <c r="B4696" s="1" t="n">
        <v>44846</v>
      </c>
      <c r="C4696" s="1" t="n">
        <v>45798</v>
      </c>
      <c r="D4696" t="inlineStr">
        <is>
          <t>NORRBOTTENS LÄN</t>
        </is>
      </c>
      <c r="E4696" t="inlineStr">
        <is>
          <t>ÄLVSBYN</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46093-2022</t>
        </is>
      </c>
      <c r="B4697" s="1" t="n">
        <v>44845</v>
      </c>
      <c r="C4697" s="1" t="n">
        <v>45798</v>
      </c>
      <c r="D4697" t="inlineStr">
        <is>
          <t>NORRBOTTENS LÄN</t>
        </is>
      </c>
      <c r="E4697" t="inlineStr">
        <is>
          <t>ARJEPLOG</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46067-2022</t>
        </is>
      </c>
      <c r="B4698" s="1" t="n">
        <v>44845</v>
      </c>
      <c r="C4698" s="1" t="n">
        <v>45798</v>
      </c>
      <c r="D4698" t="inlineStr">
        <is>
          <t>NORRBOTTENS LÄN</t>
        </is>
      </c>
      <c r="E4698" t="inlineStr">
        <is>
          <t>ARVIDSJAUR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46100-2022</t>
        </is>
      </c>
      <c r="B4699" s="1" t="n">
        <v>44845</v>
      </c>
      <c r="C4699" s="1" t="n">
        <v>45798</v>
      </c>
      <c r="D4699" t="inlineStr">
        <is>
          <t>NORRBOTTENS LÄN</t>
        </is>
      </c>
      <c r="E4699" t="inlineStr">
        <is>
          <t>PAJALA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46120-2022</t>
        </is>
      </c>
      <c r="B4700" s="1" t="n">
        <v>44845</v>
      </c>
      <c r="C4700" s="1" t="n">
        <v>45798</v>
      </c>
      <c r="D4700" t="inlineStr">
        <is>
          <t>NORRBOTTENS LÄN</t>
        </is>
      </c>
      <c r="E4700" t="inlineStr">
        <is>
          <t>PAJALA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45722-2022</t>
        </is>
      </c>
      <c r="B4701" s="1" t="n">
        <v>44846</v>
      </c>
      <c r="C4701" s="1" t="n">
        <v>45798</v>
      </c>
      <c r="D4701" t="inlineStr">
        <is>
          <t>NORRBOTTENS LÄN</t>
        </is>
      </c>
      <c r="E4701" t="inlineStr">
        <is>
          <t>PAJALA</t>
        </is>
      </c>
      <c r="F4701" t="inlineStr">
        <is>
          <t>Sveaskog</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46347-2022</t>
        </is>
      </c>
      <c r="B4702" s="1" t="n">
        <v>44847</v>
      </c>
      <c r="C4702" s="1" t="n">
        <v>45798</v>
      </c>
      <c r="D4702" t="inlineStr">
        <is>
          <t>NORRBOTTENS LÄN</t>
        </is>
      </c>
      <c r="E4702" t="inlineStr">
        <is>
          <t>ÖVERKALIX</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46308-2022</t>
        </is>
      </c>
      <c r="B4703" s="1" t="n">
        <v>44847</v>
      </c>
      <c r="C4703" s="1" t="n">
        <v>45798</v>
      </c>
      <c r="D4703" t="inlineStr">
        <is>
          <t>NORRBOTTENS LÄN</t>
        </is>
      </c>
      <c r="E4703" t="inlineStr">
        <is>
          <t>ÄLVSBYN</t>
        </is>
      </c>
      <c r="G4703" t="n">
        <v>18.7</v>
      </c>
      <c r="H4703" t="n">
        <v>0</v>
      </c>
      <c r="I4703" t="n">
        <v>0</v>
      </c>
      <c r="J4703" t="n">
        <v>0</v>
      </c>
      <c r="K4703" t="n">
        <v>0</v>
      </c>
      <c r="L4703" t="n">
        <v>0</v>
      </c>
      <c r="M4703" t="n">
        <v>0</v>
      </c>
      <c r="N4703" t="n">
        <v>0</v>
      </c>
      <c r="O4703" t="n">
        <v>0</v>
      </c>
      <c r="P4703" t="n">
        <v>0</v>
      </c>
      <c r="Q4703" t="n">
        <v>0</v>
      </c>
      <c r="R4703" s="2" t="inlineStr"/>
    </row>
    <row r="4704" ht="15" customHeight="1">
      <c r="A4704" t="inlineStr">
        <is>
          <t>A 46307-2022</t>
        </is>
      </c>
      <c r="B4704" s="1" t="n">
        <v>44847</v>
      </c>
      <c r="C4704" s="1" t="n">
        <v>45798</v>
      </c>
      <c r="D4704" t="inlineStr">
        <is>
          <t>NORRBOTTENS LÄN</t>
        </is>
      </c>
      <c r="E4704" t="inlineStr">
        <is>
          <t>ÄLVSBYN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46564-2022</t>
        </is>
      </c>
      <c r="B4705" s="1" t="n">
        <v>44847</v>
      </c>
      <c r="C4705" s="1" t="n">
        <v>45798</v>
      </c>
      <c r="D4705" t="inlineStr">
        <is>
          <t>NORRBOTTENS LÄN</t>
        </is>
      </c>
      <c r="E4705" t="inlineStr">
        <is>
          <t>BODEN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46557-2022</t>
        </is>
      </c>
      <c r="B4706" s="1" t="n">
        <v>44848</v>
      </c>
      <c r="C4706" s="1" t="n">
        <v>45798</v>
      </c>
      <c r="D4706" t="inlineStr">
        <is>
          <t>NORRBOTTENS LÄN</t>
        </is>
      </c>
      <c r="E4706" t="inlineStr">
        <is>
          <t>PAJALA</t>
        </is>
      </c>
      <c r="F4706" t="inlineStr">
        <is>
          <t>Sveaskog</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46473-2022</t>
        </is>
      </c>
      <c r="B4707" s="1" t="n">
        <v>44848</v>
      </c>
      <c r="C4707" s="1" t="n">
        <v>45798</v>
      </c>
      <c r="D4707" t="inlineStr">
        <is>
          <t>NORRBOTTENS LÄN</t>
        </is>
      </c>
      <c r="E4707" t="inlineStr">
        <is>
          <t>LULEÅ</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46554-2022</t>
        </is>
      </c>
      <c r="B4708" s="1" t="n">
        <v>44848</v>
      </c>
      <c r="C4708" s="1" t="n">
        <v>45798</v>
      </c>
      <c r="D4708" t="inlineStr">
        <is>
          <t>NORRBOTTENS LÄN</t>
        </is>
      </c>
      <c r="E4708" t="inlineStr">
        <is>
          <t>PAJALA</t>
        </is>
      </c>
      <c r="F4708" t="inlineStr">
        <is>
          <t>Sveaskog</t>
        </is>
      </c>
      <c r="G4708" t="n">
        <v>18.6</v>
      </c>
      <c r="H4708" t="n">
        <v>0</v>
      </c>
      <c r="I4708" t="n">
        <v>0</v>
      </c>
      <c r="J4708" t="n">
        <v>0</v>
      </c>
      <c r="K4708" t="n">
        <v>0</v>
      </c>
      <c r="L4708" t="n">
        <v>0</v>
      </c>
      <c r="M4708" t="n">
        <v>0</v>
      </c>
      <c r="N4708" t="n">
        <v>0</v>
      </c>
      <c r="O4708" t="n">
        <v>0</v>
      </c>
      <c r="P4708" t="n">
        <v>0</v>
      </c>
      <c r="Q4708" t="n">
        <v>0</v>
      </c>
      <c r="R4708" s="2" t="inlineStr"/>
    </row>
    <row r="4709" ht="15" customHeight="1">
      <c r="A4709" t="inlineStr">
        <is>
          <t>A 46594-2022</t>
        </is>
      </c>
      <c r="B4709" s="1" t="n">
        <v>44848</v>
      </c>
      <c r="C4709" s="1" t="n">
        <v>45798</v>
      </c>
      <c r="D4709" t="inlineStr">
        <is>
          <t>NORRBOTTENS LÄN</t>
        </is>
      </c>
      <c r="E4709" t="inlineStr">
        <is>
          <t>BODEN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46609-2022</t>
        </is>
      </c>
      <c r="B4710" s="1" t="n">
        <v>44848</v>
      </c>
      <c r="C4710" s="1" t="n">
        <v>45798</v>
      </c>
      <c r="D4710" t="inlineStr">
        <is>
          <t>NORRBOTTENS LÄN</t>
        </is>
      </c>
      <c r="E4710" t="inlineStr">
        <is>
          <t>PITEÅ</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46605-2022</t>
        </is>
      </c>
      <c r="B4711" s="1" t="n">
        <v>44848</v>
      </c>
      <c r="C4711" s="1" t="n">
        <v>45798</v>
      </c>
      <c r="D4711" t="inlineStr">
        <is>
          <t>NORRBOTTENS LÄN</t>
        </is>
      </c>
      <c r="E4711" t="inlineStr">
        <is>
          <t>PITEÅ</t>
        </is>
      </c>
      <c r="F4711" t="inlineStr">
        <is>
          <t>SCA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46622-2022</t>
        </is>
      </c>
      <c r="B4712" s="1" t="n">
        <v>44849</v>
      </c>
      <c r="C4712" s="1" t="n">
        <v>45798</v>
      </c>
      <c r="D4712" t="inlineStr">
        <is>
          <t>NORRBOTTENS LÄN</t>
        </is>
      </c>
      <c r="E4712" t="inlineStr">
        <is>
          <t>ÖVERKALIX</t>
        </is>
      </c>
      <c r="F4712" t="inlineStr">
        <is>
          <t>SCA</t>
        </is>
      </c>
      <c r="G4712" t="n">
        <v>11.6</v>
      </c>
      <c r="H4712" t="n">
        <v>0</v>
      </c>
      <c r="I4712" t="n">
        <v>0</v>
      </c>
      <c r="J4712" t="n">
        <v>0</v>
      </c>
      <c r="K4712" t="n">
        <v>0</v>
      </c>
      <c r="L4712" t="n">
        <v>0</v>
      </c>
      <c r="M4712" t="n">
        <v>0</v>
      </c>
      <c r="N4712" t="n">
        <v>0</v>
      </c>
      <c r="O4712" t="n">
        <v>0</v>
      </c>
      <c r="P4712" t="n">
        <v>0</v>
      </c>
      <c r="Q4712" t="n">
        <v>0</v>
      </c>
      <c r="R4712" s="2" t="inlineStr"/>
    </row>
    <row r="4713" ht="15" customHeight="1">
      <c r="A4713" t="inlineStr">
        <is>
          <t>A 46624-2022</t>
        </is>
      </c>
      <c r="B4713" s="1" t="n">
        <v>44849</v>
      </c>
      <c r="C4713" s="1" t="n">
        <v>45798</v>
      </c>
      <c r="D4713" t="inlineStr">
        <is>
          <t>NORRBOTTENS LÄN</t>
        </is>
      </c>
      <c r="E4713" t="inlineStr">
        <is>
          <t>KALIX</t>
        </is>
      </c>
      <c r="F4713" t="inlineStr">
        <is>
          <t>SCA</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46822-2022</t>
        </is>
      </c>
      <c r="B4714" s="1" t="n">
        <v>44848</v>
      </c>
      <c r="C4714" s="1" t="n">
        <v>45798</v>
      </c>
      <c r="D4714" t="inlineStr">
        <is>
          <t>NORRBOTTENS LÄN</t>
        </is>
      </c>
      <c r="E4714" t="inlineStr">
        <is>
          <t>KALIX</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46625-2022</t>
        </is>
      </c>
      <c r="B4715" s="1" t="n">
        <v>44849</v>
      </c>
      <c r="C4715" s="1" t="n">
        <v>45798</v>
      </c>
      <c r="D4715" t="inlineStr">
        <is>
          <t>NORRBOTTENS LÄN</t>
        </is>
      </c>
      <c r="E4715" t="inlineStr">
        <is>
          <t>PITEÅ</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46843-2022</t>
        </is>
      </c>
      <c r="B4716" s="1" t="n">
        <v>44848</v>
      </c>
      <c r="C4716" s="1" t="n">
        <v>45798</v>
      </c>
      <c r="D4716" t="inlineStr">
        <is>
          <t>NORRBOTTENS LÄN</t>
        </is>
      </c>
      <c r="E4716" t="inlineStr">
        <is>
          <t>PITEÅ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46786-2022</t>
        </is>
      </c>
      <c r="B4717" s="1" t="n">
        <v>44851</v>
      </c>
      <c r="C4717" s="1" t="n">
        <v>45798</v>
      </c>
      <c r="D4717" t="inlineStr">
        <is>
          <t>NORRBOTTENS LÄN</t>
        </is>
      </c>
      <c r="E4717" t="inlineStr">
        <is>
          <t>KALIX</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46980-2022</t>
        </is>
      </c>
      <c r="B4718" s="1" t="n">
        <v>44851</v>
      </c>
      <c r="C4718" s="1" t="n">
        <v>45798</v>
      </c>
      <c r="D4718" t="inlineStr">
        <is>
          <t>NORRBOTTENS LÄN</t>
        </is>
      </c>
      <c r="E4718" t="inlineStr">
        <is>
          <t>ÄLVSBYN</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46957-2022</t>
        </is>
      </c>
      <c r="B4719" s="1" t="n">
        <v>44851</v>
      </c>
      <c r="C4719" s="1" t="n">
        <v>45798</v>
      </c>
      <c r="D4719" t="inlineStr">
        <is>
          <t>NORRBOTTENS LÄN</t>
        </is>
      </c>
      <c r="E4719" t="inlineStr">
        <is>
          <t>JOKKMOKK</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46831-2022</t>
        </is>
      </c>
      <c r="B4720" s="1" t="n">
        <v>44851</v>
      </c>
      <c r="C4720" s="1" t="n">
        <v>45798</v>
      </c>
      <c r="D4720" t="inlineStr">
        <is>
          <t>NORRBOTTENS LÄN</t>
        </is>
      </c>
      <c r="E4720" t="inlineStr">
        <is>
          <t>KALIX</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47208-2022</t>
        </is>
      </c>
      <c r="B4721" s="1" t="n">
        <v>44851</v>
      </c>
      <c r="C4721" s="1" t="n">
        <v>45798</v>
      </c>
      <c r="D4721" t="inlineStr">
        <is>
          <t>NORRBOTTENS LÄN</t>
        </is>
      </c>
      <c r="E4721" t="inlineStr">
        <is>
          <t>JOKKMOKK</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47062-2022</t>
        </is>
      </c>
      <c r="B4722" s="1" t="n">
        <v>44851</v>
      </c>
      <c r="C4722" s="1" t="n">
        <v>45798</v>
      </c>
      <c r="D4722" t="inlineStr">
        <is>
          <t>NORRBOTTENS LÄN</t>
        </is>
      </c>
      <c r="E4722" t="inlineStr">
        <is>
          <t>KALIX</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47121-2022</t>
        </is>
      </c>
      <c r="B4723" s="1" t="n">
        <v>44851</v>
      </c>
      <c r="C4723" s="1" t="n">
        <v>45798</v>
      </c>
      <c r="D4723" t="inlineStr">
        <is>
          <t>NORRBOTTENS LÄN</t>
        </is>
      </c>
      <c r="E4723" t="inlineStr">
        <is>
          <t>ÄLVSBYN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46979-2022</t>
        </is>
      </c>
      <c r="B4724" s="1" t="n">
        <v>44852</v>
      </c>
      <c r="C4724" s="1" t="n">
        <v>45798</v>
      </c>
      <c r="D4724" t="inlineStr">
        <is>
          <t>NORRBOTTENS LÄN</t>
        </is>
      </c>
      <c r="E4724" t="inlineStr">
        <is>
          <t>ÄLVSBYN</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47153-2022</t>
        </is>
      </c>
      <c r="B4725" s="1" t="n">
        <v>44852</v>
      </c>
      <c r="C4725" s="1" t="n">
        <v>45798</v>
      </c>
      <c r="D4725" t="inlineStr">
        <is>
          <t>NORRBOTTENS LÄN</t>
        </is>
      </c>
      <c r="E4725" t="inlineStr">
        <is>
          <t>LULEÅ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47170-2022</t>
        </is>
      </c>
      <c r="B4726" s="1" t="n">
        <v>44852</v>
      </c>
      <c r="C4726" s="1" t="n">
        <v>45798</v>
      </c>
      <c r="D4726" t="inlineStr">
        <is>
          <t>NORRBOTTENS LÄN</t>
        </is>
      </c>
      <c r="E4726" t="inlineStr">
        <is>
          <t>LULEÅ</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47261-2022</t>
        </is>
      </c>
      <c r="B4727" s="1" t="n">
        <v>44853</v>
      </c>
      <c r="C4727" s="1" t="n">
        <v>45798</v>
      </c>
      <c r="D4727" t="inlineStr">
        <is>
          <t>NORRBOTTENS LÄN</t>
        </is>
      </c>
      <c r="E4727" t="inlineStr">
        <is>
          <t>PITEÅ</t>
        </is>
      </c>
      <c r="F4727" t="inlineStr">
        <is>
          <t>SCA</t>
        </is>
      </c>
      <c r="G4727" t="n">
        <v>9.4</v>
      </c>
      <c r="H4727" t="n">
        <v>0</v>
      </c>
      <c r="I4727" t="n">
        <v>0</v>
      </c>
      <c r="J4727" t="n">
        <v>0</v>
      </c>
      <c r="K4727" t="n">
        <v>0</v>
      </c>
      <c r="L4727" t="n">
        <v>0</v>
      </c>
      <c r="M4727" t="n">
        <v>0</v>
      </c>
      <c r="N4727" t="n">
        <v>0</v>
      </c>
      <c r="O4727" t="n">
        <v>0</v>
      </c>
      <c r="P4727" t="n">
        <v>0</v>
      </c>
      <c r="Q4727" t="n">
        <v>0</v>
      </c>
      <c r="R4727" s="2" t="inlineStr"/>
    </row>
    <row r="4728" ht="15" customHeight="1">
      <c r="A4728" t="inlineStr">
        <is>
          <t>A 47246-2022</t>
        </is>
      </c>
      <c r="B4728" s="1" t="n">
        <v>44852</v>
      </c>
      <c r="C4728" s="1" t="n">
        <v>45798</v>
      </c>
      <c r="D4728" t="inlineStr">
        <is>
          <t>NORRBOTTENS LÄN</t>
        </is>
      </c>
      <c r="E4728" t="inlineStr">
        <is>
          <t>LULEÅ</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47247-2022</t>
        </is>
      </c>
      <c r="B4729" s="1" t="n">
        <v>44852</v>
      </c>
      <c r="C4729" s="1" t="n">
        <v>45798</v>
      </c>
      <c r="D4729" t="inlineStr">
        <is>
          <t>NORRBOTTENS LÄN</t>
        </is>
      </c>
      <c r="E4729" t="inlineStr">
        <is>
          <t>LULEÅ</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47259-2022</t>
        </is>
      </c>
      <c r="B4730" s="1" t="n">
        <v>44853</v>
      </c>
      <c r="C4730" s="1" t="n">
        <v>45798</v>
      </c>
      <c r="D4730" t="inlineStr">
        <is>
          <t>NORRBOTTENS LÄN</t>
        </is>
      </c>
      <c r="E4730" t="inlineStr">
        <is>
          <t>PITEÅ</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47275-2022</t>
        </is>
      </c>
      <c r="B4731" s="1" t="n">
        <v>44853</v>
      </c>
      <c r="C4731" s="1" t="n">
        <v>45798</v>
      </c>
      <c r="D4731" t="inlineStr">
        <is>
          <t>NORRBOTTENS LÄN</t>
        </is>
      </c>
      <c r="E4731" t="inlineStr">
        <is>
          <t>PITEÅ</t>
        </is>
      </c>
      <c r="F4731" t="inlineStr">
        <is>
          <t>SCA</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47277-2022</t>
        </is>
      </c>
      <c r="B4732" s="1" t="n">
        <v>44852</v>
      </c>
      <c r="C4732" s="1" t="n">
        <v>45798</v>
      </c>
      <c r="D4732" t="inlineStr">
        <is>
          <t>NORRBOTTENS LÄN</t>
        </is>
      </c>
      <c r="E4732" t="inlineStr">
        <is>
          <t>BODEN</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47258-2022</t>
        </is>
      </c>
      <c r="B4733" s="1" t="n">
        <v>44853</v>
      </c>
      <c r="C4733" s="1" t="n">
        <v>45798</v>
      </c>
      <c r="D4733" t="inlineStr">
        <is>
          <t>NORRBOTTENS LÄN</t>
        </is>
      </c>
      <c r="E4733" t="inlineStr">
        <is>
          <t>BODEN</t>
        </is>
      </c>
      <c r="F4733" t="inlineStr">
        <is>
          <t>SCA</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47427-2022</t>
        </is>
      </c>
      <c r="B4734" s="1" t="n">
        <v>44853</v>
      </c>
      <c r="C4734" s="1" t="n">
        <v>45798</v>
      </c>
      <c r="D4734" t="inlineStr">
        <is>
          <t>NORRBOTTENS LÄN</t>
        </is>
      </c>
      <c r="E4734" t="inlineStr">
        <is>
          <t>ÄLVSBYN</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47459-2022</t>
        </is>
      </c>
      <c r="B4735" s="1" t="n">
        <v>44853</v>
      </c>
      <c r="C4735" s="1" t="n">
        <v>45798</v>
      </c>
      <c r="D4735" t="inlineStr">
        <is>
          <t>NORRBOTTENS LÄN</t>
        </is>
      </c>
      <c r="E4735" t="inlineStr">
        <is>
          <t>KALIX</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47417-2022</t>
        </is>
      </c>
      <c r="B4736" s="1" t="n">
        <v>44853</v>
      </c>
      <c r="C4736" s="1" t="n">
        <v>45798</v>
      </c>
      <c r="D4736" t="inlineStr">
        <is>
          <t>NORRBOTTENS LÄN</t>
        </is>
      </c>
      <c r="E4736" t="inlineStr">
        <is>
          <t>ÄLVSBYN</t>
        </is>
      </c>
      <c r="G4736" t="n">
        <v>17.8</v>
      </c>
      <c r="H4736" t="n">
        <v>0</v>
      </c>
      <c r="I4736" t="n">
        <v>0</v>
      </c>
      <c r="J4736" t="n">
        <v>0</v>
      </c>
      <c r="K4736" t="n">
        <v>0</v>
      </c>
      <c r="L4736" t="n">
        <v>0</v>
      </c>
      <c r="M4736" t="n">
        <v>0</v>
      </c>
      <c r="N4736" t="n">
        <v>0</v>
      </c>
      <c r="O4736" t="n">
        <v>0</v>
      </c>
      <c r="P4736" t="n">
        <v>0</v>
      </c>
      <c r="Q4736" t="n">
        <v>0</v>
      </c>
      <c r="R4736" s="2" t="inlineStr"/>
    </row>
    <row r="4737" ht="15" customHeight="1">
      <c r="A4737" t="inlineStr">
        <is>
          <t>A 47546-2022</t>
        </is>
      </c>
      <c r="B4737" s="1" t="n">
        <v>44854</v>
      </c>
      <c r="C4737" s="1" t="n">
        <v>45798</v>
      </c>
      <c r="D4737" t="inlineStr">
        <is>
          <t>NORRBOTTENS LÄN</t>
        </is>
      </c>
      <c r="E4737" t="inlineStr">
        <is>
          <t>KALIX</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47557-2022</t>
        </is>
      </c>
      <c r="B4738" s="1" t="n">
        <v>44854</v>
      </c>
      <c r="C4738" s="1" t="n">
        <v>45798</v>
      </c>
      <c r="D4738" t="inlineStr">
        <is>
          <t>NORRBOTTENS LÄN</t>
        </is>
      </c>
      <c r="E4738" t="inlineStr">
        <is>
          <t>KALIX</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47558-2022</t>
        </is>
      </c>
      <c r="B4739" s="1" t="n">
        <v>44854</v>
      </c>
      <c r="C4739" s="1" t="n">
        <v>45798</v>
      </c>
      <c r="D4739" t="inlineStr">
        <is>
          <t>NORRBOTTENS LÄN</t>
        </is>
      </c>
      <c r="E4739" t="inlineStr">
        <is>
          <t>KALIX</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47585-2022</t>
        </is>
      </c>
      <c r="B4740" s="1" t="n">
        <v>44854</v>
      </c>
      <c r="C4740" s="1" t="n">
        <v>45798</v>
      </c>
      <c r="D4740" t="inlineStr">
        <is>
          <t>NORRBOTTENS LÄN</t>
        </is>
      </c>
      <c r="E4740" t="inlineStr">
        <is>
          <t>BODEN</t>
        </is>
      </c>
      <c r="F4740" t="inlineStr">
        <is>
          <t>SCA</t>
        </is>
      </c>
      <c r="G4740" t="n">
        <v>9.800000000000001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48170-2022</t>
        </is>
      </c>
      <c r="B4741" s="1" t="n">
        <v>44853</v>
      </c>
      <c r="C4741" s="1" t="n">
        <v>45798</v>
      </c>
      <c r="D4741" t="inlineStr">
        <is>
          <t>NORRBOTTENS LÄN</t>
        </is>
      </c>
      <c r="E4741" t="inlineStr">
        <is>
          <t>PAJALA</t>
        </is>
      </c>
      <c r="F4741" t="inlineStr">
        <is>
          <t>Allmännings- och besparingsskogar</t>
        </is>
      </c>
      <c r="G4741" t="n">
        <v>26.3</v>
      </c>
      <c r="H4741" t="n">
        <v>0</v>
      </c>
      <c r="I4741" t="n">
        <v>0</v>
      </c>
      <c r="J4741" t="n">
        <v>0</v>
      </c>
      <c r="K4741" t="n">
        <v>0</v>
      </c>
      <c r="L4741" t="n">
        <v>0</v>
      </c>
      <c r="M4741" t="n">
        <v>0</v>
      </c>
      <c r="N4741" t="n">
        <v>0</v>
      </c>
      <c r="O4741" t="n">
        <v>0</v>
      </c>
      <c r="P4741" t="n">
        <v>0</v>
      </c>
      <c r="Q4741" t="n">
        <v>0</v>
      </c>
      <c r="R4741" s="2" t="inlineStr"/>
    </row>
    <row r="4742" ht="15" customHeight="1">
      <c r="A4742" t="inlineStr">
        <is>
          <t>A 47701-2022</t>
        </is>
      </c>
      <c r="B4742" s="1" t="n">
        <v>44854</v>
      </c>
      <c r="C4742" s="1" t="n">
        <v>45798</v>
      </c>
      <c r="D4742" t="inlineStr">
        <is>
          <t>NORRBOTTENS LÄN</t>
        </is>
      </c>
      <c r="E4742" t="inlineStr">
        <is>
          <t>PAJALA</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47661-2022</t>
        </is>
      </c>
      <c r="B4743" s="1" t="n">
        <v>44854</v>
      </c>
      <c r="C4743" s="1" t="n">
        <v>45798</v>
      </c>
      <c r="D4743" t="inlineStr">
        <is>
          <t>NORRBOTTENS LÄN</t>
        </is>
      </c>
      <c r="E4743" t="inlineStr">
        <is>
          <t>HAPARANDA</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47703-2022</t>
        </is>
      </c>
      <c r="B4744" s="1" t="n">
        <v>44854</v>
      </c>
      <c r="C4744" s="1" t="n">
        <v>45798</v>
      </c>
      <c r="D4744" t="inlineStr">
        <is>
          <t>NORRBOTTENS LÄN</t>
        </is>
      </c>
      <c r="E4744" t="inlineStr">
        <is>
          <t>PAJALA</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47780-2022</t>
        </is>
      </c>
      <c r="B4745" s="1" t="n">
        <v>44854</v>
      </c>
      <c r="C4745" s="1" t="n">
        <v>45798</v>
      </c>
      <c r="D4745" t="inlineStr">
        <is>
          <t>NORRBOTTENS LÄN</t>
        </is>
      </c>
      <c r="E4745" t="inlineStr">
        <is>
          <t>GÄLLIVARE</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47793-2022</t>
        </is>
      </c>
      <c r="B4746" s="1" t="n">
        <v>44854</v>
      </c>
      <c r="C4746" s="1" t="n">
        <v>45798</v>
      </c>
      <c r="D4746" t="inlineStr">
        <is>
          <t>NORRBOTTENS LÄN</t>
        </is>
      </c>
      <c r="E4746" t="inlineStr">
        <is>
          <t>GÄLLIVARE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47782-2022</t>
        </is>
      </c>
      <c r="B4747" s="1" t="n">
        <v>44854</v>
      </c>
      <c r="C4747" s="1" t="n">
        <v>45798</v>
      </c>
      <c r="D4747" t="inlineStr">
        <is>
          <t>NORRBOTTENS LÄN</t>
        </is>
      </c>
      <c r="E4747" t="inlineStr">
        <is>
          <t>BODEN</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47795-2022</t>
        </is>
      </c>
      <c r="B4748" s="1" t="n">
        <v>44854</v>
      </c>
      <c r="C4748" s="1" t="n">
        <v>45798</v>
      </c>
      <c r="D4748" t="inlineStr">
        <is>
          <t>NORRBOTTENS LÄN</t>
        </is>
      </c>
      <c r="E4748" t="inlineStr">
        <is>
          <t>GÄLLIVARE</t>
        </is>
      </c>
      <c r="F4748" t="inlineStr">
        <is>
          <t>SCA</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47805-2022</t>
        </is>
      </c>
      <c r="B4749" s="1" t="n">
        <v>44854</v>
      </c>
      <c r="C4749" s="1" t="n">
        <v>45798</v>
      </c>
      <c r="D4749" t="inlineStr">
        <is>
          <t>NORRBOTTENS LÄN</t>
        </is>
      </c>
      <c r="E4749" t="inlineStr">
        <is>
          <t>GÄLLIVARE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48341-2022</t>
        </is>
      </c>
      <c r="B4750" s="1" t="n">
        <v>44854</v>
      </c>
      <c r="C4750" s="1" t="n">
        <v>45798</v>
      </c>
      <c r="D4750" t="inlineStr">
        <is>
          <t>NORRBOTTENS LÄN</t>
        </is>
      </c>
      <c r="E4750" t="inlineStr">
        <is>
          <t>LULEÅ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48363-2022</t>
        </is>
      </c>
      <c r="B4751" s="1" t="n">
        <v>44854</v>
      </c>
      <c r="C4751" s="1" t="n">
        <v>45798</v>
      </c>
      <c r="D4751" t="inlineStr">
        <is>
          <t>NORRBOTTENS LÄN</t>
        </is>
      </c>
      <c r="E4751" t="inlineStr">
        <is>
          <t>LULEÅ</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47779-2022</t>
        </is>
      </c>
      <c r="B4752" s="1" t="n">
        <v>44854</v>
      </c>
      <c r="C4752" s="1" t="n">
        <v>45798</v>
      </c>
      <c r="D4752" t="inlineStr">
        <is>
          <t>NORRBOTTENS LÄN</t>
        </is>
      </c>
      <c r="E4752" t="inlineStr">
        <is>
          <t>GÄLLIVARE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47808-2022</t>
        </is>
      </c>
      <c r="B4753" s="1" t="n">
        <v>44854</v>
      </c>
      <c r="C4753" s="1" t="n">
        <v>45798</v>
      </c>
      <c r="D4753" t="inlineStr">
        <is>
          <t>NORRBOTTENS LÄN</t>
        </is>
      </c>
      <c r="E4753" t="inlineStr">
        <is>
          <t>GÄLLIVARE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48347-2022</t>
        </is>
      </c>
      <c r="B4754" s="1" t="n">
        <v>44854</v>
      </c>
      <c r="C4754" s="1" t="n">
        <v>45798</v>
      </c>
      <c r="D4754" t="inlineStr">
        <is>
          <t>NORRBOTTENS LÄN</t>
        </is>
      </c>
      <c r="E4754" t="inlineStr">
        <is>
          <t>LULEÅ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48367-2022</t>
        </is>
      </c>
      <c r="B4755" s="1" t="n">
        <v>44854</v>
      </c>
      <c r="C4755" s="1" t="n">
        <v>45798</v>
      </c>
      <c r="D4755" t="inlineStr">
        <is>
          <t>NORRBOTTENS LÄN</t>
        </is>
      </c>
      <c r="E4755" t="inlineStr">
        <is>
          <t>LULEÅ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48586-2022</t>
        </is>
      </c>
      <c r="B4756" s="1" t="n">
        <v>44854</v>
      </c>
      <c r="C4756" s="1" t="n">
        <v>45798</v>
      </c>
      <c r="D4756" t="inlineStr">
        <is>
          <t>NORRBOTTENS LÄN</t>
        </is>
      </c>
      <c r="E4756" t="inlineStr">
        <is>
          <t>JOKKMOKK</t>
        </is>
      </c>
      <c r="F4756" t="inlineStr">
        <is>
          <t>Övriga statliga verk och myndigheter</t>
        </is>
      </c>
      <c r="G4756" t="n">
        <v>26.1</v>
      </c>
      <c r="H4756" t="n">
        <v>0</v>
      </c>
      <c r="I4756" t="n">
        <v>0</v>
      </c>
      <c r="J4756" t="n">
        <v>0</v>
      </c>
      <c r="K4756" t="n">
        <v>0</v>
      </c>
      <c r="L4756" t="n">
        <v>0</v>
      </c>
      <c r="M4756" t="n">
        <v>0</v>
      </c>
      <c r="N4756" t="n">
        <v>0</v>
      </c>
      <c r="O4756" t="n">
        <v>0</v>
      </c>
      <c r="P4756" t="n">
        <v>0</v>
      </c>
      <c r="Q4756" t="n">
        <v>0</v>
      </c>
      <c r="R4756" s="2" t="inlineStr"/>
    </row>
    <row r="4757" ht="15" customHeight="1">
      <c r="A4757" t="inlineStr">
        <is>
          <t>A 48335-2022</t>
        </is>
      </c>
      <c r="B4757" s="1" t="n">
        <v>44854</v>
      </c>
      <c r="C4757" s="1" t="n">
        <v>45798</v>
      </c>
      <c r="D4757" t="inlineStr">
        <is>
          <t>NORRBOTTENS LÄN</t>
        </is>
      </c>
      <c r="E4757" t="inlineStr">
        <is>
          <t>LULEÅ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47796-2022</t>
        </is>
      </c>
      <c r="B4758" s="1" t="n">
        <v>44854</v>
      </c>
      <c r="C4758" s="1" t="n">
        <v>45798</v>
      </c>
      <c r="D4758" t="inlineStr">
        <is>
          <t>NORRBOTTENS LÄN</t>
        </is>
      </c>
      <c r="E4758" t="inlineStr">
        <is>
          <t>GÄLLIVARE</t>
        </is>
      </c>
      <c r="F4758" t="inlineStr">
        <is>
          <t>SCA</t>
        </is>
      </c>
      <c r="G4758" t="n">
        <v>17.9</v>
      </c>
      <c r="H4758" t="n">
        <v>0</v>
      </c>
      <c r="I4758" t="n">
        <v>0</v>
      </c>
      <c r="J4758" t="n">
        <v>0</v>
      </c>
      <c r="K4758" t="n">
        <v>0</v>
      </c>
      <c r="L4758" t="n">
        <v>0</v>
      </c>
      <c r="M4758" t="n">
        <v>0</v>
      </c>
      <c r="N4758" t="n">
        <v>0</v>
      </c>
      <c r="O4758" t="n">
        <v>0</v>
      </c>
      <c r="P4758" t="n">
        <v>0</v>
      </c>
      <c r="Q4758" t="n">
        <v>0</v>
      </c>
      <c r="R4758" s="2" t="inlineStr"/>
    </row>
    <row r="4759" ht="15" customHeight="1">
      <c r="A4759" t="inlineStr">
        <is>
          <t>A 47802-2022</t>
        </is>
      </c>
      <c r="B4759" s="1" t="n">
        <v>44854</v>
      </c>
      <c r="C4759" s="1" t="n">
        <v>45798</v>
      </c>
      <c r="D4759" t="inlineStr">
        <is>
          <t>NORRBOTTENS LÄN</t>
        </is>
      </c>
      <c r="E4759" t="inlineStr">
        <is>
          <t>GÄLLIVARE</t>
        </is>
      </c>
      <c r="F4759" t="inlineStr">
        <is>
          <t>SCA</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48323-2022</t>
        </is>
      </c>
      <c r="B4760" s="1" t="n">
        <v>44854</v>
      </c>
      <c r="C4760" s="1" t="n">
        <v>45798</v>
      </c>
      <c r="D4760" t="inlineStr">
        <is>
          <t>NORRBOTTENS LÄN</t>
        </is>
      </c>
      <c r="E4760" t="inlineStr">
        <is>
          <t>LULEÅ</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48357-2022</t>
        </is>
      </c>
      <c r="B4761" s="1" t="n">
        <v>44854</v>
      </c>
      <c r="C4761" s="1" t="n">
        <v>45798</v>
      </c>
      <c r="D4761" t="inlineStr">
        <is>
          <t>NORRBOTTENS LÄN</t>
        </is>
      </c>
      <c r="E4761" t="inlineStr">
        <is>
          <t>LULEÅ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48379-2022</t>
        </is>
      </c>
      <c r="B4762" s="1" t="n">
        <v>44854</v>
      </c>
      <c r="C4762" s="1" t="n">
        <v>45798</v>
      </c>
      <c r="D4762" t="inlineStr">
        <is>
          <t>NORRBOTTENS LÄN</t>
        </is>
      </c>
      <c r="E4762" t="inlineStr">
        <is>
          <t>LULEÅ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48070-2022</t>
        </is>
      </c>
      <c r="B4763" s="1" t="n">
        <v>44856</v>
      </c>
      <c r="C4763" s="1" t="n">
        <v>45798</v>
      </c>
      <c r="D4763" t="inlineStr">
        <is>
          <t>NORRBOTTENS LÄN</t>
        </is>
      </c>
      <c r="E4763" t="inlineStr">
        <is>
          <t>PITEÅ</t>
        </is>
      </c>
      <c r="F4763" t="inlineStr">
        <is>
          <t>SCA</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48048-2022</t>
        </is>
      </c>
      <c r="B4764" s="1" t="n">
        <v>44855</v>
      </c>
      <c r="C4764" s="1" t="n">
        <v>45798</v>
      </c>
      <c r="D4764" t="inlineStr">
        <is>
          <t>NORRBOTTENS LÄN</t>
        </is>
      </c>
      <c r="E4764" t="inlineStr">
        <is>
          <t>ARVIDSJAUR</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48069-2022</t>
        </is>
      </c>
      <c r="B4765" s="1" t="n">
        <v>44855</v>
      </c>
      <c r="C4765" s="1" t="n">
        <v>45798</v>
      </c>
      <c r="D4765" t="inlineStr">
        <is>
          <t>NORRBOTTENS LÄN</t>
        </is>
      </c>
      <c r="E4765" t="inlineStr">
        <is>
          <t>PITEÅ</t>
        </is>
      </c>
      <c r="F4765" t="inlineStr">
        <is>
          <t>SCA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48742-2022</t>
        </is>
      </c>
      <c r="B4766" s="1" t="n">
        <v>44855</v>
      </c>
      <c r="C4766" s="1" t="n">
        <v>45798</v>
      </c>
      <c r="D4766" t="inlineStr">
        <is>
          <t>NORRBOTTENS LÄN</t>
        </is>
      </c>
      <c r="E4766" t="inlineStr">
        <is>
          <t>ÄLVSBYN</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48107-2022</t>
        </is>
      </c>
      <c r="B4767" s="1" t="n">
        <v>44856</v>
      </c>
      <c r="C4767" s="1" t="n">
        <v>45798</v>
      </c>
      <c r="D4767" t="inlineStr">
        <is>
          <t>NORRBOTTENS LÄN</t>
        </is>
      </c>
      <c r="E4767" t="inlineStr">
        <is>
          <t>BODEN</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48118-2022</t>
        </is>
      </c>
      <c r="B4768" s="1" t="n">
        <v>44857</v>
      </c>
      <c r="C4768" s="1" t="n">
        <v>45798</v>
      </c>
      <c r="D4768" t="inlineStr">
        <is>
          <t>NORRBOTTENS LÄN</t>
        </is>
      </c>
      <c r="E4768" t="inlineStr">
        <is>
          <t>PITEÅ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48532-2022</t>
        </is>
      </c>
      <c r="B4769" s="1" t="n">
        <v>44859</v>
      </c>
      <c r="C4769" s="1" t="n">
        <v>45798</v>
      </c>
      <c r="D4769" t="inlineStr">
        <is>
          <t>NORRBOTTENS LÄN</t>
        </is>
      </c>
      <c r="E4769" t="inlineStr">
        <is>
          <t>ÄLVSBYN</t>
        </is>
      </c>
      <c r="F4769" t="inlineStr">
        <is>
          <t>SCA</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49040-2022</t>
        </is>
      </c>
      <c r="B4770" s="1" t="n">
        <v>44858</v>
      </c>
      <c r="C4770" s="1" t="n">
        <v>45798</v>
      </c>
      <c r="D4770" t="inlineStr">
        <is>
          <t>NORRBOTTENS LÄN</t>
        </is>
      </c>
      <c r="E4770" t="inlineStr">
        <is>
          <t>HAPARANDA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48298-2022</t>
        </is>
      </c>
      <c r="B4771" s="1" t="n">
        <v>44858</v>
      </c>
      <c r="C4771" s="1" t="n">
        <v>45798</v>
      </c>
      <c r="D4771" t="inlineStr">
        <is>
          <t>NORRBOTTENS LÄN</t>
        </is>
      </c>
      <c r="E4771" t="inlineStr">
        <is>
          <t>ÖVERTORNEÅ</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48501-2022</t>
        </is>
      </c>
      <c r="B4772" s="1" t="n">
        <v>44859</v>
      </c>
      <c r="C4772" s="1" t="n">
        <v>45798</v>
      </c>
      <c r="D4772" t="inlineStr">
        <is>
          <t>NORRBOTTENS LÄN</t>
        </is>
      </c>
      <c r="E4772" t="inlineStr">
        <is>
          <t>ÖVERKALIX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48562-2022</t>
        </is>
      </c>
      <c r="B4773" s="1" t="n">
        <v>44859</v>
      </c>
      <c r="C4773" s="1" t="n">
        <v>45798</v>
      </c>
      <c r="D4773" t="inlineStr">
        <is>
          <t>NORRBOTTENS LÄN</t>
        </is>
      </c>
      <c r="E4773" t="inlineStr">
        <is>
          <t>BODEN</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48602-2022</t>
        </is>
      </c>
      <c r="B4774" s="1" t="n">
        <v>44859</v>
      </c>
      <c r="C4774" s="1" t="n">
        <v>45798</v>
      </c>
      <c r="D4774" t="inlineStr">
        <is>
          <t>NORRBOTTENS LÄN</t>
        </is>
      </c>
      <c r="E4774" t="inlineStr">
        <is>
          <t>PITEÅ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48680-2022</t>
        </is>
      </c>
      <c r="B4775" s="1" t="n">
        <v>44859</v>
      </c>
      <c r="C4775" s="1" t="n">
        <v>45798</v>
      </c>
      <c r="D4775" t="inlineStr">
        <is>
          <t>NORRBOTTENS LÄN</t>
        </is>
      </c>
      <c r="E4775" t="inlineStr">
        <is>
          <t>PAJALA</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48601-2022</t>
        </is>
      </c>
      <c r="B4776" s="1" t="n">
        <v>44859</v>
      </c>
      <c r="C4776" s="1" t="n">
        <v>45798</v>
      </c>
      <c r="D4776" t="inlineStr">
        <is>
          <t>NORRBOTTENS LÄN</t>
        </is>
      </c>
      <c r="E4776" t="inlineStr">
        <is>
          <t>PITEÅ</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48891-2022</t>
        </is>
      </c>
      <c r="B4777" s="1" t="n">
        <v>44860</v>
      </c>
      <c r="C4777" s="1" t="n">
        <v>45798</v>
      </c>
      <c r="D4777" t="inlineStr">
        <is>
          <t>NORRBOTTENS LÄN</t>
        </is>
      </c>
      <c r="E4777" t="inlineStr">
        <is>
          <t>ÖVERTORNEÅ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48906-2022</t>
        </is>
      </c>
      <c r="B4778" s="1" t="n">
        <v>44859</v>
      </c>
      <c r="C4778" s="1" t="n">
        <v>45798</v>
      </c>
      <c r="D4778" t="inlineStr">
        <is>
          <t>NORRBOTTENS LÄN</t>
        </is>
      </c>
      <c r="E4778" t="inlineStr">
        <is>
          <t>PAJALA</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48950-2022</t>
        </is>
      </c>
      <c r="B4779" s="1" t="n">
        <v>44860</v>
      </c>
      <c r="C4779" s="1" t="n">
        <v>45798</v>
      </c>
      <c r="D4779" t="inlineStr">
        <is>
          <t>NORRBOTTENS LÄN</t>
        </is>
      </c>
      <c r="E4779" t="inlineStr">
        <is>
          <t>BODEN</t>
        </is>
      </c>
      <c r="F4779" t="inlineStr">
        <is>
          <t>SCA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49577-2022</t>
        </is>
      </c>
      <c r="B4780" s="1" t="n">
        <v>44859</v>
      </c>
      <c r="C4780" s="1" t="n">
        <v>45798</v>
      </c>
      <c r="D4780" t="inlineStr">
        <is>
          <t>NORRBOTTENS LÄN</t>
        </is>
      </c>
      <c r="E4780" t="inlineStr">
        <is>
          <t>PAJALA</t>
        </is>
      </c>
      <c r="F4780" t="inlineStr">
        <is>
          <t>Allmännings- och besparingsskogar</t>
        </is>
      </c>
      <c r="G4780" t="n">
        <v>20.4</v>
      </c>
      <c r="H4780" t="n">
        <v>0</v>
      </c>
      <c r="I4780" t="n">
        <v>0</v>
      </c>
      <c r="J4780" t="n">
        <v>0</v>
      </c>
      <c r="K4780" t="n">
        <v>0</v>
      </c>
      <c r="L4780" t="n">
        <v>0</v>
      </c>
      <c r="M4780" t="n">
        <v>0</v>
      </c>
      <c r="N4780" t="n">
        <v>0</v>
      </c>
      <c r="O4780" t="n">
        <v>0</v>
      </c>
      <c r="P4780" t="n">
        <v>0</v>
      </c>
      <c r="Q4780" t="n">
        <v>0</v>
      </c>
      <c r="R4780" s="2" t="inlineStr"/>
    </row>
    <row r="4781" ht="15" customHeight="1">
      <c r="A4781" t="inlineStr">
        <is>
          <t>A 49721-2022</t>
        </is>
      </c>
      <c r="B4781" s="1" t="n">
        <v>44859</v>
      </c>
      <c r="C4781" s="1" t="n">
        <v>45798</v>
      </c>
      <c r="D4781" t="inlineStr">
        <is>
          <t>NORRBOTTENS LÄN</t>
        </is>
      </c>
      <c r="E4781" t="inlineStr">
        <is>
          <t>LULEÅ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49742-2022</t>
        </is>
      </c>
      <c r="B4782" s="1" t="n">
        <v>44859</v>
      </c>
      <c r="C4782" s="1" t="n">
        <v>45798</v>
      </c>
      <c r="D4782" t="inlineStr">
        <is>
          <t>NORRBOTTENS LÄN</t>
        </is>
      </c>
      <c r="E4782" t="inlineStr">
        <is>
          <t>LULEÅ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49712-2022</t>
        </is>
      </c>
      <c r="B4783" s="1" t="n">
        <v>44859</v>
      </c>
      <c r="C4783" s="1" t="n">
        <v>45798</v>
      </c>
      <c r="D4783" t="inlineStr">
        <is>
          <t>NORRBOTTENS LÄN</t>
        </is>
      </c>
      <c r="E4783" t="inlineStr">
        <is>
          <t>LULEÅ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49736-2022</t>
        </is>
      </c>
      <c r="B4784" s="1" t="n">
        <v>44859</v>
      </c>
      <c r="C4784" s="1" t="n">
        <v>45798</v>
      </c>
      <c r="D4784" t="inlineStr">
        <is>
          <t>NORRBOTTENS LÄN</t>
        </is>
      </c>
      <c r="E4784" t="inlineStr">
        <is>
          <t>LULEÅ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49727-2022</t>
        </is>
      </c>
      <c r="B4785" s="1" t="n">
        <v>44859</v>
      </c>
      <c r="C4785" s="1" t="n">
        <v>45798</v>
      </c>
      <c r="D4785" t="inlineStr">
        <is>
          <t>NORRBOTTENS LÄN</t>
        </is>
      </c>
      <c r="E4785" t="inlineStr">
        <is>
          <t>LULEÅ</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49746-2022</t>
        </is>
      </c>
      <c r="B4786" s="1" t="n">
        <v>44859</v>
      </c>
      <c r="C4786" s="1" t="n">
        <v>45798</v>
      </c>
      <c r="D4786" t="inlineStr">
        <is>
          <t>NORRBOTTENS LÄN</t>
        </is>
      </c>
      <c r="E4786" t="inlineStr">
        <is>
          <t>LULEÅ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49733-2022</t>
        </is>
      </c>
      <c r="B4787" s="1" t="n">
        <v>44859</v>
      </c>
      <c r="C4787" s="1" t="n">
        <v>45798</v>
      </c>
      <c r="D4787" t="inlineStr">
        <is>
          <t>NORRBOTTENS LÄN</t>
        </is>
      </c>
      <c r="E4787" t="inlineStr">
        <is>
          <t>LULEÅ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49009-2022</t>
        </is>
      </c>
      <c r="B4788" s="1" t="n">
        <v>44860</v>
      </c>
      <c r="C4788" s="1" t="n">
        <v>45798</v>
      </c>
      <c r="D4788" t="inlineStr">
        <is>
          <t>NORRBOTTENS LÄN</t>
        </is>
      </c>
      <c r="E4788" t="inlineStr">
        <is>
          <t>PAJALA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49019-2022</t>
        </is>
      </c>
      <c r="B4789" s="1" t="n">
        <v>44860</v>
      </c>
      <c r="C4789" s="1" t="n">
        <v>45798</v>
      </c>
      <c r="D4789" t="inlineStr">
        <is>
          <t>NORRBOTTENS LÄN</t>
        </is>
      </c>
      <c r="E4789" t="inlineStr">
        <is>
          <t>PAJALA</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49008-2022</t>
        </is>
      </c>
      <c r="B4790" s="1" t="n">
        <v>44860</v>
      </c>
      <c r="C4790" s="1" t="n">
        <v>45798</v>
      </c>
      <c r="D4790" t="inlineStr">
        <is>
          <t>NORRBOTTENS LÄN</t>
        </is>
      </c>
      <c r="E4790" t="inlineStr">
        <is>
          <t>PAJALA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49057-2022</t>
        </is>
      </c>
      <c r="B4791" s="1" t="n">
        <v>44860</v>
      </c>
      <c r="C4791" s="1" t="n">
        <v>45798</v>
      </c>
      <c r="D4791" t="inlineStr">
        <is>
          <t>NORRBOTTENS LÄN</t>
        </is>
      </c>
      <c r="E4791" t="inlineStr">
        <is>
          <t>PAJALA</t>
        </is>
      </c>
      <c r="F4791" t="inlineStr">
        <is>
          <t>Sveaskog</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49113-2022</t>
        </is>
      </c>
      <c r="B4792" s="1" t="n">
        <v>44860</v>
      </c>
      <c r="C4792" s="1" t="n">
        <v>45798</v>
      </c>
      <c r="D4792" t="inlineStr">
        <is>
          <t>NORRBOTTENS LÄN</t>
        </is>
      </c>
      <c r="E4792" t="inlineStr">
        <is>
          <t>KALIX</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49157-2022</t>
        </is>
      </c>
      <c r="B4793" s="1" t="n">
        <v>44860</v>
      </c>
      <c r="C4793" s="1" t="n">
        <v>45798</v>
      </c>
      <c r="D4793" t="inlineStr">
        <is>
          <t>NORRBOTTENS LÄN</t>
        </is>
      </c>
      <c r="E4793" t="inlineStr">
        <is>
          <t>ÖVERTORNEÅ</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49193-2022</t>
        </is>
      </c>
      <c r="B4794" s="1" t="n">
        <v>44861</v>
      </c>
      <c r="C4794" s="1" t="n">
        <v>45798</v>
      </c>
      <c r="D4794" t="inlineStr">
        <is>
          <t>NORRBOTTENS LÄN</t>
        </is>
      </c>
      <c r="E4794" t="inlineStr">
        <is>
          <t>KALIX</t>
        </is>
      </c>
      <c r="F4794" t="inlineStr">
        <is>
          <t>SCA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49192-2022</t>
        </is>
      </c>
      <c r="B4795" s="1" t="n">
        <v>44861</v>
      </c>
      <c r="C4795" s="1" t="n">
        <v>45798</v>
      </c>
      <c r="D4795" t="inlineStr">
        <is>
          <t>NORRBOTTENS LÄN</t>
        </is>
      </c>
      <c r="E4795" t="inlineStr">
        <is>
          <t>KALIX</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49141-2022</t>
        </is>
      </c>
      <c r="B4796" s="1" t="n">
        <v>44860</v>
      </c>
      <c r="C4796" s="1" t="n">
        <v>45798</v>
      </c>
      <c r="D4796" t="inlineStr">
        <is>
          <t>NORRBOTTENS LÄN</t>
        </is>
      </c>
      <c r="E4796" t="inlineStr">
        <is>
          <t>ARVIDSJAUR</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49190-2022</t>
        </is>
      </c>
      <c r="B4797" s="1" t="n">
        <v>44861</v>
      </c>
      <c r="C4797" s="1" t="n">
        <v>45798</v>
      </c>
      <c r="D4797" t="inlineStr">
        <is>
          <t>NORRBOTTENS LÄN</t>
        </is>
      </c>
      <c r="E4797" t="inlineStr">
        <is>
          <t>GÄLLIVARE</t>
        </is>
      </c>
      <c r="F4797" t="inlineStr">
        <is>
          <t>SCA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49994-2022</t>
        </is>
      </c>
      <c r="B4798" s="1" t="n">
        <v>44860</v>
      </c>
      <c r="C4798" s="1" t="n">
        <v>45798</v>
      </c>
      <c r="D4798" t="inlineStr">
        <is>
          <t>NORRBOTTENS LÄN</t>
        </is>
      </c>
      <c r="E4798" t="inlineStr">
        <is>
          <t>PAJALA</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50361-2022</t>
        </is>
      </c>
      <c r="B4799" s="1" t="n">
        <v>44860</v>
      </c>
      <c r="C4799" s="1" t="n">
        <v>45798</v>
      </c>
      <c r="D4799" t="inlineStr">
        <is>
          <t>NORRBOTTENS LÄN</t>
        </is>
      </c>
      <c r="E4799" t="inlineStr">
        <is>
          <t>PAJALA</t>
        </is>
      </c>
      <c r="G4799" t="n">
        <v>33.4</v>
      </c>
      <c r="H4799" t="n">
        <v>0</v>
      </c>
      <c r="I4799" t="n">
        <v>0</v>
      </c>
      <c r="J4799" t="n">
        <v>0</v>
      </c>
      <c r="K4799" t="n">
        <v>0</v>
      </c>
      <c r="L4799" t="n">
        <v>0</v>
      </c>
      <c r="M4799" t="n">
        <v>0</v>
      </c>
      <c r="N4799" t="n">
        <v>0</v>
      </c>
      <c r="O4799" t="n">
        <v>0</v>
      </c>
      <c r="P4799" t="n">
        <v>0</v>
      </c>
      <c r="Q4799" t="n">
        <v>0</v>
      </c>
      <c r="R4799" s="2" t="inlineStr"/>
    </row>
    <row r="4800" ht="15" customHeight="1">
      <c r="A4800" t="inlineStr">
        <is>
          <t>A 49272-2022</t>
        </is>
      </c>
      <c r="B4800" s="1" t="n">
        <v>44861</v>
      </c>
      <c r="C4800" s="1" t="n">
        <v>45798</v>
      </c>
      <c r="D4800" t="inlineStr">
        <is>
          <t>NORRBOTTENS LÄN</t>
        </is>
      </c>
      <c r="E4800" t="inlineStr">
        <is>
          <t>PITEÅ</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49283-2022</t>
        </is>
      </c>
      <c r="B4801" s="1" t="n">
        <v>44861</v>
      </c>
      <c r="C4801" s="1" t="n">
        <v>45798</v>
      </c>
      <c r="D4801" t="inlineStr">
        <is>
          <t>NORRBOTTENS LÄN</t>
        </is>
      </c>
      <c r="E4801" t="inlineStr">
        <is>
          <t>PITEÅ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49352-2022</t>
        </is>
      </c>
      <c r="B4802" s="1" t="n">
        <v>44861</v>
      </c>
      <c r="C4802" s="1" t="n">
        <v>45798</v>
      </c>
      <c r="D4802" t="inlineStr">
        <is>
          <t>NORRBOTTENS LÄN</t>
        </is>
      </c>
      <c r="E4802" t="inlineStr">
        <is>
          <t>PITEÅ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49443-2022</t>
        </is>
      </c>
      <c r="B4803" s="1" t="n">
        <v>44861</v>
      </c>
      <c r="C4803" s="1" t="n">
        <v>45798</v>
      </c>
      <c r="D4803" t="inlineStr">
        <is>
          <t>NORRBOTTENS LÄN</t>
        </is>
      </c>
      <c r="E4803" t="inlineStr">
        <is>
          <t>KALIX</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49441-2022</t>
        </is>
      </c>
      <c r="B4804" s="1" t="n">
        <v>44861</v>
      </c>
      <c r="C4804" s="1" t="n">
        <v>45798</v>
      </c>
      <c r="D4804" t="inlineStr">
        <is>
          <t>NORRBOTTENS LÄN</t>
        </is>
      </c>
      <c r="E4804" t="inlineStr">
        <is>
          <t>ÄLVSBYN</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49245-2022</t>
        </is>
      </c>
      <c r="B4805" s="1" t="n">
        <v>44861</v>
      </c>
      <c r="C4805" s="1" t="n">
        <v>45798</v>
      </c>
      <c r="D4805" t="inlineStr">
        <is>
          <t>NORRBOTTENS LÄN</t>
        </is>
      </c>
      <c r="E4805" t="inlineStr">
        <is>
          <t>HAPARANDA</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49509-2022</t>
        </is>
      </c>
      <c r="B4806" s="1" t="n">
        <v>44862</v>
      </c>
      <c r="C4806" s="1" t="n">
        <v>45798</v>
      </c>
      <c r="D4806" t="inlineStr">
        <is>
          <t>NORRBOTTENS LÄN</t>
        </is>
      </c>
      <c r="E4806" t="inlineStr">
        <is>
          <t>LULEÅ</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49264-2022</t>
        </is>
      </c>
      <c r="B4807" s="1" t="n">
        <v>44861</v>
      </c>
      <c r="C4807" s="1" t="n">
        <v>45798</v>
      </c>
      <c r="D4807" t="inlineStr">
        <is>
          <t>NORRBOTTENS LÄN</t>
        </is>
      </c>
      <c r="E4807" t="inlineStr">
        <is>
          <t>PITEÅ</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50389-2022</t>
        </is>
      </c>
      <c r="B4808" s="1" t="n">
        <v>44861</v>
      </c>
      <c r="C4808" s="1" t="n">
        <v>45798</v>
      </c>
      <c r="D4808" t="inlineStr">
        <is>
          <t>NORRBOTTENS LÄN</t>
        </is>
      </c>
      <c r="E4808" t="inlineStr">
        <is>
          <t>PAJALA</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49354-2022</t>
        </is>
      </c>
      <c r="B4809" s="1" t="n">
        <v>44861</v>
      </c>
      <c r="C4809" s="1" t="n">
        <v>45798</v>
      </c>
      <c r="D4809" t="inlineStr">
        <is>
          <t>NORRBOTTENS LÄN</t>
        </is>
      </c>
      <c r="E4809" t="inlineStr">
        <is>
          <t>PITEÅ</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49364-2022</t>
        </is>
      </c>
      <c r="B4810" s="1" t="n">
        <v>44861</v>
      </c>
      <c r="C4810" s="1" t="n">
        <v>45798</v>
      </c>
      <c r="D4810" t="inlineStr">
        <is>
          <t>NORRBOTTENS LÄN</t>
        </is>
      </c>
      <c r="E4810" t="inlineStr">
        <is>
          <t>PITEÅ</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49468-2022</t>
        </is>
      </c>
      <c r="B4811" s="1" t="n">
        <v>44861</v>
      </c>
      <c r="C4811" s="1" t="n">
        <v>45798</v>
      </c>
      <c r="D4811" t="inlineStr">
        <is>
          <t>NORRBOTTENS LÄN</t>
        </is>
      </c>
      <c r="E4811" t="inlineStr">
        <is>
          <t>KALIX</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49545-2022</t>
        </is>
      </c>
      <c r="B4812" s="1" t="n">
        <v>44862</v>
      </c>
      <c r="C4812" s="1" t="n">
        <v>45798</v>
      </c>
      <c r="D4812" t="inlineStr">
        <is>
          <t>NORRBOTTENS LÄN</t>
        </is>
      </c>
      <c r="E4812" t="inlineStr">
        <is>
          <t>BODEN</t>
        </is>
      </c>
      <c r="F4812" t="inlineStr">
        <is>
          <t>SCA</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50396-2022</t>
        </is>
      </c>
      <c r="B4813" s="1" t="n">
        <v>44861</v>
      </c>
      <c r="C4813" s="1" t="n">
        <v>45798</v>
      </c>
      <c r="D4813" t="inlineStr">
        <is>
          <t>NORRBOTTENS LÄN</t>
        </is>
      </c>
      <c r="E4813" t="inlineStr">
        <is>
          <t>PAJALA</t>
        </is>
      </c>
      <c r="F4813" t="inlineStr">
        <is>
          <t>Allmännings- och besparingsskogar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50471-2022</t>
        </is>
      </c>
      <c r="B4814" s="1" t="n">
        <v>44861</v>
      </c>
      <c r="C4814" s="1" t="n">
        <v>45798</v>
      </c>
      <c r="D4814" t="inlineStr">
        <is>
          <t>NORRBOTTENS LÄN</t>
        </is>
      </c>
      <c r="E4814" t="inlineStr">
        <is>
          <t>ARVIDSJAUR</t>
        </is>
      </c>
      <c r="F4814" t="inlineStr">
        <is>
          <t>Allmännings- och besparingsskogar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49284-2022</t>
        </is>
      </c>
      <c r="B4815" s="1" t="n">
        <v>44861</v>
      </c>
      <c r="C4815" s="1" t="n">
        <v>45798</v>
      </c>
      <c r="D4815" t="inlineStr">
        <is>
          <t>NORRBOTTENS LÄN</t>
        </is>
      </c>
      <c r="E4815" t="inlineStr">
        <is>
          <t>HAPARANDA</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49317-2022</t>
        </is>
      </c>
      <c r="B4816" s="1" t="n">
        <v>44861</v>
      </c>
      <c r="C4816" s="1" t="n">
        <v>45798</v>
      </c>
      <c r="D4816" t="inlineStr">
        <is>
          <t>NORRBOTTENS LÄN</t>
        </is>
      </c>
      <c r="E4816" t="inlineStr">
        <is>
          <t>PITEÅ</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49326-2022</t>
        </is>
      </c>
      <c r="B4817" s="1" t="n">
        <v>44861</v>
      </c>
      <c r="C4817" s="1" t="n">
        <v>45798</v>
      </c>
      <c r="D4817" t="inlineStr">
        <is>
          <t>NORRBOTTENS LÄN</t>
        </is>
      </c>
      <c r="E4817" t="inlineStr">
        <is>
          <t>GÄLLIVARE</t>
        </is>
      </c>
      <c r="F4817" t="inlineStr">
        <is>
          <t>Sveaskog</t>
        </is>
      </c>
      <c r="G4817" t="n">
        <v>23.3</v>
      </c>
      <c r="H4817" t="n">
        <v>0</v>
      </c>
      <c r="I4817" t="n">
        <v>0</v>
      </c>
      <c r="J4817" t="n">
        <v>0</v>
      </c>
      <c r="K4817" t="n">
        <v>0</v>
      </c>
      <c r="L4817" t="n">
        <v>0</v>
      </c>
      <c r="M4817" t="n">
        <v>0</v>
      </c>
      <c r="N4817" t="n">
        <v>0</v>
      </c>
      <c r="O4817" t="n">
        <v>0</v>
      </c>
      <c r="P4817" t="n">
        <v>0</v>
      </c>
      <c r="Q4817" t="n">
        <v>0</v>
      </c>
      <c r="R4817" s="2" t="inlineStr"/>
    </row>
    <row r="4818" ht="15" customHeight="1">
      <c r="A4818" t="inlineStr">
        <is>
          <t>A 49401-2022</t>
        </is>
      </c>
      <c r="B4818" s="1" t="n">
        <v>44861</v>
      </c>
      <c r="C4818" s="1" t="n">
        <v>45798</v>
      </c>
      <c r="D4818" t="inlineStr">
        <is>
          <t>NORRBOTTENS LÄN</t>
        </is>
      </c>
      <c r="E4818" t="inlineStr">
        <is>
          <t>LULEÅ</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50472-2022</t>
        </is>
      </c>
      <c r="B4819" s="1" t="n">
        <v>44861</v>
      </c>
      <c r="C4819" s="1" t="n">
        <v>45798</v>
      </c>
      <c r="D4819" t="inlineStr">
        <is>
          <t>NORRBOTTENS LÄN</t>
        </is>
      </c>
      <c r="E4819" t="inlineStr">
        <is>
          <t>ARVIDSJAUR</t>
        </is>
      </c>
      <c r="F4819" t="inlineStr">
        <is>
          <t>Allmännings- och besparingsskogar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49761-2022</t>
        </is>
      </c>
      <c r="B4820" s="1" t="n">
        <v>44862</v>
      </c>
      <c r="C4820" s="1" t="n">
        <v>45798</v>
      </c>
      <c r="D4820" t="inlineStr">
        <is>
          <t>NORRBOTTENS LÄN</t>
        </is>
      </c>
      <c r="E4820" t="inlineStr">
        <is>
          <t>BODEN</t>
        </is>
      </c>
      <c r="F4820" t="inlineStr">
        <is>
          <t>Sveaskog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49642-2022</t>
        </is>
      </c>
      <c r="B4821" s="1" t="n">
        <v>44862</v>
      </c>
      <c r="C4821" s="1" t="n">
        <v>45798</v>
      </c>
      <c r="D4821" t="inlineStr">
        <is>
          <t>NORRBOTTENS LÄN</t>
        </is>
      </c>
      <c r="E4821" t="inlineStr">
        <is>
          <t>ARVIDSJAUR</t>
        </is>
      </c>
      <c r="F4821" t="inlineStr">
        <is>
          <t>Sveaskog</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49651-2022</t>
        </is>
      </c>
      <c r="B4822" s="1" t="n">
        <v>44862</v>
      </c>
      <c r="C4822" s="1" t="n">
        <v>45798</v>
      </c>
      <c r="D4822" t="inlineStr">
        <is>
          <t>NORRBOTTENS LÄN</t>
        </is>
      </c>
      <c r="E4822" t="inlineStr">
        <is>
          <t>KALIX</t>
        </is>
      </c>
      <c r="F4822" t="inlineStr">
        <is>
          <t>Sveaskog</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49767-2022</t>
        </is>
      </c>
      <c r="B4823" s="1" t="n">
        <v>44862</v>
      </c>
      <c r="C4823" s="1" t="n">
        <v>45798</v>
      </c>
      <c r="D4823" t="inlineStr">
        <is>
          <t>NORRBOTTENS LÄN</t>
        </is>
      </c>
      <c r="E4823" t="inlineStr">
        <is>
          <t>ÄLVSBYN</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49808-2022</t>
        </is>
      </c>
      <c r="B4824" s="1" t="n">
        <v>44862</v>
      </c>
      <c r="C4824" s="1" t="n">
        <v>45798</v>
      </c>
      <c r="D4824" t="inlineStr">
        <is>
          <t>NORRBOTTENS LÄN</t>
        </is>
      </c>
      <c r="E4824" t="inlineStr">
        <is>
          <t>PITEÅ</t>
        </is>
      </c>
      <c r="F4824" t="inlineStr">
        <is>
          <t>Sveaskog</t>
        </is>
      </c>
      <c r="G4824" t="n">
        <v>13.2</v>
      </c>
      <c r="H4824" t="n">
        <v>0</v>
      </c>
      <c r="I4824" t="n">
        <v>0</v>
      </c>
      <c r="J4824" t="n">
        <v>0</v>
      </c>
      <c r="K4824" t="n">
        <v>0</v>
      </c>
      <c r="L4824" t="n">
        <v>0</v>
      </c>
      <c r="M4824" t="n">
        <v>0</v>
      </c>
      <c r="N4824" t="n">
        <v>0</v>
      </c>
      <c r="O4824" t="n">
        <v>0</v>
      </c>
      <c r="P4824" t="n">
        <v>0</v>
      </c>
      <c r="Q4824" t="n">
        <v>0</v>
      </c>
      <c r="R4824" s="2" t="inlineStr"/>
    </row>
    <row r="4825" ht="15" customHeight="1">
      <c r="A4825" t="inlineStr">
        <is>
          <t>A 49698-2022</t>
        </is>
      </c>
      <c r="B4825" s="1" t="n">
        <v>44862</v>
      </c>
      <c r="C4825" s="1" t="n">
        <v>45798</v>
      </c>
      <c r="D4825" t="inlineStr">
        <is>
          <t>NORRBOTTENS LÄN</t>
        </is>
      </c>
      <c r="E4825" t="inlineStr">
        <is>
          <t>BODEN</t>
        </is>
      </c>
      <c r="F4825" t="inlineStr">
        <is>
          <t>Sveaskog</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49869-2022</t>
        </is>
      </c>
      <c r="B4826" s="1" t="n">
        <v>44862</v>
      </c>
      <c r="C4826" s="1" t="n">
        <v>45798</v>
      </c>
      <c r="D4826" t="inlineStr">
        <is>
          <t>NORRBOTTENS LÄN</t>
        </is>
      </c>
      <c r="E4826" t="inlineStr">
        <is>
          <t>GÄLLIVARE</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49806-2022</t>
        </is>
      </c>
      <c r="B4827" s="1" t="n">
        <v>44862</v>
      </c>
      <c r="C4827" s="1" t="n">
        <v>45798</v>
      </c>
      <c r="D4827" t="inlineStr">
        <is>
          <t>NORRBOTTENS LÄN</t>
        </is>
      </c>
      <c r="E4827" t="inlineStr">
        <is>
          <t>BODEN</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49841-2022</t>
        </is>
      </c>
      <c r="B4828" s="1" t="n">
        <v>44863</v>
      </c>
      <c r="C4828" s="1" t="n">
        <v>45798</v>
      </c>
      <c r="D4828" t="inlineStr">
        <is>
          <t>NORRBOTTENS LÄN</t>
        </is>
      </c>
      <c r="E4828" t="inlineStr">
        <is>
          <t>HAPARANDA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49759-2022</t>
        </is>
      </c>
      <c r="B4829" s="1" t="n">
        <v>44862</v>
      </c>
      <c r="C4829" s="1" t="n">
        <v>45798</v>
      </c>
      <c r="D4829" t="inlineStr">
        <is>
          <t>NORRBOTTENS LÄN</t>
        </is>
      </c>
      <c r="E4829" t="inlineStr">
        <is>
          <t>KALIX</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49843-2022</t>
        </is>
      </c>
      <c r="B4830" s="1" t="n">
        <v>44862</v>
      </c>
      <c r="C4830" s="1" t="n">
        <v>45798</v>
      </c>
      <c r="D4830" t="inlineStr">
        <is>
          <t>NORRBOTTENS LÄN</t>
        </is>
      </c>
      <c r="E4830" t="inlineStr">
        <is>
          <t>ÖVERKALIX</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49845-2022</t>
        </is>
      </c>
      <c r="B4831" s="1" t="n">
        <v>44862</v>
      </c>
      <c r="C4831" s="1" t="n">
        <v>45798</v>
      </c>
      <c r="D4831" t="inlineStr">
        <is>
          <t>NORRBOTTENS LÄN</t>
        </is>
      </c>
      <c r="E4831" t="inlineStr">
        <is>
          <t>KALIX</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49862-2022</t>
        </is>
      </c>
      <c r="B4832" s="1" t="n">
        <v>44862</v>
      </c>
      <c r="C4832" s="1" t="n">
        <v>45798</v>
      </c>
      <c r="D4832" t="inlineStr">
        <is>
          <t>NORRBOTTENS LÄN</t>
        </is>
      </c>
      <c r="E4832" t="inlineStr">
        <is>
          <t>GÄLLIVARE</t>
        </is>
      </c>
      <c r="F4832" t="inlineStr">
        <is>
          <t>SCA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49870-2022</t>
        </is>
      </c>
      <c r="B4833" s="1" t="n">
        <v>44862</v>
      </c>
      <c r="C4833" s="1" t="n">
        <v>45798</v>
      </c>
      <c r="D4833" t="inlineStr">
        <is>
          <t>NORRBOTTENS LÄN</t>
        </is>
      </c>
      <c r="E4833" t="inlineStr">
        <is>
          <t>GÄLLIVARE</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50716-2022</t>
        </is>
      </c>
      <c r="B4834" s="1" t="n">
        <v>44862</v>
      </c>
      <c r="C4834" s="1" t="n">
        <v>45798</v>
      </c>
      <c r="D4834" t="inlineStr">
        <is>
          <t>NORRBOTTENS LÄN</t>
        </is>
      </c>
      <c r="E4834" t="inlineStr">
        <is>
          <t>JOKKMOKK</t>
        </is>
      </c>
      <c r="G4834" t="n">
        <v>30.2</v>
      </c>
      <c r="H4834" t="n">
        <v>0</v>
      </c>
      <c r="I4834" t="n">
        <v>0</v>
      </c>
      <c r="J4834" t="n">
        <v>0</v>
      </c>
      <c r="K4834" t="n">
        <v>0</v>
      </c>
      <c r="L4834" t="n">
        <v>0</v>
      </c>
      <c r="M4834" t="n">
        <v>0</v>
      </c>
      <c r="N4834" t="n">
        <v>0</v>
      </c>
      <c r="O4834" t="n">
        <v>0</v>
      </c>
      <c r="P4834" t="n">
        <v>0</v>
      </c>
      <c r="Q4834" t="n">
        <v>0</v>
      </c>
      <c r="R4834" s="2" t="inlineStr"/>
    </row>
    <row r="4835" ht="15" customHeight="1">
      <c r="A4835" t="inlineStr">
        <is>
          <t>A 50729-2022</t>
        </is>
      </c>
      <c r="B4835" s="1" t="n">
        <v>44862</v>
      </c>
      <c r="C4835" s="1" t="n">
        <v>45798</v>
      </c>
      <c r="D4835" t="inlineStr">
        <is>
          <t>NORRBOTTENS LÄN</t>
        </is>
      </c>
      <c r="E4835" t="inlineStr">
        <is>
          <t>GÄLLIVARE</t>
        </is>
      </c>
      <c r="F4835" t="inlineStr">
        <is>
          <t>SCA</t>
        </is>
      </c>
      <c r="G4835" t="n">
        <v>19.8</v>
      </c>
      <c r="H4835" t="n">
        <v>0</v>
      </c>
      <c r="I4835" t="n">
        <v>0</v>
      </c>
      <c r="J4835" t="n">
        <v>0</v>
      </c>
      <c r="K4835" t="n">
        <v>0</v>
      </c>
      <c r="L4835" t="n">
        <v>0</v>
      </c>
      <c r="M4835" t="n">
        <v>0</v>
      </c>
      <c r="N4835" t="n">
        <v>0</v>
      </c>
      <c r="O4835" t="n">
        <v>0</v>
      </c>
      <c r="P4835" t="n">
        <v>0</v>
      </c>
      <c r="Q4835" t="n">
        <v>0</v>
      </c>
      <c r="R4835" s="2" t="inlineStr"/>
    </row>
    <row r="4836" ht="15" customHeight="1">
      <c r="A4836" t="inlineStr">
        <is>
          <t>A 50725-2022</t>
        </is>
      </c>
      <c r="B4836" s="1" t="n">
        <v>44862</v>
      </c>
      <c r="C4836" s="1" t="n">
        <v>45798</v>
      </c>
      <c r="D4836" t="inlineStr">
        <is>
          <t>NORRBOTTENS LÄN</t>
        </is>
      </c>
      <c r="E4836" t="inlineStr">
        <is>
          <t>PAJALA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49886-2022</t>
        </is>
      </c>
      <c r="B4837" s="1" t="n">
        <v>44864</v>
      </c>
      <c r="C4837" s="1" t="n">
        <v>45798</v>
      </c>
      <c r="D4837" t="inlineStr">
        <is>
          <t>NORRBOTTENS LÄN</t>
        </is>
      </c>
      <c r="E4837" t="inlineStr">
        <is>
          <t>ÖVERTORNEÅ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50001-2022</t>
        </is>
      </c>
      <c r="B4838" s="1" t="n">
        <v>44865</v>
      </c>
      <c r="C4838" s="1" t="n">
        <v>45798</v>
      </c>
      <c r="D4838" t="inlineStr">
        <is>
          <t>NORRBOTTENS LÄN</t>
        </is>
      </c>
      <c r="E4838" t="inlineStr">
        <is>
          <t>KALIX</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50177-2022</t>
        </is>
      </c>
      <c r="B4839" s="1" t="n">
        <v>44865</v>
      </c>
      <c r="C4839" s="1" t="n">
        <v>45798</v>
      </c>
      <c r="D4839" t="inlineStr">
        <is>
          <t>NORRBOTTENS LÄN</t>
        </is>
      </c>
      <c r="E4839" t="inlineStr">
        <is>
          <t>KALIX</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50155-2022</t>
        </is>
      </c>
      <c r="B4840" s="1" t="n">
        <v>44865</v>
      </c>
      <c r="C4840" s="1" t="n">
        <v>45798</v>
      </c>
      <c r="D4840" t="inlineStr">
        <is>
          <t>NORRBOTTENS LÄN</t>
        </is>
      </c>
      <c r="E4840" t="inlineStr">
        <is>
          <t>KALIX</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50171-2022</t>
        </is>
      </c>
      <c r="B4841" s="1" t="n">
        <v>44865</v>
      </c>
      <c r="C4841" s="1" t="n">
        <v>45798</v>
      </c>
      <c r="D4841" t="inlineStr">
        <is>
          <t>NORRBOTTENS LÄN</t>
        </is>
      </c>
      <c r="E4841" t="inlineStr">
        <is>
          <t>KALIX</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50238-2022</t>
        </is>
      </c>
      <c r="B4842" s="1" t="n">
        <v>44865</v>
      </c>
      <c r="C4842" s="1" t="n">
        <v>45798</v>
      </c>
      <c r="D4842" t="inlineStr">
        <is>
          <t>NORRBOTTENS LÄN</t>
        </is>
      </c>
      <c r="E4842" t="inlineStr">
        <is>
          <t>ÖVERKALIX</t>
        </is>
      </c>
      <c r="F4842" t="inlineStr">
        <is>
          <t>Sveaskog</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50303-2022</t>
        </is>
      </c>
      <c r="B4843" s="1" t="n">
        <v>44865</v>
      </c>
      <c r="C4843" s="1" t="n">
        <v>45798</v>
      </c>
      <c r="D4843" t="inlineStr">
        <is>
          <t>NORRBOTTENS LÄN</t>
        </is>
      </c>
      <c r="E4843" t="inlineStr">
        <is>
          <t>ARVIDSJAUR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50322-2022</t>
        </is>
      </c>
      <c r="B4844" s="1" t="n">
        <v>44865</v>
      </c>
      <c r="C4844" s="1" t="n">
        <v>45798</v>
      </c>
      <c r="D4844" t="inlineStr">
        <is>
          <t>NORRBOTTENS LÄN</t>
        </is>
      </c>
      <c r="E4844" t="inlineStr">
        <is>
          <t>BODEN</t>
        </is>
      </c>
      <c r="F4844" t="inlineStr">
        <is>
          <t>SCA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50330-2022</t>
        </is>
      </c>
      <c r="B4845" s="1" t="n">
        <v>44865</v>
      </c>
      <c r="C4845" s="1" t="n">
        <v>45798</v>
      </c>
      <c r="D4845" t="inlineStr">
        <is>
          <t>NORRBOTTENS LÄN</t>
        </is>
      </c>
      <c r="E4845" t="inlineStr">
        <is>
          <t>LULEÅ</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50634-2022</t>
        </is>
      </c>
      <c r="B4846" s="1" t="n">
        <v>44866</v>
      </c>
      <c r="C4846" s="1" t="n">
        <v>45798</v>
      </c>
      <c r="D4846" t="inlineStr">
        <is>
          <t>NORRBOTTENS LÄN</t>
        </is>
      </c>
      <c r="E4846" t="inlineStr">
        <is>
          <t>ÄLVSBYN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50513-2022</t>
        </is>
      </c>
      <c r="B4847" s="1" t="n">
        <v>44866</v>
      </c>
      <c r="C4847" s="1" t="n">
        <v>45798</v>
      </c>
      <c r="D4847" t="inlineStr">
        <is>
          <t>NORRBOTTENS LÄN</t>
        </is>
      </c>
      <c r="E4847" t="inlineStr">
        <is>
          <t>GÄLLIVARE</t>
        </is>
      </c>
      <c r="F4847" t="inlineStr">
        <is>
          <t>Sveaskog</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50568-2022</t>
        </is>
      </c>
      <c r="B4848" s="1" t="n">
        <v>44866</v>
      </c>
      <c r="C4848" s="1" t="n">
        <v>45798</v>
      </c>
      <c r="D4848" t="inlineStr">
        <is>
          <t>NORRBOTTENS LÄN</t>
        </is>
      </c>
      <c r="E4848" t="inlineStr">
        <is>
          <t>JOKKMOKK</t>
        </is>
      </c>
      <c r="F4848" t="inlineStr">
        <is>
          <t>Sveaskog</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50575-2022</t>
        </is>
      </c>
      <c r="B4849" s="1" t="n">
        <v>44866</v>
      </c>
      <c r="C4849" s="1" t="n">
        <v>45798</v>
      </c>
      <c r="D4849" t="inlineStr">
        <is>
          <t>NORRBOTTENS LÄN</t>
        </is>
      </c>
      <c r="E4849" t="inlineStr">
        <is>
          <t>ARVIDSJAUR</t>
        </is>
      </c>
      <c r="F4849" t="inlineStr">
        <is>
          <t>Sveaskog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50644-2022</t>
        </is>
      </c>
      <c r="B4850" s="1" t="n">
        <v>44866</v>
      </c>
      <c r="C4850" s="1" t="n">
        <v>45798</v>
      </c>
      <c r="D4850" t="inlineStr">
        <is>
          <t>NORRBOTTENS LÄN</t>
        </is>
      </c>
      <c r="E4850" t="inlineStr">
        <is>
          <t>PITEÅ</t>
        </is>
      </c>
      <c r="F4850" t="inlineStr">
        <is>
          <t>SCA</t>
        </is>
      </c>
      <c r="G4850" t="n">
        <v>17.6</v>
      </c>
      <c r="H4850" t="n">
        <v>0</v>
      </c>
      <c r="I4850" t="n">
        <v>0</v>
      </c>
      <c r="J4850" t="n">
        <v>0</v>
      </c>
      <c r="K4850" t="n">
        <v>0</v>
      </c>
      <c r="L4850" t="n">
        <v>0</v>
      </c>
      <c r="M4850" t="n">
        <v>0</v>
      </c>
      <c r="N4850" t="n">
        <v>0</v>
      </c>
      <c r="O4850" t="n">
        <v>0</v>
      </c>
      <c r="P4850" t="n">
        <v>0</v>
      </c>
      <c r="Q4850" t="n">
        <v>0</v>
      </c>
      <c r="R4850" s="2" t="inlineStr"/>
    </row>
    <row r="4851" ht="15" customHeight="1">
      <c r="A4851" t="inlineStr">
        <is>
          <t>A 50631-2022</t>
        </is>
      </c>
      <c r="B4851" s="1" t="n">
        <v>44866</v>
      </c>
      <c r="C4851" s="1" t="n">
        <v>45798</v>
      </c>
      <c r="D4851" t="inlineStr">
        <is>
          <t>NORRBOTTENS LÄN</t>
        </is>
      </c>
      <c r="E4851" t="inlineStr">
        <is>
          <t>ÄLVSBYN</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50760-2022</t>
        </is>
      </c>
      <c r="B4852" s="1" t="n">
        <v>44867</v>
      </c>
      <c r="C4852" s="1" t="n">
        <v>45798</v>
      </c>
      <c r="D4852" t="inlineStr">
        <is>
          <t>NORRBOTTENS LÄN</t>
        </is>
      </c>
      <c r="E4852" t="inlineStr">
        <is>
          <t>BODEN</t>
        </is>
      </c>
      <c r="F4852" t="inlineStr">
        <is>
          <t>Sveaskog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50757-2022</t>
        </is>
      </c>
      <c r="B4853" s="1" t="n">
        <v>44867</v>
      </c>
      <c r="C4853" s="1" t="n">
        <v>45798</v>
      </c>
      <c r="D4853" t="inlineStr">
        <is>
          <t>NORRBOTTENS LÄN</t>
        </is>
      </c>
      <c r="E4853" t="inlineStr">
        <is>
          <t>BODEN</t>
        </is>
      </c>
      <c r="F4853" t="inlineStr">
        <is>
          <t>Sveaskog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50738-2022</t>
        </is>
      </c>
      <c r="B4854" s="1" t="n">
        <v>44867</v>
      </c>
      <c r="C4854" s="1" t="n">
        <v>45798</v>
      </c>
      <c r="D4854" t="inlineStr">
        <is>
          <t>NORRBOTTENS LÄN</t>
        </is>
      </c>
      <c r="E4854" t="inlineStr">
        <is>
          <t>PITEÅ</t>
        </is>
      </c>
      <c r="F4854" t="inlineStr">
        <is>
          <t>Sveaskog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50752-2022</t>
        </is>
      </c>
      <c r="B4855" s="1" t="n">
        <v>44867</v>
      </c>
      <c r="C4855" s="1" t="n">
        <v>45798</v>
      </c>
      <c r="D4855" t="inlineStr">
        <is>
          <t>NORRBOTTENS LÄN</t>
        </is>
      </c>
      <c r="E4855" t="inlineStr">
        <is>
          <t>BODEN</t>
        </is>
      </c>
      <c r="F4855" t="inlineStr">
        <is>
          <t>Sveaskog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50930-2022</t>
        </is>
      </c>
      <c r="B4856" s="1" t="n">
        <v>44867</v>
      </c>
      <c r="C4856" s="1" t="n">
        <v>45798</v>
      </c>
      <c r="D4856" t="inlineStr">
        <is>
          <t>NORRBOTTENS LÄN</t>
        </is>
      </c>
      <c r="E4856" t="inlineStr">
        <is>
          <t>PITEÅ</t>
        </is>
      </c>
      <c r="F4856" t="inlineStr">
        <is>
          <t>Sveaskog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50850-2022</t>
        </is>
      </c>
      <c r="B4857" s="1" t="n">
        <v>44867</v>
      </c>
      <c r="C4857" s="1" t="n">
        <v>45798</v>
      </c>
      <c r="D4857" t="inlineStr">
        <is>
          <t>NORRBOTTENS LÄN</t>
        </is>
      </c>
      <c r="E4857" t="inlineStr">
        <is>
          <t>ARVIDSJAUR</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51878-2022</t>
        </is>
      </c>
      <c r="B4858" s="1" t="n">
        <v>44867</v>
      </c>
      <c r="C4858" s="1" t="n">
        <v>45798</v>
      </c>
      <c r="D4858" t="inlineStr">
        <is>
          <t>NORRBOTTENS LÄN</t>
        </is>
      </c>
      <c r="E4858" t="inlineStr">
        <is>
          <t>PITEÅ</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51745-2022</t>
        </is>
      </c>
      <c r="B4859" s="1" t="n">
        <v>44867</v>
      </c>
      <c r="C4859" s="1" t="n">
        <v>45798</v>
      </c>
      <c r="D4859" t="inlineStr">
        <is>
          <t>NORRBOTTENS LÄN</t>
        </is>
      </c>
      <c r="E4859" t="inlineStr">
        <is>
          <t>PAJALA</t>
        </is>
      </c>
      <c r="F4859" t="inlineStr">
        <is>
          <t>Allmännings- och besparingsskogar</t>
        </is>
      </c>
      <c r="G4859" t="n">
        <v>33.4</v>
      </c>
      <c r="H4859" t="n">
        <v>0</v>
      </c>
      <c r="I4859" t="n">
        <v>0</v>
      </c>
      <c r="J4859" t="n">
        <v>0</v>
      </c>
      <c r="K4859" t="n">
        <v>0</v>
      </c>
      <c r="L4859" t="n">
        <v>0</v>
      </c>
      <c r="M4859" t="n">
        <v>0</v>
      </c>
      <c r="N4859" t="n">
        <v>0</v>
      </c>
      <c r="O4859" t="n">
        <v>0</v>
      </c>
      <c r="P4859" t="n">
        <v>0</v>
      </c>
      <c r="Q4859" t="n">
        <v>0</v>
      </c>
      <c r="R4859" s="2" t="inlineStr"/>
    </row>
    <row r="4860" ht="15" customHeight="1">
      <c r="A4860" t="inlineStr">
        <is>
          <t>A 51668-2022</t>
        </is>
      </c>
      <c r="B4860" s="1" t="n">
        <v>44867</v>
      </c>
      <c r="C4860" s="1" t="n">
        <v>45798</v>
      </c>
      <c r="D4860" t="inlineStr">
        <is>
          <t>NORRBOTTENS LÄN</t>
        </is>
      </c>
      <c r="E4860" t="inlineStr">
        <is>
          <t>LULEÅ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51029-2022</t>
        </is>
      </c>
      <c r="B4861" s="1" t="n">
        <v>44868</v>
      </c>
      <c r="C4861" s="1" t="n">
        <v>45798</v>
      </c>
      <c r="D4861" t="inlineStr">
        <is>
          <t>NORRBOTTENS LÄN</t>
        </is>
      </c>
      <c r="E4861" t="inlineStr">
        <is>
          <t>BODEN</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51063-2022</t>
        </is>
      </c>
      <c r="B4862" s="1" t="n">
        <v>44868</v>
      </c>
      <c r="C4862" s="1" t="n">
        <v>45798</v>
      </c>
      <c r="D4862" t="inlineStr">
        <is>
          <t>NORRBOTTENS LÄN</t>
        </is>
      </c>
      <c r="E4862" t="inlineStr">
        <is>
          <t>ÄLVSBYN</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51304-2022</t>
        </is>
      </c>
      <c r="B4863" s="1" t="n">
        <v>44868</v>
      </c>
      <c r="C4863" s="1" t="n">
        <v>45798</v>
      </c>
      <c r="D4863" t="inlineStr">
        <is>
          <t>NORRBOTTENS LÄN</t>
        </is>
      </c>
      <c r="E4863" t="inlineStr">
        <is>
          <t>JOKKMOKK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51254-2022</t>
        </is>
      </c>
      <c r="B4864" s="1" t="n">
        <v>44868</v>
      </c>
      <c r="C4864" s="1" t="n">
        <v>45798</v>
      </c>
      <c r="D4864" t="inlineStr">
        <is>
          <t>NORRBOTTENS LÄN</t>
        </is>
      </c>
      <c r="E4864" t="inlineStr">
        <is>
          <t>PITEÅ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51192-2022</t>
        </is>
      </c>
      <c r="B4865" s="1" t="n">
        <v>44868</v>
      </c>
      <c r="C4865" s="1" t="n">
        <v>45798</v>
      </c>
      <c r="D4865" t="inlineStr">
        <is>
          <t>NORRBOTTENS LÄN</t>
        </is>
      </c>
      <c r="E4865" t="inlineStr">
        <is>
          <t>BODEN</t>
        </is>
      </c>
      <c r="F4865" t="inlineStr">
        <is>
          <t>Sveaskog</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51220-2022</t>
        </is>
      </c>
      <c r="B4866" s="1" t="n">
        <v>44868</v>
      </c>
      <c r="C4866" s="1" t="n">
        <v>45798</v>
      </c>
      <c r="D4866" t="inlineStr">
        <is>
          <t>NORRBOTTENS LÄN</t>
        </is>
      </c>
      <c r="E4866" t="inlineStr">
        <is>
          <t>JOKKMOKK</t>
        </is>
      </c>
      <c r="F4866" t="inlineStr">
        <is>
          <t>Sveaskog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52164-2022</t>
        </is>
      </c>
      <c r="B4867" s="1" t="n">
        <v>44868</v>
      </c>
      <c r="C4867" s="1" t="n">
        <v>45798</v>
      </c>
      <c r="D4867" t="inlineStr">
        <is>
          <t>NORRBOTTENS LÄN</t>
        </is>
      </c>
      <c r="E4867" t="inlineStr">
        <is>
          <t>LULEÅ</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52191-2022</t>
        </is>
      </c>
      <c r="B4868" s="1" t="n">
        <v>44868</v>
      </c>
      <c r="C4868" s="1" t="n">
        <v>45798</v>
      </c>
      <c r="D4868" t="inlineStr">
        <is>
          <t>NORRBOTTENS LÄN</t>
        </is>
      </c>
      <c r="E4868" t="inlineStr">
        <is>
          <t>LULEÅ</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52190-2022</t>
        </is>
      </c>
      <c r="B4869" s="1" t="n">
        <v>44868</v>
      </c>
      <c r="C4869" s="1" t="n">
        <v>45798</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52118-2022</t>
        </is>
      </c>
      <c r="B4870" s="1" t="n">
        <v>44868</v>
      </c>
      <c r="C4870" s="1" t="n">
        <v>45798</v>
      </c>
      <c r="D4870" t="inlineStr">
        <is>
          <t>NORRBOTTENS LÄN</t>
        </is>
      </c>
      <c r="E4870" t="inlineStr">
        <is>
          <t>BODEN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52168-2022</t>
        </is>
      </c>
      <c r="B4871" s="1" t="n">
        <v>44868</v>
      </c>
      <c r="C4871" s="1" t="n">
        <v>45798</v>
      </c>
      <c r="D4871" t="inlineStr">
        <is>
          <t>NORRBOTTENS LÄN</t>
        </is>
      </c>
      <c r="E4871" t="inlineStr">
        <is>
          <t>LULEÅ</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52185-2022</t>
        </is>
      </c>
      <c r="B4872" s="1" t="n">
        <v>44868</v>
      </c>
      <c r="C4872" s="1" t="n">
        <v>45798</v>
      </c>
      <c r="D4872" t="inlineStr">
        <is>
          <t>NORRBOTTENS LÄN</t>
        </is>
      </c>
      <c r="E4872" t="inlineStr">
        <is>
          <t>LULEÅ</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52205-2022</t>
        </is>
      </c>
      <c r="B4873" s="1" t="n">
        <v>44868</v>
      </c>
      <c r="C4873" s="1" t="n">
        <v>45798</v>
      </c>
      <c r="D4873" t="inlineStr">
        <is>
          <t>NORRBOTTENS LÄN</t>
        </is>
      </c>
      <c r="E4873" t="inlineStr">
        <is>
          <t>LULEÅ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52188-2022</t>
        </is>
      </c>
      <c r="B4874" s="1" t="n">
        <v>44868</v>
      </c>
      <c r="C4874" s="1" t="n">
        <v>45798</v>
      </c>
      <c r="D4874" t="inlineStr">
        <is>
          <t>NORRBOTTENS LÄN</t>
        </is>
      </c>
      <c r="E4874" t="inlineStr">
        <is>
          <t>LULEÅ</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51391-2022</t>
        </is>
      </c>
      <c r="B4875" s="1" t="n">
        <v>44869</v>
      </c>
      <c r="C4875" s="1" t="n">
        <v>45798</v>
      </c>
      <c r="D4875" t="inlineStr">
        <is>
          <t>NORRBOTTENS LÄN</t>
        </is>
      </c>
      <c r="E4875" t="inlineStr">
        <is>
          <t>PAJALA</t>
        </is>
      </c>
      <c r="G4875" t="n">
        <v>0</v>
      </c>
      <c r="H4875" t="n">
        <v>0</v>
      </c>
      <c r="I4875" t="n">
        <v>0</v>
      </c>
      <c r="J4875" t="n">
        <v>0</v>
      </c>
      <c r="K4875" t="n">
        <v>0</v>
      </c>
      <c r="L4875" t="n">
        <v>0</v>
      </c>
      <c r="M4875" t="n">
        <v>0</v>
      </c>
      <c r="N4875" t="n">
        <v>0</v>
      </c>
      <c r="O4875" t="n">
        <v>0</v>
      </c>
      <c r="P4875" t="n">
        <v>0</v>
      </c>
      <c r="Q4875" t="n">
        <v>0</v>
      </c>
      <c r="R4875" s="2" t="inlineStr"/>
    </row>
    <row r="4876" ht="15" customHeight="1">
      <c r="A4876" t="inlineStr">
        <is>
          <t>A 52216-2022</t>
        </is>
      </c>
      <c r="B4876" s="1" t="n">
        <v>44869</v>
      </c>
      <c r="C4876" s="1" t="n">
        <v>45798</v>
      </c>
      <c r="D4876" t="inlineStr">
        <is>
          <t>NORRBOTTENS LÄN</t>
        </is>
      </c>
      <c r="E4876" t="inlineStr">
        <is>
          <t>LULEÅ</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52026-2022</t>
        </is>
      </c>
      <c r="B4877" s="1" t="n">
        <v>44872</v>
      </c>
      <c r="C4877" s="1" t="n">
        <v>45798</v>
      </c>
      <c r="D4877" t="inlineStr">
        <is>
          <t>NORRBOTTENS LÄN</t>
        </is>
      </c>
      <c r="E4877" t="inlineStr">
        <is>
          <t>ÖVERKALIX</t>
        </is>
      </c>
      <c r="F4877" t="inlineStr">
        <is>
          <t>SCA</t>
        </is>
      </c>
      <c r="G4877" t="n">
        <v>12.4</v>
      </c>
      <c r="H4877" t="n">
        <v>0</v>
      </c>
      <c r="I4877" t="n">
        <v>0</v>
      </c>
      <c r="J4877" t="n">
        <v>0</v>
      </c>
      <c r="K4877" t="n">
        <v>0</v>
      </c>
      <c r="L4877" t="n">
        <v>0</v>
      </c>
      <c r="M4877" t="n">
        <v>0</v>
      </c>
      <c r="N4877" t="n">
        <v>0</v>
      </c>
      <c r="O4877" t="n">
        <v>0</v>
      </c>
      <c r="P4877" t="n">
        <v>0</v>
      </c>
      <c r="Q4877" t="n">
        <v>0</v>
      </c>
      <c r="R4877" s="2" t="inlineStr"/>
    </row>
    <row r="4878" ht="15" customHeight="1">
      <c r="A4878" t="inlineStr">
        <is>
          <t>A 52854-2022</t>
        </is>
      </c>
      <c r="B4878" s="1" t="n">
        <v>44872</v>
      </c>
      <c r="C4878" s="1" t="n">
        <v>45798</v>
      </c>
      <c r="D4878" t="inlineStr">
        <is>
          <t>NORRBOTTENS LÄN</t>
        </is>
      </c>
      <c r="E4878" t="inlineStr">
        <is>
          <t>LULEÅ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51964-2022</t>
        </is>
      </c>
      <c r="B4879" s="1" t="n">
        <v>44872</v>
      </c>
      <c r="C4879" s="1" t="n">
        <v>45798</v>
      </c>
      <c r="D4879" t="inlineStr">
        <is>
          <t>NORRBOTTENS LÄN</t>
        </is>
      </c>
      <c r="E4879" t="inlineStr">
        <is>
          <t>LULEÅ</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51981-2022</t>
        </is>
      </c>
      <c r="B4880" s="1" t="n">
        <v>44872</v>
      </c>
      <c r="C4880" s="1" t="n">
        <v>45798</v>
      </c>
      <c r="D4880" t="inlineStr">
        <is>
          <t>NORRBOTTENS LÄN</t>
        </is>
      </c>
      <c r="E4880" t="inlineStr">
        <is>
          <t>ÄLVSBYN</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52006-2022</t>
        </is>
      </c>
      <c r="B4881" s="1" t="n">
        <v>44872</v>
      </c>
      <c r="C4881" s="1" t="n">
        <v>45798</v>
      </c>
      <c r="D4881" t="inlineStr">
        <is>
          <t>NORRBOTTENS LÄN</t>
        </is>
      </c>
      <c r="E4881" t="inlineStr">
        <is>
          <t>HAPARANDA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52027-2022</t>
        </is>
      </c>
      <c r="B4882" s="1" t="n">
        <v>44872</v>
      </c>
      <c r="C4882" s="1" t="n">
        <v>45798</v>
      </c>
      <c r="D4882" t="inlineStr">
        <is>
          <t>NORRBOTTENS LÄN</t>
        </is>
      </c>
      <c r="E4882" t="inlineStr">
        <is>
          <t>ÖVERKALIX</t>
        </is>
      </c>
      <c r="F4882" t="inlineStr">
        <is>
          <t>SCA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52049-2022</t>
        </is>
      </c>
      <c r="B4883" s="1" t="n">
        <v>44873</v>
      </c>
      <c r="C4883" s="1" t="n">
        <v>45798</v>
      </c>
      <c r="D4883" t="inlineStr">
        <is>
          <t>NORRBOTTENS LÄN</t>
        </is>
      </c>
      <c r="E4883" t="inlineStr">
        <is>
          <t>BODEN</t>
        </is>
      </c>
      <c r="F4883" t="inlineStr">
        <is>
          <t>Sveaskog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52115-2022</t>
        </is>
      </c>
      <c r="B4884" s="1" t="n">
        <v>44873</v>
      </c>
      <c r="C4884" s="1" t="n">
        <v>45798</v>
      </c>
      <c r="D4884" t="inlineStr">
        <is>
          <t>NORRBOTTENS LÄN</t>
        </is>
      </c>
      <c r="E4884" t="inlineStr">
        <is>
          <t>PITEÅ</t>
        </is>
      </c>
      <c r="F4884" t="inlineStr">
        <is>
          <t>Sveaskog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52075-2022</t>
        </is>
      </c>
      <c r="B4885" s="1" t="n">
        <v>44873</v>
      </c>
      <c r="C4885" s="1" t="n">
        <v>45798</v>
      </c>
      <c r="D4885" t="inlineStr">
        <is>
          <t>NORRBOTTENS LÄN</t>
        </is>
      </c>
      <c r="E4885" t="inlineStr">
        <is>
          <t>ÄLVSBYN</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52087-2022</t>
        </is>
      </c>
      <c r="B4886" s="1" t="n">
        <v>44873</v>
      </c>
      <c r="C4886" s="1" t="n">
        <v>45798</v>
      </c>
      <c r="D4886" t="inlineStr">
        <is>
          <t>NORRBOTTENS LÄN</t>
        </is>
      </c>
      <c r="E4886" t="inlineStr">
        <is>
          <t>ÄLVSBYN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52160-2022</t>
        </is>
      </c>
      <c r="B4887" s="1" t="n">
        <v>44873</v>
      </c>
      <c r="C4887" s="1" t="n">
        <v>45798</v>
      </c>
      <c r="D4887" t="inlineStr">
        <is>
          <t>NORRBOTTENS LÄN</t>
        </is>
      </c>
      <c r="E4887" t="inlineStr">
        <is>
          <t>ÖVERTORNEÅ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52340-2022</t>
        </is>
      </c>
      <c r="B4888" s="1" t="n">
        <v>44873</v>
      </c>
      <c r="C4888" s="1" t="n">
        <v>45798</v>
      </c>
      <c r="D4888" t="inlineStr">
        <is>
          <t>NORRBOTTENS LÄN</t>
        </is>
      </c>
      <c r="E4888" t="inlineStr">
        <is>
          <t>PAJALA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52327-2022</t>
        </is>
      </c>
      <c r="B4889" s="1" t="n">
        <v>44873</v>
      </c>
      <c r="C4889" s="1" t="n">
        <v>45798</v>
      </c>
      <c r="D4889" t="inlineStr">
        <is>
          <t>NORRBOTTENS LÄN</t>
        </is>
      </c>
      <c r="E4889" t="inlineStr">
        <is>
          <t>ÄLVSBYN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52332-2022</t>
        </is>
      </c>
      <c r="B4890" s="1" t="n">
        <v>44873</v>
      </c>
      <c r="C4890" s="1" t="n">
        <v>45798</v>
      </c>
      <c r="D4890" t="inlineStr">
        <is>
          <t>NORRBOTTENS LÄN</t>
        </is>
      </c>
      <c r="E4890" t="inlineStr">
        <is>
          <t>PAJALA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52336-2022</t>
        </is>
      </c>
      <c r="B4891" s="1" t="n">
        <v>44873</v>
      </c>
      <c r="C4891" s="1" t="n">
        <v>45798</v>
      </c>
      <c r="D4891" t="inlineStr">
        <is>
          <t>NORRBOTTENS LÄN</t>
        </is>
      </c>
      <c r="E4891" t="inlineStr">
        <is>
          <t>PAJALA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52333-2022</t>
        </is>
      </c>
      <c r="B4892" s="1" t="n">
        <v>44873</v>
      </c>
      <c r="C4892" s="1" t="n">
        <v>45798</v>
      </c>
      <c r="D4892" t="inlineStr">
        <is>
          <t>NORRBOTTENS LÄN</t>
        </is>
      </c>
      <c r="E4892" t="inlineStr">
        <is>
          <t>PAJALA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53100-2022</t>
        </is>
      </c>
      <c r="B4893" s="1" t="n">
        <v>44873</v>
      </c>
      <c r="C4893" s="1" t="n">
        <v>45798</v>
      </c>
      <c r="D4893" t="inlineStr">
        <is>
          <t>NORRBOTTENS LÄN</t>
        </is>
      </c>
      <c r="E4893" t="inlineStr">
        <is>
          <t>JOKKMOKK</t>
        </is>
      </c>
      <c r="F4893" t="inlineStr">
        <is>
          <t>Övriga statliga verk och myndigheter</t>
        </is>
      </c>
      <c r="G4893" t="n">
        <v>37.1</v>
      </c>
      <c r="H4893" t="n">
        <v>0</v>
      </c>
      <c r="I4893" t="n">
        <v>0</v>
      </c>
      <c r="J4893" t="n">
        <v>0</v>
      </c>
      <c r="K4893" t="n">
        <v>0</v>
      </c>
      <c r="L4893" t="n">
        <v>0</v>
      </c>
      <c r="M4893" t="n">
        <v>0</v>
      </c>
      <c r="N4893" t="n">
        <v>0</v>
      </c>
      <c r="O4893" t="n">
        <v>0</v>
      </c>
      <c r="P4893" t="n">
        <v>0</v>
      </c>
      <c r="Q4893" t="n">
        <v>0</v>
      </c>
      <c r="R4893" s="2" t="inlineStr"/>
    </row>
    <row r="4894" ht="15" customHeight="1">
      <c r="A4894" t="inlineStr">
        <is>
          <t>A 52355-2022</t>
        </is>
      </c>
      <c r="B4894" s="1" t="n">
        <v>44874</v>
      </c>
      <c r="C4894" s="1" t="n">
        <v>45798</v>
      </c>
      <c r="D4894" t="inlineStr">
        <is>
          <t>NORRBOTTENS LÄN</t>
        </is>
      </c>
      <c r="E4894" t="inlineStr">
        <is>
          <t>PITEÅ</t>
        </is>
      </c>
      <c r="G4894" t="n">
        <v>11.1</v>
      </c>
      <c r="H4894" t="n">
        <v>0</v>
      </c>
      <c r="I4894" t="n">
        <v>0</v>
      </c>
      <c r="J4894" t="n">
        <v>0</v>
      </c>
      <c r="K4894" t="n">
        <v>0</v>
      </c>
      <c r="L4894" t="n">
        <v>0</v>
      </c>
      <c r="M4894" t="n">
        <v>0</v>
      </c>
      <c r="N4894" t="n">
        <v>0</v>
      </c>
      <c r="O4894" t="n">
        <v>0</v>
      </c>
      <c r="P4894" t="n">
        <v>0</v>
      </c>
      <c r="Q4894" t="n">
        <v>0</v>
      </c>
      <c r="R4894" s="2" t="inlineStr"/>
    </row>
    <row r="4895" ht="15" customHeight="1">
      <c r="A4895" t="inlineStr">
        <is>
          <t>A 52354-2022</t>
        </is>
      </c>
      <c r="B4895" s="1" t="n">
        <v>44874</v>
      </c>
      <c r="C4895" s="1" t="n">
        <v>45798</v>
      </c>
      <c r="D4895" t="inlineStr">
        <is>
          <t>NORRBOTTENS LÄN</t>
        </is>
      </c>
      <c r="E4895" t="inlineStr">
        <is>
          <t>PAJALA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52411-2022</t>
        </is>
      </c>
      <c r="B4896" s="1" t="n">
        <v>44874</v>
      </c>
      <c r="C4896" s="1" t="n">
        <v>45798</v>
      </c>
      <c r="D4896" t="inlineStr">
        <is>
          <t>NORRBOTTENS LÄN</t>
        </is>
      </c>
      <c r="E4896" t="inlineStr">
        <is>
          <t>PITEÅ</t>
        </is>
      </c>
      <c r="F4896" t="inlineStr">
        <is>
          <t>Sveaskog</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52573-2022</t>
        </is>
      </c>
      <c r="B4897" s="1" t="n">
        <v>44874</v>
      </c>
      <c r="C4897" s="1" t="n">
        <v>45798</v>
      </c>
      <c r="D4897" t="inlineStr">
        <is>
          <t>NORRBOTTENS LÄN</t>
        </is>
      </c>
      <c r="E4897" t="inlineStr">
        <is>
          <t>ARJEPLOG</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52594-2022</t>
        </is>
      </c>
      <c r="B4898" s="1" t="n">
        <v>44874</v>
      </c>
      <c r="C4898" s="1" t="n">
        <v>45798</v>
      </c>
      <c r="D4898" t="inlineStr">
        <is>
          <t>NORRBOTTENS LÄN</t>
        </is>
      </c>
      <c r="E4898" t="inlineStr">
        <is>
          <t>LULEÅ</t>
        </is>
      </c>
      <c r="F4898" t="inlineStr">
        <is>
          <t>Kyrkan</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52581-2022</t>
        </is>
      </c>
      <c r="B4899" s="1" t="n">
        <v>44874</v>
      </c>
      <c r="C4899" s="1" t="n">
        <v>45798</v>
      </c>
      <c r="D4899" t="inlineStr">
        <is>
          <t>NORRBOTTENS LÄN</t>
        </is>
      </c>
      <c r="E4899" t="inlineStr">
        <is>
          <t>ARJEPLOG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52625-2022</t>
        </is>
      </c>
      <c r="B4900" s="1" t="n">
        <v>44874</v>
      </c>
      <c r="C4900" s="1" t="n">
        <v>45798</v>
      </c>
      <c r="D4900" t="inlineStr">
        <is>
          <t>NORRBOTTENS LÄN</t>
        </is>
      </c>
      <c r="E4900" t="inlineStr">
        <is>
          <t>PAJALA</t>
        </is>
      </c>
      <c r="G4900" t="n">
        <v>7.9</v>
      </c>
      <c r="H4900" t="n">
        <v>0</v>
      </c>
      <c r="I4900" t="n">
        <v>0</v>
      </c>
      <c r="J4900" t="n">
        <v>0</v>
      </c>
      <c r="K4900" t="n">
        <v>0</v>
      </c>
      <c r="L4900" t="n">
        <v>0</v>
      </c>
      <c r="M4900" t="n">
        <v>0</v>
      </c>
      <c r="N4900" t="n">
        <v>0</v>
      </c>
      <c r="O4900" t="n">
        <v>0</v>
      </c>
      <c r="P4900" t="n">
        <v>0</v>
      </c>
      <c r="Q4900" t="n">
        <v>0</v>
      </c>
      <c r="R4900" s="2" t="inlineStr"/>
    </row>
    <row r="4901" ht="15" customHeight="1">
      <c r="A4901" t="inlineStr">
        <is>
          <t>A 52476-2022</t>
        </is>
      </c>
      <c r="B4901" s="1" t="n">
        <v>44874</v>
      </c>
      <c r="C4901" s="1" t="n">
        <v>45798</v>
      </c>
      <c r="D4901" t="inlineStr">
        <is>
          <t>NORRBOTTENS LÄN</t>
        </is>
      </c>
      <c r="E4901" t="inlineStr">
        <is>
          <t>KALIX</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52619-2022</t>
        </is>
      </c>
      <c r="B4902" s="1" t="n">
        <v>44874</v>
      </c>
      <c r="C4902" s="1" t="n">
        <v>45798</v>
      </c>
      <c r="D4902" t="inlineStr">
        <is>
          <t>NORRBOTTENS LÄN</t>
        </is>
      </c>
      <c r="E4902" t="inlineStr">
        <is>
          <t>BODEN</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53423-2022</t>
        </is>
      </c>
      <c r="B4903" s="1" t="n">
        <v>44874</v>
      </c>
      <c r="C4903" s="1" t="n">
        <v>45798</v>
      </c>
      <c r="D4903" t="inlineStr">
        <is>
          <t>NORRBOTTENS LÄN</t>
        </is>
      </c>
      <c r="E4903" t="inlineStr">
        <is>
          <t>PAJALA</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52710-2022</t>
        </is>
      </c>
      <c r="B4904" s="1" t="n">
        <v>44874</v>
      </c>
      <c r="C4904" s="1" t="n">
        <v>45798</v>
      </c>
      <c r="D4904" t="inlineStr">
        <is>
          <t>NORRBOTTENS LÄN</t>
        </is>
      </c>
      <c r="E4904" t="inlineStr">
        <is>
          <t>KALIX</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52730-2022</t>
        </is>
      </c>
      <c r="B4905" s="1" t="n">
        <v>44874</v>
      </c>
      <c r="C4905" s="1" t="n">
        <v>45798</v>
      </c>
      <c r="D4905" t="inlineStr">
        <is>
          <t>NORRBOTTENS LÄN</t>
        </is>
      </c>
      <c r="E4905" t="inlineStr">
        <is>
          <t>JOKKMOKK</t>
        </is>
      </c>
      <c r="F4905" t="inlineStr">
        <is>
          <t>SCA</t>
        </is>
      </c>
      <c r="G4905" t="n">
        <v>29.2</v>
      </c>
      <c r="H4905" t="n">
        <v>0</v>
      </c>
      <c r="I4905" t="n">
        <v>0</v>
      </c>
      <c r="J4905" t="n">
        <v>0</v>
      </c>
      <c r="K4905" t="n">
        <v>0</v>
      </c>
      <c r="L4905" t="n">
        <v>0</v>
      </c>
      <c r="M4905" t="n">
        <v>0</v>
      </c>
      <c r="N4905" t="n">
        <v>0</v>
      </c>
      <c r="O4905" t="n">
        <v>0</v>
      </c>
      <c r="P4905" t="n">
        <v>0</v>
      </c>
      <c r="Q4905" t="n">
        <v>0</v>
      </c>
      <c r="R4905" s="2" t="inlineStr"/>
    </row>
    <row r="4906" ht="15" customHeight="1">
      <c r="A4906" t="inlineStr">
        <is>
          <t>A 53444-2022</t>
        </is>
      </c>
      <c r="B4906" s="1" t="n">
        <v>44874</v>
      </c>
      <c r="C4906" s="1" t="n">
        <v>45798</v>
      </c>
      <c r="D4906" t="inlineStr">
        <is>
          <t>NORRBOTTENS LÄN</t>
        </is>
      </c>
      <c r="E4906" t="inlineStr">
        <is>
          <t>LULEÅ</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52994-2022</t>
        </is>
      </c>
      <c r="B4907" s="1" t="n">
        <v>44875</v>
      </c>
      <c r="C4907" s="1" t="n">
        <v>45798</v>
      </c>
      <c r="D4907" t="inlineStr">
        <is>
          <t>NORRBOTTENS LÄN</t>
        </is>
      </c>
      <c r="E4907" t="inlineStr">
        <is>
          <t>PITEÅ</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53007-2022</t>
        </is>
      </c>
      <c r="B4908" s="1" t="n">
        <v>44875</v>
      </c>
      <c r="C4908" s="1" t="n">
        <v>45798</v>
      </c>
      <c r="D4908" t="inlineStr">
        <is>
          <t>NORRBOTTENS LÄN</t>
        </is>
      </c>
      <c r="E4908" t="inlineStr">
        <is>
          <t>BODEN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52993-2022</t>
        </is>
      </c>
      <c r="B4909" s="1" t="n">
        <v>44875</v>
      </c>
      <c r="C4909" s="1" t="n">
        <v>45798</v>
      </c>
      <c r="D4909" t="inlineStr">
        <is>
          <t>NORRBOTTENS LÄN</t>
        </is>
      </c>
      <c r="E4909" t="inlineStr">
        <is>
          <t>ÖVERKALIX</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52751-2022</t>
        </is>
      </c>
      <c r="B4910" s="1" t="n">
        <v>44875</v>
      </c>
      <c r="C4910" s="1" t="n">
        <v>45798</v>
      </c>
      <c r="D4910" t="inlineStr">
        <is>
          <t>NORRBOTTENS LÄN</t>
        </is>
      </c>
      <c r="E4910" t="inlineStr">
        <is>
          <t>PAJALA</t>
        </is>
      </c>
      <c r="G4910" t="n">
        <v>11.9</v>
      </c>
      <c r="H4910" t="n">
        <v>0</v>
      </c>
      <c r="I4910" t="n">
        <v>0</v>
      </c>
      <c r="J4910" t="n">
        <v>0</v>
      </c>
      <c r="K4910" t="n">
        <v>0</v>
      </c>
      <c r="L4910" t="n">
        <v>0</v>
      </c>
      <c r="M4910" t="n">
        <v>0</v>
      </c>
      <c r="N4910" t="n">
        <v>0</v>
      </c>
      <c r="O4910" t="n">
        <v>0</v>
      </c>
      <c r="P4910" t="n">
        <v>0</v>
      </c>
      <c r="Q4910" t="n">
        <v>0</v>
      </c>
      <c r="R4910" s="2" t="inlineStr"/>
    </row>
    <row r="4911" ht="15" customHeight="1">
      <c r="A4911" t="inlineStr">
        <is>
          <t>A 53006-2022</t>
        </is>
      </c>
      <c r="B4911" s="1" t="n">
        <v>44875</v>
      </c>
      <c r="C4911" s="1" t="n">
        <v>45798</v>
      </c>
      <c r="D4911" t="inlineStr">
        <is>
          <t>NORRBOTTENS LÄN</t>
        </is>
      </c>
      <c r="E4911" t="inlineStr">
        <is>
          <t>BODEN</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53752-2022</t>
        </is>
      </c>
      <c r="B4912" s="1" t="n">
        <v>44875</v>
      </c>
      <c r="C4912" s="1" t="n">
        <v>45798</v>
      </c>
      <c r="D4912" t="inlineStr">
        <is>
          <t>NORRBOTTENS LÄN</t>
        </is>
      </c>
      <c r="E4912" t="inlineStr">
        <is>
          <t>KIRUNA</t>
        </is>
      </c>
      <c r="F4912" t="inlineStr">
        <is>
          <t>SCA</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53510-2022</t>
        </is>
      </c>
      <c r="B4913" s="1" t="n">
        <v>44875</v>
      </c>
      <c r="C4913" s="1" t="n">
        <v>45798</v>
      </c>
      <c r="D4913" t="inlineStr">
        <is>
          <t>NORRBOTTENS LÄN</t>
        </is>
      </c>
      <c r="E4913" t="inlineStr">
        <is>
          <t>KALIX</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53785-2022</t>
        </is>
      </c>
      <c r="B4914" s="1" t="n">
        <v>44875</v>
      </c>
      <c r="C4914" s="1" t="n">
        <v>45798</v>
      </c>
      <c r="D4914" t="inlineStr">
        <is>
          <t>NORRBOTTENS LÄN</t>
        </is>
      </c>
      <c r="E4914" t="inlineStr">
        <is>
          <t>GÄLLIVARE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53037-2022</t>
        </is>
      </c>
      <c r="B4915" s="1" t="n">
        <v>44876</v>
      </c>
      <c r="C4915" s="1" t="n">
        <v>45798</v>
      </c>
      <c r="D4915" t="inlineStr">
        <is>
          <t>NORRBOTTENS LÄN</t>
        </is>
      </c>
      <c r="E4915" t="inlineStr">
        <is>
          <t>ÄLVSBYN</t>
        </is>
      </c>
      <c r="F4915" t="inlineStr">
        <is>
          <t>Sveaskog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53185-2022</t>
        </is>
      </c>
      <c r="B4916" s="1" t="n">
        <v>44876</v>
      </c>
      <c r="C4916" s="1" t="n">
        <v>45798</v>
      </c>
      <c r="D4916" t="inlineStr">
        <is>
          <t>NORRBOTTENS LÄN</t>
        </is>
      </c>
      <c r="E4916" t="inlineStr">
        <is>
          <t>LULEÅ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53632-2022</t>
        </is>
      </c>
      <c r="B4917" s="1" t="n">
        <v>44879</v>
      </c>
      <c r="C4917" s="1" t="n">
        <v>45798</v>
      </c>
      <c r="D4917" t="inlineStr">
        <is>
          <t>NORRBOTTENS LÄN</t>
        </is>
      </c>
      <c r="E4917" t="inlineStr">
        <is>
          <t>PITEÅ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53634-2022</t>
        </is>
      </c>
      <c r="B4918" s="1" t="n">
        <v>44879</v>
      </c>
      <c r="C4918" s="1" t="n">
        <v>45798</v>
      </c>
      <c r="D4918" t="inlineStr">
        <is>
          <t>NORRBOTTENS LÄN</t>
        </is>
      </c>
      <c r="E4918" t="inlineStr">
        <is>
          <t>PITEÅ</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54359-2022</t>
        </is>
      </c>
      <c r="B4919" s="1" t="n">
        <v>44879</v>
      </c>
      <c r="C4919" s="1" t="n">
        <v>45798</v>
      </c>
      <c r="D4919" t="inlineStr">
        <is>
          <t>NORRBOTTENS LÄN</t>
        </is>
      </c>
      <c r="E4919" t="inlineStr">
        <is>
          <t>PAJALA</t>
        </is>
      </c>
      <c r="G4919" t="n">
        <v>40.7</v>
      </c>
      <c r="H4919" t="n">
        <v>0</v>
      </c>
      <c r="I4919" t="n">
        <v>0</v>
      </c>
      <c r="J4919" t="n">
        <v>0</v>
      </c>
      <c r="K4919" t="n">
        <v>0</v>
      </c>
      <c r="L4919" t="n">
        <v>0</v>
      </c>
      <c r="M4919" t="n">
        <v>0</v>
      </c>
      <c r="N4919" t="n">
        <v>0</v>
      </c>
      <c r="O4919" t="n">
        <v>0</v>
      </c>
      <c r="P4919" t="n">
        <v>0</v>
      </c>
      <c r="Q4919" t="n">
        <v>0</v>
      </c>
      <c r="R4919" s="2" t="inlineStr"/>
    </row>
    <row r="4920" ht="15" customHeight="1">
      <c r="A4920" t="inlineStr">
        <is>
          <t>A 54414-2022</t>
        </is>
      </c>
      <c r="B4920" s="1" t="n">
        <v>44879</v>
      </c>
      <c r="C4920" s="1" t="n">
        <v>45798</v>
      </c>
      <c r="D4920" t="inlineStr">
        <is>
          <t>NORRBOTTENS LÄN</t>
        </is>
      </c>
      <c r="E4920" t="inlineStr">
        <is>
          <t>ÖVERKALIX</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53633-2022</t>
        </is>
      </c>
      <c r="B4921" s="1" t="n">
        <v>44879</v>
      </c>
      <c r="C4921" s="1" t="n">
        <v>45798</v>
      </c>
      <c r="D4921" t="inlineStr">
        <is>
          <t>NORRBOTTENS LÄN</t>
        </is>
      </c>
      <c r="E4921" t="inlineStr">
        <is>
          <t>PITEÅ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53653-2022</t>
        </is>
      </c>
      <c r="B4922" s="1" t="n">
        <v>44879</v>
      </c>
      <c r="C4922" s="1" t="n">
        <v>45798</v>
      </c>
      <c r="D4922" t="inlineStr">
        <is>
          <t>NORRBOTTENS LÄN</t>
        </is>
      </c>
      <c r="E4922" t="inlineStr">
        <is>
          <t>PITEÅ</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54380-2022</t>
        </is>
      </c>
      <c r="B4923" s="1" t="n">
        <v>44879</v>
      </c>
      <c r="C4923" s="1" t="n">
        <v>45798</v>
      </c>
      <c r="D4923" t="inlineStr">
        <is>
          <t>NORRBOTTENS LÄN</t>
        </is>
      </c>
      <c r="E4923" t="inlineStr">
        <is>
          <t>ÖVERKALIX</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54418-2022</t>
        </is>
      </c>
      <c r="B4924" s="1" t="n">
        <v>44879</v>
      </c>
      <c r="C4924" s="1" t="n">
        <v>45798</v>
      </c>
      <c r="D4924" t="inlineStr">
        <is>
          <t>NORRBOTTENS LÄN</t>
        </is>
      </c>
      <c r="E4924" t="inlineStr">
        <is>
          <t>KALIX</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53840-2022</t>
        </is>
      </c>
      <c r="B4925" s="1" t="n">
        <v>44880</v>
      </c>
      <c r="C4925" s="1" t="n">
        <v>45798</v>
      </c>
      <c r="D4925" t="inlineStr">
        <is>
          <t>NORRBOTTENS LÄN</t>
        </is>
      </c>
      <c r="E4925" t="inlineStr">
        <is>
          <t>BODEN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53732-2022</t>
        </is>
      </c>
      <c r="B4926" s="1" t="n">
        <v>44880</v>
      </c>
      <c r="C4926" s="1" t="n">
        <v>45798</v>
      </c>
      <c r="D4926" t="inlineStr">
        <is>
          <t>NORRBOTTENS LÄN</t>
        </is>
      </c>
      <c r="E4926" t="inlineStr">
        <is>
          <t>ÖVERKALIX</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53769-2022</t>
        </is>
      </c>
      <c r="B4927" s="1" t="n">
        <v>44880</v>
      </c>
      <c r="C4927" s="1" t="n">
        <v>45798</v>
      </c>
      <c r="D4927" t="inlineStr">
        <is>
          <t>NORRBOTTENS LÄN</t>
        </is>
      </c>
      <c r="E4927" t="inlineStr">
        <is>
          <t>KALIX</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54457-2022</t>
        </is>
      </c>
      <c r="B4928" s="1" t="n">
        <v>44880</v>
      </c>
      <c r="C4928" s="1" t="n">
        <v>45798</v>
      </c>
      <c r="D4928" t="inlineStr">
        <is>
          <t>NORRBOTTENS LÄN</t>
        </is>
      </c>
      <c r="E4928" t="inlineStr">
        <is>
          <t>KALIX</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54084-2022</t>
        </is>
      </c>
      <c r="B4929" s="1" t="n">
        <v>44881</v>
      </c>
      <c r="C4929" s="1" t="n">
        <v>45798</v>
      </c>
      <c r="D4929" t="inlineStr">
        <is>
          <t>NORRBOTTENS LÄN</t>
        </is>
      </c>
      <c r="E4929" t="inlineStr">
        <is>
          <t>ÖVERTORNEÅ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54104-2022</t>
        </is>
      </c>
      <c r="B4930" s="1" t="n">
        <v>44881</v>
      </c>
      <c r="C4930" s="1" t="n">
        <v>45798</v>
      </c>
      <c r="D4930" t="inlineStr">
        <is>
          <t>NORRBOTTENS LÄN</t>
        </is>
      </c>
      <c r="E4930" t="inlineStr">
        <is>
          <t>BODEN</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54237-2022</t>
        </is>
      </c>
      <c r="B4931" s="1" t="n">
        <v>44881</v>
      </c>
      <c r="C4931" s="1" t="n">
        <v>45798</v>
      </c>
      <c r="D4931" t="inlineStr">
        <is>
          <t>NORRBOTTENS LÄN</t>
        </is>
      </c>
      <c r="E4931" t="inlineStr">
        <is>
          <t>BODEN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54236-2022</t>
        </is>
      </c>
      <c r="B4932" s="1" t="n">
        <v>44881</v>
      </c>
      <c r="C4932" s="1" t="n">
        <v>45798</v>
      </c>
      <c r="D4932" t="inlineStr">
        <is>
          <t>NORRBOTTENS LÄN</t>
        </is>
      </c>
      <c r="E4932" t="inlineStr">
        <is>
          <t>BODEN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54240-2022</t>
        </is>
      </c>
      <c r="B4933" s="1" t="n">
        <v>44881</v>
      </c>
      <c r="C4933" s="1" t="n">
        <v>45798</v>
      </c>
      <c r="D4933" t="inlineStr">
        <is>
          <t>NORRBOTTENS LÄN</t>
        </is>
      </c>
      <c r="E4933" t="inlineStr">
        <is>
          <t>BODEN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54447-2022</t>
        </is>
      </c>
      <c r="B4934" s="1" t="n">
        <v>44882</v>
      </c>
      <c r="C4934" s="1" t="n">
        <v>45798</v>
      </c>
      <c r="D4934" t="inlineStr">
        <is>
          <t>NORRBOTTENS LÄN</t>
        </is>
      </c>
      <c r="E4934" t="inlineStr">
        <is>
          <t>HAPARANDA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54322-2022</t>
        </is>
      </c>
      <c r="B4935" s="1" t="n">
        <v>44882</v>
      </c>
      <c r="C4935" s="1" t="n">
        <v>45798</v>
      </c>
      <c r="D4935" t="inlineStr">
        <is>
          <t>NORRBOTTENS LÄN</t>
        </is>
      </c>
      <c r="E4935" t="inlineStr">
        <is>
          <t>PAJALA</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54421-2022</t>
        </is>
      </c>
      <c r="B4936" s="1" t="n">
        <v>44882</v>
      </c>
      <c r="C4936" s="1" t="n">
        <v>45798</v>
      </c>
      <c r="D4936" t="inlineStr">
        <is>
          <t>NORRBOTTENS LÄN</t>
        </is>
      </c>
      <c r="E4936" t="inlineStr">
        <is>
          <t>BODEN</t>
        </is>
      </c>
      <c r="G4936" t="n">
        <v>12.3</v>
      </c>
      <c r="H4936" t="n">
        <v>0</v>
      </c>
      <c r="I4936" t="n">
        <v>0</v>
      </c>
      <c r="J4936" t="n">
        <v>0</v>
      </c>
      <c r="K4936" t="n">
        <v>0</v>
      </c>
      <c r="L4936" t="n">
        <v>0</v>
      </c>
      <c r="M4936" t="n">
        <v>0</v>
      </c>
      <c r="N4936" t="n">
        <v>0</v>
      </c>
      <c r="O4936" t="n">
        <v>0</v>
      </c>
      <c r="P4936" t="n">
        <v>0</v>
      </c>
      <c r="Q4936" t="n">
        <v>0</v>
      </c>
      <c r="R4936" s="2" t="inlineStr"/>
    </row>
    <row r="4937" ht="15" customHeight="1">
      <c r="A4937" t="inlineStr">
        <is>
          <t>A 54580-2022</t>
        </is>
      </c>
      <c r="B4937" s="1" t="n">
        <v>44882</v>
      </c>
      <c r="C4937" s="1" t="n">
        <v>45798</v>
      </c>
      <c r="D4937" t="inlineStr">
        <is>
          <t>NORRBOTTENS LÄN</t>
        </is>
      </c>
      <c r="E4937" t="inlineStr">
        <is>
          <t>LULEÅ</t>
        </is>
      </c>
      <c r="F4937" t="inlineStr">
        <is>
          <t>SCA</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54587-2022</t>
        </is>
      </c>
      <c r="B4938" s="1" t="n">
        <v>44883</v>
      </c>
      <c r="C4938" s="1" t="n">
        <v>45798</v>
      </c>
      <c r="D4938" t="inlineStr">
        <is>
          <t>NORRBOTTENS LÄN</t>
        </is>
      </c>
      <c r="E4938" t="inlineStr">
        <is>
          <t>BODEN</t>
        </is>
      </c>
      <c r="F4938" t="inlineStr">
        <is>
          <t>Sveaskog</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54632-2022</t>
        </is>
      </c>
      <c r="B4939" s="1" t="n">
        <v>44883</v>
      </c>
      <c r="C4939" s="1" t="n">
        <v>45798</v>
      </c>
      <c r="D4939" t="inlineStr">
        <is>
          <t>NORRBOTTENS LÄN</t>
        </is>
      </c>
      <c r="E4939" t="inlineStr">
        <is>
          <t>HAPARANDA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54592-2022</t>
        </is>
      </c>
      <c r="B4940" s="1" t="n">
        <v>44883</v>
      </c>
      <c r="C4940" s="1" t="n">
        <v>45798</v>
      </c>
      <c r="D4940" t="inlineStr">
        <is>
          <t>NORRBOTTENS LÄN</t>
        </is>
      </c>
      <c r="E4940" t="inlineStr">
        <is>
          <t>BODEN</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54824-2022</t>
        </is>
      </c>
      <c r="B4941" s="1" t="n">
        <v>44883</v>
      </c>
      <c r="C4941" s="1" t="n">
        <v>45798</v>
      </c>
      <c r="D4941" t="inlineStr">
        <is>
          <t>NORRBOTTENS LÄN</t>
        </is>
      </c>
      <c r="E4941" t="inlineStr">
        <is>
          <t>LULEÅ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54590-2022</t>
        </is>
      </c>
      <c r="B4942" s="1" t="n">
        <v>44883</v>
      </c>
      <c r="C4942" s="1" t="n">
        <v>45798</v>
      </c>
      <c r="D4942" t="inlineStr">
        <is>
          <t>NORRBOTTENS LÄN</t>
        </is>
      </c>
      <c r="E4942" t="inlineStr">
        <is>
          <t>BODEN</t>
        </is>
      </c>
      <c r="F4942" t="inlineStr">
        <is>
          <t>Sveaskog</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54609-2022</t>
        </is>
      </c>
      <c r="B4943" s="1" t="n">
        <v>44883</v>
      </c>
      <c r="C4943" s="1" t="n">
        <v>45798</v>
      </c>
      <c r="D4943" t="inlineStr">
        <is>
          <t>NORRBOTTENS LÄN</t>
        </is>
      </c>
      <c r="E4943" t="inlineStr">
        <is>
          <t>ARVIDSJAUR</t>
        </is>
      </c>
      <c r="F4943" t="inlineStr">
        <is>
          <t>Sveaskog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54625-2022</t>
        </is>
      </c>
      <c r="B4944" s="1" t="n">
        <v>44883</v>
      </c>
      <c r="C4944" s="1" t="n">
        <v>45798</v>
      </c>
      <c r="D4944" t="inlineStr">
        <is>
          <t>NORRBOTTENS LÄN</t>
        </is>
      </c>
      <c r="E4944" t="inlineStr">
        <is>
          <t>HAPARANDA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54653-2022</t>
        </is>
      </c>
      <c r="B4945" s="1" t="n">
        <v>44883</v>
      </c>
      <c r="C4945" s="1" t="n">
        <v>45798</v>
      </c>
      <c r="D4945" t="inlineStr">
        <is>
          <t>NORRBOTTENS LÄN</t>
        </is>
      </c>
      <c r="E4945" t="inlineStr">
        <is>
          <t>HAPARANDA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54826-2022</t>
        </is>
      </c>
      <c r="B4946" s="1" t="n">
        <v>44883</v>
      </c>
      <c r="C4946" s="1" t="n">
        <v>45798</v>
      </c>
      <c r="D4946" t="inlineStr">
        <is>
          <t>NORRBOTTENS LÄN</t>
        </is>
      </c>
      <c r="E4946" t="inlineStr">
        <is>
          <t>PITEÅ</t>
        </is>
      </c>
      <c r="F4946" t="inlineStr">
        <is>
          <t>SCA</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54842-2022</t>
        </is>
      </c>
      <c r="B4947" s="1" t="n">
        <v>44883</v>
      </c>
      <c r="C4947" s="1" t="n">
        <v>45798</v>
      </c>
      <c r="D4947" t="inlineStr">
        <is>
          <t>NORRBOTTENS LÄN</t>
        </is>
      </c>
      <c r="E4947" t="inlineStr">
        <is>
          <t>GÄLLIVARE</t>
        </is>
      </c>
      <c r="F4947" t="inlineStr">
        <is>
          <t>SCA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55687-2022</t>
        </is>
      </c>
      <c r="B4948" s="1" t="n">
        <v>44883</v>
      </c>
      <c r="C4948" s="1" t="n">
        <v>45798</v>
      </c>
      <c r="D4948" t="inlineStr">
        <is>
          <t>NORRBOTTENS LÄN</t>
        </is>
      </c>
      <c r="E4948" t="inlineStr">
        <is>
          <t>ÖVERKALIX</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55570-2022</t>
        </is>
      </c>
      <c r="B4949" s="1" t="n">
        <v>44883</v>
      </c>
      <c r="C4949" s="1" t="n">
        <v>45798</v>
      </c>
      <c r="D4949" t="inlineStr">
        <is>
          <t>NORRBOTTENS LÄN</t>
        </is>
      </c>
      <c r="E4949" t="inlineStr">
        <is>
          <t>ARVIDSJAUR</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55666-2022</t>
        </is>
      </c>
      <c r="B4950" s="1" t="n">
        <v>44883</v>
      </c>
      <c r="C4950" s="1" t="n">
        <v>45798</v>
      </c>
      <c r="D4950" t="inlineStr">
        <is>
          <t>NORRBOTTENS LÄN</t>
        </is>
      </c>
      <c r="E4950" t="inlineStr">
        <is>
          <t>ÖVERTORNEÅ</t>
        </is>
      </c>
      <c r="G4950" t="n">
        <v>26.6</v>
      </c>
      <c r="H4950" t="n">
        <v>0</v>
      </c>
      <c r="I4950" t="n">
        <v>0</v>
      </c>
      <c r="J4950" t="n">
        <v>0</v>
      </c>
      <c r="K4950" t="n">
        <v>0</v>
      </c>
      <c r="L4950" t="n">
        <v>0</v>
      </c>
      <c r="M4950" t="n">
        <v>0</v>
      </c>
      <c r="N4950" t="n">
        <v>0</v>
      </c>
      <c r="O4950" t="n">
        <v>0</v>
      </c>
      <c r="P4950" t="n">
        <v>0</v>
      </c>
      <c r="Q4950" t="n">
        <v>0</v>
      </c>
      <c r="R4950" s="2" t="inlineStr"/>
    </row>
    <row r="4951" ht="15" customHeight="1">
      <c r="A4951" t="inlineStr">
        <is>
          <t>A 55599-2022</t>
        </is>
      </c>
      <c r="B4951" s="1" t="n">
        <v>44883</v>
      </c>
      <c r="C4951" s="1" t="n">
        <v>45798</v>
      </c>
      <c r="D4951" t="inlineStr">
        <is>
          <t>NORRBOTTENS LÄN</t>
        </is>
      </c>
      <c r="E4951" t="inlineStr">
        <is>
          <t>ARVIDSJAUR</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55684-2022</t>
        </is>
      </c>
      <c r="B4952" s="1" t="n">
        <v>44883</v>
      </c>
      <c r="C4952" s="1" t="n">
        <v>45798</v>
      </c>
      <c r="D4952" t="inlineStr">
        <is>
          <t>NORRBOTTENS LÄN</t>
        </is>
      </c>
      <c r="E4952" t="inlineStr">
        <is>
          <t>ÖVERKALIX</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54863-2022</t>
        </is>
      </c>
      <c r="B4953" s="1" t="n">
        <v>44884</v>
      </c>
      <c r="C4953" s="1" t="n">
        <v>45798</v>
      </c>
      <c r="D4953" t="inlineStr">
        <is>
          <t>NORRBOTTENS LÄN</t>
        </is>
      </c>
      <c r="E4953" t="inlineStr">
        <is>
          <t>PAJALA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54858-2022</t>
        </is>
      </c>
      <c r="B4954" s="1" t="n">
        <v>44884</v>
      </c>
      <c r="C4954" s="1" t="n">
        <v>45798</v>
      </c>
      <c r="D4954" t="inlineStr">
        <is>
          <t>NORRBOTTENS LÄN</t>
        </is>
      </c>
      <c r="E4954" t="inlineStr">
        <is>
          <t>HAPARANDA</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54862-2022</t>
        </is>
      </c>
      <c r="B4955" s="1" t="n">
        <v>44884</v>
      </c>
      <c r="C4955" s="1" t="n">
        <v>45798</v>
      </c>
      <c r="D4955" t="inlineStr">
        <is>
          <t>NORRBOTTENS LÄN</t>
        </is>
      </c>
      <c r="E4955" t="inlineStr">
        <is>
          <t>PAJALA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54861-2022</t>
        </is>
      </c>
      <c r="B4956" s="1" t="n">
        <v>44884</v>
      </c>
      <c r="C4956" s="1" t="n">
        <v>45798</v>
      </c>
      <c r="D4956" t="inlineStr">
        <is>
          <t>NORRBOTTENS LÄN</t>
        </is>
      </c>
      <c r="E4956" t="inlineStr">
        <is>
          <t>PAJALA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54866-2022</t>
        </is>
      </c>
      <c r="B4957" s="1" t="n">
        <v>44885</v>
      </c>
      <c r="C4957" s="1" t="n">
        <v>45798</v>
      </c>
      <c r="D4957" t="inlineStr">
        <is>
          <t>NORRBOTTENS LÄN</t>
        </is>
      </c>
      <c r="E4957" t="inlineStr">
        <is>
          <t>ARVIDSJAUR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54979-2022</t>
        </is>
      </c>
      <c r="B4958" s="1" t="n">
        <v>44886</v>
      </c>
      <c r="C4958" s="1" t="n">
        <v>45798</v>
      </c>
      <c r="D4958" t="inlineStr">
        <is>
          <t>NORRBOTTENS LÄN</t>
        </is>
      </c>
      <c r="E4958" t="inlineStr">
        <is>
          <t>KALIX</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54997-2022</t>
        </is>
      </c>
      <c r="B4959" s="1" t="n">
        <v>44886</v>
      </c>
      <c r="C4959" s="1" t="n">
        <v>45798</v>
      </c>
      <c r="D4959" t="inlineStr">
        <is>
          <t>NORRBOTTENS LÄN</t>
        </is>
      </c>
      <c r="E4959" t="inlineStr">
        <is>
          <t>HAPARANDA</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55221-2022</t>
        </is>
      </c>
      <c r="B4960" s="1" t="n">
        <v>44886</v>
      </c>
      <c r="C4960" s="1" t="n">
        <v>45798</v>
      </c>
      <c r="D4960" t="inlineStr">
        <is>
          <t>NORRBOTTENS LÄN</t>
        </is>
      </c>
      <c r="E4960" t="inlineStr">
        <is>
          <t>GÄLLIVARE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55226-2022</t>
        </is>
      </c>
      <c r="B4961" s="1" t="n">
        <v>44887</v>
      </c>
      <c r="C4961" s="1" t="n">
        <v>45798</v>
      </c>
      <c r="D4961" t="inlineStr">
        <is>
          <t>NORRBOTTENS LÄN</t>
        </is>
      </c>
      <c r="E4961" t="inlineStr">
        <is>
          <t>GÄLLIVARE</t>
        </is>
      </c>
      <c r="F4961" t="inlineStr">
        <is>
          <t>SCA</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55074-2022</t>
        </is>
      </c>
      <c r="B4962" s="1" t="n">
        <v>44886</v>
      </c>
      <c r="C4962" s="1" t="n">
        <v>45798</v>
      </c>
      <c r="D4962" t="inlineStr">
        <is>
          <t>NORRBOTTENS LÄN</t>
        </is>
      </c>
      <c r="E4962" t="inlineStr">
        <is>
          <t>PITEÅ</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55203-2022</t>
        </is>
      </c>
      <c r="B4963" s="1" t="n">
        <v>44886</v>
      </c>
      <c r="C4963" s="1" t="n">
        <v>45798</v>
      </c>
      <c r="D4963" t="inlineStr">
        <is>
          <t>NORRBOTTENS LÄN</t>
        </is>
      </c>
      <c r="E4963" t="inlineStr">
        <is>
          <t>ÖVERKALIX</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55223-2022</t>
        </is>
      </c>
      <c r="B4964" s="1" t="n">
        <v>44886</v>
      </c>
      <c r="C4964" s="1" t="n">
        <v>45798</v>
      </c>
      <c r="D4964" t="inlineStr">
        <is>
          <t>NORRBOTTENS LÄN</t>
        </is>
      </c>
      <c r="E4964" t="inlineStr">
        <is>
          <t>GÄLLIVARE</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55239-2022</t>
        </is>
      </c>
      <c r="B4965" s="1" t="n">
        <v>44886</v>
      </c>
      <c r="C4965" s="1" t="n">
        <v>45798</v>
      </c>
      <c r="D4965" t="inlineStr">
        <is>
          <t>NORRBOTTENS LÄN</t>
        </is>
      </c>
      <c r="E4965" t="inlineStr">
        <is>
          <t>GÄLLIVARE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55772-2022</t>
        </is>
      </c>
      <c r="B4966" s="1" t="n">
        <v>44886</v>
      </c>
      <c r="C4966" s="1" t="n">
        <v>45798</v>
      </c>
      <c r="D4966" t="inlineStr">
        <is>
          <t>NORRBOTTENS LÄN</t>
        </is>
      </c>
      <c r="E4966" t="inlineStr">
        <is>
          <t>ÖVERKALIX</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55222-2022</t>
        </is>
      </c>
      <c r="B4967" s="1" t="n">
        <v>44887</v>
      </c>
      <c r="C4967" s="1" t="n">
        <v>45798</v>
      </c>
      <c r="D4967" t="inlineStr">
        <is>
          <t>NORRBOTTENS LÄN</t>
        </is>
      </c>
      <c r="E4967" t="inlineStr">
        <is>
          <t>GÄLLIVARE</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55770-2022</t>
        </is>
      </c>
      <c r="B4968" s="1" t="n">
        <v>44886</v>
      </c>
      <c r="C4968" s="1" t="n">
        <v>45798</v>
      </c>
      <c r="D4968" t="inlineStr">
        <is>
          <t>NORRBOTTENS LÄN</t>
        </is>
      </c>
      <c r="E4968" t="inlineStr">
        <is>
          <t>LULEÅ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55195-2022</t>
        </is>
      </c>
      <c r="B4969" s="1" t="n">
        <v>44886</v>
      </c>
      <c r="C4969" s="1" t="n">
        <v>45798</v>
      </c>
      <c r="D4969" t="inlineStr">
        <is>
          <t>NORRBOTTENS LÄN</t>
        </is>
      </c>
      <c r="E4969" t="inlineStr">
        <is>
          <t>LULEÅ</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55220-2022</t>
        </is>
      </c>
      <c r="B4970" s="1" t="n">
        <v>44887</v>
      </c>
      <c r="C4970" s="1" t="n">
        <v>45798</v>
      </c>
      <c r="D4970" t="inlineStr">
        <is>
          <t>NORRBOTTENS LÄN</t>
        </is>
      </c>
      <c r="E4970" t="inlineStr">
        <is>
          <t>GÄLLIVARE</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55224-2022</t>
        </is>
      </c>
      <c r="B4971" s="1" t="n">
        <v>44887</v>
      </c>
      <c r="C4971" s="1" t="n">
        <v>45798</v>
      </c>
      <c r="D4971" t="inlineStr">
        <is>
          <t>NORRBOTTENS LÄN</t>
        </is>
      </c>
      <c r="E4971" t="inlineStr">
        <is>
          <t>GÄLLIVARE</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55761-2022</t>
        </is>
      </c>
      <c r="B4972" s="1" t="n">
        <v>44886</v>
      </c>
      <c r="C4972" s="1" t="n">
        <v>45798</v>
      </c>
      <c r="D4972" t="inlineStr">
        <is>
          <t>NORRBOTTENS LÄN</t>
        </is>
      </c>
      <c r="E4972" t="inlineStr">
        <is>
          <t>ÖVERKALIX</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57688-2022</t>
        </is>
      </c>
      <c r="B4973" s="1" t="n">
        <v>44886</v>
      </c>
      <c r="C4973" s="1" t="n">
        <v>45798</v>
      </c>
      <c r="D4973" t="inlineStr">
        <is>
          <t>NORRBOTTENS LÄN</t>
        </is>
      </c>
      <c r="E4973" t="inlineStr">
        <is>
          <t>ÖVERKALIX</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55536-2022</t>
        </is>
      </c>
      <c r="B4974" s="1" t="n">
        <v>44887</v>
      </c>
      <c r="C4974" s="1" t="n">
        <v>45798</v>
      </c>
      <c r="D4974" t="inlineStr">
        <is>
          <t>NORRBOTTENS LÄN</t>
        </is>
      </c>
      <c r="E4974" t="inlineStr">
        <is>
          <t>BODEN</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55541-2022</t>
        </is>
      </c>
      <c r="B4975" s="1" t="n">
        <v>44887</v>
      </c>
      <c r="C4975" s="1" t="n">
        <v>45798</v>
      </c>
      <c r="D4975" t="inlineStr">
        <is>
          <t>NORRBOTTENS LÄN</t>
        </is>
      </c>
      <c r="E4975" t="inlineStr">
        <is>
          <t>BODEN</t>
        </is>
      </c>
      <c r="F4975" t="inlineStr">
        <is>
          <t>SCA</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55539-2022</t>
        </is>
      </c>
      <c r="B4976" s="1" t="n">
        <v>44887</v>
      </c>
      <c r="C4976" s="1" t="n">
        <v>45798</v>
      </c>
      <c r="D4976" t="inlineStr">
        <is>
          <t>NORRBOTTENS LÄN</t>
        </is>
      </c>
      <c r="E4976" t="inlineStr">
        <is>
          <t>BODEN</t>
        </is>
      </c>
      <c r="F4976" t="inlineStr">
        <is>
          <t>SCA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55462-2022</t>
        </is>
      </c>
      <c r="B4977" s="1" t="n">
        <v>44887</v>
      </c>
      <c r="C4977" s="1" t="n">
        <v>45798</v>
      </c>
      <c r="D4977" t="inlineStr">
        <is>
          <t>NORRBOTTENS LÄN</t>
        </is>
      </c>
      <c r="E4977" t="inlineStr">
        <is>
          <t>PAJALA</t>
        </is>
      </c>
      <c r="F4977" t="inlineStr">
        <is>
          <t>Sveaskog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55534-2022</t>
        </is>
      </c>
      <c r="B4978" s="1" t="n">
        <v>44887</v>
      </c>
      <c r="C4978" s="1" t="n">
        <v>45798</v>
      </c>
      <c r="D4978" t="inlineStr">
        <is>
          <t>NORRBOTTENS LÄN</t>
        </is>
      </c>
      <c r="E4978" t="inlineStr">
        <is>
          <t>BODEN</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55540-2022</t>
        </is>
      </c>
      <c r="B4979" s="1" t="n">
        <v>44887</v>
      </c>
      <c r="C4979" s="1" t="n">
        <v>45798</v>
      </c>
      <c r="D4979" t="inlineStr">
        <is>
          <t>NORRBOTTENS LÄN</t>
        </is>
      </c>
      <c r="E4979" t="inlineStr">
        <is>
          <t>BODEN</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55538-2022</t>
        </is>
      </c>
      <c r="B4980" s="1" t="n">
        <v>44887</v>
      </c>
      <c r="C4980" s="1" t="n">
        <v>45798</v>
      </c>
      <c r="D4980" t="inlineStr">
        <is>
          <t>NORRBOTTENS LÄN</t>
        </is>
      </c>
      <c r="E4980" t="inlineStr">
        <is>
          <t>BODEN</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55706-2022</t>
        </is>
      </c>
      <c r="B4981" s="1" t="n">
        <v>44888</v>
      </c>
      <c r="C4981" s="1" t="n">
        <v>45798</v>
      </c>
      <c r="D4981" t="inlineStr">
        <is>
          <t>NORRBOTTENS LÄN</t>
        </is>
      </c>
      <c r="E4981" t="inlineStr">
        <is>
          <t>ARVIDSJAUR</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55802-2022</t>
        </is>
      </c>
      <c r="B4982" s="1" t="n">
        <v>44888</v>
      </c>
      <c r="C4982" s="1" t="n">
        <v>45798</v>
      </c>
      <c r="D4982" t="inlineStr">
        <is>
          <t>NORRBOTTENS LÄN</t>
        </is>
      </c>
      <c r="E4982" t="inlineStr">
        <is>
          <t>ÖVERTORNEÅ</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55842-2022</t>
        </is>
      </c>
      <c r="B4983" s="1" t="n">
        <v>44888</v>
      </c>
      <c r="C4983" s="1" t="n">
        <v>45798</v>
      </c>
      <c r="D4983" t="inlineStr">
        <is>
          <t>NORRBOTTENS LÄN</t>
        </is>
      </c>
      <c r="E4983" t="inlineStr">
        <is>
          <t>PITEÅ</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55801-2022</t>
        </is>
      </c>
      <c r="B4984" s="1" t="n">
        <v>44888</v>
      </c>
      <c r="C4984" s="1" t="n">
        <v>45798</v>
      </c>
      <c r="D4984" t="inlineStr">
        <is>
          <t>NORRBOTTENS LÄN</t>
        </is>
      </c>
      <c r="E4984" t="inlineStr">
        <is>
          <t>ÖVERTORNEÅ</t>
        </is>
      </c>
      <c r="F4984" t="inlineStr">
        <is>
          <t>Sveaskog</t>
        </is>
      </c>
      <c r="G4984" t="n">
        <v>10.4</v>
      </c>
      <c r="H4984" t="n">
        <v>0</v>
      </c>
      <c r="I4984" t="n">
        <v>0</v>
      </c>
      <c r="J4984" t="n">
        <v>0</v>
      </c>
      <c r="K4984" t="n">
        <v>0</v>
      </c>
      <c r="L4984" t="n">
        <v>0</v>
      </c>
      <c r="M4984" t="n">
        <v>0</v>
      </c>
      <c r="N4984" t="n">
        <v>0</v>
      </c>
      <c r="O4984" t="n">
        <v>0</v>
      </c>
      <c r="P4984" t="n">
        <v>0</v>
      </c>
      <c r="Q4984" t="n">
        <v>0</v>
      </c>
      <c r="R4984" s="2" t="inlineStr"/>
    </row>
    <row r="4985" ht="15" customHeight="1">
      <c r="A4985" t="inlineStr">
        <is>
          <t>A 55845-2022</t>
        </is>
      </c>
      <c r="B4985" s="1" t="n">
        <v>44888</v>
      </c>
      <c r="C4985" s="1" t="n">
        <v>45798</v>
      </c>
      <c r="D4985" t="inlineStr">
        <is>
          <t>NORRBOTTENS LÄN</t>
        </is>
      </c>
      <c r="E4985" t="inlineStr">
        <is>
          <t>PITEÅ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56024-2022</t>
        </is>
      </c>
      <c r="B4986" s="1" t="n">
        <v>44889</v>
      </c>
      <c r="C4986" s="1" t="n">
        <v>45798</v>
      </c>
      <c r="D4986" t="inlineStr">
        <is>
          <t>NORRBOTTENS LÄN</t>
        </is>
      </c>
      <c r="E4986" t="inlineStr">
        <is>
          <t>HAPARANDA</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56061-2022</t>
        </is>
      </c>
      <c r="B4987" s="1" t="n">
        <v>44889</v>
      </c>
      <c r="C4987" s="1" t="n">
        <v>45798</v>
      </c>
      <c r="D4987" t="inlineStr">
        <is>
          <t>NORRBOTTENS LÄN</t>
        </is>
      </c>
      <c r="E4987" t="inlineStr">
        <is>
          <t>KALIX</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56073-2022</t>
        </is>
      </c>
      <c r="B4988" s="1" t="n">
        <v>44889</v>
      </c>
      <c r="C4988" s="1" t="n">
        <v>45798</v>
      </c>
      <c r="D4988" t="inlineStr">
        <is>
          <t>NORRBOTTENS LÄN</t>
        </is>
      </c>
      <c r="E4988" t="inlineStr">
        <is>
          <t>PITEÅ</t>
        </is>
      </c>
      <c r="F4988" t="inlineStr">
        <is>
          <t>Sveaskog</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55979-2022</t>
        </is>
      </c>
      <c r="B4989" s="1" t="n">
        <v>44889</v>
      </c>
      <c r="C4989" s="1" t="n">
        <v>45798</v>
      </c>
      <c r="D4989" t="inlineStr">
        <is>
          <t>NORRBOTTENS LÄN</t>
        </is>
      </c>
      <c r="E4989" t="inlineStr">
        <is>
          <t>BODEN</t>
        </is>
      </c>
      <c r="F4989" t="inlineStr">
        <is>
          <t>Sveaskog</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55984-2022</t>
        </is>
      </c>
      <c r="B4990" s="1" t="n">
        <v>44889</v>
      </c>
      <c r="C4990" s="1" t="n">
        <v>45798</v>
      </c>
      <c r="D4990" t="inlineStr">
        <is>
          <t>NORRBOTTENS LÄN</t>
        </is>
      </c>
      <c r="E4990" t="inlineStr">
        <is>
          <t>BODEN</t>
        </is>
      </c>
      <c r="F4990" t="inlineStr">
        <is>
          <t>Sveaskog</t>
        </is>
      </c>
      <c r="G4990" t="n">
        <v>15.3</v>
      </c>
      <c r="H4990" t="n">
        <v>0</v>
      </c>
      <c r="I4990" t="n">
        <v>0</v>
      </c>
      <c r="J4990" t="n">
        <v>0</v>
      </c>
      <c r="K4990" t="n">
        <v>0</v>
      </c>
      <c r="L4990" t="n">
        <v>0</v>
      </c>
      <c r="M4990" t="n">
        <v>0</v>
      </c>
      <c r="N4990" t="n">
        <v>0</v>
      </c>
      <c r="O4990" t="n">
        <v>0</v>
      </c>
      <c r="P4990" t="n">
        <v>0</v>
      </c>
      <c r="Q4990" t="n">
        <v>0</v>
      </c>
      <c r="R4990" s="2" t="inlineStr"/>
    </row>
    <row r="4991" ht="15" customHeight="1">
      <c r="A4991" t="inlineStr">
        <is>
          <t>A 56076-2022</t>
        </is>
      </c>
      <c r="B4991" s="1" t="n">
        <v>44889</v>
      </c>
      <c r="C4991" s="1" t="n">
        <v>45798</v>
      </c>
      <c r="D4991" t="inlineStr">
        <is>
          <t>NORRBOTTENS LÄN</t>
        </is>
      </c>
      <c r="E4991" t="inlineStr">
        <is>
          <t>PITEÅ</t>
        </is>
      </c>
      <c r="F4991" t="inlineStr">
        <is>
          <t>Sveaskog</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56028-2022</t>
        </is>
      </c>
      <c r="B4992" s="1" t="n">
        <v>44889</v>
      </c>
      <c r="C4992" s="1" t="n">
        <v>45798</v>
      </c>
      <c r="D4992" t="inlineStr">
        <is>
          <t>NORRBOTTENS LÄN</t>
        </is>
      </c>
      <c r="E4992" t="inlineStr">
        <is>
          <t>HAPARANDA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56163-2022</t>
        </is>
      </c>
      <c r="B4993" s="1" t="n">
        <v>44889</v>
      </c>
      <c r="C4993" s="1" t="n">
        <v>45798</v>
      </c>
      <c r="D4993" t="inlineStr">
        <is>
          <t>NORRBOTTENS LÄN</t>
        </is>
      </c>
      <c r="E4993" t="inlineStr">
        <is>
          <t>BODEN</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56168-2022</t>
        </is>
      </c>
      <c r="B4994" s="1" t="n">
        <v>44889</v>
      </c>
      <c r="C4994" s="1" t="n">
        <v>45798</v>
      </c>
      <c r="D4994" t="inlineStr">
        <is>
          <t>NORRBOTTENS LÄN</t>
        </is>
      </c>
      <c r="E4994" t="inlineStr">
        <is>
          <t>JOKKMOKK</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56069-2022</t>
        </is>
      </c>
      <c r="B4995" s="1" t="n">
        <v>44889</v>
      </c>
      <c r="C4995" s="1" t="n">
        <v>45798</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56087-2022</t>
        </is>
      </c>
      <c r="B4996" s="1" t="n">
        <v>44889</v>
      </c>
      <c r="C4996" s="1" t="n">
        <v>45798</v>
      </c>
      <c r="D4996" t="inlineStr">
        <is>
          <t>NORRBOTTENS LÄN</t>
        </is>
      </c>
      <c r="E4996" t="inlineStr">
        <is>
          <t>PAJALA</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56094-2022</t>
        </is>
      </c>
      <c r="B4997" s="1" t="n">
        <v>44889</v>
      </c>
      <c r="C4997" s="1" t="n">
        <v>45798</v>
      </c>
      <c r="D4997" t="inlineStr">
        <is>
          <t>NORRBOTTENS LÄN</t>
        </is>
      </c>
      <c r="E4997" t="inlineStr">
        <is>
          <t>BODEN</t>
        </is>
      </c>
      <c r="F4997" t="inlineStr">
        <is>
          <t>Sveaskog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57323-2022</t>
        </is>
      </c>
      <c r="B4998" s="1" t="n">
        <v>44889</v>
      </c>
      <c r="C4998" s="1" t="n">
        <v>45798</v>
      </c>
      <c r="D4998" t="inlineStr">
        <is>
          <t>NORRBOTTENS LÄN</t>
        </is>
      </c>
      <c r="E4998" t="inlineStr">
        <is>
          <t>PAJALA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57331-2022</t>
        </is>
      </c>
      <c r="B4999" s="1" t="n">
        <v>44889</v>
      </c>
      <c r="C4999" s="1" t="n">
        <v>45798</v>
      </c>
      <c r="D4999" t="inlineStr">
        <is>
          <t>NORRBOTTENS LÄN</t>
        </is>
      </c>
      <c r="E4999" t="inlineStr">
        <is>
          <t>PAJALA</t>
        </is>
      </c>
      <c r="G4999" t="n">
        <v>11.7</v>
      </c>
      <c r="H4999" t="n">
        <v>0</v>
      </c>
      <c r="I4999" t="n">
        <v>0</v>
      </c>
      <c r="J4999" t="n">
        <v>0</v>
      </c>
      <c r="K4999" t="n">
        <v>0</v>
      </c>
      <c r="L4999" t="n">
        <v>0</v>
      </c>
      <c r="M4999" t="n">
        <v>0</v>
      </c>
      <c r="N4999" t="n">
        <v>0</v>
      </c>
      <c r="O4999" t="n">
        <v>0</v>
      </c>
      <c r="P4999" t="n">
        <v>0</v>
      </c>
      <c r="Q4999" t="n">
        <v>0</v>
      </c>
      <c r="R4999" s="2" t="inlineStr"/>
    </row>
    <row r="5000" ht="15" customHeight="1">
      <c r="A5000" t="inlineStr">
        <is>
          <t>A 56306-2022</t>
        </is>
      </c>
      <c r="B5000" s="1" t="n">
        <v>44890</v>
      </c>
      <c r="C5000" s="1" t="n">
        <v>45798</v>
      </c>
      <c r="D5000" t="inlineStr">
        <is>
          <t>NORRBOTTENS LÄN</t>
        </is>
      </c>
      <c r="E5000" t="inlineStr">
        <is>
          <t>PITEÅ</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56312-2022</t>
        </is>
      </c>
      <c r="B5001" s="1" t="n">
        <v>44890</v>
      </c>
      <c r="C5001" s="1" t="n">
        <v>45798</v>
      </c>
      <c r="D5001" t="inlineStr">
        <is>
          <t>NORRBOTTENS LÄN</t>
        </is>
      </c>
      <c r="E5001" t="inlineStr">
        <is>
          <t>PITEÅ</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56319-2022</t>
        </is>
      </c>
      <c r="B5002" s="1" t="n">
        <v>44890</v>
      </c>
      <c r="C5002" s="1" t="n">
        <v>45798</v>
      </c>
      <c r="D5002" t="inlineStr">
        <is>
          <t>NORRBOTTENS LÄN</t>
        </is>
      </c>
      <c r="E5002" t="inlineStr">
        <is>
          <t>PITEÅ</t>
        </is>
      </c>
      <c r="F5002" t="inlineStr">
        <is>
          <t>Övriga Aktiebolag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56369-2022</t>
        </is>
      </c>
      <c r="B5003" s="1" t="n">
        <v>44890</v>
      </c>
      <c r="C5003" s="1" t="n">
        <v>45798</v>
      </c>
      <c r="D5003" t="inlineStr">
        <is>
          <t>NORRBOTTENS LÄN</t>
        </is>
      </c>
      <c r="E5003" t="inlineStr">
        <is>
          <t>ÖVERTORNEÅ</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56374-2022</t>
        </is>
      </c>
      <c r="B5004" s="1" t="n">
        <v>44890</v>
      </c>
      <c r="C5004" s="1" t="n">
        <v>45798</v>
      </c>
      <c r="D5004" t="inlineStr">
        <is>
          <t>NORRBOTTENS LÄN</t>
        </is>
      </c>
      <c r="E5004" t="inlineStr">
        <is>
          <t>ÖVERTORNEÅ</t>
        </is>
      </c>
      <c r="G5004" t="n">
        <v>13.3</v>
      </c>
      <c r="H5004" t="n">
        <v>0</v>
      </c>
      <c r="I5004" t="n">
        <v>0</v>
      </c>
      <c r="J5004" t="n">
        <v>0</v>
      </c>
      <c r="K5004" t="n">
        <v>0</v>
      </c>
      <c r="L5004" t="n">
        <v>0</v>
      </c>
      <c r="M5004" t="n">
        <v>0</v>
      </c>
      <c r="N5004" t="n">
        <v>0</v>
      </c>
      <c r="O5004" t="n">
        <v>0</v>
      </c>
      <c r="P5004" t="n">
        <v>0</v>
      </c>
      <c r="Q5004" t="n">
        <v>0</v>
      </c>
      <c r="R5004" s="2" t="inlineStr"/>
    </row>
    <row r="5005" ht="15" customHeight="1">
      <c r="A5005" t="inlineStr">
        <is>
          <t>A 56370-2022</t>
        </is>
      </c>
      <c r="B5005" s="1" t="n">
        <v>44890</v>
      </c>
      <c r="C5005" s="1" t="n">
        <v>45798</v>
      </c>
      <c r="D5005" t="inlineStr">
        <is>
          <t>NORRBOTTENS LÄN</t>
        </is>
      </c>
      <c r="E5005" t="inlineStr">
        <is>
          <t>ÖVERTORNEÅ</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56375-2022</t>
        </is>
      </c>
      <c r="B5006" s="1" t="n">
        <v>44890</v>
      </c>
      <c r="C5006" s="1" t="n">
        <v>45798</v>
      </c>
      <c r="D5006" t="inlineStr">
        <is>
          <t>NORRBOTTENS LÄN</t>
        </is>
      </c>
      <c r="E5006" t="inlineStr">
        <is>
          <t>ÖVERTORNEÅ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56373-2022</t>
        </is>
      </c>
      <c r="B5007" s="1" t="n">
        <v>44890</v>
      </c>
      <c r="C5007" s="1" t="n">
        <v>45798</v>
      </c>
      <c r="D5007" t="inlineStr">
        <is>
          <t>NORRBOTTENS LÄN</t>
        </is>
      </c>
      <c r="E5007" t="inlineStr">
        <is>
          <t>ÖVERTORNEÅ</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56402-2022</t>
        </is>
      </c>
      <c r="B5008" s="1" t="n">
        <v>44890</v>
      </c>
      <c r="C5008" s="1" t="n">
        <v>45798</v>
      </c>
      <c r="D5008" t="inlineStr">
        <is>
          <t>NORRBOTTENS LÄN</t>
        </is>
      </c>
      <c r="E5008" t="inlineStr">
        <is>
          <t>ÖVERKALIX</t>
        </is>
      </c>
      <c r="F5008" t="inlineStr">
        <is>
          <t>SCA</t>
        </is>
      </c>
      <c r="G5008" t="n">
        <v>13.8</v>
      </c>
      <c r="H5008" t="n">
        <v>0</v>
      </c>
      <c r="I5008" t="n">
        <v>0</v>
      </c>
      <c r="J5008" t="n">
        <v>0</v>
      </c>
      <c r="K5008" t="n">
        <v>0</v>
      </c>
      <c r="L5008" t="n">
        <v>0</v>
      </c>
      <c r="M5008" t="n">
        <v>0</v>
      </c>
      <c r="N5008" t="n">
        <v>0</v>
      </c>
      <c r="O5008" t="n">
        <v>0</v>
      </c>
      <c r="P5008" t="n">
        <v>0</v>
      </c>
      <c r="Q5008" t="n">
        <v>0</v>
      </c>
      <c r="R5008" s="2" t="inlineStr"/>
    </row>
    <row r="5009" ht="15" customHeight="1">
      <c r="A5009" t="inlineStr">
        <is>
          <t>A 56356-2022</t>
        </is>
      </c>
      <c r="B5009" s="1" t="n">
        <v>44890</v>
      </c>
      <c r="C5009" s="1" t="n">
        <v>45798</v>
      </c>
      <c r="D5009" t="inlineStr">
        <is>
          <t>NORRBOTTENS LÄN</t>
        </is>
      </c>
      <c r="E5009" t="inlineStr">
        <is>
          <t>ÖVERTORNEÅ</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56371-2022</t>
        </is>
      </c>
      <c r="B5010" s="1" t="n">
        <v>44890</v>
      </c>
      <c r="C5010" s="1" t="n">
        <v>45798</v>
      </c>
      <c r="D5010" t="inlineStr">
        <is>
          <t>NORRBOTTENS LÄN</t>
        </is>
      </c>
      <c r="E5010" t="inlineStr">
        <is>
          <t>ÖVERTORNEÅ</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56416-2022</t>
        </is>
      </c>
      <c r="B5011" s="1" t="n">
        <v>44890</v>
      </c>
      <c r="C5011" s="1" t="n">
        <v>45798</v>
      </c>
      <c r="D5011" t="inlineStr">
        <is>
          <t>NORRBOTTENS LÄN</t>
        </is>
      </c>
      <c r="E5011" t="inlineStr">
        <is>
          <t>ÖVERKALIX</t>
        </is>
      </c>
      <c r="F5011" t="inlineStr">
        <is>
          <t>SCA</t>
        </is>
      </c>
      <c r="G5011" t="n">
        <v>11.2</v>
      </c>
      <c r="H5011" t="n">
        <v>0</v>
      </c>
      <c r="I5011" t="n">
        <v>0</v>
      </c>
      <c r="J5011" t="n">
        <v>0</v>
      </c>
      <c r="K5011" t="n">
        <v>0</v>
      </c>
      <c r="L5011" t="n">
        <v>0</v>
      </c>
      <c r="M5011" t="n">
        <v>0</v>
      </c>
      <c r="N5011" t="n">
        <v>0</v>
      </c>
      <c r="O5011" t="n">
        <v>0</v>
      </c>
      <c r="P5011" t="n">
        <v>0</v>
      </c>
      <c r="Q5011" t="n">
        <v>0</v>
      </c>
      <c r="R5011" s="2" t="inlineStr"/>
    </row>
    <row r="5012" ht="15" customHeight="1">
      <c r="A5012" t="inlineStr">
        <is>
          <t>A 57619-2022</t>
        </is>
      </c>
      <c r="B5012" s="1" t="n">
        <v>44890</v>
      </c>
      <c r="C5012" s="1" t="n">
        <v>45798</v>
      </c>
      <c r="D5012" t="inlineStr">
        <is>
          <t>NORRBOTTENS LÄN</t>
        </is>
      </c>
      <c r="E5012" t="inlineStr">
        <is>
          <t>LULEÅ</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57764-2022</t>
        </is>
      </c>
      <c r="B5013" s="1" t="n">
        <v>44890</v>
      </c>
      <c r="C5013" s="1" t="n">
        <v>45798</v>
      </c>
      <c r="D5013" t="inlineStr">
        <is>
          <t>NORRBOTTENS LÄN</t>
        </is>
      </c>
      <c r="E5013" t="inlineStr">
        <is>
          <t>LULEÅ</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56445-2022</t>
        </is>
      </c>
      <c r="B5014" s="1" t="n">
        <v>44892</v>
      </c>
      <c r="C5014" s="1" t="n">
        <v>45798</v>
      </c>
      <c r="D5014" t="inlineStr">
        <is>
          <t>NORRBOTTENS LÄN</t>
        </is>
      </c>
      <c r="E5014" t="inlineStr">
        <is>
          <t>PAJALA</t>
        </is>
      </c>
      <c r="G5014" t="n">
        <v>15.6</v>
      </c>
      <c r="H5014" t="n">
        <v>0</v>
      </c>
      <c r="I5014" t="n">
        <v>0</v>
      </c>
      <c r="J5014" t="n">
        <v>0</v>
      </c>
      <c r="K5014" t="n">
        <v>0</v>
      </c>
      <c r="L5014" t="n">
        <v>0</v>
      </c>
      <c r="M5014" t="n">
        <v>0</v>
      </c>
      <c r="N5014" t="n">
        <v>0</v>
      </c>
      <c r="O5014" t="n">
        <v>0</v>
      </c>
      <c r="P5014" t="n">
        <v>0</v>
      </c>
      <c r="Q5014" t="n">
        <v>0</v>
      </c>
      <c r="R5014" s="2" t="inlineStr"/>
    </row>
    <row r="5015" ht="15" customHeight="1">
      <c r="A5015" t="inlineStr">
        <is>
          <t>A 56449-2022</t>
        </is>
      </c>
      <c r="B5015" s="1" t="n">
        <v>44892</v>
      </c>
      <c r="C5015" s="1" t="n">
        <v>45798</v>
      </c>
      <c r="D5015" t="inlineStr">
        <is>
          <t>NORRBOTTENS LÄN</t>
        </is>
      </c>
      <c r="E5015" t="inlineStr">
        <is>
          <t>PAJALA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56446-2022</t>
        </is>
      </c>
      <c r="B5016" s="1" t="n">
        <v>44892</v>
      </c>
      <c r="C5016" s="1" t="n">
        <v>45798</v>
      </c>
      <c r="D5016" t="inlineStr">
        <is>
          <t>NORRBOTTENS LÄN</t>
        </is>
      </c>
      <c r="E5016" t="inlineStr">
        <is>
          <t>PAJALA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56448-2022</t>
        </is>
      </c>
      <c r="B5017" s="1" t="n">
        <v>44892</v>
      </c>
      <c r="C5017" s="1" t="n">
        <v>45798</v>
      </c>
      <c r="D5017" t="inlineStr">
        <is>
          <t>NORRBOTTENS LÄN</t>
        </is>
      </c>
      <c r="E5017" t="inlineStr">
        <is>
          <t>PAJALA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56691-2022</t>
        </is>
      </c>
      <c r="B5018" s="1" t="n">
        <v>44893</v>
      </c>
      <c r="C5018" s="1" t="n">
        <v>45798</v>
      </c>
      <c r="D5018" t="inlineStr">
        <is>
          <t>NORRBOTTENS LÄN</t>
        </is>
      </c>
      <c r="E5018" t="inlineStr">
        <is>
          <t>JOKKMOKK</t>
        </is>
      </c>
      <c r="F5018" t="inlineStr">
        <is>
          <t>Sveaskog</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56661-2022</t>
        </is>
      </c>
      <c r="B5019" s="1" t="n">
        <v>44893</v>
      </c>
      <c r="C5019" s="1" t="n">
        <v>45798</v>
      </c>
      <c r="D5019" t="inlineStr">
        <is>
          <t>NORRBOTTENS LÄN</t>
        </is>
      </c>
      <c r="E5019" t="inlineStr">
        <is>
          <t>PITEÅ</t>
        </is>
      </c>
      <c r="F5019" t="inlineStr">
        <is>
          <t>Sveaskog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56985-2022</t>
        </is>
      </c>
      <c r="B5020" s="1" t="n">
        <v>44894</v>
      </c>
      <c r="C5020" s="1" t="n">
        <v>45798</v>
      </c>
      <c r="D5020" t="inlineStr">
        <is>
          <t>NORRBOTTENS LÄN</t>
        </is>
      </c>
      <c r="E5020" t="inlineStr">
        <is>
          <t>ÖVERKALIX</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56994-2022</t>
        </is>
      </c>
      <c r="B5021" s="1" t="n">
        <v>44894</v>
      </c>
      <c r="C5021" s="1" t="n">
        <v>45798</v>
      </c>
      <c r="D5021" t="inlineStr">
        <is>
          <t>NORRBOTTENS LÄN</t>
        </is>
      </c>
      <c r="E5021" t="inlineStr">
        <is>
          <t>PAJALA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58575-2022</t>
        </is>
      </c>
      <c r="B5022" s="1" t="n">
        <v>44894</v>
      </c>
      <c r="C5022" s="1" t="n">
        <v>45798</v>
      </c>
      <c r="D5022" t="inlineStr">
        <is>
          <t>NORRBOTTENS LÄN</t>
        </is>
      </c>
      <c r="E5022" t="inlineStr">
        <is>
          <t>KALIX</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58591-2022</t>
        </is>
      </c>
      <c r="B5023" s="1" t="n">
        <v>44894</v>
      </c>
      <c r="C5023" s="1" t="n">
        <v>45798</v>
      </c>
      <c r="D5023" t="inlineStr">
        <is>
          <t>NORRBOTTENS LÄN</t>
        </is>
      </c>
      <c r="E5023" t="inlineStr">
        <is>
          <t>KALIX</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56983-2022</t>
        </is>
      </c>
      <c r="B5024" s="1" t="n">
        <v>44894</v>
      </c>
      <c r="C5024" s="1" t="n">
        <v>45798</v>
      </c>
      <c r="D5024" t="inlineStr">
        <is>
          <t>NORRBOTTENS LÄN</t>
        </is>
      </c>
      <c r="E5024" t="inlineStr">
        <is>
          <t>ÖVERKALIX</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58583-2022</t>
        </is>
      </c>
      <c r="B5025" s="1" t="n">
        <v>44894</v>
      </c>
      <c r="C5025" s="1" t="n">
        <v>45798</v>
      </c>
      <c r="D5025" t="inlineStr">
        <is>
          <t>NORRBOTTENS LÄN</t>
        </is>
      </c>
      <c r="E5025" t="inlineStr">
        <is>
          <t>KALIX</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58592-2022</t>
        </is>
      </c>
      <c r="B5026" s="1" t="n">
        <v>44894</v>
      </c>
      <c r="C5026" s="1" t="n">
        <v>45798</v>
      </c>
      <c r="D5026" t="inlineStr">
        <is>
          <t>NORRBOTTENS LÄN</t>
        </is>
      </c>
      <c r="E5026" t="inlineStr">
        <is>
          <t>KALIX</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58585-2022</t>
        </is>
      </c>
      <c r="B5027" s="1" t="n">
        <v>44894</v>
      </c>
      <c r="C5027" s="1" t="n">
        <v>45798</v>
      </c>
      <c r="D5027" t="inlineStr">
        <is>
          <t>NORRBOTTENS LÄN</t>
        </is>
      </c>
      <c r="E5027" t="inlineStr">
        <is>
          <t>KALIX</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57180-2022</t>
        </is>
      </c>
      <c r="B5028" s="1" t="n">
        <v>44895</v>
      </c>
      <c r="C5028" s="1" t="n">
        <v>45798</v>
      </c>
      <c r="D5028" t="inlineStr">
        <is>
          <t>NORRBOTTENS LÄN</t>
        </is>
      </c>
      <c r="E5028" t="inlineStr">
        <is>
          <t>PITEÅ</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57233-2022</t>
        </is>
      </c>
      <c r="B5029" s="1" t="n">
        <v>44895</v>
      </c>
      <c r="C5029" s="1" t="n">
        <v>45798</v>
      </c>
      <c r="D5029" t="inlineStr">
        <is>
          <t>NORRBOTTENS LÄN</t>
        </is>
      </c>
      <c r="E5029" t="inlineStr">
        <is>
          <t>ÄLVSBYN</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58601-2022</t>
        </is>
      </c>
      <c r="B5030" s="1" t="n">
        <v>44895</v>
      </c>
      <c r="C5030" s="1" t="n">
        <v>45798</v>
      </c>
      <c r="D5030" t="inlineStr">
        <is>
          <t>NORRBOTTENS LÄN</t>
        </is>
      </c>
      <c r="E5030" t="inlineStr">
        <is>
          <t>GÄLLIVARE</t>
        </is>
      </c>
      <c r="G5030" t="n">
        <v>19.4</v>
      </c>
      <c r="H5030" t="n">
        <v>0</v>
      </c>
      <c r="I5030" t="n">
        <v>0</v>
      </c>
      <c r="J5030" t="n">
        <v>0</v>
      </c>
      <c r="K5030" t="n">
        <v>0</v>
      </c>
      <c r="L5030" t="n">
        <v>0</v>
      </c>
      <c r="M5030" t="n">
        <v>0</v>
      </c>
      <c r="N5030" t="n">
        <v>0</v>
      </c>
      <c r="O5030" t="n">
        <v>0</v>
      </c>
      <c r="P5030" t="n">
        <v>0</v>
      </c>
      <c r="Q5030" t="n">
        <v>0</v>
      </c>
      <c r="R5030" s="2" t="inlineStr"/>
    </row>
    <row r="5031" ht="15" customHeight="1">
      <c r="A5031" t="inlineStr">
        <is>
          <t>A 57214-2022</t>
        </is>
      </c>
      <c r="B5031" s="1" t="n">
        <v>44895</v>
      </c>
      <c r="C5031" s="1" t="n">
        <v>45798</v>
      </c>
      <c r="D5031" t="inlineStr">
        <is>
          <t>NORRBOTTENS LÄN</t>
        </is>
      </c>
      <c r="E5031" t="inlineStr">
        <is>
          <t>ÄLVSBYN</t>
        </is>
      </c>
      <c r="F5031" t="inlineStr">
        <is>
          <t>Övriga Aktiebolag</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57264-2022</t>
        </is>
      </c>
      <c r="B5032" s="1" t="n">
        <v>44895</v>
      </c>
      <c r="C5032" s="1" t="n">
        <v>45798</v>
      </c>
      <c r="D5032" t="inlineStr">
        <is>
          <t>NORRBOTTENS LÄN</t>
        </is>
      </c>
      <c r="E5032" t="inlineStr">
        <is>
          <t>LULEÅ</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58609-2022</t>
        </is>
      </c>
      <c r="B5033" s="1" t="n">
        <v>44895</v>
      </c>
      <c r="C5033" s="1" t="n">
        <v>45798</v>
      </c>
      <c r="D5033" t="inlineStr">
        <is>
          <t>NORRBOTTENS LÄN</t>
        </is>
      </c>
      <c r="E5033" t="inlineStr">
        <is>
          <t>PAJALA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58776-2022</t>
        </is>
      </c>
      <c r="B5034" s="1" t="n">
        <v>44895</v>
      </c>
      <c r="C5034" s="1" t="n">
        <v>45798</v>
      </c>
      <c r="D5034" t="inlineStr">
        <is>
          <t>NORRBOTTENS LÄN</t>
        </is>
      </c>
      <c r="E5034" t="inlineStr">
        <is>
          <t>GÄLLIVARE</t>
        </is>
      </c>
      <c r="G5034" t="n">
        <v>12.1</v>
      </c>
      <c r="H5034" t="n">
        <v>0</v>
      </c>
      <c r="I5034" t="n">
        <v>0</v>
      </c>
      <c r="J5034" t="n">
        <v>0</v>
      </c>
      <c r="K5034" t="n">
        <v>0</v>
      </c>
      <c r="L5034" t="n">
        <v>0</v>
      </c>
      <c r="M5034" t="n">
        <v>0</v>
      </c>
      <c r="N5034" t="n">
        <v>0</v>
      </c>
      <c r="O5034" t="n">
        <v>0</v>
      </c>
      <c r="P5034" t="n">
        <v>0</v>
      </c>
      <c r="Q5034" t="n">
        <v>0</v>
      </c>
      <c r="R5034" s="2" t="inlineStr"/>
    </row>
    <row r="5035" ht="15" customHeight="1">
      <c r="A5035" t="inlineStr">
        <is>
          <t>A 57419-2022</t>
        </is>
      </c>
      <c r="B5035" s="1" t="n">
        <v>44896</v>
      </c>
      <c r="C5035" s="1" t="n">
        <v>45798</v>
      </c>
      <c r="D5035" t="inlineStr">
        <is>
          <t>NORRBOTTENS LÄN</t>
        </is>
      </c>
      <c r="E5035" t="inlineStr">
        <is>
          <t>KALIX</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57442-2022</t>
        </is>
      </c>
      <c r="B5036" s="1" t="n">
        <v>44896</v>
      </c>
      <c r="C5036" s="1" t="n">
        <v>45798</v>
      </c>
      <c r="D5036" t="inlineStr">
        <is>
          <t>NORRBOTTENS LÄN</t>
        </is>
      </c>
      <c r="E5036" t="inlineStr">
        <is>
          <t>GÄLLIVARE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58908-2022</t>
        </is>
      </c>
      <c r="B5037" s="1" t="n">
        <v>44896</v>
      </c>
      <c r="C5037" s="1" t="n">
        <v>45798</v>
      </c>
      <c r="D5037" t="inlineStr">
        <is>
          <t>NORRBOTTENS LÄN</t>
        </is>
      </c>
      <c r="E5037" t="inlineStr">
        <is>
          <t>ÄLVSBYN</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58860-2022</t>
        </is>
      </c>
      <c r="B5038" s="1" t="n">
        <v>44896</v>
      </c>
      <c r="C5038" s="1" t="n">
        <v>45798</v>
      </c>
      <c r="D5038" t="inlineStr">
        <is>
          <t>NORRBOTTENS LÄN</t>
        </is>
      </c>
      <c r="E5038" t="inlineStr">
        <is>
          <t>KIRUNA</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57672-2022</t>
        </is>
      </c>
      <c r="B5039" s="1" t="n">
        <v>44897</v>
      </c>
      <c r="C5039" s="1" t="n">
        <v>45798</v>
      </c>
      <c r="D5039" t="inlineStr">
        <is>
          <t>NORRBOTTENS LÄN</t>
        </is>
      </c>
      <c r="E5039" t="inlineStr">
        <is>
          <t>JOKKMOKK</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57816-2022</t>
        </is>
      </c>
      <c r="B5040" s="1" t="n">
        <v>44897</v>
      </c>
      <c r="C5040" s="1" t="n">
        <v>45798</v>
      </c>
      <c r="D5040" t="inlineStr">
        <is>
          <t>NORRBOTTENS LÄN</t>
        </is>
      </c>
      <c r="E5040" t="inlineStr">
        <is>
          <t>LULEÅ</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57822-2022</t>
        </is>
      </c>
      <c r="B5041" s="1" t="n">
        <v>44897</v>
      </c>
      <c r="C5041" s="1" t="n">
        <v>45798</v>
      </c>
      <c r="D5041" t="inlineStr">
        <is>
          <t>NORRBOTTENS LÄN</t>
        </is>
      </c>
      <c r="E5041" t="inlineStr">
        <is>
          <t>LULEÅ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57789-2022</t>
        </is>
      </c>
      <c r="B5042" s="1" t="n">
        <v>44897</v>
      </c>
      <c r="C5042" s="1" t="n">
        <v>45798</v>
      </c>
      <c r="D5042" t="inlineStr">
        <is>
          <t>NORRBOTTENS LÄN</t>
        </is>
      </c>
      <c r="E5042" t="inlineStr">
        <is>
          <t>ÄLVSBYN</t>
        </is>
      </c>
      <c r="F5042" t="inlineStr">
        <is>
          <t>Övriga Aktiebolag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57739-2022</t>
        </is>
      </c>
      <c r="B5043" s="1" t="n">
        <v>44897</v>
      </c>
      <c r="C5043" s="1" t="n">
        <v>45798</v>
      </c>
      <c r="D5043" t="inlineStr">
        <is>
          <t>NORRBOTTENS LÄN</t>
        </is>
      </c>
      <c r="E5043" t="inlineStr">
        <is>
          <t>BODEN</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57785-2022</t>
        </is>
      </c>
      <c r="B5044" s="1" t="n">
        <v>44897</v>
      </c>
      <c r="C5044" s="1" t="n">
        <v>45798</v>
      </c>
      <c r="D5044" t="inlineStr">
        <is>
          <t>NORRBOTTENS LÄN</t>
        </is>
      </c>
      <c r="E5044" t="inlineStr">
        <is>
          <t>ÄLVSBYN</t>
        </is>
      </c>
      <c r="F5044" t="inlineStr">
        <is>
          <t>Övriga Aktiebolag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57815-2022</t>
        </is>
      </c>
      <c r="B5045" s="1" t="n">
        <v>44897</v>
      </c>
      <c r="C5045" s="1" t="n">
        <v>45798</v>
      </c>
      <c r="D5045" t="inlineStr">
        <is>
          <t>NORRBOTTENS LÄN</t>
        </is>
      </c>
      <c r="E5045" t="inlineStr">
        <is>
          <t>LULEÅ</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57821-2022</t>
        </is>
      </c>
      <c r="B5046" s="1" t="n">
        <v>44897</v>
      </c>
      <c r="C5046" s="1" t="n">
        <v>45798</v>
      </c>
      <c r="D5046" t="inlineStr">
        <is>
          <t>NORRBOTTENS LÄN</t>
        </is>
      </c>
      <c r="E5046" t="inlineStr">
        <is>
          <t>LULEÅ</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57825-2022</t>
        </is>
      </c>
      <c r="B5047" s="1" t="n">
        <v>44897</v>
      </c>
      <c r="C5047" s="1" t="n">
        <v>45798</v>
      </c>
      <c r="D5047" t="inlineStr">
        <is>
          <t>NORRBOTTENS LÄN</t>
        </is>
      </c>
      <c r="E5047" t="inlineStr">
        <is>
          <t>LULEÅ</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57813-2022</t>
        </is>
      </c>
      <c r="B5048" s="1" t="n">
        <v>44897</v>
      </c>
      <c r="C5048" s="1" t="n">
        <v>45798</v>
      </c>
      <c r="D5048" t="inlineStr">
        <is>
          <t>NORRBOTTENS LÄN</t>
        </is>
      </c>
      <c r="E5048" t="inlineStr">
        <is>
          <t>BODEN</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57818-2022</t>
        </is>
      </c>
      <c r="B5049" s="1" t="n">
        <v>44897</v>
      </c>
      <c r="C5049" s="1" t="n">
        <v>45798</v>
      </c>
      <c r="D5049" t="inlineStr">
        <is>
          <t>NORRBOTTENS LÄN</t>
        </is>
      </c>
      <c r="E5049" t="inlineStr">
        <is>
          <t>LULEÅ</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57823-2022</t>
        </is>
      </c>
      <c r="B5050" s="1" t="n">
        <v>44897</v>
      </c>
      <c r="C5050" s="1" t="n">
        <v>45798</v>
      </c>
      <c r="D5050" t="inlineStr">
        <is>
          <t>NORRBOTTENS LÄN</t>
        </is>
      </c>
      <c r="E5050" t="inlineStr">
        <is>
          <t>LULEÅ</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57826-2022</t>
        </is>
      </c>
      <c r="B5051" s="1" t="n">
        <v>44897</v>
      </c>
      <c r="C5051" s="1" t="n">
        <v>45798</v>
      </c>
      <c r="D5051" t="inlineStr">
        <is>
          <t>NORRBOTTENS LÄN</t>
        </is>
      </c>
      <c r="E5051" t="inlineStr">
        <is>
          <t>LULEÅ</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57836-2022</t>
        </is>
      </c>
      <c r="B5052" s="1" t="n">
        <v>44897</v>
      </c>
      <c r="C5052" s="1" t="n">
        <v>45798</v>
      </c>
      <c r="D5052" t="inlineStr">
        <is>
          <t>NORRBOTTENS LÄN</t>
        </is>
      </c>
      <c r="E5052" t="inlineStr">
        <is>
          <t>ÖVERKALIX</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57820-2022</t>
        </is>
      </c>
      <c r="B5053" s="1" t="n">
        <v>44897</v>
      </c>
      <c r="C5053" s="1" t="n">
        <v>45798</v>
      </c>
      <c r="D5053" t="inlineStr">
        <is>
          <t>NORRBOTTENS LÄN</t>
        </is>
      </c>
      <c r="E5053" t="inlineStr">
        <is>
          <t>PITEÅ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57824-2022</t>
        </is>
      </c>
      <c r="B5054" s="1" t="n">
        <v>44897</v>
      </c>
      <c r="C5054" s="1" t="n">
        <v>45798</v>
      </c>
      <c r="D5054" t="inlineStr">
        <is>
          <t>NORRBOTTENS LÄN</t>
        </is>
      </c>
      <c r="E5054" t="inlineStr">
        <is>
          <t>LULEÅ</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57833-2022</t>
        </is>
      </c>
      <c r="B5055" s="1" t="n">
        <v>44897</v>
      </c>
      <c r="C5055" s="1" t="n">
        <v>45798</v>
      </c>
      <c r="D5055" t="inlineStr">
        <is>
          <t>NORRBOTTENS LÄN</t>
        </is>
      </c>
      <c r="E5055" t="inlineStr">
        <is>
          <t>GÄLLIVARE</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59310-2022</t>
        </is>
      </c>
      <c r="B5056" s="1" t="n">
        <v>44897</v>
      </c>
      <c r="C5056" s="1" t="n">
        <v>45798</v>
      </c>
      <c r="D5056" t="inlineStr">
        <is>
          <t>NORRBOTTENS LÄN</t>
        </is>
      </c>
      <c r="E5056" t="inlineStr">
        <is>
          <t>ÖVERKALIX</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57860-2022</t>
        </is>
      </c>
      <c r="B5057" s="1" t="n">
        <v>44899</v>
      </c>
      <c r="C5057" s="1" t="n">
        <v>45798</v>
      </c>
      <c r="D5057" t="inlineStr">
        <is>
          <t>NORRBOTTENS LÄN</t>
        </is>
      </c>
      <c r="E5057" t="inlineStr">
        <is>
          <t>KALIX</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57870-2022</t>
        </is>
      </c>
      <c r="B5058" s="1" t="n">
        <v>44899</v>
      </c>
      <c r="C5058" s="1" t="n">
        <v>45798</v>
      </c>
      <c r="D5058" t="inlineStr">
        <is>
          <t>NORRBOTTENS LÄN</t>
        </is>
      </c>
      <c r="E5058" t="inlineStr">
        <is>
          <t>ÖVERKALIX</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57884-2022</t>
        </is>
      </c>
      <c r="B5059" s="1" t="n">
        <v>44899</v>
      </c>
      <c r="C5059" s="1" t="n">
        <v>45798</v>
      </c>
      <c r="D5059" t="inlineStr">
        <is>
          <t>NORRBOTTENS LÄN</t>
        </is>
      </c>
      <c r="E5059" t="inlineStr">
        <is>
          <t>ÖVERKALIX</t>
        </is>
      </c>
      <c r="F5059" t="inlineStr">
        <is>
          <t>SCA</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57897-2022</t>
        </is>
      </c>
      <c r="B5060" s="1" t="n">
        <v>44900</v>
      </c>
      <c r="C5060" s="1" t="n">
        <v>45798</v>
      </c>
      <c r="D5060" t="inlineStr">
        <is>
          <t>NORRBOTTENS LÄN</t>
        </is>
      </c>
      <c r="E5060" t="inlineStr">
        <is>
          <t>BODEN</t>
        </is>
      </c>
      <c r="F5060" t="inlineStr">
        <is>
          <t>Sveaskog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58035-2022</t>
        </is>
      </c>
      <c r="B5061" s="1" t="n">
        <v>44900</v>
      </c>
      <c r="C5061" s="1" t="n">
        <v>45798</v>
      </c>
      <c r="D5061" t="inlineStr">
        <is>
          <t>NORRBOTTENS LÄN</t>
        </is>
      </c>
      <c r="E5061" t="inlineStr">
        <is>
          <t>ÖVERTORNEÅ</t>
        </is>
      </c>
      <c r="F5061" t="inlineStr">
        <is>
          <t>Sveaskog</t>
        </is>
      </c>
      <c r="G5061" t="n">
        <v>20.2</v>
      </c>
      <c r="H5061" t="n">
        <v>0</v>
      </c>
      <c r="I5061" t="n">
        <v>0</v>
      </c>
      <c r="J5061" t="n">
        <v>0</v>
      </c>
      <c r="K5061" t="n">
        <v>0</v>
      </c>
      <c r="L5061" t="n">
        <v>0</v>
      </c>
      <c r="M5061" t="n">
        <v>0</v>
      </c>
      <c r="N5061" t="n">
        <v>0</v>
      </c>
      <c r="O5061" t="n">
        <v>0</v>
      </c>
      <c r="P5061" t="n">
        <v>0</v>
      </c>
      <c r="Q5061" t="n">
        <v>0</v>
      </c>
      <c r="R5061" s="2" t="inlineStr"/>
    </row>
    <row r="5062" ht="15" customHeight="1">
      <c r="A5062" t="inlineStr">
        <is>
          <t>A 58139-2022</t>
        </is>
      </c>
      <c r="B5062" s="1" t="n">
        <v>44900</v>
      </c>
      <c r="C5062" s="1" t="n">
        <v>45798</v>
      </c>
      <c r="D5062" t="inlineStr">
        <is>
          <t>NORRBOTTENS LÄN</t>
        </is>
      </c>
      <c r="E5062" t="inlineStr">
        <is>
          <t>GÄLLIVARE</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58062-2022</t>
        </is>
      </c>
      <c r="B5063" s="1" t="n">
        <v>44900</v>
      </c>
      <c r="C5063" s="1" t="n">
        <v>45798</v>
      </c>
      <c r="D5063" t="inlineStr">
        <is>
          <t>NORRBOTTENS LÄN</t>
        </is>
      </c>
      <c r="E5063" t="inlineStr">
        <is>
          <t>BODEN</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58296-2022</t>
        </is>
      </c>
      <c r="B5064" s="1" t="n">
        <v>44901</v>
      </c>
      <c r="C5064" s="1" t="n">
        <v>45798</v>
      </c>
      <c r="D5064" t="inlineStr">
        <is>
          <t>NORRBOTTENS LÄN</t>
        </is>
      </c>
      <c r="E5064" t="inlineStr">
        <is>
          <t>KALIX</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58319-2022</t>
        </is>
      </c>
      <c r="B5065" s="1" t="n">
        <v>44901</v>
      </c>
      <c r="C5065" s="1" t="n">
        <v>45798</v>
      </c>
      <c r="D5065" t="inlineStr">
        <is>
          <t>NORRBOTTENS LÄN</t>
        </is>
      </c>
      <c r="E5065" t="inlineStr">
        <is>
          <t>ÖVERKALIX</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58379-2022</t>
        </is>
      </c>
      <c r="B5066" s="1" t="n">
        <v>44901</v>
      </c>
      <c r="C5066" s="1" t="n">
        <v>45798</v>
      </c>
      <c r="D5066" t="inlineStr">
        <is>
          <t>NORRBOTTENS LÄN</t>
        </is>
      </c>
      <c r="E5066" t="inlineStr">
        <is>
          <t>HAPARANDA</t>
        </is>
      </c>
      <c r="G5066" t="n">
        <v>12.1</v>
      </c>
      <c r="H5066" t="n">
        <v>0</v>
      </c>
      <c r="I5066" t="n">
        <v>0</v>
      </c>
      <c r="J5066" t="n">
        <v>0</v>
      </c>
      <c r="K5066" t="n">
        <v>0</v>
      </c>
      <c r="L5066" t="n">
        <v>0</v>
      </c>
      <c r="M5066" t="n">
        <v>0</v>
      </c>
      <c r="N5066" t="n">
        <v>0</v>
      </c>
      <c r="O5066" t="n">
        <v>0</v>
      </c>
      <c r="P5066" t="n">
        <v>0</v>
      </c>
      <c r="Q5066" t="n">
        <v>0</v>
      </c>
      <c r="R5066" s="2" t="inlineStr"/>
    </row>
    <row r="5067" ht="15" customHeight="1">
      <c r="A5067" t="inlineStr">
        <is>
          <t>A 58421-2022</t>
        </is>
      </c>
      <c r="B5067" s="1" t="n">
        <v>44901</v>
      </c>
      <c r="C5067" s="1" t="n">
        <v>45798</v>
      </c>
      <c r="D5067" t="inlineStr">
        <is>
          <t>NORRBOTTENS LÄN</t>
        </is>
      </c>
      <c r="E5067" t="inlineStr">
        <is>
          <t>PITEÅ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58373-2022</t>
        </is>
      </c>
      <c r="B5068" s="1" t="n">
        <v>44901</v>
      </c>
      <c r="C5068" s="1" t="n">
        <v>45798</v>
      </c>
      <c r="D5068" t="inlineStr">
        <is>
          <t>NORRBOTTENS LÄN</t>
        </is>
      </c>
      <c r="E5068" t="inlineStr">
        <is>
          <t>BODEN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58353-2022</t>
        </is>
      </c>
      <c r="B5069" s="1" t="n">
        <v>44901</v>
      </c>
      <c r="C5069" s="1" t="n">
        <v>45798</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59965-2022</t>
        </is>
      </c>
      <c r="B5070" s="1" t="n">
        <v>44901</v>
      </c>
      <c r="C5070" s="1" t="n">
        <v>45798</v>
      </c>
      <c r="D5070" t="inlineStr">
        <is>
          <t>NORRBOTTENS LÄN</t>
        </is>
      </c>
      <c r="E5070" t="inlineStr">
        <is>
          <t>ÖVERTORNEÅ</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59930-2022</t>
        </is>
      </c>
      <c r="B5071" s="1" t="n">
        <v>44901</v>
      </c>
      <c r="C5071" s="1" t="n">
        <v>45798</v>
      </c>
      <c r="D5071" t="inlineStr">
        <is>
          <t>NORRBOTTENS LÄN</t>
        </is>
      </c>
      <c r="E5071" t="inlineStr">
        <is>
          <t>BODEN</t>
        </is>
      </c>
      <c r="G5071" t="n">
        <v>8.4</v>
      </c>
      <c r="H5071" t="n">
        <v>0</v>
      </c>
      <c r="I5071" t="n">
        <v>0</v>
      </c>
      <c r="J5071" t="n">
        <v>0</v>
      </c>
      <c r="K5071" t="n">
        <v>0</v>
      </c>
      <c r="L5071" t="n">
        <v>0</v>
      </c>
      <c r="M5071" t="n">
        <v>0</v>
      </c>
      <c r="N5071" t="n">
        <v>0</v>
      </c>
      <c r="O5071" t="n">
        <v>0</v>
      </c>
      <c r="P5071" t="n">
        <v>0</v>
      </c>
      <c r="Q5071" t="n">
        <v>0</v>
      </c>
      <c r="R5071" s="2" t="inlineStr"/>
    </row>
    <row r="5072" ht="15" customHeight="1">
      <c r="A5072" t="inlineStr">
        <is>
          <t>A 60060-2022</t>
        </is>
      </c>
      <c r="B5072" s="1" t="n">
        <v>44902</v>
      </c>
      <c r="C5072" s="1" t="n">
        <v>45798</v>
      </c>
      <c r="D5072" t="inlineStr">
        <is>
          <t>NORRBOTTENS LÄN</t>
        </is>
      </c>
      <c r="E5072" t="inlineStr">
        <is>
          <t>KALIX</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60064-2022</t>
        </is>
      </c>
      <c r="B5073" s="1" t="n">
        <v>44902</v>
      </c>
      <c r="C5073" s="1" t="n">
        <v>45798</v>
      </c>
      <c r="D5073" t="inlineStr">
        <is>
          <t>NORRBOTTENS LÄN</t>
        </is>
      </c>
      <c r="E5073" t="inlineStr">
        <is>
          <t>HAPARANDA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58716-2022</t>
        </is>
      </c>
      <c r="B5074" s="1" t="n">
        <v>44902</v>
      </c>
      <c r="C5074" s="1" t="n">
        <v>45798</v>
      </c>
      <c r="D5074" t="inlineStr">
        <is>
          <t>NORRBOTTENS LÄN</t>
        </is>
      </c>
      <c r="E5074" t="inlineStr">
        <is>
          <t>LULEÅ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58894-2022</t>
        </is>
      </c>
      <c r="B5075" s="1" t="n">
        <v>44903</v>
      </c>
      <c r="C5075" s="1" t="n">
        <v>45798</v>
      </c>
      <c r="D5075" t="inlineStr">
        <is>
          <t>NORRBOTTENS LÄN</t>
        </is>
      </c>
      <c r="E5075" t="inlineStr">
        <is>
          <t>ÖVERTORNEÅ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58788-2022</t>
        </is>
      </c>
      <c r="B5076" s="1" t="n">
        <v>44903</v>
      </c>
      <c r="C5076" s="1" t="n">
        <v>45798</v>
      </c>
      <c r="D5076" t="inlineStr">
        <is>
          <t>NORRBOTTENS LÄN</t>
        </is>
      </c>
      <c r="E5076" t="inlineStr">
        <is>
          <t>BODEN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58941-2022</t>
        </is>
      </c>
      <c r="B5077" s="1" t="n">
        <v>44903</v>
      </c>
      <c r="C5077" s="1" t="n">
        <v>45798</v>
      </c>
      <c r="D5077" t="inlineStr">
        <is>
          <t>NORRBOTTENS LÄN</t>
        </is>
      </c>
      <c r="E5077" t="inlineStr">
        <is>
          <t>ARVIDSJAUR</t>
        </is>
      </c>
      <c r="F5077" t="inlineStr">
        <is>
          <t>Sveaskog</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59021-2022</t>
        </is>
      </c>
      <c r="B5078" s="1" t="n">
        <v>44903</v>
      </c>
      <c r="C5078" s="1" t="n">
        <v>45798</v>
      </c>
      <c r="D5078" t="inlineStr">
        <is>
          <t>NORRBOTTENS LÄN</t>
        </is>
      </c>
      <c r="E5078" t="inlineStr">
        <is>
          <t>KALIX</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59028-2022</t>
        </is>
      </c>
      <c r="B5079" s="1" t="n">
        <v>44903</v>
      </c>
      <c r="C5079" s="1" t="n">
        <v>45798</v>
      </c>
      <c r="D5079" t="inlineStr">
        <is>
          <t>NORRBOTTENS LÄN</t>
        </is>
      </c>
      <c r="E5079" t="inlineStr">
        <is>
          <t>BODEN</t>
        </is>
      </c>
      <c r="G5079" t="n">
        <v>16.1</v>
      </c>
      <c r="H5079" t="n">
        <v>0</v>
      </c>
      <c r="I5079" t="n">
        <v>0</v>
      </c>
      <c r="J5079" t="n">
        <v>0</v>
      </c>
      <c r="K5079" t="n">
        <v>0</v>
      </c>
      <c r="L5079" t="n">
        <v>0</v>
      </c>
      <c r="M5079" t="n">
        <v>0</v>
      </c>
      <c r="N5079" t="n">
        <v>0</v>
      </c>
      <c r="O5079" t="n">
        <v>0</v>
      </c>
      <c r="P5079" t="n">
        <v>0</v>
      </c>
      <c r="Q5079" t="n">
        <v>0</v>
      </c>
      <c r="R5079" s="2" t="inlineStr"/>
    </row>
    <row r="5080" ht="15" customHeight="1">
      <c r="A5080" t="inlineStr">
        <is>
          <t>A 59018-2022</t>
        </is>
      </c>
      <c r="B5080" s="1" t="n">
        <v>44903</v>
      </c>
      <c r="C5080" s="1" t="n">
        <v>45798</v>
      </c>
      <c r="D5080" t="inlineStr">
        <is>
          <t>NORRBOTTENS LÄN</t>
        </is>
      </c>
      <c r="E5080" t="inlineStr">
        <is>
          <t>KALIX</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59024-2022</t>
        </is>
      </c>
      <c r="B5081" s="1" t="n">
        <v>44903</v>
      </c>
      <c r="C5081" s="1" t="n">
        <v>45798</v>
      </c>
      <c r="D5081" t="inlineStr">
        <is>
          <t>NORRBOTTENS LÄN</t>
        </is>
      </c>
      <c r="E5081" t="inlineStr">
        <is>
          <t>KALIX</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59026-2022</t>
        </is>
      </c>
      <c r="B5082" s="1" t="n">
        <v>44903</v>
      </c>
      <c r="C5082" s="1" t="n">
        <v>45798</v>
      </c>
      <c r="D5082" t="inlineStr">
        <is>
          <t>NORRBOTTENS LÄN</t>
        </is>
      </c>
      <c r="E5082" t="inlineStr">
        <is>
          <t>KALIX</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59022-2022</t>
        </is>
      </c>
      <c r="B5083" s="1" t="n">
        <v>44903</v>
      </c>
      <c r="C5083" s="1" t="n">
        <v>45798</v>
      </c>
      <c r="D5083" t="inlineStr">
        <is>
          <t>NORRBOTTENS LÄN</t>
        </is>
      </c>
      <c r="E5083" t="inlineStr">
        <is>
          <t>KALIX</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59029-2022</t>
        </is>
      </c>
      <c r="B5084" s="1" t="n">
        <v>44903</v>
      </c>
      <c r="C5084" s="1" t="n">
        <v>45798</v>
      </c>
      <c r="D5084" t="inlineStr">
        <is>
          <t>NORRBOTTENS LÄN</t>
        </is>
      </c>
      <c r="E5084" t="inlineStr">
        <is>
          <t>BODEN</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59086-2022</t>
        </is>
      </c>
      <c r="B5085" s="1" t="n">
        <v>44904</v>
      </c>
      <c r="C5085" s="1" t="n">
        <v>45798</v>
      </c>
      <c r="D5085" t="inlineStr">
        <is>
          <t>NORRBOTTENS LÄN</t>
        </is>
      </c>
      <c r="E5085" t="inlineStr">
        <is>
          <t>ARVIDSJAUR</t>
        </is>
      </c>
      <c r="F5085" t="inlineStr">
        <is>
          <t>Sveaskog</t>
        </is>
      </c>
      <c r="G5085" t="n">
        <v>11.3</v>
      </c>
      <c r="H5085" t="n">
        <v>0</v>
      </c>
      <c r="I5085" t="n">
        <v>0</v>
      </c>
      <c r="J5085" t="n">
        <v>0</v>
      </c>
      <c r="K5085" t="n">
        <v>0</v>
      </c>
      <c r="L5085" t="n">
        <v>0</v>
      </c>
      <c r="M5085" t="n">
        <v>0</v>
      </c>
      <c r="N5085" t="n">
        <v>0</v>
      </c>
      <c r="O5085" t="n">
        <v>0</v>
      </c>
      <c r="P5085" t="n">
        <v>0</v>
      </c>
      <c r="Q5085" t="n">
        <v>0</v>
      </c>
      <c r="R5085" s="2" t="inlineStr"/>
    </row>
    <row r="5086" ht="15" customHeight="1">
      <c r="A5086" t="inlineStr">
        <is>
          <t>A 59059-2022</t>
        </is>
      </c>
      <c r="B5086" s="1" t="n">
        <v>44904</v>
      </c>
      <c r="C5086" s="1" t="n">
        <v>45798</v>
      </c>
      <c r="D5086" t="inlineStr">
        <is>
          <t>NORRBOTTENS LÄN</t>
        </is>
      </c>
      <c r="E5086" t="inlineStr">
        <is>
          <t>GÄLLIVARE</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59068-2022</t>
        </is>
      </c>
      <c r="B5087" s="1" t="n">
        <v>44904</v>
      </c>
      <c r="C5087" s="1" t="n">
        <v>45798</v>
      </c>
      <c r="D5087" t="inlineStr">
        <is>
          <t>NORRBOTTENS LÄN</t>
        </is>
      </c>
      <c r="E5087" t="inlineStr">
        <is>
          <t>GÄLLIVARE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59104-2022</t>
        </is>
      </c>
      <c r="B5088" s="1" t="n">
        <v>44904</v>
      </c>
      <c r="C5088" s="1" t="n">
        <v>45798</v>
      </c>
      <c r="D5088" t="inlineStr">
        <is>
          <t>NORRBOTTENS LÄN</t>
        </is>
      </c>
      <c r="E5088" t="inlineStr">
        <is>
          <t>ARVIDSJAUR</t>
        </is>
      </c>
      <c r="F5088" t="inlineStr">
        <is>
          <t>Sveaskog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59172-2022</t>
        </is>
      </c>
      <c r="B5089" s="1" t="n">
        <v>44904</v>
      </c>
      <c r="C5089" s="1" t="n">
        <v>45798</v>
      </c>
      <c r="D5089" t="inlineStr">
        <is>
          <t>NORRBOTTENS LÄN</t>
        </is>
      </c>
      <c r="E5089" t="inlineStr">
        <is>
          <t>GÄLLIVARE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59069-2022</t>
        </is>
      </c>
      <c r="B5090" s="1" t="n">
        <v>44904</v>
      </c>
      <c r="C5090" s="1" t="n">
        <v>45798</v>
      </c>
      <c r="D5090" t="inlineStr">
        <is>
          <t>NORRBOTTENS LÄN</t>
        </is>
      </c>
      <c r="E5090" t="inlineStr">
        <is>
          <t>PITEÅ</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59189-2022</t>
        </is>
      </c>
      <c r="B5091" s="1" t="n">
        <v>44904</v>
      </c>
      <c r="C5091" s="1" t="n">
        <v>45798</v>
      </c>
      <c r="D5091" t="inlineStr">
        <is>
          <t>NORRBOTTENS LÄN</t>
        </is>
      </c>
      <c r="E5091" t="inlineStr">
        <is>
          <t>GÄLLIVARE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59325-2022</t>
        </is>
      </c>
      <c r="B5092" s="1" t="n">
        <v>44904</v>
      </c>
      <c r="C5092" s="1" t="n">
        <v>45798</v>
      </c>
      <c r="D5092" t="inlineStr">
        <is>
          <t>NORRBOTTENS LÄN</t>
        </is>
      </c>
      <c r="E5092" t="inlineStr">
        <is>
          <t>ARVIDSJAUR</t>
        </is>
      </c>
      <c r="F5092" t="inlineStr">
        <is>
          <t>Sveaskog</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59177-2022</t>
        </is>
      </c>
      <c r="B5093" s="1" t="n">
        <v>44904</v>
      </c>
      <c r="C5093" s="1" t="n">
        <v>45798</v>
      </c>
      <c r="D5093" t="inlineStr">
        <is>
          <t>NORRBOTTENS LÄN</t>
        </is>
      </c>
      <c r="E5093" t="inlineStr">
        <is>
          <t>GÄLLIVARE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59194-2022</t>
        </is>
      </c>
      <c r="B5094" s="1" t="n">
        <v>44904</v>
      </c>
      <c r="C5094" s="1" t="n">
        <v>45798</v>
      </c>
      <c r="D5094" t="inlineStr">
        <is>
          <t>NORRBOTTENS LÄN</t>
        </is>
      </c>
      <c r="E5094" t="inlineStr">
        <is>
          <t>GÄLLIVARE</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60537-2022</t>
        </is>
      </c>
      <c r="B5095" s="1" t="n">
        <v>44904</v>
      </c>
      <c r="C5095" s="1" t="n">
        <v>45798</v>
      </c>
      <c r="D5095" t="inlineStr">
        <is>
          <t>NORRBOTTENS LÄN</t>
        </is>
      </c>
      <c r="E5095" t="inlineStr">
        <is>
          <t>ÖVERTORNEÅ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59397-2022</t>
        </is>
      </c>
      <c r="B5096" s="1" t="n">
        <v>44906</v>
      </c>
      <c r="C5096" s="1" t="n">
        <v>45798</v>
      </c>
      <c r="D5096" t="inlineStr">
        <is>
          <t>NORRBOTTENS LÄN</t>
        </is>
      </c>
      <c r="E5096" t="inlineStr">
        <is>
          <t>LULEÅ</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59510-2022</t>
        </is>
      </c>
      <c r="B5097" s="1" t="n">
        <v>44907</v>
      </c>
      <c r="C5097" s="1" t="n">
        <v>45798</v>
      </c>
      <c r="D5097" t="inlineStr">
        <is>
          <t>NORRBOTTENS LÄN</t>
        </is>
      </c>
      <c r="E5097" t="inlineStr">
        <is>
          <t>PITEÅ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59516-2022</t>
        </is>
      </c>
      <c r="B5098" s="1" t="n">
        <v>44907</v>
      </c>
      <c r="C5098" s="1" t="n">
        <v>45798</v>
      </c>
      <c r="D5098" t="inlineStr">
        <is>
          <t>NORRBOTTENS LÄN</t>
        </is>
      </c>
      <c r="E5098" t="inlineStr">
        <is>
          <t>PITEÅ</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59523-2022</t>
        </is>
      </c>
      <c r="B5099" s="1" t="n">
        <v>44907</v>
      </c>
      <c r="C5099" s="1" t="n">
        <v>45798</v>
      </c>
      <c r="D5099" t="inlineStr">
        <is>
          <t>NORRBOTTENS LÄN</t>
        </is>
      </c>
      <c r="E5099" t="inlineStr">
        <is>
          <t>LULEÅ</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59515-2022</t>
        </is>
      </c>
      <c r="B5100" s="1" t="n">
        <v>44907</v>
      </c>
      <c r="C5100" s="1" t="n">
        <v>45798</v>
      </c>
      <c r="D5100" t="inlineStr">
        <is>
          <t>NORRBOTTENS LÄN</t>
        </is>
      </c>
      <c r="E5100" t="inlineStr">
        <is>
          <t>LULEÅ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60955-2022</t>
        </is>
      </c>
      <c r="B5101" s="1" t="n">
        <v>44907</v>
      </c>
      <c r="C5101" s="1" t="n">
        <v>45798</v>
      </c>
      <c r="D5101" t="inlineStr">
        <is>
          <t>NORRBOTTENS LÄN</t>
        </is>
      </c>
      <c r="E5101" t="inlineStr">
        <is>
          <t>KALIX</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60928-2022</t>
        </is>
      </c>
      <c r="B5102" s="1" t="n">
        <v>44907</v>
      </c>
      <c r="C5102" s="1" t="n">
        <v>45798</v>
      </c>
      <c r="D5102" t="inlineStr">
        <is>
          <t>NORRBOTTENS LÄN</t>
        </is>
      </c>
      <c r="E5102" t="inlineStr">
        <is>
          <t>HAPARANDA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59551-2022</t>
        </is>
      </c>
      <c r="B5103" s="1" t="n">
        <v>44907</v>
      </c>
      <c r="C5103" s="1" t="n">
        <v>45798</v>
      </c>
      <c r="D5103" t="inlineStr">
        <is>
          <t>NORRBOTTENS LÄN</t>
        </is>
      </c>
      <c r="E5103" t="inlineStr">
        <is>
          <t>ÖVERTORNEÅ</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60862-2022</t>
        </is>
      </c>
      <c r="B5104" s="1" t="n">
        <v>44908</v>
      </c>
      <c r="C5104" s="1" t="n">
        <v>45798</v>
      </c>
      <c r="D5104" t="inlineStr">
        <is>
          <t>NORRBOTTENS LÄN</t>
        </is>
      </c>
      <c r="E5104" t="inlineStr">
        <is>
          <t>PAJALA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60948-2022</t>
        </is>
      </c>
      <c r="B5105" s="1" t="n">
        <v>44908</v>
      </c>
      <c r="C5105" s="1" t="n">
        <v>45798</v>
      </c>
      <c r="D5105" t="inlineStr">
        <is>
          <t>NORRBOTTENS LÄN</t>
        </is>
      </c>
      <c r="E5105" t="inlineStr">
        <is>
          <t>PAJALA</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60961-2022</t>
        </is>
      </c>
      <c r="B5106" s="1" t="n">
        <v>44908</v>
      </c>
      <c r="C5106" s="1" t="n">
        <v>45798</v>
      </c>
      <c r="D5106" t="inlineStr">
        <is>
          <t>NORRBOTTENS LÄN</t>
        </is>
      </c>
      <c r="E5106" t="inlineStr">
        <is>
          <t>PAJALA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61161-2022</t>
        </is>
      </c>
      <c r="B5107" s="1" t="n">
        <v>44908</v>
      </c>
      <c r="C5107" s="1" t="n">
        <v>45798</v>
      </c>
      <c r="D5107" t="inlineStr">
        <is>
          <t>NORRBOTTENS LÄN</t>
        </is>
      </c>
      <c r="E5107" t="inlineStr">
        <is>
          <t>HAPARANDA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61107-2022</t>
        </is>
      </c>
      <c r="B5108" s="1" t="n">
        <v>44908</v>
      </c>
      <c r="C5108" s="1" t="n">
        <v>45798</v>
      </c>
      <c r="D5108" t="inlineStr">
        <is>
          <t>NORRBOTTENS LÄN</t>
        </is>
      </c>
      <c r="E5108" t="inlineStr">
        <is>
          <t>BODEN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60951-2022</t>
        </is>
      </c>
      <c r="B5109" s="1" t="n">
        <v>44908</v>
      </c>
      <c r="C5109" s="1" t="n">
        <v>45798</v>
      </c>
      <c r="D5109" t="inlineStr">
        <is>
          <t>NORRBOTTENS LÄN</t>
        </is>
      </c>
      <c r="E5109" t="inlineStr">
        <is>
          <t>PAJALA</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61103-2022</t>
        </is>
      </c>
      <c r="B5110" s="1" t="n">
        <v>44908</v>
      </c>
      <c r="C5110" s="1" t="n">
        <v>45798</v>
      </c>
      <c r="D5110" t="inlineStr">
        <is>
          <t>NORRBOTTENS LÄN</t>
        </is>
      </c>
      <c r="E5110" t="inlineStr">
        <is>
          <t>BODEN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59907-2022</t>
        </is>
      </c>
      <c r="B5111" s="1" t="n">
        <v>44908</v>
      </c>
      <c r="C5111" s="1" t="n">
        <v>45798</v>
      </c>
      <c r="D5111" t="inlineStr">
        <is>
          <t>NORRBOTTENS LÄN</t>
        </is>
      </c>
      <c r="E5111" t="inlineStr">
        <is>
          <t>ÖVERKALIX</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61086-2022</t>
        </is>
      </c>
      <c r="B5112" s="1" t="n">
        <v>44908</v>
      </c>
      <c r="C5112" s="1" t="n">
        <v>45798</v>
      </c>
      <c r="D5112" t="inlineStr">
        <is>
          <t>NORRBOTTENS LÄN</t>
        </is>
      </c>
      <c r="E5112" t="inlineStr">
        <is>
          <t>BODEN</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60038-2022</t>
        </is>
      </c>
      <c r="B5113" s="1" t="n">
        <v>44909</v>
      </c>
      <c r="C5113" s="1" t="n">
        <v>45798</v>
      </c>
      <c r="D5113" t="inlineStr">
        <is>
          <t>NORRBOTTENS LÄN</t>
        </is>
      </c>
      <c r="E5113" t="inlineStr">
        <is>
          <t>ARVIDSJAUR</t>
        </is>
      </c>
      <c r="F5113" t="inlineStr">
        <is>
          <t>Sveaskog</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60062-2022</t>
        </is>
      </c>
      <c r="B5114" s="1" t="n">
        <v>44909</v>
      </c>
      <c r="C5114" s="1" t="n">
        <v>45798</v>
      </c>
      <c r="D5114" t="inlineStr">
        <is>
          <t>NORRBOTTENS LÄN</t>
        </is>
      </c>
      <c r="E5114" t="inlineStr">
        <is>
          <t>PITEÅ</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61315-2022</t>
        </is>
      </c>
      <c r="B5115" s="1" t="n">
        <v>44909</v>
      </c>
      <c r="C5115" s="1" t="n">
        <v>45798</v>
      </c>
      <c r="D5115" t="inlineStr">
        <is>
          <t>NORRBOTTENS LÄN</t>
        </is>
      </c>
      <c r="E5115" t="inlineStr">
        <is>
          <t>LULEÅ</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61679-2022</t>
        </is>
      </c>
      <c r="B5116" s="1" t="n">
        <v>44909</v>
      </c>
      <c r="C5116" s="1" t="n">
        <v>45798</v>
      </c>
      <c r="D5116" t="inlineStr">
        <is>
          <t>NORRBOTTENS LÄN</t>
        </is>
      </c>
      <c r="E5116" t="inlineStr">
        <is>
          <t>GÄLLIVARE</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60351-2022</t>
        </is>
      </c>
      <c r="B5117" s="1" t="n">
        <v>44910</v>
      </c>
      <c r="C5117" s="1" t="n">
        <v>45798</v>
      </c>
      <c r="D5117" t="inlineStr">
        <is>
          <t>NORRBOTTENS LÄN</t>
        </is>
      </c>
      <c r="E5117" t="inlineStr">
        <is>
          <t>ÄLVSBYN</t>
        </is>
      </c>
      <c r="G5117" t="n">
        <v>23.4</v>
      </c>
      <c r="H5117" t="n">
        <v>0</v>
      </c>
      <c r="I5117" t="n">
        <v>0</v>
      </c>
      <c r="J5117" t="n">
        <v>0</v>
      </c>
      <c r="K5117" t="n">
        <v>0</v>
      </c>
      <c r="L5117" t="n">
        <v>0</v>
      </c>
      <c r="M5117" t="n">
        <v>0</v>
      </c>
      <c r="N5117" t="n">
        <v>0</v>
      </c>
      <c r="O5117" t="n">
        <v>0</v>
      </c>
      <c r="P5117" t="n">
        <v>0</v>
      </c>
      <c r="Q5117" t="n">
        <v>0</v>
      </c>
      <c r="R5117" s="2" t="inlineStr"/>
    </row>
    <row r="5118" ht="15" customHeight="1">
      <c r="A5118" t="inlineStr">
        <is>
          <t>A 60363-2022</t>
        </is>
      </c>
      <c r="B5118" s="1" t="n">
        <v>44910</v>
      </c>
      <c r="C5118" s="1" t="n">
        <v>45798</v>
      </c>
      <c r="D5118" t="inlineStr">
        <is>
          <t>NORRBOTTENS LÄN</t>
        </is>
      </c>
      <c r="E5118" t="inlineStr">
        <is>
          <t>PITEÅ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60385-2022</t>
        </is>
      </c>
      <c r="B5119" s="1" t="n">
        <v>44910</v>
      </c>
      <c r="C5119" s="1" t="n">
        <v>45798</v>
      </c>
      <c r="D5119" t="inlineStr">
        <is>
          <t>NORRBOTTENS LÄN</t>
        </is>
      </c>
      <c r="E5119" t="inlineStr">
        <is>
          <t>ÖVERTORNEÅ</t>
        </is>
      </c>
      <c r="G5119" t="n">
        <v>17.2</v>
      </c>
      <c r="H5119" t="n">
        <v>0</v>
      </c>
      <c r="I5119" t="n">
        <v>0</v>
      </c>
      <c r="J5119" t="n">
        <v>0</v>
      </c>
      <c r="K5119" t="n">
        <v>0</v>
      </c>
      <c r="L5119" t="n">
        <v>0</v>
      </c>
      <c r="M5119" t="n">
        <v>0</v>
      </c>
      <c r="N5119" t="n">
        <v>0</v>
      </c>
      <c r="O5119" t="n">
        <v>0</v>
      </c>
      <c r="P5119" t="n">
        <v>0</v>
      </c>
      <c r="Q5119" t="n">
        <v>0</v>
      </c>
      <c r="R5119" s="2" t="inlineStr"/>
    </row>
    <row r="5120" ht="15" customHeight="1">
      <c r="A5120" t="inlineStr">
        <is>
          <t>A 60404-2022</t>
        </is>
      </c>
      <c r="B5120" s="1" t="n">
        <v>44910</v>
      </c>
      <c r="C5120" s="1" t="n">
        <v>45798</v>
      </c>
      <c r="D5120" t="inlineStr">
        <is>
          <t>NORRBOTTENS LÄN</t>
        </is>
      </c>
      <c r="E5120" t="inlineStr">
        <is>
          <t>PITEÅ</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61488-2022</t>
        </is>
      </c>
      <c r="B5121" s="1" t="n">
        <v>44910</v>
      </c>
      <c r="C5121" s="1" t="n">
        <v>45798</v>
      </c>
      <c r="D5121" t="inlineStr">
        <is>
          <t>NORRBOTTENS LÄN</t>
        </is>
      </c>
      <c r="E5121" t="inlineStr">
        <is>
          <t>BODEN</t>
        </is>
      </c>
      <c r="F5121" t="inlineStr">
        <is>
          <t>Sveaskog</t>
        </is>
      </c>
      <c r="G5121" t="n">
        <v>18.6</v>
      </c>
      <c r="H5121" t="n">
        <v>0</v>
      </c>
      <c r="I5121" t="n">
        <v>0</v>
      </c>
      <c r="J5121" t="n">
        <v>0</v>
      </c>
      <c r="K5121" t="n">
        <v>0</v>
      </c>
      <c r="L5121" t="n">
        <v>0</v>
      </c>
      <c r="M5121" t="n">
        <v>0</v>
      </c>
      <c r="N5121" t="n">
        <v>0</v>
      </c>
      <c r="O5121" t="n">
        <v>0</v>
      </c>
      <c r="P5121" t="n">
        <v>0</v>
      </c>
      <c r="Q5121" t="n">
        <v>0</v>
      </c>
      <c r="R5121" s="2" t="inlineStr"/>
    </row>
    <row r="5122" ht="15" customHeight="1">
      <c r="A5122" t="inlineStr">
        <is>
          <t>A 60403-2022</t>
        </is>
      </c>
      <c r="B5122" s="1" t="n">
        <v>44910</v>
      </c>
      <c r="C5122" s="1" t="n">
        <v>45798</v>
      </c>
      <c r="D5122" t="inlineStr">
        <is>
          <t>NORRBOTTENS LÄN</t>
        </is>
      </c>
      <c r="E5122" t="inlineStr">
        <is>
          <t>ÄLVSBYN</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61477-2022</t>
        </is>
      </c>
      <c r="B5123" s="1" t="n">
        <v>44910</v>
      </c>
      <c r="C5123" s="1" t="n">
        <v>45798</v>
      </c>
      <c r="D5123" t="inlineStr">
        <is>
          <t>NORRBOTTENS LÄN</t>
        </is>
      </c>
      <c r="E5123" t="inlineStr">
        <is>
          <t>PAJALA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60374-2022</t>
        </is>
      </c>
      <c r="B5124" s="1" t="n">
        <v>44910</v>
      </c>
      <c r="C5124" s="1" t="n">
        <v>45798</v>
      </c>
      <c r="D5124" t="inlineStr">
        <is>
          <t>NORRBOTTENS LÄN</t>
        </is>
      </c>
      <c r="E5124" t="inlineStr">
        <is>
          <t>ARVIDSJAUR</t>
        </is>
      </c>
      <c r="F5124" t="inlineStr">
        <is>
          <t>Sveaskog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60400-2022</t>
        </is>
      </c>
      <c r="B5125" s="1" t="n">
        <v>44910</v>
      </c>
      <c r="C5125" s="1" t="n">
        <v>45798</v>
      </c>
      <c r="D5125" t="inlineStr">
        <is>
          <t>NORRBOTTENS LÄN</t>
        </is>
      </c>
      <c r="E5125" t="inlineStr">
        <is>
          <t>ÖVERKALIX</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61469-2022</t>
        </is>
      </c>
      <c r="B5126" s="1" t="n">
        <v>44910</v>
      </c>
      <c r="C5126" s="1" t="n">
        <v>45798</v>
      </c>
      <c r="D5126" t="inlineStr">
        <is>
          <t>NORRBOTTENS LÄN</t>
        </is>
      </c>
      <c r="E5126" t="inlineStr">
        <is>
          <t>LULEÅ</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60436-2022</t>
        </is>
      </c>
      <c r="B5127" s="1" t="n">
        <v>44911</v>
      </c>
      <c r="C5127" s="1" t="n">
        <v>45798</v>
      </c>
      <c r="D5127" t="inlineStr">
        <is>
          <t>NORRBOTTENS LÄN</t>
        </is>
      </c>
      <c r="E5127" t="inlineStr">
        <is>
          <t>BODEN</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60465-2022</t>
        </is>
      </c>
      <c r="B5128" s="1" t="n">
        <v>44911</v>
      </c>
      <c r="C5128" s="1" t="n">
        <v>45798</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60621-2022</t>
        </is>
      </c>
      <c r="B5129" s="1" t="n">
        <v>44911</v>
      </c>
      <c r="C5129" s="1" t="n">
        <v>45798</v>
      </c>
      <c r="D5129" t="inlineStr">
        <is>
          <t>NORRBOTTENS LÄN</t>
        </is>
      </c>
      <c r="E5129" t="inlineStr">
        <is>
          <t>PITEÅ</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60469-2022</t>
        </is>
      </c>
      <c r="B5130" s="1" t="n">
        <v>44911</v>
      </c>
      <c r="C5130" s="1" t="n">
        <v>45798</v>
      </c>
      <c r="D5130" t="inlineStr">
        <is>
          <t>NORRBOTTENS LÄN</t>
        </is>
      </c>
      <c r="E5130" t="inlineStr">
        <is>
          <t>KALIX</t>
        </is>
      </c>
      <c r="F5130" t="inlineStr">
        <is>
          <t>Sveaskog</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60476-2022</t>
        </is>
      </c>
      <c r="B5131" s="1" t="n">
        <v>44911</v>
      </c>
      <c r="C5131" s="1" t="n">
        <v>45798</v>
      </c>
      <c r="D5131" t="inlineStr">
        <is>
          <t>NORRBOTTENS LÄN</t>
        </is>
      </c>
      <c r="E5131" t="inlineStr">
        <is>
          <t>PITEÅ</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60516-2022</t>
        </is>
      </c>
      <c r="B5132" s="1" t="n">
        <v>44911</v>
      </c>
      <c r="C5132" s="1" t="n">
        <v>45798</v>
      </c>
      <c r="D5132" t="inlineStr">
        <is>
          <t>NORRBOTTENS LÄN</t>
        </is>
      </c>
      <c r="E5132" t="inlineStr">
        <is>
          <t>ARVIDSJAUR</t>
        </is>
      </c>
      <c r="F5132" t="inlineStr">
        <is>
          <t>Sveaskog</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60466-2022</t>
        </is>
      </c>
      <c r="B5133" s="1" t="n">
        <v>44911</v>
      </c>
      <c r="C5133" s="1" t="n">
        <v>45798</v>
      </c>
      <c r="D5133" t="inlineStr">
        <is>
          <t>NORRBOTTENS LÄN</t>
        </is>
      </c>
      <c r="E5133" t="inlineStr">
        <is>
          <t>ARVIDSJAUR</t>
        </is>
      </c>
      <c r="F5133" t="inlineStr">
        <is>
          <t>Sveaskog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60489-2022</t>
        </is>
      </c>
      <c r="B5134" s="1" t="n">
        <v>44911</v>
      </c>
      <c r="C5134" s="1" t="n">
        <v>45798</v>
      </c>
      <c r="D5134" t="inlineStr">
        <is>
          <t>NORRBOTTENS LÄN</t>
        </is>
      </c>
      <c r="E5134" t="inlineStr">
        <is>
          <t>ARVIDSJAUR</t>
        </is>
      </c>
      <c r="F5134" t="inlineStr">
        <is>
          <t>Sveaskog</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60515-2022</t>
        </is>
      </c>
      <c r="B5135" s="1" t="n">
        <v>44911</v>
      </c>
      <c r="C5135" s="1" t="n">
        <v>45798</v>
      </c>
      <c r="D5135" t="inlineStr">
        <is>
          <t>NORRBOTTENS LÄN</t>
        </is>
      </c>
      <c r="E5135" t="inlineStr">
        <is>
          <t>ÖVERTORNEÅ</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60520-2022</t>
        </is>
      </c>
      <c r="B5136" s="1" t="n">
        <v>44911</v>
      </c>
      <c r="C5136" s="1" t="n">
        <v>45798</v>
      </c>
      <c r="D5136" t="inlineStr">
        <is>
          <t>NORRBOTTENS LÄN</t>
        </is>
      </c>
      <c r="E5136" t="inlineStr">
        <is>
          <t>PAJALA</t>
        </is>
      </c>
      <c r="F5136" t="inlineStr">
        <is>
          <t>Kyrkan</t>
        </is>
      </c>
      <c r="G5136" t="n">
        <v>20.1</v>
      </c>
      <c r="H5136" t="n">
        <v>0</v>
      </c>
      <c r="I5136" t="n">
        <v>0</v>
      </c>
      <c r="J5136" t="n">
        <v>0</v>
      </c>
      <c r="K5136" t="n">
        <v>0</v>
      </c>
      <c r="L5136" t="n">
        <v>0</v>
      </c>
      <c r="M5136" t="n">
        <v>0</v>
      </c>
      <c r="N5136" t="n">
        <v>0</v>
      </c>
      <c r="O5136" t="n">
        <v>0</v>
      </c>
      <c r="P5136" t="n">
        <v>0</v>
      </c>
      <c r="Q5136" t="n">
        <v>0</v>
      </c>
      <c r="R5136" s="2" t="inlineStr"/>
    </row>
    <row r="5137" ht="15" customHeight="1">
      <c r="A5137" t="inlineStr">
        <is>
          <t>A 61815-2022</t>
        </is>
      </c>
      <c r="B5137" s="1" t="n">
        <v>44911</v>
      </c>
      <c r="C5137" s="1" t="n">
        <v>45798</v>
      </c>
      <c r="D5137" t="inlineStr">
        <is>
          <t>NORRBOTTENS LÄN</t>
        </is>
      </c>
      <c r="E5137" t="inlineStr">
        <is>
          <t>PITEÅ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61725-2022</t>
        </is>
      </c>
      <c r="B5138" s="1" t="n">
        <v>44911</v>
      </c>
      <c r="C5138" s="1" t="n">
        <v>45798</v>
      </c>
      <c r="D5138" t="inlineStr">
        <is>
          <t>NORRBOTTENS LÄN</t>
        </is>
      </c>
      <c r="E5138" t="inlineStr">
        <is>
          <t>BODEN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61753-2022</t>
        </is>
      </c>
      <c r="B5139" s="1" t="n">
        <v>44911</v>
      </c>
      <c r="C5139" s="1" t="n">
        <v>45798</v>
      </c>
      <c r="D5139" t="inlineStr">
        <is>
          <t>NORRBOTTENS LÄN</t>
        </is>
      </c>
      <c r="E5139" t="inlineStr">
        <is>
          <t>LULEÅ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61708-2022</t>
        </is>
      </c>
      <c r="B5140" s="1" t="n">
        <v>44911</v>
      </c>
      <c r="C5140" s="1" t="n">
        <v>45798</v>
      </c>
      <c r="D5140" t="inlineStr">
        <is>
          <t>NORRBOTTENS LÄN</t>
        </is>
      </c>
      <c r="E5140" t="inlineStr">
        <is>
          <t>BODEN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61795-2022</t>
        </is>
      </c>
      <c r="B5141" s="1" t="n">
        <v>44911</v>
      </c>
      <c r="C5141" s="1" t="n">
        <v>45798</v>
      </c>
      <c r="D5141" t="inlineStr">
        <is>
          <t>NORRBOTTENS LÄN</t>
        </is>
      </c>
      <c r="E5141" t="inlineStr">
        <is>
          <t>GÄLLIVARE</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61857-2022</t>
        </is>
      </c>
      <c r="B5142" s="1" t="n">
        <v>44911</v>
      </c>
      <c r="C5142" s="1" t="n">
        <v>45798</v>
      </c>
      <c r="D5142" t="inlineStr">
        <is>
          <t>NORRBOTTENS LÄN</t>
        </is>
      </c>
      <c r="E5142" t="inlineStr">
        <is>
          <t>BODEN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60725-2022</t>
        </is>
      </c>
      <c r="B5143" s="1" t="n">
        <v>44913</v>
      </c>
      <c r="C5143" s="1" t="n">
        <v>45798</v>
      </c>
      <c r="D5143" t="inlineStr">
        <is>
          <t>NORRBOTTENS LÄN</t>
        </is>
      </c>
      <c r="E5143" t="inlineStr">
        <is>
          <t>ÖVERKALIX</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61040-2022</t>
        </is>
      </c>
      <c r="B5144" s="1" t="n">
        <v>44914</v>
      </c>
      <c r="C5144" s="1" t="n">
        <v>45798</v>
      </c>
      <c r="D5144" t="inlineStr">
        <is>
          <t>NORRBOTTENS LÄN</t>
        </is>
      </c>
      <c r="E5144" t="inlineStr">
        <is>
          <t>ÖVERTORNEÅ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61037-2022</t>
        </is>
      </c>
      <c r="B5145" s="1" t="n">
        <v>44914</v>
      </c>
      <c r="C5145" s="1" t="n">
        <v>45798</v>
      </c>
      <c r="D5145" t="inlineStr">
        <is>
          <t>NORRBOTTENS LÄN</t>
        </is>
      </c>
      <c r="E5145" t="inlineStr">
        <is>
          <t>ÖVERTORNEÅ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62055-2022</t>
        </is>
      </c>
      <c r="B5146" s="1" t="n">
        <v>44914</v>
      </c>
      <c r="C5146" s="1" t="n">
        <v>45798</v>
      </c>
      <c r="D5146" t="inlineStr">
        <is>
          <t>NORRBOTTENS LÄN</t>
        </is>
      </c>
      <c r="E5146" t="inlineStr">
        <is>
          <t>LULEÅ</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61039-2022</t>
        </is>
      </c>
      <c r="B5147" s="1" t="n">
        <v>44914</v>
      </c>
      <c r="C5147" s="1" t="n">
        <v>45798</v>
      </c>
      <c r="D5147" t="inlineStr">
        <is>
          <t>NORRBOTTENS LÄN</t>
        </is>
      </c>
      <c r="E5147" t="inlineStr">
        <is>
          <t>ÖVERTORNEÅ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62061-2022</t>
        </is>
      </c>
      <c r="B5148" s="1" t="n">
        <v>44914</v>
      </c>
      <c r="C5148" s="1" t="n">
        <v>45798</v>
      </c>
      <c r="D5148" t="inlineStr">
        <is>
          <t>NORRBOTTENS LÄN</t>
        </is>
      </c>
      <c r="E5148" t="inlineStr">
        <is>
          <t>LULEÅ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61191-2022</t>
        </is>
      </c>
      <c r="B5149" s="1" t="n">
        <v>44915</v>
      </c>
      <c r="C5149" s="1" t="n">
        <v>45798</v>
      </c>
      <c r="D5149" t="inlineStr">
        <is>
          <t>NORRBOTTENS LÄN</t>
        </is>
      </c>
      <c r="E5149" t="inlineStr">
        <is>
          <t>KALIX</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61133-2022</t>
        </is>
      </c>
      <c r="B5150" s="1" t="n">
        <v>44915</v>
      </c>
      <c r="C5150" s="1" t="n">
        <v>45798</v>
      </c>
      <c r="D5150" t="inlineStr">
        <is>
          <t>NORRBOTTENS LÄN</t>
        </is>
      </c>
      <c r="E5150" t="inlineStr">
        <is>
          <t>ARVIDSJAUR</t>
        </is>
      </c>
      <c r="F5150" t="inlineStr">
        <is>
          <t>Sveaskog</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61202-2022</t>
        </is>
      </c>
      <c r="B5151" s="1" t="n">
        <v>44915</v>
      </c>
      <c r="C5151" s="1" t="n">
        <v>45798</v>
      </c>
      <c r="D5151" t="inlineStr">
        <is>
          <t>NORRBOTTENS LÄN</t>
        </is>
      </c>
      <c r="E5151" t="inlineStr">
        <is>
          <t>ARVIDSJAUR</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61245-2022</t>
        </is>
      </c>
      <c r="B5152" s="1" t="n">
        <v>44915</v>
      </c>
      <c r="C5152" s="1" t="n">
        <v>45798</v>
      </c>
      <c r="D5152" t="inlineStr">
        <is>
          <t>NORRBOTTENS LÄN</t>
        </is>
      </c>
      <c r="E5152" t="inlineStr">
        <is>
          <t>KALIX</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61531-2022</t>
        </is>
      </c>
      <c r="B5153" s="1" t="n">
        <v>44916</v>
      </c>
      <c r="C5153" s="1" t="n">
        <v>45798</v>
      </c>
      <c r="D5153" t="inlineStr">
        <is>
          <t>NORRBOTTENS LÄN</t>
        </is>
      </c>
      <c r="E5153" t="inlineStr">
        <is>
          <t>JOKKMOKK</t>
        </is>
      </c>
      <c r="F5153" t="inlineStr">
        <is>
          <t>Sveaskog</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61613-2022</t>
        </is>
      </c>
      <c r="B5154" s="1" t="n">
        <v>44916</v>
      </c>
      <c r="C5154" s="1" t="n">
        <v>45798</v>
      </c>
      <c r="D5154" t="inlineStr">
        <is>
          <t>NORRBOTTENS LÄN</t>
        </is>
      </c>
      <c r="E5154" t="inlineStr">
        <is>
          <t>PAJALA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61644-2022</t>
        </is>
      </c>
      <c r="B5155" s="1" t="n">
        <v>44916</v>
      </c>
      <c r="C5155" s="1" t="n">
        <v>45798</v>
      </c>
      <c r="D5155" t="inlineStr">
        <is>
          <t>NORRBOTTENS LÄN</t>
        </is>
      </c>
      <c r="E5155" t="inlineStr">
        <is>
          <t>GÄLLIVARE</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61543-2022</t>
        </is>
      </c>
      <c r="B5156" s="1" t="n">
        <v>44916</v>
      </c>
      <c r="C5156" s="1" t="n">
        <v>45798</v>
      </c>
      <c r="D5156" t="inlineStr">
        <is>
          <t>NORRBOTTENS LÄN</t>
        </is>
      </c>
      <c r="E5156" t="inlineStr">
        <is>
          <t>PITEÅ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61650-2022</t>
        </is>
      </c>
      <c r="B5157" s="1" t="n">
        <v>44916</v>
      </c>
      <c r="C5157" s="1" t="n">
        <v>45798</v>
      </c>
      <c r="D5157" t="inlineStr">
        <is>
          <t>NORRBOTTENS LÄN</t>
        </is>
      </c>
      <c r="E5157" t="inlineStr">
        <is>
          <t>ÄLVSBYN</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62277-2022</t>
        </is>
      </c>
      <c r="B5158" s="1" t="n">
        <v>44916</v>
      </c>
      <c r="C5158" s="1" t="n">
        <v>45798</v>
      </c>
      <c r="D5158" t="inlineStr">
        <is>
          <t>NORRBOTTENS LÄN</t>
        </is>
      </c>
      <c r="E5158" t="inlineStr">
        <is>
          <t>ÖVERTORNEÅ</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62452-2022</t>
        </is>
      </c>
      <c r="B5159" s="1" t="n">
        <v>44916</v>
      </c>
      <c r="C5159" s="1" t="n">
        <v>45798</v>
      </c>
      <c r="D5159" t="inlineStr">
        <is>
          <t>NORRBOTTENS LÄN</t>
        </is>
      </c>
      <c r="E5159" t="inlineStr">
        <is>
          <t>KIRUNA</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62460-2022</t>
        </is>
      </c>
      <c r="B5160" s="1" t="n">
        <v>44916</v>
      </c>
      <c r="C5160" s="1" t="n">
        <v>45798</v>
      </c>
      <c r="D5160" t="inlineStr">
        <is>
          <t>NORRBOTTENS LÄN</t>
        </is>
      </c>
      <c r="E5160" t="inlineStr">
        <is>
          <t>KIRUNA</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62496-2022</t>
        </is>
      </c>
      <c r="B5161" s="1" t="n">
        <v>44916</v>
      </c>
      <c r="C5161" s="1" t="n">
        <v>45798</v>
      </c>
      <c r="D5161" t="inlineStr">
        <is>
          <t>NORRBOTTENS LÄN</t>
        </is>
      </c>
      <c r="E5161" t="inlineStr">
        <is>
          <t>GÄLLIVARE</t>
        </is>
      </c>
      <c r="G5161" t="n">
        <v>23.4</v>
      </c>
      <c r="H5161" t="n">
        <v>0</v>
      </c>
      <c r="I5161" t="n">
        <v>0</v>
      </c>
      <c r="J5161" t="n">
        <v>0</v>
      </c>
      <c r="K5161" t="n">
        <v>0</v>
      </c>
      <c r="L5161" t="n">
        <v>0</v>
      </c>
      <c r="M5161" t="n">
        <v>0</v>
      </c>
      <c r="N5161" t="n">
        <v>0</v>
      </c>
      <c r="O5161" t="n">
        <v>0</v>
      </c>
      <c r="P5161" t="n">
        <v>0</v>
      </c>
      <c r="Q5161" t="n">
        <v>0</v>
      </c>
      <c r="R5161" s="2" t="inlineStr"/>
    </row>
    <row r="5162" ht="15" customHeight="1">
      <c r="A5162" t="inlineStr">
        <is>
          <t>A 62439-2022</t>
        </is>
      </c>
      <c r="B5162" s="1" t="n">
        <v>44916</v>
      </c>
      <c r="C5162" s="1" t="n">
        <v>45798</v>
      </c>
      <c r="D5162" t="inlineStr">
        <is>
          <t>NORRBOTTENS LÄN</t>
        </is>
      </c>
      <c r="E5162" t="inlineStr">
        <is>
          <t>KIRUNA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61782-2022</t>
        </is>
      </c>
      <c r="B5163" s="1" t="n">
        <v>44917</v>
      </c>
      <c r="C5163" s="1" t="n">
        <v>45798</v>
      </c>
      <c r="D5163" t="inlineStr">
        <is>
          <t>NORRBOTTENS LÄN</t>
        </is>
      </c>
      <c r="E5163" t="inlineStr">
        <is>
          <t>ÖVERTORNEÅ</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61711-2022</t>
        </is>
      </c>
      <c r="B5164" s="1" t="n">
        <v>44917</v>
      </c>
      <c r="C5164" s="1" t="n">
        <v>45798</v>
      </c>
      <c r="D5164" t="inlineStr">
        <is>
          <t>NORRBOTTENS LÄN</t>
        </is>
      </c>
      <c r="E5164" t="inlineStr">
        <is>
          <t>PITEÅ</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61922-2022</t>
        </is>
      </c>
      <c r="B5165" s="1" t="n">
        <v>44917</v>
      </c>
      <c r="C5165" s="1" t="n">
        <v>45798</v>
      </c>
      <c r="D5165" t="inlineStr">
        <is>
          <t>NORRBOTTENS LÄN</t>
        </is>
      </c>
      <c r="E5165" t="inlineStr">
        <is>
          <t>BODEN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62525-2022</t>
        </is>
      </c>
      <c r="B5166" s="1" t="n">
        <v>44917</v>
      </c>
      <c r="C5166" s="1" t="n">
        <v>45798</v>
      </c>
      <c r="D5166" t="inlineStr">
        <is>
          <t>NORRBOTTENS LÄN</t>
        </is>
      </c>
      <c r="E5166" t="inlineStr">
        <is>
          <t>KALIX</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62692-2022</t>
        </is>
      </c>
      <c r="B5167" s="1" t="n">
        <v>44917</v>
      </c>
      <c r="C5167" s="1" t="n">
        <v>45798</v>
      </c>
      <c r="D5167" t="inlineStr">
        <is>
          <t>NORRBOTTENS LÄN</t>
        </is>
      </c>
      <c r="E5167" t="inlineStr">
        <is>
          <t>LULEÅ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62701-2022</t>
        </is>
      </c>
      <c r="B5168" s="1" t="n">
        <v>44917</v>
      </c>
      <c r="C5168" s="1" t="n">
        <v>45798</v>
      </c>
      <c r="D5168" t="inlineStr">
        <is>
          <t>NORRBOTTENS LÄN</t>
        </is>
      </c>
      <c r="E5168" t="inlineStr">
        <is>
          <t>LULEÅ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62697-2022</t>
        </is>
      </c>
      <c r="B5169" s="1" t="n">
        <v>44917</v>
      </c>
      <c r="C5169" s="1" t="n">
        <v>45798</v>
      </c>
      <c r="D5169" t="inlineStr">
        <is>
          <t>NORRBOTTENS LÄN</t>
        </is>
      </c>
      <c r="E5169" t="inlineStr">
        <is>
          <t>LULEÅ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62685-2022</t>
        </is>
      </c>
      <c r="B5170" s="1" t="n">
        <v>44917</v>
      </c>
      <c r="C5170" s="1" t="n">
        <v>45798</v>
      </c>
      <c r="D5170" t="inlineStr">
        <is>
          <t>NORRBOTTENS LÄN</t>
        </is>
      </c>
      <c r="E5170" t="inlineStr">
        <is>
          <t>LULEÅ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61980-2022</t>
        </is>
      </c>
      <c r="B5171" s="1" t="n">
        <v>44918</v>
      </c>
      <c r="C5171" s="1" t="n">
        <v>45798</v>
      </c>
      <c r="D5171" t="inlineStr">
        <is>
          <t>NORRBOTTENS LÄN</t>
        </is>
      </c>
      <c r="E5171" t="inlineStr">
        <is>
          <t>ARVIDSJAUR</t>
        </is>
      </c>
      <c r="F5171" t="inlineStr">
        <is>
          <t>Sveaskog</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62019-2022</t>
        </is>
      </c>
      <c r="B5172" s="1" t="n">
        <v>44918</v>
      </c>
      <c r="C5172" s="1" t="n">
        <v>45798</v>
      </c>
      <c r="D5172" t="inlineStr">
        <is>
          <t>NORRBOTTENS LÄN</t>
        </is>
      </c>
      <c r="E5172" t="inlineStr">
        <is>
          <t>BODEN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62078-2022</t>
        </is>
      </c>
      <c r="B5173" s="1" t="n">
        <v>44918</v>
      </c>
      <c r="C5173" s="1" t="n">
        <v>45798</v>
      </c>
      <c r="D5173" t="inlineStr">
        <is>
          <t>NORRBOTTENS LÄN</t>
        </is>
      </c>
      <c r="E5173" t="inlineStr">
        <is>
          <t>JOKKMOKK</t>
        </is>
      </c>
      <c r="F5173" t="inlineStr">
        <is>
          <t>SCA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62686-2022</t>
        </is>
      </c>
      <c r="B5174" s="1" t="n">
        <v>44918</v>
      </c>
      <c r="C5174" s="1" t="n">
        <v>45798</v>
      </c>
      <c r="D5174" t="inlineStr">
        <is>
          <t>NORRBOTTENS LÄN</t>
        </is>
      </c>
      <c r="E5174" t="inlineStr">
        <is>
          <t>LULEÅ</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22-2023</t>
        </is>
      </c>
      <c r="B5175" s="1" t="n">
        <v>44918</v>
      </c>
      <c r="C5175" s="1" t="n">
        <v>45798</v>
      </c>
      <c r="D5175" t="inlineStr">
        <is>
          <t>NORRBOTTENS LÄN</t>
        </is>
      </c>
      <c r="E5175" t="inlineStr">
        <is>
          <t>ÄLVSBYN</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43-2023</t>
        </is>
      </c>
      <c r="B5176" s="1" t="n">
        <v>44918</v>
      </c>
      <c r="C5176" s="1" t="n">
        <v>45798</v>
      </c>
      <c r="D5176" t="inlineStr">
        <is>
          <t>NORRBOTTENS LÄN</t>
        </is>
      </c>
      <c r="E5176" t="inlineStr">
        <is>
          <t>ÄLVSBYN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62160-2022</t>
        </is>
      </c>
      <c r="B5177" s="1" t="n">
        <v>44922</v>
      </c>
      <c r="C5177" s="1" t="n">
        <v>45798</v>
      </c>
      <c r="D5177" t="inlineStr">
        <is>
          <t>NORRBOTTENS LÄN</t>
        </is>
      </c>
      <c r="E5177" t="inlineStr">
        <is>
          <t>GÄLLIVARE</t>
        </is>
      </c>
      <c r="G5177" t="n">
        <v>19.6</v>
      </c>
      <c r="H5177" t="n">
        <v>0</v>
      </c>
      <c r="I5177" t="n">
        <v>0</v>
      </c>
      <c r="J5177" t="n">
        <v>0</v>
      </c>
      <c r="K5177" t="n">
        <v>0</v>
      </c>
      <c r="L5177" t="n">
        <v>0</v>
      </c>
      <c r="M5177" t="n">
        <v>0</v>
      </c>
      <c r="N5177" t="n">
        <v>0</v>
      </c>
      <c r="O5177" t="n">
        <v>0</v>
      </c>
      <c r="P5177" t="n">
        <v>0</v>
      </c>
      <c r="Q5177" t="n">
        <v>0</v>
      </c>
      <c r="R5177" s="2" t="inlineStr"/>
    </row>
    <row r="5178" ht="15" customHeight="1">
      <c r="A5178" t="inlineStr">
        <is>
          <t>A 62258-2022</t>
        </is>
      </c>
      <c r="B5178" s="1" t="n">
        <v>44922</v>
      </c>
      <c r="C5178" s="1" t="n">
        <v>45798</v>
      </c>
      <c r="D5178" t="inlineStr">
        <is>
          <t>NORRBOTTENS LÄN</t>
        </is>
      </c>
      <c r="E5178" t="inlineStr">
        <is>
          <t>GÄLLIVARE</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62390-2022</t>
        </is>
      </c>
      <c r="B5179" s="1" t="n">
        <v>44923</v>
      </c>
      <c r="C5179" s="1" t="n">
        <v>45798</v>
      </c>
      <c r="D5179" t="inlineStr">
        <is>
          <t>NORRBOTTENS LÄN</t>
        </is>
      </c>
      <c r="E5179" t="inlineStr">
        <is>
          <t>ÖVERTORNEÅ</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62298-2022</t>
        </is>
      </c>
      <c r="B5180" s="1" t="n">
        <v>44923</v>
      </c>
      <c r="C5180" s="1" t="n">
        <v>45798</v>
      </c>
      <c r="D5180" t="inlineStr">
        <is>
          <t>NORRBOTTENS LÄN</t>
        </is>
      </c>
      <c r="E5180" t="inlineStr">
        <is>
          <t>PAJALA</t>
        </is>
      </c>
      <c r="G5180" t="n">
        <v>38.8</v>
      </c>
      <c r="H5180" t="n">
        <v>0</v>
      </c>
      <c r="I5180" t="n">
        <v>0</v>
      </c>
      <c r="J5180" t="n">
        <v>0</v>
      </c>
      <c r="K5180" t="n">
        <v>0</v>
      </c>
      <c r="L5180" t="n">
        <v>0</v>
      </c>
      <c r="M5180" t="n">
        <v>0</v>
      </c>
      <c r="N5180" t="n">
        <v>0</v>
      </c>
      <c r="O5180" t="n">
        <v>0</v>
      </c>
      <c r="P5180" t="n">
        <v>0</v>
      </c>
      <c r="Q5180" t="n">
        <v>0</v>
      </c>
      <c r="R5180" s="2" t="inlineStr"/>
    </row>
    <row r="5181" ht="15" customHeight="1">
      <c r="A5181" t="inlineStr">
        <is>
          <t>A 404-2023</t>
        </is>
      </c>
      <c r="B5181" s="1" t="n">
        <v>44923</v>
      </c>
      <c r="C5181" s="1" t="n">
        <v>45798</v>
      </c>
      <c r="D5181" t="inlineStr">
        <is>
          <t>NORRBOTTENS LÄN</t>
        </is>
      </c>
      <c r="E5181" t="inlineStr">
        <is>
          <t>GÄLLIVARE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62492-2022</t>
        </is>
      </c>
      <c r="B5182" s="1" t="n">
        <v>44924</v>
      </c>
      <c r="C5182" s="1" t="n">
        <v>45798</v>
      </c>
      <c r="D5182" t="inlineStr">
        <is>
          <t>NORRBOTTENS LÄN</t>
        </is>
      </c>
      <c r="E5182" t="inlineStr">
        <is>
          <t>KALIX</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62444-2022</t>
        </is>
      </c>
      <c r="B5183" s="1" t="n">
        <v>44924</v>
      </c>
      <c r="C5183" s="1" t="n">
        <v>45798</v>
      </c>
      <c r="D5183" t="inlineStr">
        <is>
          <t>NORRBOTTENS LÄN</t>
        </is>
      </c>
      <c r="E5183" t="inlineStr">
        <is>
          <t>KALIX</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62487-2022</t>
        </is>
      </c>
      <c r="B5184" s="1" t="n">
        <v>44924</v>
      </c>
      <c r="C5184" s="1" t="n">
        <v>45798</v>
      </c>
      <c r="D5184" t="inlineStr">
        <is>
          <t>NORRBOTTENS LÄN</t>
        </is>
      </c>
      <c r="E5184" t="inlineStr">
        <is>
          <t>BODEN</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62580-2022</t>
        </is>
      </c>
      <c r="B5185" s="1" t="n">
        <v>44924</v>
      </c>
      <c r="C5185" s="1" t="n">
        <v>45798</v>
      </c>
      <c r="D5185" t="inlineStr">
        <is>
          <t>NORRBOTTENS LÄN</t>
        </is>
      </c>
      <c r="E5185" t="inlineStr">
        <is>
          <t>GÄLLIVARE</t>
        </is>
      </c>
      <c r="F5185" t="inlineStr">
        <is>
          <t>SCA</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62446-2022</t>
        </is>
      </c>
      <c r="B5186" s="1" t="n">
        <v>44924</v>
      </c>
      <c r="C5186" s="1" t="n">
        <v>45798</v>
      </c>
      <c r="D5186" t="inlineStr">
        <is>
          <t>NORRBOTTENS LÄN</t>
        </is>
      </c>
      <c r="E5186" t="inlineStr">
        <is>
          <t>KALIX</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62608-2022</t>
        </is>
      </c>
      <c r="B5187" s="1" t="n">
        <v>44925</v>
      </c>
      <c r="C5187" s="1" t="n">
        <v>45798</v>
      </c>
      <c r="D5187" t="inlineStr">
        <is>
          <t>NORRBOTTENS LÄN</t>
        </is>
      </c>
      <c r="E5187" t="inlineStr">
        <is>
          <t>ÖVERTORNEÅ</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62668-2022</t>
        </is>
      </c>
      <c r="B5188" s="1" t="n">
        <v>44925</v>
      </c>
      <c r="C5188" s="1" t="n">
        <v>45798</v>
      </c>
      <c r="D5188" t="inlineStr">
        <is>
          <t>NORRBOTTENS LÄN</t>
        </is>
      </c>
      <c r="E5188" t="inlineStr">
        <is>
          <t>ÖVERTORNEÅ</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62646-2022</t>
        </is>
      </c>
      <c r="B5189" s="1" t="n">
        <v>44925</v>
      </c>
      <c r="C5189" s="1" t="n">
        <v>45798</v>
      </c>
      <c r="D5189" t="inlineStr">
        <is>
          <t>NORRBOTTENS LÄN</t>
        </is>
      </c>
      <c r="E5189" t="inlineStr">
        <is>
          <t>ÖVERKALIX</t>
        </is>
      </c>
      <c r="F5189" t="inlineStr">
        <is>
          <t>Kyrkan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62689-2022</t>
        </is>
      </c>
      <c r="B5190" s="1" t="n">
        <v>44925</v>
      </c>
      <c r="C5190" s="1" t="n">
        <v>45798</v>
      </c>
      <c r="D5190" t="inlineStr">
        <is>
          <t>NORRBOTTENS LÄN</t>
        </is>
      </c>
      <c r="E5190" t="inlineStr">
        <is>
          <t>ÖVERTORNEÅ</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62626-2022</t>
        </is>
      </c>
      <c r="B5191" s="1" t="n">
        <v>44925</v>
      </c>
      <c r="C5191" s="1" t="n">
        <v>45798</v>
      </c>
      <c r="D5191" t="inlineStr">
        <is>
          <t>NORRBOTTENS LÄN</t>
        </is>
      </c>
      <c r="E5191" t="inlineStr">
        <is>
          <t>ÖVERKALIX</t>
        </is>
      </c>
      <c r="F5191" t="inlineStr">
        <is>
          <t>Kyrkan</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62671-2022</t>
        </is>
      </c>
      <c r="B5192" s="1" t="n">
        <v>44925</v>
      </c>
      <c r="C5192" s="1" t="n">
        <v>45798</v>
      </c>
      <c r="D5192" t="inlineStr">
        <is>
          <t>NORRBOTTENS LÄN</t>
        </is>
      </c>
      <c r="E5192" t="inlineStr">
        <is>
          <t>ÖVERTORNEÅ</t>
        </is>
      </c>
      <c r="G5192" t="n">
        <v>8.1</v>
      </c>
      <c r="H5192" t="n">
        <v>0</v>
      </c>
      <c r="I5192" t="n">
        <v>0</v>
      </c>
      <c r="J5192" t="n">
        <v>0</v>
      </c>
      <c r="K5192" t="n">
        <v>0</v>
      </c>
      <c r="L5192" t="n">
        <v>0</v>
      </c>
      <c r="M5192" t="n">
        <v>0</v>
      </c>
      <c r="N5192" t="n">
        <v>0</v>
      </c>
      <c r="O5192" t="n">
        <v>0</v>
      </c>
      <c r="P5192" t="n">
        <v>0</v>
      </c>
      <c r="Q5192" t="n">
        <v>0</v>
      </c>
      <c r="R5192" s="2" t="inlineStr"/>
    </row>
    <row r="5193" ht="15" customHeight="1">
      <c r="A5193" t="inlineStr">
        <is>
          <t>A 62730-2022</t>
        </is>
      </c>
      <c r="B5193" s="1" t="n">
        <v>44925</v>
      </c>
      <c r="C5193" s="1" t="n">
        <v>45798</v>
      </c>
      <c r="D5193" t="inlineStr">
        <is>
          <t>NORRBOTTENS LÄN</t>
        </is>
      </c>
      <c r="E5193" t="inlineStr">
        <is>
          <t>BODEN</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665-2023</t>
        </is>
      </c>
      <c r="B5194" s="1" t="n">
        <v>44925</v>
      </c>
      <c r="C5194" s="1" t="n">
        <v>45798</v>
      </c>
      <c r="D5194" t="inlineStr">
        <is>
          <t>NORRBOTTENS LÄN</t>
        </is>
      </c>
      <c r="E5194" t="inlineStr">
        <is>
          <t>BODEN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152-2023</t>
        </is>
      </c>
      <c r="B5195" s="1" t="n">
        <v>44928</v>
      </c>
      <c r="C5195" s="1" t="n">
        <v>45798</v>
      </c>
      <c r="D5195" t="inlineStr">
        <is>
          <t>NORRBOTTENS LÄN</t>
        </is>
      </c>
      <c r="E5195" t="inlineStr">
        <is>
          <t>ÖVERTORNEÅ</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276-2023</t>
        </is>
      </c>
      <c r="B5196" s="1" t="n">
        <v>44928</v>
      </c>
      <c r="C5196" s="1" t="n">
        <v>45798</v>
      </c>
      <c r="D5196" t="inlineStr">
        <is>
          <t>NORRBOTTENS LÄN</t>
        </is>
      </c>
      <c r="E5196" t="inlineStr">
        <is>
          <t>ÖVERTORNEÅ</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274-2023</t>
        </is>
      </c>
      <c r="B5197" s="1" t="n">
        <v>44928</v>
      </c>
      <c r="C5197" s="1" t="n">
        <v>45798</v>
      </c>
      <c r="D5197" t="inlineStr">
        <is>
          <t>NORRBOTTENS LÄN</t>
        </is>
      </c>
      <c r="E5197" t="inlineStr">
        <is>
          <t>HAPARANDA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275-2023</t>
        </is>
      </c>
      <c r="B5198" s="1" t="n">
        <v>44928</v>
      </c>
      <c r="C5198" s="1" t="n">
        <v>45798</v>
      </c>
      <c r="D5198" t="inlineStr">
        <is>
          <t>NORRBOTTENS LÄN</t>
        </is>
      </c>
      <c r="E5198" t="inlineStr">
        <is>
          <t>ÖVERTORNEÅ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273-2023</t>
        </is>
      </c>
      <c r="B5199" s="1" t="n">
        <v>44928</v>
      </c>
      <c r="C5199" s="1" t="n">
        <v>45798</v>
      </c>
      <c r="D5199" t="inlineStr">
        <is>
          <t>NORRBOTTENS LÄN</t>
        </is>
      </c>
      <c r="E5199" t="inlineStr">
        <is>
          <t>HAPARANDA</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277-2023</t>
        </is>
      </c>
      <c r="B5200" s="1" t="n">
        <v>44928</v>
      </c>
      <c r="C5200" s="1" t="n">
        <v>45798</v>
      </c>
      <c r="D5200" t="inlineStr">
        <is>
          <t>NORRBOTTENS LÄN</t>
        </is>
      </c>
      <c r="E5200" t="inlineStr">
        <is>
          <t>HAPARANDA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406-2023</t>
        </is>
      </c>
      <c r="B5201" s="1" t="n">
        <v>44929</v>
      </c>
      <c r="C5201" s="1" t="n">
        <v>45798</v>
      </c>
      <c r="D5201" t="inlineStr">
        <is>
          <t>NORRBOTTENS LÄN</t>
        </is>
      </c>
      <c r="E5201" t="inlineStr">
        <is>
          <t>BODEN</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472-2023</t>
        </is>
      </c>
      <c r="B5202" s="1" t="n">
        <v>44929</v>
      </c>
      <c r="C5202" s="1" t="n">
        <v>45798</v>
      </c>
      <c r="D5202" t="inlineStr">
        <is>
          <t>NORRBOTTENS LÄN</t>
        </is>
      </c>
      <c r="E5202" t="inlineStr">
        <is>
          <t>PITEÅ</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473-2023</t>
        </is>
      </c>
      <c r="B5203" s="1" t="n">
        <v>44929</v>
      </c>
      <c r="C5203" s="1" t="n">
        <v>45798</v>
      </c>
      <c r="D5203" t="inlineStr">
        <is>
          <t>NORRBOTTENS LÄN</t>
        </is>
      </c>
      <c r="E5203" t="inlineStr">
        <is>
          <t>PITEÅ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550-2023</t>
        </is>
      </c>
      <c r="B5204" s="1" t="n">
        <v>44930</v>
      </c>
      <c r="C5204" s="1" t="n">
        <v>45798</v>
      </c>
      <c r="D5204" t="inlineStr">
        <is>
          <t>NORRBOTTENS LÄN</t>
        </is>
      </c>
      <c r="E5204" t="inlineStr">
        <is>
          <t>ÖVERKALIX</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587-2023</t>
        </is>
      </c>
      <c r="B5205" s="1" t="n">
        <v>44930</v>
      </c>
      <c r="C5205" s="1" t="n">
        <v>45798</v>
      </c>
      <c r="D5205" t="inlineStr">
        <is>
          <t>NORRBOTTENS LÄN</t>
        </is>
      </c>
      <c r="E5205" t="inlineStr">
        <is>
          <t>ÖVERTORNEÅ</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597-2023</t>
        </is>
      </c>
      <c r="B5206" s="1" t="n">
        <v>44930</v>
      </c>
      <c r="C5206" s="1" t="n">
        <v>45798</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1119-2023</t>
        </is>
      </c>
      <c r="B5207" s="1" t="n">
        <v>44930</v>
      </c>
      <c r="C5207" s="1" t="n">
        <v>45798</v>
      </c>
      <c r="D5207" t="inlineStr">
        <is>
          <t>NORRBOTTENS LÄN</t>
        </is>
      </c>
      <c r="E5207" t="inlineStr">
        <is>
          <t>JOKKMOKK</t>
        </is>
      </c>
      <c r="F5207" t="inlineStr">
        <is>
          <t>Sveaskog</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877-2023</t>
        </is>
      </c>
      <c r="B5208" s="1" t="n">
        <v>44931</v>
      </c>
      <c r="C5208" s="1" t="n">
        <v>45798</v>
      </c>
      <c r="D5208" t="inlineStr">
        <is>
          <t>NORRBOTTENS LÄN</t>
        </is>
      </c>
      <c r="E5208" t="inlineStr">
        <is>
          <t>BODEN</t>
        </is>
      </c>
      <c r="G5208" t="n">
        <v>8.699999999999999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1312-2023</t>
        </is>
      </c>
      <c r="B5209" s="1" t="n">
        <v>44931</v>
      </c>
      <c r="C5209" s="1" t="n">
        <v>45798</v>
      </c>
      <c r="D5209" t="inlineStr">
        <is>
          <t>NORRBOTTENS LÄN</t>
        </is>
      </c>
      <c r="E5209" t="inlineStr">
        <is>
          <t>GÄLLIVARE</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1017-2023</t>
        </is>
      </c>
      <c r="B5210" s="1" t="n">
        <v>44935</v>
      </c>
      <c r="C5210" s="1" t="n">
        <v>45798</v>
      </c>
      <c r="D5210" t="inlineStr">
        <is>
          <t>NORRBOTTENS LÄN</t>
        </is>
      </c>
      <c r="E5210" t="inlineStr">
        <is>
          <t>BODEN</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1023-2023</t>
        </is>
      </c>
      <c r="B5211" s="1" t="n">
        <v>44935</v>
      </c>
      <c r="C5211" s="1" t="n">
        <v>45798</v>
      </c>
      <c r="D5211" t="inlineStr">
        <is>
          <t>NORRBOTTENS LÄN</t>
        </is>
      </c>
      <c r="E5211" t="inlineStr">
        <is>
          <t>BODEN</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1522-2023</t>
        </is>
      </c>
      <c r="B5212" s="1" t="n">
        <v>44935</v>
      </c>
      <c r="C5212" s="1" t="n">
        <v>45798</v>
      </c>
      <c r="D5212" t="inlineStr">
        <is>
          <t>NORRBOTTENS LÄN</t>
        </is>
      </c>
      <c r="E5212" t="inlineStr">
        <is>
          <t>KALIX</t>
        </is>
      </c>
      <c r="G5212" t="n">
        <v>10.1</v>
      </c>
      <c r="H5212" t="n">
        <v>0</v>
      </c>
      <c r="I5212" t="n">
        <v>0</v>
      </c>
      <c r="J5212" t="n">
        <v>0</v>
      </c>
      <c r="K5212" t="n">
        <v>0</v>
      </c>
      <c r="L5212" t="n">
        <v>0</v>
      </c>
      <c r="M5212" t="n">
        <v>0</v>
      </c>
      <c r="N5212" t="n">
        <v>0</v>
      </c>
      <c r="O5212" t="n">
        <v>0</v>
      </c>
      <c r="P5212" t="n">
        <v>0</v>
      </c>
      <c r="Q5212" t="n">
        <v>0</v>
      </c>
      <c r="R5212" s="2" t="inlineStr"/>
    </row>
    <row r="5213" ht="15" customHeight="1">
      <c r="A5213" t="inlineStr">
        <is>
          <t>A 1267-2023</t>
        </is>
      </c>
      <c r="B5213" s="1" t="n">
        <v>44936</v>
      </c>
      <c r="C5213" s="1" t="n">
        <v>45798</v>
      </c>
      <c r="D5213" t="inlineStr">
        <is>
          <t>NORRBOTTENS LÄN</t>
        </is>
      </c>
      <c r="E5213" t="inlineStr">
        <is>
          <t>KALIX</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1274-2023</t>
        </is>
      </c>
      <c r="B5214" s="1" t="n">
        <v>44936</v>
      </c>
      <c r="C5214" s="1" t="n">
        <v>45798</v>
      </c>
      <c r="D5214" t="inlineStr">
        <is>
          <t>NORRBOTTENS LÄN</t>
        </is>
      </c>
      <c r="E5214" t="inlineStr">
        <is>
          <t>KALIX</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1476-2023</t>
        </is>
      </c>
      <c r="B5215" s="1" t="n">
        <v>44937</v>
      </c>
      <c r="C5215" s="1" t="n">
        <v>45798</v>
      </c>
      <c r="D5215" t="inlineStr">
        <is>
          <t>NORRBOTTENS LÄN</t>
        </is>
      </c>
      <c r="E5215" t="inlineStr">
        <is>
          <t>ÖVERTORNEÅ</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1451-2023</t>
        </is>
      </c>
      <c r="B5216" s="1" t="n">
        <v>44937</v>
      </c>
      <c r="C5216" s="1" t="n">
        <v>45798</v>
      </c>
      <c r="D5216" t="inlineStr">
        <is>
          <t>NORRBOTTENS LÄN</t>
        </is>
      </c>
      <c r="E5216" t="inlineStr">
        <is>
          <t>BODEN</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1609-2023</t>
        </is>
      </c>
      <c r="B5217" s="1" t="n">
        <v>44937</v>
      </c>
      <c r="C5217" s="1" t="n">
        <v>45798</v>
      </c>
      <c r="D5217" t="inlineStr">
        <is>
          <t>NORRBOTTENS LÄN</t>
        </is>
      </c>
      <c r="E5217" t="inlineStr">
        <is>
          <t>GÄLLIVARE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2002-2023</t>
        </is>
      </c>
      <c r="B5218" s="1" t="n">
        <v>44937</v>
      </c>
      <c r="C5218" s="1" t="n">
        <v>45798</v>
      </c>
      <c r="D5218" t="inlineStr">
        <is>
          <t>NORRBOTTENS LÄN</t>
        </is>
      </c>
      <c r="E5218" t="inlineStr">
        <is>
          <t>LULEÅ</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2006-2023</t>
        </is>
      </c>
      <c r="B5219" s="1" t="n">
        <v>44937</v>
      </c>
      <c r="C5219" s="1" t="n">
        <v>45798</v>
      </c>
      <c r="D5219" t="inlineStr">
        <is>
          <t>NORRBOTTENS LÄN</t>
        </is>
      </c>
      <c r="E5219" t="inlineStr">
        <is>
          <t>LULEÅ</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2007-2023</t>
        </is>
      </c>
      <c r="B5220" s="1" t="n">
        <v>44937</v>
      </c>
      <c r="C5220" s="1" t="n">
        <v>45798</v>
      </c>
      <c r="D5220" t="inlineStr">
        <is>
          <t>NORRBOTTENS LÄN</t>
        </is>
      </c>
      <c r="E5220" t="inlineStr">
        <is>
          <t>LULEÅ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1867-2023</t>
        </is>
      </c>
      <c r="B5221" s="1" t="n">
        <v>44938</v>
      </c>
      <c r="C5221" s="1" t="n">
        <v>45798</v>
      </c>
      <c r="D5221" t="inlineStr">
        <is>
          <t>NORRBOTTENS LÄN</t>
        </is>
      </c>
      <c r="E5221" t="inlineStr">
        <is>
          <t>ÖVERKALIX</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2111-2023</t>
        </is>
      </c>
      <c r="B5222" s="1" t="n">
        <v>44939</v>
      </c>
      <c r="C5222" s="1" t="n">
        <v>45798</v>
      </c>
      <c r="D5222" t="inlineStr">
        <is>
          <t>NORRBOTTENS LÄN</t>
        </is>
      </c>
      <c r="E5222" t="inlineStr">
        <is>
          <t>ARVIDSJAUR</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2113-2023</t>
        </is>
      </c>
      <c r="B5223" s="1" t="n">
        <v>44939</v>
      </c>
      <c r="C5223" s="1" t="n">
        <v>45798</v>
      </c>
      <c r="D5223" t="inlineStr">
        <is>
          <t>NORRBOTTENS LÄN</t>
        </is>
      </c>
      <c r="E5223" t="inlineStr">
        <is>
          <t>ARVIDSJAUR</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2168-2023</t>
        </is>
      </c>
      <c r="B5224" s="1" t="n">
        <v>44941</v>
      </c>
      <c r="C5224" s="1" t="n">
        <v>45798</v>
      </c>
      <c r="D5224" t="inlineStr">
        <is>
          <t>NORRBOTTENS LÄN</t>
        </is>
      </c>
      <c r="E5224" t="inlineStr">
        <is>
          <t>PITEÅ</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2244-2023</t>
        </is>
      </c>
      <c r="B5225" s="1" t="n">
        <v>44942</v>
      </c>
      <c r="C5225" s="1" t="n">
        <v>45798</v>
      </c>
      <c r="D5225" t="inlineStr">
        <is>
          <t>NORRBOTTENS LÄN</t>
        </is>
      </c>
      <c r="E5225" t="inlineStr">
        <is>
          <t>GÄLLIVARE</t>
        </is>
      </c>
      <c r="G5225" t="n">
        <v>21.1</v>
      </c>
      <c r="H5225" t="n">
        <v>0</v>
      </c>
      <c r="I5225" t="n">
        <v>0</v>
      </c>
      <c r="J5225" t="n">
        <v>0</v>
      </c>
      <c r="K5225" t="n">
        <v>0</v>
      </c>
      <c r="L5225" t="n">
        <v>0</v>
      </c>
      <c r="M5225" t="n">
        <v>0</v>
      </c>
      <c r="N5225" t="n">
        <v>0</v>
      </c>
      <c r="O5225" t="n">
        <v>0</v>
      </c>
      <c r="P5225" t="n">
        <v>0</v>
      </c>
      <c r="Q5225" t="n">
        <v>0</v>
      </c>
      <c r="R5225" s="2" t="inlineStr"/>
    </row>
    <row r="5226" ht="15" customHeight="1">
      <c r="A5226" t="inlineStr">
        <is>
          <t>A 2298-2023</t>
        </is>
      </c>
      <c r="B5226" s="1" t="n">
        <v>44942</v>
      </c>
      <c r="C5226" s="1" t="n">
        <v>45798</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2237-2023</t>
        </is>
      </c>
      <c r="B5227" s="1" t="n">
        <v>44942</v>
      </c>
      <c r="C5227" s="1" t="n">
        <v>45798</v>
      </c>
      <c r="D5227" t="inlineStr">
        <is>
          <t>NORRBOTTENS LÄN</t>
        </is>
      </c>
      <c r="E5227" t="inlineStr">
        <is>
          <t>GÄLLIVARE</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2309-2023</t>
        </is>
      </c>
      <c r="B5228" s="1" t="n">
        <v>44942</v>
      </c>
      <c r="C5228" s="1" t="n">
        <v>45798</v>
      </c>
      <c r="D5228" t="inlineStr">
        <is>
          <t>NORRBOTTENS LÄN</t>
        </is>
      </c>
      <c r="E5228" t="inlineStr">
        <is>
          <t>ARVIDSJAUR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2276-2023</t>
        </is>
      </c>
      <c r="B5229" s="1" t="n">
        <v>44942</v>
      </c>
      <c r="C5229" s="1" t="n">
        <v>45798</v>
      </c>
      <c r="D5229" t="inlineStr">
        <is>
          <t>NORRBOTTENS LÄN</t>
        </is>
      </c>
      <c r="E5229" t="inlineStr">
        <is>
          <t>GÄLLIVARE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2293-2023</t>
        </is>
      </c>
      <c r="B5230" s="1" t="n">
        <v>44942</v>
      </c>
      <c r="C5230" s="1" t="n">
        <v>45798</v>
      </c>
      <c r="D5230" t="inlineStr">
        <is>
          <t>NORRBOTTENS LÄN</t>
        </is>
      </c>
      <c r="E5230" t="inlineStr">
        <is>
          <t>ÄLVSBYN</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2290-2023</t>
        </is>
      </c>
      <c r="B5231" s="1" t="n">
        <v>44942</v>
      </c>
      <c r="C5231" s="1" t="n">
        <v>45798</v>
      </c>
      <c r="D5231" t="inlineStr">
        <is>
          <t>NORRBOTTENS LÄN</t>
        </is>
      </c>
      <c r="E5231" t="inlineStr">
        <is>
          <t>ÄLVSBYN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2323-2023</t>
        </is>
      </c>
      <c r="B5232" s="1" t="n">
        <v>44942</v>
      </c>
      <c r="C5232" s="1" t="n">
        <v>45798</v>
      </c>
      <c r="D5232" t="inlineStr">
        <is>
          <t>NORRBOTTENS LÄN</t>
        </is>
      </c>
      <c r="E5232" t="inlineStr">
        <is>
          <t>ARVIDSJAUR</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2392-2023</t>
        </is>
      </c>
      <c r="B5233" s="1" t="n">
        <v>44942</v>
      </c>
      <c r="C5233" s="1" t="n">
        <v>45798</v>
      </c>
      <c r="D5233" t="inlineStr">
        <is>
          <t>NORRBOTTENS LÄN</t>
        </is>
      </c>
      <c r="E5233" t="inlineStr">
        <is>
          <t>PITEÅ</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2621-2023</t>
        </is>
      </c>
      <c r="B5234" s="1" t="n">
        <v>44942</v>
      </c>
      <c r="C5234" s="1" t="n">
        <v>45798</v>
      </c>
      <c r="D5234" t="inlineStr">
        <is>
          <t>NORRBOTTENS LÄN</t>
        </is>
      </c>
      <c r="E5234" t="inlineStr">
        <is>
          <t>GÄLLIVARE</t>
        </is>
      </c>
      <c r="F5234" t="inlineStr">
        <is>
          <t>Allmännings- och besparingsskogar</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2406-2023</t>
        </is>
      </c>
      <c r="B5235" s="1" t="n">
        <v>44942</v>
      </c>
      <c r="C5235" s="1" t="n">
        <v>45798</v>
      </c>
      <c r="D5235" t="inlineStr">
        <is>
          <t>NORRBOTTENS LÄN</t>
        </is>
      </c>
      <c r="E5235" t="inlineStr">
        <is>
          <t>PITEÅ</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2625-2023</t>
        </is>
      </c>
      <c r="B5236" s="1" t="n">
        <v>44942</v>
      </c>
      <c r="C5236" s="1" t="n">
        <v>45798</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2627-2023</t>
        </is>
      </c>
      <c r="B5237" s="1" t="n">
        <v>44942</v>
      </c>
      <c r="C5237" s="1" t="n">
        <v>45798</v>
      </c>
      <c r="D5237" t="inlineStr">
        <is>
          <t>NORRBOTTENS LÄN</t>
        </is>
      </c>
      <c r="E5237" t="inlineStr">
        <is>
          <t>PITEÅ</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2537-2023</t>
        </is>
      </c>
      <c r="B5238" s="1" t="n">
        <v>44943</v>
      </c>
      <c r="C5238" s="1" t="n">
        <v>45798</v>
      </c>
      <c r="D5238" t="inlineStr">
        <is>
          <t>NORRBOTTENS LÄN</t>
        </is>
      </c>
      <c r="E5238" t="inlineStr">
        <is>
          <t>KIRUNA</t>
        </is>
      </c>
      <c r="F5238" t="inlineStr">
        <is>
          <t>SCA</t>
        </is>
      </c>
      <c r="G5238" t="n">
        <v>20.3</v>
      </c>
      <c r="H5238" t="n">
        <v>0</v>
      </c>
      <c r="I5238" t="n">
        <v>0</v>
      </c>
      <c r="J5238" t="n">
        <v>0</v>
      </c>
      <c r="K5238" t="n">
        <v>0</v>
      </c>
      <c r="L5238" t="n">
        <v>0</v>
      </c>
      <c r="M5238" t="n">
        <v>0</v>
      </c>
      <c r="N5238" t="n">
        <v>0</v>
      </c>
      <c r="O5238" t="n">
        <v>0</v>
      </c>
      <c r="P5238" t="n">
        <v>0</v>
      </c>
      <c r="Q5238" t="n">
        <v>0</v>
      </c>
      <c r="R5238" s="2" t="inlineStr"/>
    </row>
    <row r="5239" ht="15" customHeight="1">
      <c r="A5239" t="inlineStr">
        <is>
          <t>A 2528-2023</t>
        </is>
      </c>
      <c r="B5239" s="1" t="n">
        <v>44943</v>
      </c>
      <c r="C5239" s="1" t="n">
        <v>45798</v>
      </c>
      <c r="D5239" t="inlineStr">
        <is>
          <t>NORRBOTTENS LÄN</t>
        </is>
      </c>
      <c r="E5239" t="inlineStr">
        <is>
          <t>BODEN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2595-2023</t>
        </is>
      </c>
      <c r="B5240" s="1" t="n">
        <v>44943</v>
      </c>
      <c r="C5240" s="1" t="n">
        <v>45798</v>
      </c>
      <c r="D5240" t="inlineStr">
        <is>
          <t>NORRBOTTENS LÄN</t>
        </is>
      </c>
      <c r="E5240" t="inlineStr">
        <is>
          <t>ÄLVSBYN</t>
        </is>
      </c>
      <c r="F5240" t="inlineStr">
        <is>
          <t>SCA</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2647-2023</t>
        </is>
      </c>
      <c r="B5241" s="1" t="n">
        <v>44944</v>
      </c>
      <c r="C5241" s="1" t="n">
        <v>45798</v>
      </c>
      <c r="D5241" t="inlineStr">
        <is>
          <t>NORRBOTTENS LÄN</t>
        </is>
      </c>
      <c r="E5241" t="inlineStr">
        <is>
          <t>PAJALA</t>
        </is>
      </c>
      <c r="G5241" t="n">
        <v>18.4</v>
      </c>
      <c r="H5241" t="n">
        <v>0</v>
      </c>
      <c r="I5241" t="n">
        <v>0</v>
      </c>
      <c r="J5241" t="n">
        <v>0</v>
      </c>
      <c r="K5241" t="n">
        <v>0</v>
      </c>
      <c r="L5241" t="n">
        <v>0</v>
      </c>
      <c r="M5241" t="n">
        <v>0</v>
      </c>
      <c r="N5241" t="n">
        <v>0</v>
      </c>
      <c r="O5241" t="n">
        <v>0</v>
      </c>
      <c r="P5241" t="n">
        <v>0</v>
      </c>
      <c r="Q5241" t="n">
        <v>0</v>
      </c>
      <c r="R5241" s="2" t="inlineStr"/>
    </row>
    <row r="5242" ht="15" customHeight="1">
      <c r="A5242" t="inlineStr">
        <is>
          <t>A 2651-2023</t>
        </is>
      </c>
      <c r="B5242" s="1" t="n">
        <v>44944</v>
      </c>
      <c r="C5242" s="1" t="n">
        <v>45798</v>
      </c>
      <c r="D5242" t="inlineStr">
        <is>
          <t>NORRBOTTENS LÄN</t>
        </is>
      </c>
      <c r="E5242" t="inlineStr">
        <is>
          <t>PAJALA</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2691-2023</t>
        </is>
      </c>
      <c r="B5243" s="1" t="n">
        <v>44944</v>
      </c>
      <c r="C5243" s="1" t="n">
        <v>45798</v>
      </c>
      <c r="D5243" t="inlineStr">
        <is>
          <t>NORRBOTTENS LÄN</t>
        </is>
      </c>
      <c r="E5243" t="inlineStr">
        <is>
          <t>PITEÅ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2678-2023</t>
        </is>
      </c>
      <c r="B5244" s="1" t="n">
        <v>44944</v>
      </c>
      <c r="C5244" s="1" t="n">
        <v>45798</v>
      </c>
      <c r="D5244" t="inlineStr">
        <is>
          <t>NORRBOTTENS LÄN</t>
        </is>
      </c>
      <c r="E5244" t="inlineStr">
        <is>
          <t>ÄLVSBYN</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2778-2023</t>
        </is>
      </c>
      <c r="B5245" s="1" t="n">
        <v>44944</v>
      </c>
      <c r="C5245" s="1" t="n">
        <v>45798</v>
      </c>
      <c r="D5245" t="inlineStr">
        <is>
          <t>NORRBOTTENS LÄN</t>
        </is>
      </c>
      <c r="E5245" t="inlineStr">
        <is>
          <t>ARVIDSJAUR</t>
        </is>
      </c>
      <c r="F5245" t="inlineStr">
        <is>
          <t>Sveaskog</t>
        </is>
      </c>
      <c r="G5245" t="n">
        <v>11.1</v>
      </c>
      <c r="H5245" t="n">
        <v>0</v>
      </c>
      <c r="I5245" t="n">
        <v>0</v>
      </c>
      <c r="J5245" t="n">
        <v>0</v>
      </c>
      <c r="K5245" t="n">
        <v>0</v>
      </c>
      <c r="L5245" t="n">
        <v>0</v>
      </c>
      <c r="M5245" t="n">
        <v>0</v>
      </c>
      <c r="N5245" t="n">
        <v>0</v>
      </c>
      <c r="O5245" t="n">
        <v>0</v>
      </c>
      <c r="P5245" t="n">
        <v>0</v>
      </c>
      <c r="Q5245" t="n">
        <v>0</v>
      </c>
      <c r="R5245" s="2" t="inlineStr"/>
    </row>
    <row r="5246" ht="15" customHeight="1">
      <c r="A5246" t="inlineStr">
        <is>
          <t>A 2928-2023</t>
        </is>
      </c>
      <c r="B5246" s="1" t="n">
        <v>44944</v>
      </c>
      <c r="C5246" s="1" t="n">
        <v>45798</v>
      </c>
      <c r="D5246" t="inlineStr">
        <is>
          <t>NORRBOTTENS LÄN</t>
        </is>
      </c>
      <c r="E5246" t="inlineStr">
        <is>
          <t>PAJALA</t>
        </is>
      </c>
      <c r="G5246" t="n">
        <v>15.2</v>
      </c>
      <c r="H5246" t="n">
        <v>0</v>
      </c>
      <c r="I5246" t="n">
        <v>0</v>
      </c>
      <c r="J5246" t="n">
        <v>0</v>
      </c>
      <c r="K5246" t="n">
        <v>0</v>
      </c>
      <c r="L5246" t="n">
        <v>0</v>
      </c>
      <c r="M5246" t="n">
        <v>0</v>
      </c>
      <c r="N5246" t="n">
        <v>0</v>
      </c>
      <c r="O5246" t="n">
        <v>0</v>
      </c>
      <c r="P5246" t="n">
        <v>0</v>
      </c>
      <c r="Q5246" t="n">
        <v>0</v>
      </c>
      <c r="R5246" s="2" t="inlineStr"/>
    </row>
    <row r="5247" ht="15" customHeight="1">
      <c r="A5247" t="inlineStr">
        <is>
          <t>A 2948-2023</t>
        </is>
      </c>
      <c r="B5247" s="1" t="n">
        <v>44945</v>
      </c>
      <c r="C5247" s="1" t="n">
        <v>45798</v>
      </c>
      <c r="D5247" t="inlineStr">
        <is>
          <t>NORRBOTTENS LÄN</t>
        </is>
      </c>
      <c r="E5247" t="inlineStr">
        <is>
          <t>PAJALA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2925-2023</t>
        </is>
      </c>
      <c r="B5248" s="1" t="n">
        <v>44945</v>
      </c>
      <c r="C5248" s="1" t="n">
        <v>45798</v>
      </c>
      <c r="D5248" t="inlineStr">
        <is>
          <t>NORRBOTTENS LÄN</t>
        </is>
      </c>
      <c r="E5248" t="inlineStr">
        <is>
          <t>PAJALA</t>
        </is>
      </c>
      <c r="G5248" t="n">
        <v>20.2</v>
      </c>
      <c r="H5248" t="n">
        <v>0</v>
      </c>
      <c r="I5248" t="n">
        <v>0</v>
      </c>
      <c r="J5248" t="n">
        <v>0</v>
      </c>
      <c r="K5248" t="n">
        <v>0</v>
      </c>
      <c r="L5248" t="n">
        <v>0</v>
      </c>
      <c r="M5248" t="n">
        <v>0</v>
      </c>
      <c r="N5248" t="n">
        <v>0</v>
      </c>
      <c r="O5248" t="n">
        <v>0</v>
      </c>
      <c r="P5248" t="n">
        <v>0</v>
      </c>
      <c r="Q5248" t="n">
        <v>0</v>
      </c>
      <c r="R5248" s="2" t="inlineStr"/>
    </row>
    <row r="5249" ht="15" customHeight="1">
      <c r="A5249" t="inlineStr">
        <is>
          <t>A 2931-2023</t>
        </is>
      </c>
      <c r="B5249" s="1" t="n">
        <v>44945</v>
      </c>
      <c r="C5249" s="1" t="n">
        <v>45798</v>
      </c>
      <c r="D5249" t="inlineStr">
        <is>
          <t>NORRBOTTENS LÄN</t>
        </is>
      </c>
      <c r="E5249" t="inlineStr">
        <is>
          <t>PAJALA</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2961-2023</t>
        </is>
      </c>
      <c r="B5250" s="1" t="n">
        <v>44945</v>
      </c>
      <c r="C5250" s="1" t="n">
        <v>45798</v>
      </c>
      <c r="D5250" t="inlineStr">
        <is>
          <t>NORRBOTTENS LÄN</t>
        </is>
      </c>
      <c r="E5250" t="inlineStr">
        <is>
          <t>ÖVERTORNEÅ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3387-2023</t>
        </is>
      </c>
      <c r="B5251" s="1" t="n">
        <v>44945</v>
      </c>
      <c r="C5251" s="1" t="n">
        <v>45798</v>
      </c>
      <c r="D5251" t="inlineStr">
        <is>
          <t>NORRBOTTENS LÄN</t>
        </is>
      </c>
      <c r="E5251" t="inlineStr">
        <is>
          <t>KALIX</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3405-2023</t>
        </is>
      </c>
      <c r="B5252" s="1" t="n">
        <v>44945</v>
      </c>
      <c r="C5252" s="1" t="n">
        <v>45798</v>
      </c>
      <c r="D5252" t="inlineStr">
        <is>
          <t>NORRBOTTENS LÄN</t>
        </is>
      </c>
      <c r="E5252" t="inlineStr">
        <is>
          <t>KALIX</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3400-2023</t>
        </is>
      </c>
      <c r="B5253" s="1" t="n">
        <v>44945</v>
      </c>
      <c r="C5253" s="1" t="n">
        <v>45798</v>
      </c>
      <c r="D5253" t="inlineStr">
        <is>
          <t>NORRBOTTENS LÄN</t>
        </is>
      </c>
      <c r="E5253" t="inlineStr">
        <is>
          <t>KALIX</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3403-2023</t>
        </is>
      </c>
      <c r="B5254" s="1" t="n">
        <v>44945</v>
      </c>
      <c r="C5254" s="1" t="n">
        <v>45798</v>
      </c>
      <c r="D5254" t="inlineStr">
        <is>
          <t>NORRBOTTENS LÄN</t>
        </is>
      </c>
      <c r="E5254" t="inlineStr">
        <is>
          <t>KALIX</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3128-2023</t>
        </is>
      </c>
      <c r="B5255" s="1" t="n">
        <v>44946</v>
      </c>
      <c r="C5255" s="1" t="n">
        <v>45798</v>
      </c>
      <c r="D5255" t="inlineStr">
        <is>
          <t>NORRBOTTENS LÄN</t>
        </is>
      </c>
      <c r="E5255" t="inlineStr">
        <is>
          <t>LULEÅ</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3130-2023</t>
        </is>
      </c>
      <c r="B5256" s="1" t="n">
        <v>44946</v>
      </c>
      <c r="C5256" s="1" t="n">
        <v>45798</v>
      </c>
      <c r="D5256" t="inlineStr">
        <is>
          <t>NORRBOTTENS LÄN</t>
        </is>
      </c>
      <c r="E5256" t="inlineStr">
        <is>
          <t>BODEN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3241-2023</t>
        </is>
      </c>
      <c r="B5257" s="1" t="n">
        <v>44946</v>
      </c>
      <c r="C5257" s="1" t="n">
        <v>45798</v>
      </c>
      <c r="D5257" t="inlineStr">
        <is>
          <t>NORRBOTTENS LÄN</t>
        </is>
      </c>
      <c r="E5257" t="inlineStr">
        <is>
          <t>ARVIDSJAUR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3500-2023</t>
        </is>
      </c>
      <c r="B5258" s="1" t="n">
        <v>44949</v>
      </c>
      <c r="C5258" s="1" t="n">
        <v>45798</v>
      </c>
      <c r="D5258" t="inlineStr">
        <is>
          <t>NORRBOTTENS LÄN</t>
        </is>
      </c>
      <c r="E5258" t="inlineStr">
        <is>
          <t>ÄLVSBYN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3497-2023</t>
        </is>
      </c>
      <c r="B5259" s="1" t="n">
        <v>44949</v>
      </c>
      <c r="C5259" s="1" t="n">
        <v>45798</v>
      </c>
      <c r="D5259" t="inlineStr">
        <is>
          <t>NORRBOTTENS LÄN</t>
        </is>
      </c>
      <c r="E5259" t="inlineStr">
        <is>
          <t>ÄLVSBYN</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4013-2023</t>
        </is>
      </c>
      <c r="B5260" s="1" t="n">
        <v>44949</v>
      </c>
      <c r="C5260" s="1" t="n">
        <v>45798</v>
      </c>
      <c r="D5260" t="inlineStr">
        <is>
          <t>NORRBOTTENS LÄN</t>
        </is>
      </c>
      <c r="E5260" t="inlineStr">
        <is>
          <t>ÄLVSBYN</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3498-2023</t>
        </is>
      </c>
      <c r="B5261" s="1" t="n">
        <v>44949</v>
      </c>
      <c r="C5261" s="1" t="n">
        <v>45798</v>
      </c>
      <c r="D5261" t="inlineStr">
        <is>
          <t>NORRBOTTENS LÄN</t>
        </is>
      </c>
      <c r="E5261" t="inlineStr">
        <is>
          <t>HAPARANDA</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3595-2023</t>
        </is>
      </c>
      <c r="B5262" s="1" t="n">
        <v>44950</v>
      </c>
      <c r="C5262" s="1" t="n">
        <v>45798</v>
      </c>
      <c r="D5262" t="inlineStr">
        <is>
          <t>NORRBOTTENS LÄN</t>
        </is>
      </c>
      <c r="E5262" t="inlineStr">
        <is>
          <t>ÖVERTORNEÅ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3521-2023</t>
        </is>
      </c>
      <c r="B5263" s="1" t="n">
        <v>44950</v>
      </c>
      <c r="C5263" s="1" t="n">
        <v>45798</v>
      </c>
      <c r="D5263" t="inlineStr">
        <is>
          <t>NORRBOTTENS LÄN</t>
        </is>
      </c>
      <c r="E5263" t="inlineStr">
        <is>
          <t>PITEÅ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3695-2023</t>
        </is>
      </c>
      <c r="B5264" s="1" t="n">
        <v>44950</v>
      </c>
      <c r="C5264" s="1" t="n">
        <v>45798</v>
      </c>
      <c r="D5264" t="inlineStr">
        <is>
          <t>NORRBOTTENS LÄN</t>
        </is>
      </c>
      <c r="E5264" t="inlineStr">
        <is>
          <t>ÖVERKALIX</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3694-2023</t>
        </is>
      </c>
      <c r="B5265" s="1" t="n">
        <v>44950</v>
      </c>
      <c r="C5265" s="1" t="n">
        <v>45798</v>
      </c>
      <c r="D5265" t="inlineStr">
        <is>
          <t>NORRBOTTENS LÄN</t>
        </is>
      </c>
      <c r="E5265" t="inlineStr">
        <is>
          <t>ÖVERKALIX</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4082-2023</t>
        </is>
      </c>
      <c r="B5266" s="1" t="n">
        <v>44950</v>
      </c>
      <c r="C5266" s="1" t="n">
        <v>45798</v>
      </c>
      <c r="D5266" t="inlineStr">
        <is>
          <t>NORRBOTTENS LÄN</t>
        </is>
      </c>
      <c r="E5266" t="inlineStr">
        <is>
          <t>KALIX</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3725-2023</t>
        </is>
      </c>
      <c r="B5267" s="1" t="n">
        <v>44951</v>
      </c>
      <c r="C5267" s="1" t="n">
        <v>45798</v>
      </c>
      <c r="D5267" t="inlineStr">
        <is>
          <t>NORRBOTTENS LÄN</t>
        </is>
      </c>
      <c r="E5267" t="inlineStr">
        <is>
          <t>BODEN</t>
        </is>
      </c>
      <c r="G5267" t="n">
        <v>28.9</v>
      </c>
      <c r="H5267" t="n">
        <v>0</v>
      </c>
      <c r="I5267" t="n">
        <v>0</v>
      </c>
      <c r="J5267" t="n">
        <v>0</v>
      </c>
      <c r="K5267" t="n">
        <v>0</v>
      </c>
      <c r="L5267" t="n">
        <v>0</v>
      </c>
      <c r="M5267" t="n">
        <v>0</v>
      </c>
      <c r="N5267" t="n">
        <v>0</v>
      </c>
      <c r="O5267" t="n">
        <v>0</v>
      </c>
      <c r="P5267" t="n">
        <v>0</v>
      </c>
      <c r="Q5267" t="n">
        <v>0</v>
      </c>
      <c r="R5267" s="2" t="inlineStr"/>
    </row>
    <row r="5268" ht="15" customHeight="1">
      <c r="A5268" t="inlineStr">
        <is>
          <t>A 3888-2023</t>
        </is>
      </c>
      <c r="B5268" s="1" t="n">
        <v>44951</v>
      </c>
      <c r="C5268" s="1" t="n">
        <v>45798</v>
      </c>
      <c r="D5268" t="inlineStr">
        <is>
          <t>NORRBOTTENS LÄN</t>
        </is>
      </c>
      <c r="E5268" t="inlineStr">
        <is>
          <t>LULEÅ</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3889-2023</t>
        </is>
      </c>
      <c r="B5269" s="1" t="n">
        <v>44951</v>
      </c>
      <c r="C5269" s="1" t="n">
        <v>45798</v>
      </c>
      <c r="D5269" t="inlineStr">
        <is>
          <t>NORRBOTTENS LÄN</t>
        </is>
      </c>
      <c r="E5269" t="inlineStr">
        <is>
          <t>PITEÅ</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4357-2023</t>
        </is>
      </c>
      <c r="B5270" s="1" t="n">
        <v>44951</v>
      </c>
      <c r="C5270" s="1" t="n">
        <v>45798</v>
      </c>
      <c r="D5270" t="inlineStr">
        <is>
          <t>NORRBOTTENS LÄN</t>
        </is>
      </c>
      <c r="E5270" t="inlineStr">
        <is>
          <t>KALIX</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4128-2023</t>
        </is>
      </c>
      <c r="B5271" s="1" t="n">
        <v>44952</v>
      </c>
      <c r="C5271" s="1" t="n">
        <v>45798</v>
      </c>
      <c r="D5271" t="inlineStr">
        <is>
          <t>NORRBOTTENS LÄN</t>
        </is>
      </c>
      <c r="E5271" t="inlineStr">
        <is>
          <t>ÄLVSBYN</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4127-2023</t>
        </is>
      </c>
      <c r="B5272" s="1" t="n">
        <v>44952</v>
      </c>
      <c r="C5272" s="1" t="n">
        <v>45798</v>
      </c>
      <c r="D5272" t="inlineStr">
        <is>
          <t>NORRBOTTENS LÄN</t>
        </is>
      </c>
      <c r="E5272" t="inlineStr">
        <is>
          <t>ÄLVSBYN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4046-2023</t>
        </is>
      </c>
      <c r="B5273" s="1" t="n">
        <v>44952</v>
      </c>
      <c r="C5273" s="1" t="n">
        <v>45798</v>
      </c>
      <c r="D5273" t="inlineStr">
        <is>
          <t>NORRBOTTENS LÄN</t>
        </is>
      </c>
      <c r="E5273" t="inlineStr">
        <is>
          <t>LULEÅ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4185-2023</t>
        </is>
      </c>
      <c r="B5274" s="1" t="n">
        <v>44953</v>
      </c>
      <c r="C5274" s="1" t="n">
        <v>45798</v>
      </c>
      <c r="D5274" t="inlineStr">
        <is>
          <t>NORRBOTTENS LÄN</t>
        </is>
      </c>
      <c r="E5274" t="inlineStr">
        <is>
          <t>GÄLLIVARE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4768-2023</t>
        </is>
      </c>
      <c r="B5275" s="1" t="n">
        <v>44953</v>
      </c>
      <c r="C5275" s="1" t="n">
        <v>45798</v>
      </c>
      <c r="D5275" t="inlineStr">
        <is>
          <t>NORRBOTTENS LÄN</t>
        </is>
      </c>
      <c r="E5275" t="inlineStr">
        <is>
          <t>GÄLLIVARE</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4756-2023</t>
        </is>
      </c>
      <c r="B5276" s="1" t="n">
        <v>44953</v>
      </c>
      <c r="C5276" s="1" t="n">
        <v>45798</v>
      </c>
      <c r="D5276" t="inlineStr">
        <is>
          <t>NORRBOTTENS LÄN</t>
        </is>
      </c>
      <c r="E5276" t="inlineStr">
        <is>
          <t>GÄLLIVARE</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4773-2023</t>
        </is>
      </c>
      <c r="B5277" s="1" t="n">
        <v>44953</v>
      </c>
      <c r="C5277" s="1" t="n">
        <v>45798</v>
      </c>
      <c r="D5277" t="inlineStr">
        <is>
          <t>NORRBOTTENS LÄN</t>
        </is>
      </c>
      <c r="E5277" t="inlineStr">
        <is>
          <t>GÄLLIVARE</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4238-2023</t>
        </is>
      </c>
      <c r="B5278" s="1" t="n">
        <v>44953</v>
      </c>
      <c r="C5278" s="1" t="n">
        <v>45798</v>
      </c>
      <c r="D5278" t="inlineStr">
        <is>
          <t>NORRBOTTENS LÄN</t>
        </is>
      </c>
      <c r="E5278" t="inlineStr">
        <is>
          <t>GÄLLIVARE</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4354-2023</t>
        </is>
      </c>
      <c r="B5279" s="1" t="n">
        <v>44954</v>
      </c>
      <c r="C5279" s="1" t="n">
        <v>45798</v>
      </c>
      <c r="D5279" t="inlineStr">
        <is>
          <t>NORRBOTTENS LÄN</t>
        </is>
      </c>
      <c r="E5279" t="inlineStr">
        <is>
          <t>PAJALA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4405-2023</t>
        </is>
      </c>
      <c r="B5280" s="1" t="n">
        <v>44956</v>
      </c>
      <c r="C5280" s="1" t="n">
        <v>45798</v>
      </c>
      <c r="D5280" t="inlineStr">
        <is>
          <t>NORRBOTTENS LÄN</t>
        </is>
      </c>
      <c r="E5280" t="inlineStr">
        <is>
          <t>KALIX</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4412-2023</t>
        </is>
      </c>
      <c r="B5281" s="1" t="n">
        <v>44956</v>
      </c>
      <c r="C5281" s="1" t="n">
        <v>45798</v>
      </c>
      <c r="D5281" t="inlineStr">
        <is>
          <t>NORRBOTTENS LÄN</t>
        </is>
      </c>
      <c r="E5281" t="inlineStr">
        <is>
          <t>KALIX</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4599-2023</t>
        </is>
      </c>
      <c r="B5282" s="1" t="n">
        <v>44956</v>
      </c>
      <c r="C5282" s="1" t="n">
        <v>45798</v>
      </c>
      <c r="D5282" t="inlineStr">
        <is>
          <t>NORRBOTTENS LÄN</t>
        </is>
      </c>
      <c r="E5282" t="inlineStr">
        <is>
          <t>LULEÅ</t>
        </is>
      </c>
      <c r="G5282" t="n">
        <v>14.8</v>
      </c>
      <c r="H5282" t="n">
        <v>0</v>
      </c>
      <c r="I5282" t="n">
        <v>0</v>
      </c>
      <c r="J5282" t="n">
        <v>0</v>
      </c>
      <c r="K5282" t="n">
        <v>0</v>
      </c>
      <c r="L5282" t="n">
        <v>0</v>
      </c>
      <c r="M5282" t="n">
        <v>0</v>
      </c>
      <c r="N5282" t="n">
        <v>0</v>
      </c>
      <c r="O5282" t="n">
        <v>0</v>
      </c>
      <c r="P5282" t="n">
        <v>0</v>
      </c>
      <c r="Q5282" t="n">
        <v>0</v>
      </c>
      <c r="R5282" s="2" t="inlineStr"/>
    </row>
    <row r="5283" ht="15" customHeight="1">
      <c r="A5283" t="inlineStr">
        <is>
          <t>A 5259-2023</t>
        </is>
      </c>
      <c r="B5283" s="1" t="n">
        <v>44956</v>
      </c>
      <c r="C5283" s="1" t="n">
        <v>45798</v>
      </c>
      <c r="D5283" t="inlineStr">
        <is>
          <t>NORRBOTTENS LÄN</t>
        </is>
      </c>
      <c r="E5283" t="inlineStr">
        <is>
          <t>BODEN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4732-2023</t>
        </is>
      </c>
      <c r="B5284" s="1" t="n">
        <v>44957</v>
      </c>
      <c r="C5284" s="1" t="n">
        <v>45798</v>
      </c>
      <c r="D5284" t="inlineStr">
        <is>
          <t>NORRBOTTENS LÄN</t>
        </is>
      </c>
      <c r="E5284" t="inlineStr">
        <is>
          <t>ARVIDSJAUR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4729-2023</t>
        </is>
      </c>
      <c r="B5285" s="1" t="n">
        <v>44957</v>
      </c>
      <c r="C5285" s="1" t="n">
        <v>45798</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5420-2023</t>
        </is>
      </c>
      <c r="B5286" s="1" t="n">
        <v>44957</v>
      </c>
      <c r="C5286" s="1" t="n">
        <v>45798</v>
      </c>
      <c r="D5286" t="inlineStr">
        <is>
          <t>NORRBOTTENS LÄN</t>
        </is>
      </c>
      <c r="E5286" t="inlineStr">
        <is>
          <t>KALIX</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5508-2023</t>
        </is>
      </c>
      <c r="B5287" s="1" t="n">
        <v>44957</v>
      </c>
      <c r="C5287" s="1" t="n">
        <v>45798</v>
      </c>
      <c r="D5287" t="inlineStr">
        <is>
          <t>NORRBOTTENS LÄN</t>
        </is>
      </c>
      <c r="E5287" t="inlineStr">
        <is>
          <t>HAPARANDA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5549-2023</t>
        </is>
      </c>
      <c r="B5288" s="1" t="n">
        <v>44957</v>
      </c>
      <c r="C5288" s="1" t="n">
        <v>45798</v>
      </c>
      <c r="D5288" t="inlineStr">
        <is>
          <t>NORRBOTTENS LÄN</t>
        </is>
      </c>
      <c r="E5288" t="inlineStr">
        <is>
          <t>HAPARANDA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5498-2023</t>
        </is>
      </c>
      <c r="B5289" s="1" t="n">
        <v>44957</v>
      </c>
      <c r="C5289" s="1" t="n">
        <v>45798</v>
      </c>
      <c r="D5289" t="inlineStr">
        <is>
          <t>NORRBOTTENS LÄN</t>
        </is>
      </c>
      <c r="E5289" t="inlineStr">
        <is>
          <t>HAPARANDA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5534-2023</t>
        </is>
      </c>
      <c r="B5290" s="1" t="n">
        <v>44957</v>
      </c>
      <c r="C5290" s="1" t="n">
        <v>45798</v>
      </c>
      <c r="D5290" t="inlineStr">
        <is>
          <t>NORRBOTTENS LÄN</t>
        </is>
      </c>
      <c r="E5290" t="inlineStr">
        <is>
          <t>KALIX</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5562-2023</t>
        </is>
      </c>
      <c r="B5291" s="1" t="n">
        <v>44957</v>
      </c>
      <c r="C5291" s="1" t="n">
        <v>45798</v>
      </c>
      <c r="D5291" t="inlineStr">
        <is>
          <t>NORRBOTTENS LÄN</t>
        </is>
      </c>
      <c r="E5291" t="inlineStr">
        <is>
          <t>HAPARANDA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5503-2023</t>
        </is>
      </c>
      <c r="B5292" s="1" t="n">
        <v>44957</v>
      </c>
      <c r="C5292" s="1" t="n">
        <v>45798</v>
      </c>
      <c r="D5292" t="inlineStr">
        <is>
          <t>NORRBOTTENS LÄN</t>
        </is>
      </c>
      <c r="E5292" t="inlineStr">
        <is>
          <t>HAPARANDA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5539-2023</t>
        </is>
      </c>
      <c r="B5293" s="1" t="n">
        <v>44957</v>
      </c>
      <c r="C5293" s="1" t="n">
        <v>45798</v>
      </c>
      <c r="D5293" t="inlineStr">
        <is>
          <t>NORRBOTTENS LÄN</t>
        </is>
      </c>
      <c r="E5293" t="inlineStr">
        <is>
          <t>HAPARANDA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5563-2023</t>
        </is>
      </c>
      <c r="B5294" s="1" t="n">
        <v>44957</v>
      </c>
      <c r="C5294" s="1" t="n">
        <v>45798</v>
      </c>
      <c r="D5294" t="inlineStr">
        <is>
          <t>NORRBOTTENS LÄN</t>
        </is>
      </c>
      <c r="E5294" t="inlineStr">
        <is>
          <t>HAPARANDA</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5157-2023</t>
        </is>
      </c>
      <c r="B5295" s="1" t="n">
        <v>44958</v>
      </c>
      <c r="C5295" s="1" t="n">
        <v>45798</v>
      </c>
      <c r="D5295" t="inlineStr">
        <is>
          <t>NORRBOTTENS LÄN</t>
        </is>
      </c>
      <c r="E5295" t="inlineStr">
        <is>
          <t>ÖVERKALIX</t>
        </is>
      </c>
      <c r="F5295" t="inlineStr">
        <is>
          <t>SCA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5771-2023</t>
        </is>
      </c>
      <c r="B5296" s="1" t="n">
        <v>44958</v>
      </c>
      <c r="C5296" s="1" t="n">
        <v>45798</v>
      </c>
      <c r="D5296" t="inlineStr">
        <is>
          <t>NORRBOTTENS LÄN</t>
        </is>
      </c>
      <c r="E5296" t="inlineStr">
        <is>
          <t>PAJALA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5659-2023</t>
        </is>
      </c>
      <c r="B5297" s="1" t="n">
        <v>44958</v>
      </c>
      <c r="C5297" s="1" t="n">
        <v>45798</v>
      </c>
      <c r="D5297" t="inlineStr">
        <is>
          <t>NORRBOTTENS LÄN</t>
        </is>
      </c>
      <c r="E5297" t="inlineStr">
        <is>
          <t>ÄLVSBYN</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5842-2023</t>
        </is>
      </c>
      <c r="B5298" s="1" t="n">
        <v>44958</v>
      </c>
      <c r="C5298" s="1" t="n">
        <v>45798</v>
      </c>
      <c r="D5298" t="inlineStr">
        <is>
          <t>NORRBOTTENS LÄN</t>
        </is>
      </c>
      <c r="E5298" t="inlineStr">
        <is>
          <t>KIRUNA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5434-2023</t>
        </is>
      </c>
      <c r="B5299" s="1" t="n">
        <v>44959</v>
      </c>
      <c r="C5299" s="1" t="n">
        <v>45798</v>
      </c>
      <c r="D5299" t="inlineStr">
        <is>
          <t>NORRBOTTENS LÄN</t>
        </is>
      </c>
      <c r="E5299" t="inlineStr">
        <is>
          <t>PAJALA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5336-2023</t>
        </is>
      </c>
      <c r="B5300" s="1" t="n">
        <v>44959</v>
      </c>
      <c r="C5300" s="1" t="n">
        <v>45798</v>
      </c>
      <c r="D5300" t="inlineStr">
        <is>
          <t>NORRBOTTENS LÄN</t>
        </is>
      </c>
      <c r="E5300" t="inlineStr">
        <is>
          <t>PAJALA</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5435-2023</t>
        </is>
      </c>
      <c r="B5301" s="1" t="n">
        <v>44959</v>
      </c>
      <c r="C5301" s="1" t="n">
        <v>45798</v>
      </c>
      <c r="D5301" t="inlineStr">
        <is>
          <t>NORRBOTTENS LÄN</t>
        </is>
      </c>
      <c r="E5301" t="inlineStr">
        <is>
          <t>PAJALA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5432-2023</t>
        </is>
      </c>
      <c r="B5302" s="1" t="n">
        <v>44959</v>
      </c>
      <c r="C5302" s="1" t="n">
        <v>45798</v>
      </c>
      <c r="D5302" t="inlineStr">
        <is>
          <t>NORRBOTTENS LÄN</t>
        </is>
      </c>
      <c r="E5302" t="inlineStr">
        <is>
          <t>PAJALA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5381-2023</t>
        </is>
      </c>
      <c r="B5303" s="1" t="n">
        <v>44959</v>
      </c>
      <c r="C5303" s="1" t="n">
        <v>45798</v>
      </c>
      <c r="D5303" t="inlineStr">
        <is>
          <t>NORRBOTTENS LÄN</t>
        </is>
      </c>
      <c r="E5303" t="inlineStr">
        <is>
          <t>ÖVERTORNEÅ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5454-2023</t>
        </is>
      </c>
      <c r="B5304" s="1" t="n">
        <v>44959</v>
      </c>
      <c r="C5304" s="1" t="n">
        <v>45798</v>
      </c>
      <c r="D5304" t="inlineStr">
        <is>
          <t>NORRBOTTENS LÄN</t>
        </is>
      </c>
      <c r="E5304" t="inlineStr">
        <is>
          <t>GÄLLIVARE</t>
        </is>
      </c>
      <c r="F5304" t="inlineStr">
        <is>
          <t>SCA</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5456-2023</t>
        </is>
      </c>
      <c r="B5305" s="1" t="n">
        <v>44959</v>
      </c>
      <c r="C5305" s="1" t="n">
        <v>45798</v>
      </c>
      <c r="D5305" t="inlineStr">
        <is>
          <t>NORRBOTTENS LÄN</t>
        </is>
      </c>
      <c r="E5305" t="inlineStr">
        <is>
          <t>GÄLLIVARE</t>
        </is>
      </c>
      <c r="F5305" t="inlineStr">
        <is>
          <t>SCA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5453-2023</t>
        </is>
      </c>
      <c r="B5306" s="1" t="n">
        <v>44959</v>
      </c>
      <c r="C5306" s="1" t="n">
        <v>45798</v>
      </c>
      <c r="D5306" t="inlineStr">
        <is>
          <t>NORRBOTTENS LÄN</t>
        </is>
      </c>
      <c r="E5306" t="inlineStr">
        <is>
          <t>ÖVERKALIX</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6004-2023</t>
        </is>
      </c>
      <c r="B5307" s="1" t="n">
        <v>44959</v>
      </c>
      <c r="C5307" s="1" t="n">
        <v>45798</v>
      </c>
      <c r="D5307" t="inlineStr">
        <is>
          <t>NORRBOTTENS LÄN</t>
        </is>
      </c>
      <c r="E5307" t="inlineStr">
        <is>
          <t>ÄLVSBYN</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5635-2023</t>
        </is>
      </c>
      <c r="B5308" s="1" t="n">
        <v>44960</v>
      </c>
      <c r="C5308" s="1" t="n">
        <v>45798</v>
      </c>
      <c r="D5308" t="inlineStr">
        <is>
          <t>NORRBOTTENS LÄN</t>
        </is>
      </c>
      <c r="E5308" t="inlineStr">
        <is>
          <t>ÄLVSBYN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5695-2023</t>
        </is>
      </c>
      <c r="B5309" s="1" t="n">
        <v>44960</v>
      </c>
      <c r="C5309" s="1" t="n">
        <v>45798</v>
      </c>
      <c r="D5309" t="inlineStr">
        <is>
          <t>NORRBOTTENS LÄN</t>
        </is>
      </c>
      <c r="E5309" t="inlineStr">
        <is>
          <t>GÄLLIVARE</t>
        </is>
      </c>
      <c r="F5309" t="inlineStr">
        <is>
          <t>SCA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5704-2023</t>
        </is>
      </c>
      <c r="B5310" s="1" t="n">
        <v>44960</v>
      </c>
      <c r="C5310" s="1" t="n">
        <v>45798</v>
      </c>
      <c r="D5310" t="inlineStr">
        <is>
          <t>NORRBOTTENS LÄN</t>
        </is>
      </c>
      <c r="E5310" t="inlineStr">
        <is>
          <t>GÄLLIVARE</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5708-2023</t>
        </is>
      </c>
      <c r="B5311" s="1" t="n">
        <v>44960</v>
      </c>
      <c r="C5311" s="1" t="n">
        <v>45798</v>
      </c>
      <c r="D5311" t="inlineStr">
        <is>
          <t>NORRBOTTENS LÄN</t>
        </is>
      </c>
      <c r="E5311" t="inlineStr">
        <is>
          <t>GÄLLIVARE</t>
        </is>
      </c>
      <c r="F5311" t="inlineStr">
        <is>
          <t>SCA</t>
        </is>
      </c>
      <c r="G5311" t="n">
        <v>15.3</v>
      </c>
      <c r="H5311" t="n">
        <v>0</v>
      </c>
      <c r="I5311" t="n">
        <v>0</v>
      </c>
      <c r="J5311" t="n">
        <v>0</v>
      </c>
      <c r="K5311" t="n">
        <v>0</v>
      </c>
      <c r="L5311" t="n">
        <v>0</v>
      </c>
      <c r="M5311" t="n">
        <v>0</v>
      </c>
      <c r="N5311" t="n">
        <v>0</v>
      </c>
      <c r="O5311" t="n">
        <v>0</v>
      </c>
      <c r="P5311" t="n">
        <v>0</v>
      </c>
      <c r="Q5311" t="n">
        <v>0</v>
      </c>
      <c r="R5311" s="2" t="inlineStr"/>
    </row>
    <row r="5312" ht="15" customHeight="1">
      <c r="A5312" t="inlineStr">
        <is>
          <t>A 5636-2023</t>
        </is>
      </c>
      <c r="B5312" s="1" t="n">
        <v>44960</v>
      </c>
      <c r="C5312" s="1" t="n">
        <v>45798</v>
      </c>
      <c r="D5312" t="inlineStr">
        <is>
          <t>NORRBOTTENS LÄN</t>
        </is>
      </c>
      <c r="E5312" t="inlineStr">
        <is>
          <t>PITEÅ</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5705-2023</t>
        </is>
      </c>
      <c r="B5313" s="1" t="n">
        <v>44960</v>
      </c>
      <c r="C5313" s="1" t="n">
        <v>45798</v>
      </c>
      <c r="D5313" t="inlineStr">
        <is>
          <t>NORRBOTTENS LÄN</t>
        </is>
      </c>
      <c r="E5313" t="inlineStr">
        <is>
          <t>ÖVERKALIX</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5709-2023</t>
        </is>
      </c>
      <c r="B5314" s="1" t="n">
        <v>44960</v>
      </c>
      <c r="C5314" s="1" t="n">
        <v>45798</v>
      </c>
      <c r="D5314" t="inlineStr">
        <is>
          <t>NORRBOTTENS LÄN</t>
        </is>
      </c>
      <c r="E5314" t="inlineStr">
        <is>
          <t>GÄLLIVARE</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5706-2023</t>
        </is>
      </c>
      <c r="B5315" s="1" t="n">
        <v>44960</v>
      </c>
      <c r="C5315" s="1" t="n">
        <v>45798</v>
      </c>
      <c r="D5315" t="inlineStr">
        <is>
          <t>NORRBOTTENS LÄN</t>
        </is>
      </c>
      <c r="E5315" t="inlineStr">
        <is>
          <t>PAJALA</t>
        </is>
      </c>
      <c r="F5315" t="inlineStr">
        <is>
          <t>SCA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5688-2023</t>
        </is>
      </c>
      <c r="B5316" s="1" t="n">
        <v>44960</v>
      </c>
      <c r="C5316" s="1" t="n">
        <v>45798</v>
      </c>
      <c r="D5316" t="inlineStr">
        <is>
          <t>NORRBOTTENS LÄN</t>
        </is>
      </c>
      <c r="E5316" t="inlineStr">
        <is>
          <t>LULEÅ</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5693-2023</t>
        </is>
      </c>
      <c r="B5317" s="1" t="n">
        <v>44960</v>
      </c>
      <c r="C5317" s="1" t="n">
        <v>45798</v>
      </c>
      <c r="D5317" t="inlineStr">
        <is>
          <t>NORRBOTTENS LÄN</t>
        </is>
      </c>
      <c r="E5317" t="inlineStr">
        <is>
          <t>PAJALA</t>
        </is>
      </c>
      <c r="F5317" t="inlineStr">
        <is>
          <t>SCA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5703-2023</t>
        </is>
      </c>
      <c r="B5318" s="1" t="n">
        <v>44960</v>
      </c>
      <c r="C5318" s="1" t="n">
        <v>45798</v>
      </c>
      <c r="D5318" t="inlineStr">
        <is>
          <t>NORRBOTTENS LÄN</t>
        </is>
      </c>
      <c r="E5318" t="inlineStr">
        <is>
          <t>ÖVERKALIX</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5707-2023</t>
        </is>
      </c>
      <c r="B5319" s="1" t="n">
        <v>44960</v>
      </c>
      <c r="C5319" s="1" t="n">
        <v>45798</v>
      </c>
      <c r="D5319" t="inlineStr">
        <is>
          <t>NORRBOTTENS LÄN</t>
        </is>
      </c>
      <c r="E5319" t="inlineStr">
        <is>
          <t>PAJALA</t>
        </is>
      </c>
      <c r="F5319" t="inlineStr">
        <is>
          <t>SCA</t>
        </is>
      </c>
      <c r="G5319" t="n">
        <v>12.7</v>
      </c>
      <c r="H5319" t="n">
        <v>0</v>
      </c>
      <c r="I5319" t="n">
        <v>0</v>
      </c>
      <c r="J5319" t="n">
        <v>0</v>
      </c>
      <c r="K5319" t="n">
        <v>0</v>
      </c>
      <c r="L5319" t="n">
        <v>0</v>
      </c>
      <c r="M5319" t="n">
        <v>0</v>
      </c>
      <c r="N5319" t="n">
        <v>0</v>
      </c>
      <c r="O5319" t="n">
        <v>0</v>
      </c>
      <c r="P5319" t="n">
        <v>0</v>
      </c>
      <c r="Q5319" t="n">
        <v>0</v>
      </c>
      <c r="R5319" s="2" t="inlineStr"/>
    </row>
    <row r="5320" ht="15" customHeight="1">
      <c r="A5320" t="inlineStr">
        <is>
          <t>A 6386-2023</t>
        </is>
      </c>
      <c r="B5320" s="1" t="n">
        <v>44960</v>
      </c>
      <c r="C5320" s="1" t="n">
        <v>45798</v>
      </c>
      <c r="D5320" t="inlineStr">
        <is>
          <t>NORRBOTTENS LÄN</t>
        </is>
      </c>
      <c r="E5320" t="inlineStr">
        <is>
          <t>LULEÅ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6269-2023</t>
        </is>
      </c>
      <c r="B5321" s="1" t="n">
        <v>44960</v>
      </c>
      <c r="C5321" s="1" t="n">
        <v>45798</v>
      </c>
      <c r="D5321" t="inlineStr">
        <is>
          <t>NORRBOTTENS LÄN</t>
        </is>
      </c>
      <c r="E5321" t="inlineStr">
        <is>
          <t>LULEÅ</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6396-2023</t>
        </is>
      </c>
      <c r="B5322" s="1" t="n">
        <v>44960</v>
      </c>
      <c r="C5322" s="1" t="n">
        <v>45798</v>
      </c>
      <c r="D5322" t="inlineStr">
        <is>
          <t>NORRBOTTENS LÄN</t>
        </is>
      </c>
      <c r="E5322" t="inlineStr">
        <is>
          <t>LULEÅ</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5610-2023</t>
        </is>
      </c>
      <c r="B5323" s="1" t="n">
        <v>44960</v>
      </c>
      <c r="C5323" s="1" t="n">
        <v>45798</v>
      </c>
      <c r="D5323" t="inlineStr">
        <is>
          <t>NORRBOTTENS LÄN</t>
        </is>
      </c>
      <c r="E5323" t="inlineStr">
        <is>
          <t>ÄLVSBYN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5603-2023</t>
        </is>
      </c>
      <c r="B5324" s="1" t="n">
        <v>44960</v>
      </c>
      <c r="C5324" s="1" t="n">
        <v>45798</v>
      </c>
      <c r="D5324" t="inlineStr">
        <is>
          <t>NORRBOTTENS LÄN</t>
        </is>
      </c>
      <c r="E5324" t="inlineStr">
        <is>
          <t>ÄLVSBYN</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5784-2023</t>
        </is>
      </c>
      <c r="B5325" s="1" t="n">
        <v>44963</v>
      </c>
      <c r="C5325" s="1" t="n">
        <v>45798</v>
      </c>
      <c r="D5325" t="inlineStr">
        <is>
          <t>NORRBOTTENS LÄN</t>
        </is>
      </c>
      <c r="E5325" t="inlineStr">
        <is>
          <t>PAJALA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5788-2023</t>
        </is>
      </c>
      <c r="B5326" s="1" t="n">
        <v>44963</v>
      </c>
      <c r="C5326" s="1" t="n">
        <v>45798</v>
      </c>
      <c r="D5326" t="inlineStr">
        <is>
          <t>NORRBOTTENS LÄN</t>
        </is>
      </c>
      <c r="E5326" t="inlineStr">
        <is>
          <t>PAJALA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5786-2023</t>
        </is>
      </c>
      <c r="B5327" s="1" t="n">
        <v>44963</v>
      </c>
      <c r="C5327" s="1" t="n">
        <v>45798</v>
      </c>
      <c r="D5327" t="inlineStr">
        <is>
          <t>NORRBOTTENS LÄN</t>
        </is>
      </c>
      <c r="E5327" t="inlineStr">
        <is>
          <t>PAJALA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5791-2023</t>
        </is>
      </c>
      <c r="B5328" s="1" t="n">
        <v>44963</v>
      </c>
      <c r="C5328" s="1" t="n">
        <v>45798</v>
      </c>
      <c r="D5328" t="inlineStr">
        <is>
          <t>NORRBOTTENS LÄN</t>
        </is>
      </c>
      <c r="E5328" t="inlineStr">
        <is>
          <t>PAJALA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5780-2023</t>
        </is>
      </c>
      <c r="B5329" s="1" t="n">
        <v>44963</v>
      </c>
      <c r="C5329" s="1" t="n">
        <v>45798</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5828-2023</t>
        </is>
      </c>
      <c r="B5330" s="1" t="n">
        <v>44963</v>
      </c>
      <c r="C5330" s="1" t="n">
        <v>45798</v>
      </c>
      <c r="D5330" t="inlineStr">
        <is>
          <t>NORRBOTTENS LÄN</t>
        </is>
      </c>
      <c r="E5330" t="inlineStr">
        <is>
          <t>PITEÅ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6693-2023</t>
        </is>
      </c>
      <c r="B5331" s="1" t="n">
        <v>44963</v>
      </c>
      <c r="C5331" s="1" t="n">
        <v>45798</v>
      </c>
      <c r="D5331" t="inlineStr">
        <is>
          <t>NORRBOTTENS LÄN</t>
        </is>
      </c>
      <c r="E5331" t="inlineStr">
        <is>
          <t>BODEN</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6122-2023</t>
        </is>
      </c>
      <c r="B5332" s="1" t="n">
        <v>44964</v>
      </c>
      <c r="C5332" s="1" t="n">
        <v>45798</v>
      </c>
      <c r="D5332" t="inlineStr">
        <is>
          <t>NORRBOTTENS LÄN</t>
        </is>
      </c>
      <c r="E5332" t="inlineStr">
        <is>
          <t>ÖVERKALIX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6241-2023</t>
        </is>
      </c>
      <c r="B5333" s="1" t="n">
        <v>44964</v>
      </c>
      <c r="C5333" s="1" t="n">
        <v>45798</v>
      </c>
      <c r="D5333" t="inlineStr">
        <is>
          <t>NORRBOTTENS LÄN</t>
        </is>
      </c>
      <c r="E5333" t="inlineStr">
        <is>
          <t>KALIX</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6245-2023</t>
        </is>
      </c>
      <c r="B5334" s="1" t="n">
        <v>44964</v>
      </c>
      <c r="C5334" s="1" t="n">
        <v>45798</v>
      </c>
      <c r="D5334" t="inlineStr">
        <is>
          <t>NORRBOTTENS LÄN</t>
        </is>
      </c>
      <c r="E5334" t="inlineStr">
        <is>
          <t>KALIX</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6240-2023</t>
        </is>
      </c>
      <c r="B5335" s="1" t="n">
        <v>44964</v>
      </c>
      <c r="C5335" s="1" t="n">
        <v>45798</v>
      </c>
      <c r="D5335" t="inlineStr">
        <is>
          <t>NORRBOTTENS LÄN</t>
        </is>
      </c>
      <c r="E5335" t="inlineStr">
        <is>
          <t>KALIX</t>
        </is>
      </c>
      <c r="F5335" t="inlineStr">
        <is>
          <t>SCA</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6244-2023</t>
        </is>
      </c>
      <c r="B5336" s="1" t="n">
        <v>44964</v>
      </c>
      <c r="C5336" s="1" t="n">
        <v>45798</v>
      </c>
      <c r="D5336" t="inlineStr">
        <is>
          <t>NORRBOTTENS LÄN</t>
        </is>
      </c>
      <c r="E5336" t="inlineStr">
        <is>
          <t>BODEN</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6238-2023</t>
        </is>
      </c>
      <c r="B5337" s="1" t="n">
        <v>44964</v>
      </c>
      <c r="C5337" s="1" t="n">
        <v>45798</v>
      </c>
      <c r="D5337" t="inlineStr">
        <is>
          <t>NORRBOTTENS LÄN</t>
        </is>
      </c>
      <c r="E5337" t="inlineStr">
        <is>
          <t>BODEN</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6242-2023</t>
        </is>
      </c>
      <c r="B5338" s="1" t="n">
        <v>44964</v>
      </c>
      <c r="C5338" s="1" t="n">
        <v>45798</v>
      </c>
      <c r="D5338" t="inlineStr">
        <is>
          <t>NORRBOTTENS LÄN</t>
        </is>
      </c>
      <c r="E5338" t="inlineStr">
        <is>
          <t>BODEN</t>
        </is>
      </c>
      <c r="F5338" t="inlineStr">
        <is>
          <t>SCA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6920-2023</t>
        </is>
      </c>
      <c r="B5339" s="1" t="n">
        <v>44964</v>
      </c>
      <c r="C5339" s="1" t="n">
        <v>45798</v>
      </c>
      <c r="D5339" t="inlineStr">
        <is>
          <t>NORRBOTTENS LÄN</t>
        </is>
      </c>
      <c r="E5339" t="inlineStr">
        <is>
          <t>KALIX</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6939-2023</t>
        </is>
      </c>
      <c r="B5340" s="1" t="n">
        <v>44964</v>
      </c>
      <c r="C5340" s="1" t="n">
        <v>45798</v>
      </c>
      <c r="D5340" t="inlineStr">
        <is>
          <t>NORRBOTTENS LÄN</t>
        </is>
      </c>
      <c r="E5340" t="inlineStr">
        <is>
          <t>ÖVERKALIX</t>
        </is>
      </c>
      <c r="G5340" t="n">
        <v>16.6</v>
      </c>
      <c r="H5340" t="n">
        <v>0</v>
      </c>
      <c r="I5340" t="n">
        <v>0</v>
      </c>
      <c r="J5340" t="n">
        <v>0</v>
      </c>
      <c r="K5340" t="n">
        <v>0</v>
      </c>
      <c r="L5340" t="n">
        <v>0</v>
      </c>
      <c r="M5340" t="n">
        <v>0</v>
      </c>
      <c r="N5340" t="n">
        <v>0</v>
      </c>
      <c r="O5340" t="n">
        <v>0</v>
      </c>
      <c r="P5340" t="n">
        <v>0</v>
      </c>
      <c r="Q5340" t="n">
        <v>0</v>
      </c>
      <c r="R5340" s="2" t="inlineStr"/>
    </row>
    <row r="5341" ht="15" customHeight="1">
      <c r="A5341" t="inlineStr">
        <is>
          <t>A 6917-2023</t>
        </is>
      </c>
      <c r="B5341" s="1" t="n">
        <v>44964</v>
      </c>
      <c r="C5341" s="1" t="n">
        <v>45798</v>
      </c>
      <c r="D5341" t="inlineStr">
        <is>
          <t>NORRBOTTENS LÄN</t>
        </is>
      </c>
      <c r="E5341" t="inlineStr">
        <is>
          <t>ÖVERKALIX</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6973-2023</t>
        </is>
      </c>
      <c r="B5342" s="1" t="n">
        <v>44964</v>
      </c>
      <c r="C5342" s="1" t="n">
        <v>45798</v>
      </c>
      <c r="D5342" t="inlineStr">
        <is>
          <t>NORRBOTTENS LÄN</t>
        </is>
      </c>
      <c r="E5342" t="inlineStr">
        <is>
          <t>PAJALA</t>
        </is>
      </c>
      <c r="G5342" t="n">
        <v>17.5</v>
      </c>
      <c r="H5342" t="n">
        <v>0</v>
      </c>
      <c r="I5342" t="n">
        <v>0</v>
      </c>
      <c r="J5342" t="n">
        <v>0</v>
      </c>
      <c r="K5342" t="n">
        <v>0</v>
      </c>
      <c r="L5342" t="n">
        <v>0</v>
      </c>
      <c r="M5342" t="n">
        <v>0</v>
      </c>
      <c r="N5342" t="n">
        <v>0</v>
      </c>
      <c r="O5342" t="n">
        <v>0</v>
      </c>
      <c r="P5342" t="n">
        <v>0</v>
      </c>
      <c r="Q5342" t="n">
        <v>0</v>
      </c>
      <c r="R5342" s="2" t="inlineStr"/>
    </row>
    <row r="5343" ht="15" customHeight="1">
      <c r="A5343" t="inlineStr">
        <is>
          <t>A 6451-2023</t>
        </is>
      </c>
      <c r="B5343" s="1" t="n">
        <v>44965</v>
      </c>
      <c r="C5343" s="1" t="n">
        <v>45798</v>
      </c>
      <c r="D5343" t="inlineStr">
        <is>
          <t>NORRBOTTENS LÄN</t>
        </is>
      </c>
      <c r="E5343" t="inlineStr">
        <is>
          <t>PITEÅ</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6464-2023</t>
        </is>
      </c>
      <c r="B5344" s="1" t="n">
        <v>44965</v>
      </c>
      <c r="C5344" s="1" t="n">
        <v>45798</v>
      </c>
      <c r="D5344" t="inlineStr">
        <is>
          <t>NORRBOTTENS LÄN</t>
        </is>
      </c>
      <c r="E5344" t="inlineStr">
        <is>
          <t>JOKKMOKK</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6469-2023</t>
        </is>
      </c>
      <c r="B5345" s="1" t="n">
        <v>44965</v>
      </c>
      <c r="C5345" s="1" t="n">
        <v>45798</v>
      </c>
      <c r="D5345" t="inlineStr">
        <is>
          <t>NORRBOTTENS LÄN</t>
        </is>
      </c>
      <c r="E5345" t="inlineStr">
        <is>
          <t>ÖVERKALIX</t>
        </is>
      </c>
      <c r="F5345" t="inlineStr">
        <is>
          <t>SCA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6361-2023</t>
        </is>
      </c>
      <c r="B5346" s="1" t="n">
        <v>44965</v>
      </c>
      <c r="C5346" s="1" t="n">
        <v>45798</v>
      </c>
      <c r="D5346" t="inlineStr">
        <is>
          <t>NORRBOTTENS LÄN</t>
        </is>
      </c>
      <c r="E5346" t="inlineStr">
        <is>
          <t>LULEÅ</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6452-2023</t>
        </is>
      </c>
      <c r="B5347" s="1" t="n">
        <v>44965</v>
      </c>
      <c r="C5347" s="1" t="n">
        <v>45798</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6459-2023</t>
        </is>
      </c>
      <c r="B5348" s="1" t="n">
        <v>44965</v>
      </c>
      <c r="C5348" s="1" t="n">
        <v>45798</v>
      </c>
      <c r="D5348" t="inlineStr">
        <is>
          <t>NORRBOTTENS LÄN</t>
        </is>
      </c>
      <c r="E5348" t="inlineStr">
        <is>
          <t>GÄLLIVARE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6463-2023</t>
        </is>
      </c>
      <c r="B5349" s="1" t="n">
        <v>44965</v>
      </c>
      <c r="C5349" s="1" t="n">
        <v>45798</v>
      </c>
      <c r="D5349" t="inlineStr">
        <is>
          <t>NORRBOTTENS LÄN</t>
        </is>
      </c>
      <c r="E5349" t="inlineStr">
        <is>
          <t>KALIX</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6591-2023</t>
        </is>
      </c>
      <c r="B5350" s="1" t="n">
        <v>44966</v>
      </c>
      <c r="C5350" s="1" t="n">
        <v>45798</v>
      </c>
      <c r="D5350" t="inlineStr">
        <is>
          <t>NORRBOTTENS LÄN</t>
        </is>
      </c>
      <c r="E5350" t="inlineStr">
        <is>
          <t>ÖVERKALIX</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6502-2023</t>
        </is>
      </c>
      <c r="B5351" s="1" t="n">
        <v>44966</v>
      </c>
      <c r="C5351" s="1" t="n">
        <v>45798</v>
      </c>
      <c r="D5351" t="inlineStr">
        <is>
          <t>NORRBOTTENS LÄN</t>
        </is>
      </c>
      <c r="E5351" t="inlineStr">
        <is>
          <t>PITEÅ</t>
        </is>
      </c>
      <c r="G5351" t="n">
        <v>62.5</v>
      </c>
      <c r="H5351" t="n">
        <v>0</v>
      </c>
      <c r="I5351" t="n">
        <v>0</v>
      </c>
      <c r="J5351" t="n">
        <v>0</v>
      </c>
      <c r="K5351" t="n">
        <v>0</v>
      </c>
      <c r="L5351" t="n">
        <v>0</v>
      </c>
      <c r="M5351" t="n">
        <v>0</v>
      </c>
      <c r="N5351" t="n">
        <v>0</v>
      </c>
      <c r="O5351" t="n">
        <v>0</v>
      </c>
      <c r="P5351" t="n">
        <v>0</v>
      </c>
      <c r="Q5351" t="n">
        <v>0</v>
      </c>
      <c r="R5351" s="2" t="inlineStr"/>
    </row>
    <row r="5352" ht="15" customHeight="1">
      <c r="A5352" t="inlineStr">
        <is>
          <t>A 6492-2023</t>
        </is>
      </c>
      <c r="B5352" s="1" t="n">
        <v>44966</v>
      </c>
      <c r="C5352" s="1" t="n">
        <v>45798</v>
      </c>
      <c r="D5352" t="inlineStr">
        <is>
          <t>NORRBOTTENS LÄN</t>
        </is>
      </c>
      <c r="E5352" t="inlineStr">
        <is>
          <t>PITEÅ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6765-2023</t>
        </is>
      </c>
      <c r="B5353" s="1" t="n">
        <v>44966</v>
      </c>
      <c r="C5353" s="1" t="n">
        <v>45798</v>
      </c>
      <c r="D5353" t="inlineStr">
        <is>
          <t>NORRBOTTENS LÄN</t>
        </is>
      </c>
      <c r="E5353" t="inlineStr">
        <is>
          <t>BODEN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6769-2023</t>
        </is>
      </c>
      <c r="B5354" s="1" t="n">
        <v>44966</v>
      </c>
      <c r="C5354" s="1" t="n">
        <v>45798</v>
      </c>
      <c r="D5354" t="inlineStr">
        <is>
          <t>NORRBOTTENS LÄN</t>
        </is>
      </c>
      <c r="E5354" t="inlineStr">
        <is>
          <t>ÄLVSBYN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6779-2023</t>
        </is>
      </c>
      <c r="B5355" s="1" t="n">
        <v>44966</v>
      </c>
      <c r="C5355" s="1" t="n">
        <v>45798</v>
      </c>
      <c r="D5355" t="inlineStr">
        <is>
          <t>NORRBOTTENS LÄN</t>
        </is>
      </c>
      <c r="E5355" t="inlineStr">
        <is>
          <t>JOKKMOKK</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6776-2023</t>
        </is>
      </c>
      <c r="B5356" s="1" t="n">
        <v>44966</v>
      </c>
      <c r="C5356" s="1" t="n">
        <v>45798</v>
      </c>
      <c r="D5356" t="inlineStr">
        <is>
          <t>NORRBOTTENS LÄN</t>
        </is>
      </c>
      <c r="E5356" t="inlineStr">
        <is>
          <t>BODEN</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6778-2023</t>
        </is>
      </c>
      <c r="B5357" s="1" t="n">
        <v>44966</v>
      </c>
      <c r="C5357" s="1" t="n">
        <v>45798</v>
      </c>
      <c r="D5357" t="inlineStr">
        <is>
          <t>NORRBOTTENS LÄN</t>
        </is>
      </c>
      <c r="E5357" t="inlineStr">
        <is>
          <t>JOKKMOKK</t>
        </is>
      </c>
      <c r="F5357" t="inlineStr">
        <is>
          <t>SCA</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6783-2023</t>
        </is>
      </c>
      <c r="B5358" s="1" t="n">
        <v>44966</v>
      </c>
      <c r="C5358" s="1" t="n">
        <v>45798</v>
      </c>
      <c r="D5358" t="inlineStr">
        <is>
          <t>NORRBOTTENS LÄN</t>
        </is>
      </c>
      <c r="E5358" t="inlineStr">
        <is>
          <t>GÄLLIVARE</t>
        </is>
      </c>
      <c r="F5358" t="inlineStr">
        <is>
          <t>SCA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7393-2023</t>
        </is>
      </c>
      <c r="B5359" s="1" t="n">
        <v>44966</v>
      </c>
      <c r="C5359" s="1" t="n">
        <v>45798</v>
      </c>
      <c r="D5359" t="inlineStr">
        <is>
          <t>NORRBOTTENS LÄN</t>
        </is>
      </c>
      <c r="E5359" t="inlineStr">
        <is>
          <t>LULEÅ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7390-2023</t>
        </is>
      </c>
      <c r="B5360" s="1" t="n">
        <v>44966</v>
      </c>
      <c r="C5360" s="1" t="n">
        <v>45798</v>
      </c>
      <c r="D5360" t="inlineStr">
        <is>
          <t>NORRBOTTENS LÄN</t>
        </is>
      </c>
      <c r="E5360" t="inlineStr">
        <is>
          <t>LULEÅ</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6777-2023</t>
        </is>
      </c>
      <c r="B5361" s="1" t="n">
        <v>44966</v>
      </c>
      <c r="C5361" s="1" t="n">
        <v>45798</v>
      </c>
      <c r="D5361" t="inlineStr">
        <is>
          <t>NORRBOTTENS LÄN</t>
        </is>
      </c>
      <c r="E5361" t="inlineStr">
        <is>
          <t>JOKKMOKK</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6781-2023</t>
        </is>
      </c>
      <c r="B5362" s="1" t="n">
        <v>44966</v>
      </c>
      <c r="C5362" s="1" t="n">
        <v>45798</v>
      </c>
      <c r="D5362" t="inlineStr">
        <is>
          <t>NORRBOTTENS LÄN</t>
        </is>
      </c>
      <c r="E5362" t="inlineStr">
        <is>
          <t>GÄLLIVARE</t>
        </is>
      </c>
      <c r="F5362" t="inlineStr">
        <is>
          <t>SCA</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7448-2023</t>
        </is>
      </c>
      <c r="B5363" s="1" t="n">
        <v>44966</v>
      </c>
      <c r="C5363" s="1" t="n">
        <v>45798</v>
      </c>
      <c r="D5363" t="inlineStr">
        <is>
          <t>NORRBOTTENS LÄN</t>
        </is>
      </c>
      <c r="E5363" t="inlineStr">
        <is>
          <t>ÖVERKALIX</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6825-2023</t>
        </is>
      </c>
      <c r="B5364" s="1" t="n">
        <v>44967</v>
      </c>
      <c r="C5364" s="1" t="n">
        <v>45798</v>
      </c>
      <c r="D5364" t="inlineStr">
        <is>
          <t>NORRBOTTENS LÄN</t>
        </is>
      </c>
      <c r="E5364" t="inlineStr">
        <is>
          <t>ÄLVSBYN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6937-2023</t>
        </is>
      </c>
      <c r="B5365" s="1" t="n">
        <v>44967</v>
      </c>
      <c r="C5365" s="1" t="n">
        <v>45798</v>
      </c>
      <c r="D5365" t="inlineStr">
        <is>
          <t>NORRBOTTENS LÄN</t>
        </is>
      </c>
      <c r="E5365" t="inlineStr">
        <is>
          <t>BODEN</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7010-2023</t>
        </is>
      </c>
      <c r="B5366" s="1" t="n">
        <v>44967</v>
      </c>
      <c r="C5366" s="1" t="n">
        <v>45798</v>
      </c>
      <c r="D5366" t="inlineStr">
        <is>
          <t>NORRBOTTENS LÄN</t>
        </is>
      </c>
      <c r="E5366" t="inlineStr">
        <is>
          <t>LULEÅ</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7029-2023</t>
        </is>
      </c>
      <c r="B5367" s="1" t="n">
        <v>44968</v>
      </c>
      <c r="C5367" s="1" t="n">
        <v>45798</v>
      </c>
      <c r="D5367" t="inlineStr">
        <is>
          <t>NORRBOTTENS LÄN</t>
        </is>
      </c>
      <c r="E5367" t="inlineStr">
        <is>
          <t>PAJALA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7033-2023</t>
        </is>
      </c>
      <c r="B5368" s="1" t="n">
        <v>44968</v>
      </c>
      <c r="C5368" s="1" t="n">
        <v>45798</v>
      </c>
      <c r="D5368" t="inlineStr">
        <is>
          <t>NORRBOTTENS LÄN</t>
        </is>
      </c>
      <c r="E5368" t="inlineStr">
        <is>
          <t>PAJALA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7028-2023</t>
        </is>
      </c>
      <c r="B5369" s="1" t="n">
        <v>44968</v>
      </c>
      <c r="C5369" s="1" t="n">
        <v>45798</v>
      </c>
      <c r="D5369" t="inlineStr">
        <is>
          <t>NORRBOTTENS LÄN</t>
        </is>
      </c>
      <c r="E5369" t="inlineStr">
        <is>
          <t>PAJALA</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7031-2023</t>
        </is>
      </c>
      <c r="B5370" s="1" t="n">
        <v>44968</v>
      </c>
      <c r="C5370" s="1" t="n">
        <v>45798</v>
      </c>
      <c r="D5370" t="inlineStr">
        <is>
          <t>NORRBOTTENS LÄN</t>
        </is>
      </c>
      <c r="E5370" t="inlineStr">
        <is>
          <t>PAJALA</t>
        </is>
      </c>
      <c r="G5370" t="n">
        <v>41.3</v>
      </c>
      <c r="H5370" t="n">
        <v>0</v>
      </c>
      <c r="I5370" t="n">
        <v>0</v>
      </c>
      <c r="J5370" t="n">
        <v>0</v>
      </c>
      <c r="K5370" t="n">
        <v>0</v>
      </c>
      <c r="L5370" t="n">
        <v>0</v>
      </c>
      <c r="M5370" t="n">
        <v>0</v>
      </c>
      <c r="N5370" t="n">
        <v>0</v>
      </c>
      <c r="O5370" t="n">
        <v>0</v>
      </c>
      <c r="P5370" t="n">
        <v>0</v>
      </c>
      <c r="Q5370" t="n">
        <v>0</v>
      </c>
      <c r="R5370" s="2" t="inlineStr"/>
    </row>
    <row r="5371" ht="15" customHeight="1">
      <c r="A5371" t="inlineStr">
        <is>
          <t>A 7189-2023</t>
        </is>
      </c>
      <c r="B5371" s="1" t="n">
        <v>44970</v>
      </c>
      <c r="C5371" s="1" t="n">
        <v>45798</v>
      </c>
      <c r="D5371" t="inlineStr">
        <is>
          <t>NORRBOTTENS LÄN</t>
        </is>
      </c>
      <c r="E5371" t="inlineStr">
        <is>
          <t>KALIX</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7234-2023</t>
        </is>
      </c>
      <c r="B5372" s="1" t="n">
        <v>44970</v>
      </c>
      <c r="C5372" s="1" t="n">
        <v>45798</v>
      </c>
      <c r="D5372" t="inlineStr">
        <is>
          <t>NORRBOTTENS LÄN</t>
        </is>
      </c>
      <c r="E5372" t="inlineStr">
        <is>
          <t>ÖVERKALIX</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7258-2023</t>
        </is>
      </c>
      <c r="B5373" s="1" t="n">
        <v>44970</v>
      </c>
      <c r="C5373" s="1" t="n">
        <v>45798</v>
      </c>
      <c r="D5373" t="inlineStr">
        <is>
          <t>NORRBOTTENS LÄN</t>
        </is>
      </c>
      <c r="E5373" t="inlineStr">
        <is>
          <t>KALIX</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7159-2023</t>
        </is>
      </c>
      <c r="B5374" s="1" t="n">
        <v>44970</v>
      </c>
      <c r="C5374" s="1" t="n">
        <v>45798</v>
      </c>
      <c r="D5374" t="inlineStr">
        <is>
          <t>NORRBOTTENS LÄN</t>
        </is>
      </c>
      <c r="E5374" t="inlineStr">
        <is>
          <t>BODEN</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7184-2023</t>
        </is>
      </c>
      <c r="B5375" s="1" t="n">
        <v>44970</v>
      </c>
      <c r="C5375" s="1" t="n">
        <v>45798</v>
      </c>
      <c r="D5375" t="inlineStr">
        <is>
          <t>NORRBOTTENS LÄN</t>
        </is>
      </c>
      <c r="E5375" t="inlineStr">
        <is>
          <t>KALIX</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7196-2023</t>
        </is>
      </c>
      <c r="B5376" s="1" t="n">
        <v>44970</v>
      </c>
      <c r="C5376" s="1" t="n">
        <v>45798</v>
      </c>
      <c r="D5376" t="inlineStr">
        <is>
          <t>NORRBOTTENS LÄN</t>
        </is>
      </c>
      <c r="E5376" t="inlineStr">
        <is>
          <t>KALIX</t>
        </is>
      </c>
      <c r="G5376" t="n">
        <v>16.9</v>
      </c>
      <c r="H5376" t="n">
        <v>0</v>
      </c>
      <c r="I5376" t="n">
        <v>0</v>
      </c>
      <c r="J5376" t="n">
        <v>0</v>
      </c>
      <c r="K5376" t="n">
        <v>0</v>
      </c>
      <c r="L5376" t="n">
        <v>0</v>
      </c>
      <c r="M5376" t="n">
        <v>0</v>
      </c>
      <c r="N5376" t="n">
        <v>0</v>
      </c>
      <c r="O5376" t="n">
        <v>0</v>
      </c>
      <c r="P5376" t="n">
        <v>0</v>
      </c>
      <c r="Q5376" t="n">
        <v>0</v>
      </c>
      <c r="R5376" s="2" t="inlineStr"/>
    </row>
    <row r="5377" ht="15" customHeight="1">
      <c r="A5377" t="inlineStr">
        <is>
          <t>A 7186-2023</t>
        </is>
      </c>
      <c r="B5377" s="1" t="n">
        <v>44970</v>
      </c>
      <c r="C5377" s="1" t="n">
        <v>45798</v>
      </c>
      <c r="D5377" t="inlineStr">
        <is>
          <t>NORRBOTTENS LÄN</t>
        </is>
      </c>
      <c r="E5377" t="inlineStr">
        <is>
          <t>KALIX</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7942-2023</t>
        </is>
      </c>
      <c r="B5378" s="1" t="n">
        <v>44970</v>
      </c>
      <c r="C5378" s="1" t="n">
        <v>45798</v>
      </c>
      <c r="D5378" t="inlineStr">
        <is>
          <t>NORRBOTTENS LÄN</t>
        </is>
      </c>
      <c r="E5378" t="inlineStr">
        <is>
          <t>PAJALA</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8175-2023</t>
        </is>
      </c>
      <c r="B5379" s="1" t="n">
        <v>44971</v>
      </c>
      <c r="C5379" s="1" t="n">
        <v>45798</v>
      </c>
      <c r="D5379" t="inlineStr">
        <is>
          <t>NORRBOTTENS LÄN</t>
        </is>
      </c>
      <c r="E5379" t="inlineStr">
        <is>
          <t>PITEÅ</t>
        </is>
      </c>
      <c r="F5379" t="inlineStr">
        <is>
          <t>Sveaskog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8267-2023</t>
        </is>
      </c>
      <c r="B5380" s="1" t="n">
        <v>44971</v>
      </c>
      <c r="C5380" s="1" t="n">
        <v>45798</v>
      </c>
      <c r="D5380" t="inlineStr">
        <is>
          <t>NORRBOTTENS LÄN</t>
        </is>
      </c>
      <c r="E5380" t="inlineStr">
        <is>
          <t>PITEÅ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7553-2023</t>
        </is>
      </c>
      <c r="B5381" s="1" t="n">
        <v>44972</v>
      </c>
      <c r="C5381" s="1" t="n">
        <v>45798</v>
      </c>
      <c r="D5381" t="inlineStr">
        <is>
          <t>NORRBOTTENS LÄN</t>
        </is>
      </c>
      <c r="E5381" t="inlineStr">
        <is>
          <t>PITEÅ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7793-2023</t>
        </is>
      </c>
      <c r="B5382" s="1" t="n">
        <v>44973</v>
      </c>
      <c r="C5382" s="1" t="n">
        <v>45798</v>
      </c>
      <c r="D5382" t="inlineStr">
        <is>
          <t>NORRBOTTENS LÄN</t>
        </is>
      </c>
      <c r="E5382" t="inlineStr">
        <is>
          <t>PITEÅ</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8022-2023</t>
        </is>
      </c>
      <c r="B5383" s="1" t="n">
        <v>44973</v>
      </c>
      <c r="C5383" s="1" t="n">
        <v>45798</v>
      </c>
      <c r="D5383" t="inlineStr">
        <is>
          <t>NORRBOTTENS LÄN</t>
        </is>
      </c>
      <c r="E5383" t="inlineStr">
        <is>
          <t>PITEÅ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8026-2023</t>
        </is>
      </c>
      <c r="B5384" s="1" t="n">
        <v>44973</v>
      </c>
      <c r="C5384" s="1" t="n">
        <v>45798</v>
      </c>
      <c r="D5384" t="inlineStr">
        <is>
          <t>NORRBOTTENS LÄN</t>
        </is>
      </c>
      <c r="E5384" t="inlineStr">
        <is>
          <t>ÖVERKALIX</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8739-2023</t>
        </is>
      </c>
      <c r="B5385" s="1" t="n">
        <v>44973</v>
      </c>
      <c r="C5385" s="1" t="n">
        <v>45798</v>
      </c>
      <c r="D5385" t="inlineStr">
        <is>
          <t>NORRBOTTENS LÄN</t>
        </is>
      </c>
      <c r="E5385" t="inlineStr">
        <is>
          <t>ÄLVSBYN</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8824-2023</t>
        </is>
      </c>
      <c r="B5386" s="1" t="n">
        <v>44973</v>
      </c>
      <c r="C5386" s="1" t="n">
        <v>45798</v>
      </c>
      <c r="D5386" t="inlineStr">
        <is>
          <t>NORRBOTTENS LÄN</t>
        </is>
      </c>
      <c r="E5386" t="inlineStr">
        <is>
          <t>LULEÅ</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8907-2023</t>
        </is>
      </c>
      <c r="B5387" s="1" t="n">
        <v>44973</v>
      </c>
      <c r="C5387" s="1" t="n">
        <v>45798</v>
      </c>
      <c r="D5387" t="inlineStr">
        <is>
          <t>NORRBOTTENS LÄN</t>
        </is>
      </c>
      <c r="E5387" t="inlineStr">
        <is>
          <t>PAJALA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8021-2023</t>
        </is>
      </c>
      <c r="B5388" s="1" t="n">
        <v>44973</v>
      </c>
      <c r="C5388" s="1" t="n">
        <v>45798</v>
      </c>
      <c r="D5388" t="inlineStr">
        <is>
          <t>NORRBOTTENS LÄN</t>
        </is>
      </c>
      <c r="E5388" t="inlineStr">
        <is>
          <t>PITEÅ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8723-2023</t>
        </is>
      </c>
      <c r="B5389" s="1" t="n">
        <v>44973</v>
      </c>
      <c r="C5389" s="1" t="n">
        <v>45798</v>
      </c>
      <c r="D5389" t="inlineStr">
        <is>
          <t>NORRBOTTENS LÄN</t>
        </is>
      </c>
      <c r="E5389" t="inlineStr">
        <is>
          <t>ÄLVSBYN</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8816-2023</t>
        </is>
      </c>
      <c r="B5390" s="1" t="n">
        <v>44973</v>
      </c>
      <c r="C5390" s="1" t="n">
        <v>45798</v>
      </c>
      <c r="D5390" t="inlineStr">
        <is>
          <t>NORRBOTTENS LÄN</t>
        </is>
      </c>
      <c r="E5390" t="inlineStr">
        <is>
          <t>LULEÅ</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8903-2023</t>
        </is>
      </c>
      <c r="B5391" s="1" t="n">
        <v>44973</v>
      </c>
      <c r="C5391" s="1" t="n">
        <v>45798</v>
      </c>
      <c r="D5391" t="inlineStr">
        <is>
          <t>NORRBOTTENS LÄN</t>
        </is>
      </c>
      <c r="E5391" t="inlineStr">
        <is>
          <t>PAJALA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8068-2023</t>
        </is>
      </c>
      <c r="B5392" s="1" t="n">
        <v>44974</v>
      </c>
      <c r="C5392" s="1" t="n">
        <v>45798</v>
      </c>
      <c r="D5392" t="inlineStr">
        <is>
          <t>NORRBOTTENS LÄN</t>
        </is>
      </c>
      <c r="E5392" t="inlineStr">
        <is>
          <t>LULEÅ</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8272-2023</t>
        </is>
      </c>
      <c r="B5393" s="1" t="n">
        <v>44974</v>
      </c>
      <c r="C5393" s="1" t="n">
        <v>45798</v>
      </c>
      <c r="D5393" t="inlineStr">
        <is>
          <t>NORRBOTTENS LÄN</t>
        </is>
      </c>
      <c r="E5393" t="inlineStr">
        <is>
          <t>KALIX</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8277-2023</t>
        </is>
      </c>
      <c r="B5394" s="1" t="n">
        <v>44974</v>
      </c>
      <c r="C5394" s="1" t="n">
        <v>45798</v>
      </c>
      <c r="D5394" t="inlineStr">
        <is>
          <t>NORRBOTTENS LÄN</t>
        </is>
      </c>
      <c r="E5394" t="inlineStr">
        <is>
          <t>KALIX</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8471-2023</t>
        </is>
      </c>
      <c r="B5395" s="1" t="n">
        <v>44977</v>
      </c>
      <c r="C5395" s="1" t="n">
        <v>45798</v>
      </c>
      <c r="D5395" t="inlineStr">
        <is>
          <t>NORRBOTTENS LÄN</t>
        </is>
      </c>
      <c r="E5395" t="inlineStr">
        <is>
          <t>JOKKMOKK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8502-2023</t>
        </is>
      </c>
      <c r="B5396" s="1" t="n">
        <v>44977</v>
      </c>
      <c r="C5396" s="1" t="n">
        <v>45798</v>
      </c>
      <c r="D5396" t="inlineStr">
        <is>
          <t>NORRBOTTENS LÄN</t>
        </is>
      </c>
      <c r="E5396" t="inlineStr">
        <is>
          <t>ÄLVSBYN</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8583-2023</t>
        </is>
      </c>
      <c r="B5397" s="1" t="n">
        <v>44977</v>
      </c>
      <c r="C5397" s="1" t="n">
        <v>45798</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8626-2023</t>
        </is>
      </c>
      <c r="B5398" s="1" t="n">
        <v>44977</v>
      </c>
      <c r="C5398" s="1" t="n">
        <v>45798</v>
      </c>
      <c r="D5398" t="inlineStr">
        <is>
          <t>NORRBOTTENS LÄN</t>
        </is>
      </c>
      <c r="E5398" t="inlineStr">
        <is>
          <t>ARVIDSJAUR</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8635-2023</t>
        </is>
      </c>
      <c r="B5399" s="1" t="n">
        <v>44977</v>
      </c>
      <c r="C5399" s="1" t="n">
        <v>45798</v>
      </c>
      <c r="D5399" t="inlineStr">
        <is>
          <t>NORRBOTTENS LÄN</t>
        </is>
      </c>
      <c r="E5399" t="inlineStr">
        <is>
          <t>ARVIDSJAUR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8637-2023</t>
        </is>
      </c>
      <c r="B5400" s="1" t="n">
        <v>44977</v>
      </c>
      <c r="C5400" s="1" t="n">
        <v>45798</v>
      </c>
      <c r="D5400" t="inlineStr">
        <is>
          <t>NORRBOTTENS LÄN</t>
        </is>
      </c>
      <c r="E5400" t="inlineStr">
        <is>
          <t>ÖVERTORNEÅ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8472-2023</t>
        </is>
      </c>
      <c r="B5401" s="1" t="n">
        <v>44977</v>
      </c>
      <c r="C5401" s="1" t="n">
        <v>45798</v>
      </c>
      <c r="D5401" t="inlineStr">
        <is>
          <t>NORRBOTTENS LÄN</t>
        </is>
      </c>
      <c r="E5401" t="inlineStr">
        <is>
          <t>JOKKMOKK</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8625-2023</t>
        </is>
      </c>
      <c r="B5402" s="1" t="n">
        <v>44977</v>
      </c>
      <c r="C5402" s="1" t="n">
        <v>45798</v>
      </c>
      <c r="D5402" t="inlineStr">
        <is>
          <t>NORRBOTTENS LÄN</t>
        </is>
      </c>
      <c r="E5402" t="inlineStr">
        <is>
          <t>ARJEPLOG</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9278-2023</t>
        </is>
      </c>
      <c r="B5403" s="1" t="n">
        <v>44977</v>
      </c>
      <c r="C5403" s="1" t="n">
        <v>45798</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9282-2023</t>
        </is>
      </c>
      <c r="B5404" s="1" t="n">
        <v>44977</v>
      </c>
      <c r="C5404" s="1" t="n">
        <v>45798</v>
      </c>
      <c r="D5404" t="inlineStr">
        <is>
          <t>NORRBOTTENS LÄN</t>
        </is>
      </c>
      <c r="E5404" t="inlineStr">
        <is>
          <t>LULEÅ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9286-2023</t>
        </is>
      </c>
      <c r="B5405" s="1" t="n">
        <v>44977</v>
      </c>
      <c r="C5405" s="1" t="n">
        <v>45798</v>
      </c>
      <c r="D5405" t="inlineStr">
        <is>
          <t>NORRBOTTENS LÄN</t>
        </is>
      </c>
      <c r="E5405" t="inlineStr">
        <is>
          <t>LULEÅ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9274-2023</t>
        </is>
      </c>
      <c r="B5406" s="1" t="n">
        <v>44977</v>
      </c>
      <c r="C5406" s="1" t="n">
        <v>45798</v>
      </c>
      <c r="D5406" t="inlineStr">
        <is>
          <t>NORRBOTTENS LÄN</t>
        </is>
      </c>
      <c r="E5406" t="inlineStr">
        <is>
          <t>LULEÅ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9289-2023</t>
        </is>
      </c>
      <c r="B5407" s="1" t="n">
        <v>44977</v>
      </c>
      <c r="C5407" s="1" t="n">
        <v>45798</v>
      </c>
      <c r="D5407" t="inlineStr">
        <is>
          <t>NORRBOTTENS LÄN</t>
        </is>
      </c>
      <c r="E5407" t="inlineStr">
        <is>
          <t>LULEÅ</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8984-2023</t>
        </is>
      </c>
      <c r="B5408" s="1" t="n">
        <v>44979</v>
      </c>
      <c r="C5408" s="1" t="n">
        <v>45798</v>
      </c>
      <c r="D5408" t="inlineStr">
        <is>
          <t>NORRBOTTENS LÄN</t>
        </is>
      </c>
      <c r="E5408" t="inlineStr">
        <is>
          <t>PAJALA</t>
        </is>
      </c>
      <c r="G5408" t="n">
        <v>38.1</v>
      </c>
      <c r="H5408" t="n">
        <v>0</v>
      </c>
      <c r="I5408" t="n">
        <v>0</v>
      </c>
      <c r="J5408" t="n">
        <v>0</v>
      </c>
      <c r="K5408" t="n">
        <v>0</v>
      </c>
      <c r="L5408" t="n">
        <v>0</v>
      </c>
      <c r="M5408" t="n">
        <v>0</v>
      </c>
      <c r="N5408" t="n">
        <v>0</v>
      </c>
      <c r="O5408" t="n">
        <v>0</v>
      </c>
      <c r="P5408" t="n">
        <v>0</v>
      </c>
      <c r="Q5408" t="n">
        <v>0</v>
      </c>
      <c r="R5408" s="2" t="inlineStr"/>
    </row>
    <row r="5409" ht="15" customHeight="1">
      <c r="A5409" t="inlineStr">
        <is>
          <t>A 8988-2023</t>
        </is>
      </c>
      <c r="B5409" s="1" t="n">
        <v>44979</v>
      </c>
      <c r="C5409" s="1" t="n">
        <v>45798</v>
      </c>
      <c r="D5409" t="inlineStr">
        <is>
          <t>NORRBOTTENS LÄN</t>
        </is>
      </c>
      <c r="E5409" t="inlineStr">
        <is>
          <t>KALIX</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9069-2023</t>
        </is>
      </c>
      <c r="B5410" s="1" t="n">
        <v>44979</v>
      </c>
      <c r="C5410" s="1" t="n">
        <v>45798</v>
      </c>
      <c r="D5410" t="inlineStr">
        <is>
          <t>NORRBOTTENS LÄN</t>
        </is>
      </c>
      <c r="E5410" t="inlineStr">
        <is>
          <t>KIRUNA</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9072-2023</t>
        </is>
      </c>
      <c r="B5411" s="1" t="n">
        <v>44979</v>
      </c>
      <c r="C5411" s="1" t="n">
        <v>45798</v>
      </c>
      <c r="D5411" t="inlineStr">
        <is>
          <t>NORRBOTTENS LÄN</t>
        </is>
      </c>
      <c r="E5411" t="inlineStr">
        <is>
          <t>KIRUNA</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10009-2023</t>
        </is>
      </c>
      <c r="B5412" s="1" t="n">
        <v>44979</v>
      </c>
      <c r="C5412" s="1" t="n">
        <v>45798</v>
      </c>
      <c r="D5412" t="inlineStr">
        <is>
          <t>NORRBOTTENS LÄN</t>
        </is>
      </c>
      <c r="E5412" t="inlineStr">
        <is>
          <t>ARVIDSJAUR</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9068-2023</t>
        </is>
      </c>
      <c r="B5413" s="1" t="n">
        <v>44979</v>
      </c>
      <c r="C5413" s="1" t="n">
        <v>45798</v>
      </c>
      <c r="D5413" t="inlineStr">
        <is>
          <t>NORRBOTTENS LÄN</t>
        </is>
      </c>
      <c r="E5413" t="inlineStr">
        <is>
          <t>KIRUNA</t>
        </is>
      </c>
      <c r="F5413" t="inlineStr">
        <is>
          <t>SCA</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9969-2023</t>
        </is>
      </c>
      <c r="B5414" s="1" t="n">
        <v>44979</v>
      </c>
      <c r="C5414" s="1" t="n">
        <v>45798</v>
      </c>
      <c r="D5414" t="inlineStr">
        <is>
          <t>NORRBOTTENS LÄN</t>
        </is>
      </c>
      <c r="E5414" t="inlineStr">
        <is>
          <t>BODEN</t>
        </is>
      </c>
      <c r="F5414" t="inlineStr">
        <is>
          <t>Övriga statliga verk och myndigheter</t>
        </is>
      </c>
      <c r="G5414" t="n">
        <v>18.8</v>
      </c>
      <c r="H5414" t="n">
        <v>0</v>
      </c>
      <c r="I5414" t="n">
        <v>0</v>
      </c>
      <c r="J5414" t="n">
        <v>0</v>
      </c>
      <c r="K5414" t="n">
        <v>0</v>
      </c>
      <c r="L5414" t="n">
        <v>0</v>
      </c>
      <c r="M5414" t="n">
        <v>0</v>
      </c>
      <c r="N5414" t="n">
        <v>0</v>
      </c>
      <c r="O5414" t="n">
        <v>0</v>
      </c>
      <c r="P5414" t="n">
        <v>0</v>
      </c>
      <c r="Q5414" t="n">
        <v>0</v>
      </c>
      <c r="R5414" s="2" t="inlineStr"/>
    </row>
    <row r="5415" ht="15" customHeight="1">
      <c r="A5415" t="inlineStr">
        <is>
          <t>A 10022-2023</t>
        </is>
      </c>
      <c r="B5415" s="1" t="n">
        <v>44979</v>
      </c>
      <c r="C5415" s="1" t="n">
        <v>45798</v>
      </c>
      <c r="D5415" t="inlineStr">
        <is>
          <t>NORRBOTTENS LÄN</t>
        </is>
      </c>
      <c r="E5415" t="inlineStr">
        <is>
          <t>ARVIDSJAUR</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9996-2023</t>
        </is>
      </c>
      <c r="B5416" s="1" t="n">
        <v>44979</v>
      </c>
      <c r="C5416" s="1" t="n">
        <v>45798</v>
      </c>
      <c r="D5416" t="inlineStr">
        <is>
          <t>NORRBOTTENS LÄN</t>
        </is>
      </c>
      <c r="E5416" t="inlineStr">
        <is>
          <t>ARVIDSJAUR</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10050-2023</t>
        </is>
      </c>
      <c r="B5417" s="1" t="n">
        <v>44979</v>
      </c>
      <c r="C5417" s="1" t="n">
        <v>45798</v>
      </c>
      <c r="D5417" t="inlineStr">
        <is>
          <t>NORRBOTTENS LÄN</t>
        </is>
      </c>
      <c r="E5417" t="inlineStr">
        <is>
          <t>LULEÅ</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9352-2023</t>
        </is>
      </c>
      <c r="B5418" s="1" t="n">
        <v>44980</v>
      </c>
      <c r="C5418" s="1" t="n">
        <v>45798</v>
      </c>
      <c r="D5418" t="inlineStr">
        <is>
          <t>NORRBOTTENS LÄN</t>
        </is>
      </c>
      <c r="E5418" t="inlineStr">
        <is>
          <t>JOKKMOKK</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9344-2023</t>
        </is>
      </c>
      <c r="B5419" s="1" t="n">
        <v>44980</v>
      </c>
      <c r="C5419" s="1" t="n">
        <v>45798</v>
      </c>
      <c r="D5419" t="inlineStr">
        <is>
          <t>NORRBOTTENS LÄN</t>
        </is>
      </c>
      <c r="E5419" t="inlineStr">
        <is>
          <t>KALIX</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9349-2023</t>
        </is>
      </c>
      <c r="B5420" s="1" t="n">
        <v>44980</v>
      </c>
      <c r="C5420" s="1" t="n">
        <v>45798</v>
      </c>
      <c r="D5420" t="inlineStr">
        <is>
          <t>NORRBOTTENS LÄN</t>
        </is>
      </c>
      <c r="E5420" t="inlineStr">
        <is>
          <t>JOKKMOKK</t>
        </is>
      </c>
      <c r="F5420" t="inlineStr">
        <is>
          <t>SCA</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9351-2023</t>
        </is>
      </c>
      <c r="B5421" s="1" t="n">
        <v>44980</v>
      </c>
      <c r="C5421" s="1" t="n">
        <v>45798</v>
      </c>
      <c r="D5421" t="inlineStr">
        <is>
          <t>NORRBOTTENS LÄN</t>
        </is>
      </c>
      <c r="E5421" t="inlineStr">
        <is>
          <t>JOKKMOKK</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10149-2023</t>
        </is>
      </c>
      <c r="B5422" s="1" t="n">
        <v>44980</v>
      </c>
      <c r="C5422" s="1" t="n">
        <v>45798</v>
      </c>
      <c r="D5422" t="inlineStr">
        <is>
          <t>NORRBOTTENS LÄN</t>
        </is>
      </c>
      <c r="E5422" t="inlineStr">
        <is>
          <t>GÄLLIVARE</t>
        </is>
      </c>
      <c r="F5422" t="inlineStr">
        <is>
          <t>Allmännings- och besparingsskogar</t>
        </is>
      </c>
      <c r="G5422" t="n">
        <v>12.5</v>
      </c>
      <c r="H5422" t="n">
        <v>0</v>
      </c>
      <c r="I5422" t="n">
        <v>0</v>
      </c>
      <c r="J5422" t="n">
        <v>0</v>
      </c>
      <c r="K5422" t="n">
        <v>0</v>
      </c>
      <c r="L5422" t="n">
        <v>0</v>
      </c>
      <c r="M5422" t="n">
        <v>0</v>
      </c>
      <c r="N5422" t="n">
        <v>0</v>
      </c>
      <c r="O5422" t="n">
        <v>0</v>
      </c>
      <c r="P5422" t="n">
        <v>0</v>
      </c>
      <c r="Q5422" t="n">
        <v>0</v>
      </c>
      <c r="R5422" s="2" t="inlineStr"/>
    </row>
    <row r="5423" ht="15" customHeight="1">
      <c r="A5423" t="inlineStr">
        <is>
          <t>A 10183-2023</t>
        </is>
      </c>
      <c r="B5423" s="1" t="n">
        <v>44980</v>
      </c>
      <c r="C5423" s="1" t="n">
        <v>45798</v>
      </c>
      <c r="D5423" t="inlineStr">
        <is>
          <t>NORRBOTTENS LÄN</t>
        </is>
      </c>
      <c r="E5423" t="inlineStr">
        <is>
          <t>GÄLLIVARE</t>
        </is>
      </c>
      <c r="F5423" t="inlineStr">
        <is>
          <t>Allmännings- och besparingsskogar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10153-2023</t>
        </is>
      </c>
      <c r="B5424" s="1" t="n">
        <v>44980</v>
      </c>
      <c r="C5424" s="1" t="n">
        <v>45798</v>
      </c>
      <c r="D5424" t="inlineStr">
        <is>
          <t>NORRBOTTENS LÄN</t>
        </is>
      </c>
      <c r="E5424" t="inlineStr">
        <is>
          <t>GÄLLIVARE</t>
        </is>
      </c>
      <c r="F5424" t="inlineStr">
        <is>
          <t>Allmännings- och besparingsskogar</t>
        </is>
      </c>
      <c r="G5424" t="n">
        <v>35.1</v>
      </c>
      <c r="H5424" t="n">
        <v>0</v>
      </c>
      <c r="I5424" t="n">
        <v>0</v>
      </c>
      <c r="J5424" t="n">
        <v>0</v>
      </c>
      <c r="K5424" t="n">
        <v>0</v>
      </c>
      <c r="L5424" t="n">
        <v>0</v>
      </c>
      <c r="M5424" t="n">
        <v>0</v>
      </c>
      <c r="N5424" t="n">
        <v>0</v>
      </c>
      <c r="O5424" t="n">
        <v>0</v>
      </c>
      <c r="P5424" t="n">
        <v>0</v>
      </c>
      <c r="Q5424" t="n">
        <v>0</v>
      </c>
      <c r="R5424" s="2" t="inlineStr"/>
    </row>
    <row r="5425" ht="15" customHeight="1">
      <c r="A5425" t="inlineStr">
        <is>
          <t>A 10139-2023</t>
        </is>
      </c>
      <c r="B5425" s="1" t="n">
        <v>44980</v>
      </c>
      <c r="C5425" s="1" t="n">
        <v>45798</v>
      </c>
      <c r="D5425" t="inlineStr">
        <is>
          <t>NORRBOTTENS LÄN</t>
        </is>
      </c>
      <c r="E5425" t="inlineStr">
        <is>
          <t>GÄLLIVARE</t>
        </is>
      </c>
      <c r="F5425" t="inlineStr">
        <is>
          <t>Allmännings- och besparingsskogar</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10187-2023</t>
        </is>
      </c>
      <c r="B5426" s="1" t="n">
        <v>44980</v>
      </c>
      <c r="C5426" s="1" t="n">
        <v>45798</v>
      </c>
      <c r="D5426" t="inlineStr">
        <is>
          <t>NORRBOTTENS LÄN</t>
        </is>
      </c>
      <c r="E5426" t="inlineStr">
        <is>
          <t>GÄLLIVARE</t>
        </is>
      </c>
      <c r="F5426" t="inlineStr">
        <is>
          <t>Allmännings- och besparingsskogar</t>
        </is>
      </c>
      <c r="G5426" t="n">
        <v>33.5</v>
      </c>
      <c r="H5426" t="n">
        <v>0</v>
      </c>
      <c r="I5426" t="n">
        <v>0</v>
      </c>
      <c r="J5426" t="n">
        <v>0</v>
      </c>
      <c r="K5426" t="n">
        <v>0</v>
      </c>
      <c r="L5426" t="n">
        <v>0</v>
      </c>
      <c r="M5426" t="n">
        <v>0</v>
      </c>
      <c r="N5426" t="n">
        <v>0</v>
      </c>
      <c r="O5426" t="n">
        <v>0</v>
      </c>
      <c r="P5426" t="n">
        <v>0</v>
      </c>
      <c r="Q5426" t="n">
        <v>0</v>
      </c>
      <c r="R5426" s="2" t="inlineStr"/>
    </row>
    <row r="5427" ht="15" customHeight="1">
      <c r="A5427" t="inlineStr">
        <is>
          <t>A 9450-2023</t>
        </is>
      </c>
      <c r="B5427" s="1" t="n">
        <v>44981</v>
      </c>
      <c r="C5427" s="1" t="n">
        <v>45798</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9449-2023</t>
        </is>
      </c>
      <c r="B5428" s="1" t="n">
        <v>44981</v>
      </c>
      <c r="C5428" s="1" t="n">
        <v>45798</v>
      </c>
      <c r="D5428" t="inlineStr">
        <is>
          <t>NORRBOTTENS LÄN</t>
        </is>
      </c>
      <c r="E5428" t="inlineStr">
        <is>
          <t>LULEÅ</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9389-2023</t>
        </is>
      </c>
      <c r="B5429" s="1" t="n">
        <v>44981</v>
      </c>
      <c r="C5429" s="1" t="n">
        <v>45798</v>
      </c>
      <c r="D5429" t="inlineStr">
        <is>
          <t>NORRBOTTENS LÄN</t>
        </is>
      </c>
      <c r="E5429" t="inlineStr">
        <is>
          <t>ÖVERTORNEÅ</t>
        </is>
      </c>
      <c r="F5429" t="inlineStr">
        <is>
          <t>Sveaskog</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9480-2023</t>
        </is>
      </c>
      <c r="B5430" s="1" t="n">
        <v>44981</v>
      </c>
      <c r="C5430" s="1" t="n">
        <v>45798</v>
      </c>
      <c r="D5430" t="inlineStr">
        <is>
          <t>NORRBOTTENS LÄN</t>
        </is>
      </c>
      <c r="E5430" t="inlineStr">
        <is>
          <t>BODEN</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10422-2023</t>
        </is>
      </c>
      <c r="B5431" s="1" t="n">
        <v>44981</v>
      </c>
      <c r="C5431" s="1" t="n">
        <v>45798</v>
      </c>
      <c r="D5431" t="inlineStr">
        <is>
          <t>NORRBOTTENS LÄN</t>
        </is>
      </c>
      <c r="E5431" t="inlineStr">
        <is>
          <t>JOKKMOKK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9545-2023</t>
        </is>
      </c>
      <c r="B5432" s="1" t="n">
        <v>44981</v>
      </c>
      <c r="C5432" s="1" t="n">
        <v>45798</v>
      </c>
      <c r="D5432" t="inlineStr">
        <is>
          <t>NORRBOTTENS LÄN</t>
        </is>
      </c>
      <c r="E5432" t="inlineStr">
        <is>
          <t>PITEÅ</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9556-2023</t>
        </is>
      </c>
      <c r="B5433" s="1" t="n">
        <v>44981</v>
      </c>
      <c r="C5433" s="1" t="n">
        <v>45798</v>
      </c>
      <c r="D5433" t="inlineStr">
        <is>
          <t>NORRBOTTENS LÄN</t>
        </is>
      </c>
      <c r="E5433" t="inlineStr">
        <is>
          <t>GÄLLIVARE</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9596-2023</t>
        </is>
      </c>
      <c r="B5434" s="1" t="n">
        <v>44983</v>
      </c>
      <c r="C5434" s="1" t="n">
        <v>45798</v>
      </c>
      <c r="D5434" t="inlineStr">
        <is>
          <t>NORRBOTTENS LÄN</t>
        </is>
      </c>
      <c r="E5434" t="inlineStr">
        <is>
          <t>BODEN</t>
        </is>
      </c>
      <c r="G5434" t="n">
        <v>37.1</v>
      </c>
      <c r="H5434" t="n">
        <v>0</v>
      </c>
      <c r="I5434" t="n">
        <v>0</v>
      </c>
      <c r="J5434" t="n">
        <v>0</v>
      </c>
      <c r="K5434" t="n">
        <v>0</v>
      </c>
      <c r="L5434" t="n">
        <v>0</v>
      </c>
      <c r="M5434" t="n">
        <v>0</v>
      </c>
      <c r="N5434" t="n">
        <v>0</v>
      </c>
      <c r="O5434" t="n">
        <v>0</v>
      </c>
      <c r="P5434" t="n">
        <v>0</v>
      </c>
      <c r="Q5434" t="n">
        <v>0</v>
      </c>
      <c r="R5434" s="2" t="inlineStr"/>
    </row>
    <row r="5435" ht="15" customHeight="1">
      <c r="A5435" t="inlineStr">
        <is>
          <t>A 9860-2023</t>
        </is>
      </c>
      <c r="B5435" s="1" t="n">
        <v>44984</v>
      </c>
      <c r="C5435" s="1" t="n">
        <v>45798</v>
      </c>
      <c r="D5435" t="inlineStr">
        <is>
          <t>NORRBOTTENS LÄN</t>
        </is>
      </c>
      <c r="E5435" t="inlineStr">
        <is>
          <t>JOKKMOKK</t>
        </is>
      </c>
      <c r="F5435" t="inlineStr">
        <is>
          <t>SCA</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9854-2023</t>
        </is>
      </c>
      <c r="B5436" s="1" t="n">
        <v>44984</v>
      </c>
      <c r="C5436" s="1" t="n">
        <v>45798</v>
      </c>
      <c r="D5436" t="inlineStr">
        <is>
          <t>NORRBOTTENS LÄN</t>
        </is>
      </c>
      <c r="E5436" t="inlineStr">
        <is>
          <t>JOKKMOKK</t>
        </is>
      </c>
      <c r="F5436" t="inlineStr">
        <is>
          <t>SCA</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9863-2023</t>
        </is>
      </c>
      <c r="B5437" s="1" t="n">
        <v>44984</v>
      </c>
      <c r="C5437" s="1" t="n">
        <v>45798</v>
      </c>
      <c r="D5437" t="inlineStr">
        <is>
          <t>NORRBOTTENS LÄN</t>
        </is>
      </c>
      <c r="E5437" t="inlineStr">
        <is>
          <t>JOKKMOKK</t>
        </is>
      </c>
      <c r="F5437" t="inlineStr">
        <is>
          <t>SCA</t>
        </is>
      </c>
      <c r="G5437" t="n">
        <v>14.4</v>
      </c>
      <c r="H5437" t="n">
        <v>0</v>
      </c>
      <c r="I5437" t="n">
        <v>0</v>
      </c>
      <c r="J5437" t="n">
        <v>0</v>
      </c>
      <c r="K5437" t="n">
        <v>0</v>
      </c>
      <c r="L5437" t="n">
        <v>0</v>
      </c>
      <c r="M5437" t="n">
        <v>0</v>
      </c>
      <c r="N5437" t="n">
        <v>0</v>
      </c>
      <c r="O5437" t="n">
        <v>0</v>
      </c>
      <c r="P5437" t="n">
        <v>0</v>
      </c>
      <c r="Q5437" t="n">
        <v>0</v>
      </c>
      <c r="R5437" s="2" t="inlineStr"/>
    </row>
    <row r="5438" ht="15" customHeight="1">
      <c r="A5438" t="inlineStr">
        <is>
          <t>A 9870-2023</t>
        </is>
      </c>
      <c r="B5438" s="1" t="n">
        <v>44984</v>
      </c>
      <c r="C5438" s="1" t="n">
        <v>45798</v>
      </c>
      <c r="D5438" t="inlineStr">
        <is>
          <t>NORRBOTTENS LÄN</t>
        </is>
      </c>
      <c r="E5438" t="inlineStr">
        <is>
          <t>JOKKMOKK</t>
        </is>
      </c>
      <c r="F5438" t="inlineStr">
        <is>
          <t>SCA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9865-2023</t>
        </is>
      </c>
      <c r="B5439" s="1" t="n">
        <v>44984</v>
      </c>
      <c r="C5439" s="1" t="n">
        <v>45798</v>
      </c>
      <c r="D5439" t="inlineStr">
        <is>
          <t>NORRBOTTENS LÄN</t>
        </is>
      </c>
      <c r="E5439" t="inlineStr">
        <is>
          <t>JOKKMOKK</t>
        </is>
      </c>
      <c r="F5439" t="inlineStr">
        <is>
          <t>SCA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9872-2023</t>
        </is>
      </c>
      <c r="B5440" s="1" t="n">
        <v>44984</v>
      </c>
      <c r="C5440" s="1" t="n">
        <v>45798</v>
      </c>
      <c r="D5440" t="inlineStr">
        <is>
          <t>NORRBOTTENS LÄN</t>
        </is>
      </c>
      <c r="E5440" t="inlineStr">
        <is>
          <t>JOKKMOKK</t>
        </is>
      </c>
      <c r="F5440" t="inlineStr">
        <is>
          <t>SCA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9877-2023</t>
        </is>
      </c>
      <c r="B5441" s="1" t="n">
        <v>44984</v>
      </c>
      <c r="C5441" s="1" t="n">
        <v>45798</v>
      </c>
      <c r="D5441" t="inlineStr">
        <is>
          <t>NORRBOTTENS LÄN</t>
        </is>
      </c>
      <c r="E5441" t="inlineStr">
        <is>
          <t>JOKKMOKK</t>
        </is>
      </c>
      <c r="F5441" t="inlineStr">
        <is>
          <t>SCA</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9874-2023</t>
        </is>
      </c>
      <c r="B5442" s="1" t="n">
        <v>44984</v>
      </c>
      <c r="C5442" s="1" t="n">
        <v>45798</v>
      </c>
      <c r="D5442" t="inlineStr">
        <is>
          <t>NORRBOTTENS LÄN</t>
        </is>
      </c>
      <c r="E5442" t="inlineStr">
        <is>
          <t>JOKKMOKK</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9852-2023</t>
        </is>
      </c>
      <c r="B5443" s="1" t="n">
        <v>44984</v>
      </c>
      <c r="C5443" s="1" t="n">
        <v>45798</v>
      </c>
      <c r="D5443" t="inlineStr">
        <is>
          <t>NORRBOTTENS LÄN</t>
        </is>
      </c>
      <c r="E5443" t="inlineStr">
        <is>
          <t>JOKKMOKK</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9866-2023</t>
        </is>
      </c>
      <c r="B5444" s="1" t="n">
        <v>44984</v>
      </c>
      <c r="C5444" s="1" t="n">
        <v>45798</v>
      </c>
      <c r="D5444" t="inlineStr">
        <is>
          <t>NORRBOTTENS LÄN</t>
        </is>
      </c>
      <c r="E5444" t="inlineStr">
        <is>
          <t>JOKKMOKK</t>
        </is>
      </c>
      <c r="F5444" t="inlineStr">
        <is>
          <t>SCA</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9869-2023</t>
        </is>
      </c>
      <c r="B5445" s="1" t="n">
        <v>44984</v>
      </c>
      <c r="C5445" s="1" t="n">
        <v>45798</v>
      </c>
      <c r="D5445" t="inlineStr">
        <is>
          <t>NORRBOTTENS LÄN</t>
        </is>
      </c>
      <c r="E5445" t="inlineStr">
        <is>
          <t>JOKKMOKK</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9873-2023</t>
        </is>
      </c>
      <c r="B5446" s="1" t="n">
        <v>44984</v>
      </c>
      <c r="C5446" s="1" t="n">
        <v>45798</v>
      </c>
      <c r="D5446" t="inlineStr">
        <is>
          <t>NORRBOTTENS LÄN</t>
        </is>
      </c>
      <c r="E5446" t="inlineStr">
        <is>
          <t>JOKKMOKK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9878-2023</t>
        </is>
      </c>
      <c r="B5447" s="1" t="n">
        <v>44984</v>
      </c>
      <c r="C5447" s="1" t="n">
        <v>45798</v>
      </c>
      <c r="D5447" t="inlineStr">
        <is>
          <t>NORRBOTTENS LÄN</t>
        </is>
      </c>
      <c r="E5447" t="inlineStr">
        <is>
          <t>JOKKMOKK</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9859-2023</t>
        </is>
      </c>
      <c r="B5448" s="1" t="n">
        <v>44984</v>
      </c>
      <c r="C5448" s="1" t="n">
        <v>45798</v>
      </c>
      <c r="D5448" t="inlineStr">
        <is>
          <t>NORRBOTTENS LÄN</t>
        </is>
      </c>
      <c r="E5448" t="inlineStr">
        <is>
          <t>JOKKMOKK</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9864-2023</t>
        </is>
      </c>
      <c r="B5449" s="1" t="n">
        <v>44984</v>
      </c>
      <c r="C5449" s="1" t="n">
        <v>45798</v>
      </c>
      <c r="D5449" t="inlineStr">
        <is>
          <t>NORRBOTTENS LÄN</t>
        </is>
      </c>
      <c r="E5449" t="inlineStr">
        <is>
          <t>JOKKMOKK</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9875-2023</t>
        </is>
      </c>
      <c r="B5450" s="1" t="n">
        <v>44984</v>
      </c>
      <c r="C5450" s="1" t="n">
        <v>45798</v>
      </c>
      <c r="D5450" t="inlineStr">
        <is>
          <t>NORRBOTTENS LÄN</t>
        </is>
      </c>
      <c r="E5450" t="inlineStr">
        <is>
          <t>JOKKMOKK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10707-2023</t>
        </is>
      </c>
      <c r="B5451" s="1" t="n">
        <v>44984</v>
      </c>
      <c r="C5451" s="1" t="n">
        <v>45798</v>
      </c>
      <c r="D5451" t="inlineStr">
        <is>
          <t>NORRBOTTENS LÄN</t>
        </is>
      </c>
      <c r="E5451" t="inlineStr">
        <is>
          <t>ÖVERKALIX</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10711-2023</t>
        </is>
      </c>
      <c r="B5452" s="1" t="n">
        <v>44984</v>
      </c>
      <c r="C5452" s="1" t="n">
        <v>45798</v>
      </c>
      <c r="D5452" t="inlineStr">
        <is>
          <t>NORRBOTTENS LÄN</t>
        </is>
      </c>
      <c r="E5452" t="inlineStr">
        <is>
          <t>ÖVERKALIX</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10713-2023</t>
        </is>
      </c>
      <c r="B5453" s="1" t="n">
        <v>44984</v>
      </c>
      <c r="C5453" s="1" t="n">
        <v>45798</v>
      </c>
      <c r="D5453" t="inlineStr">
        <is>
          <t>NORRBOTTENS LÄN</t>
        </is>
      </c>
      <c r="E5453" t="inlineStr">
        <is>
          <t>PITEÅ</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10720-2023</t>
        </is>
      </c>
      <c r="B5454" s="1" t="n">
        <v>44984</v>
      </c>
      <c r="C5454" s="1" t="n">
        <v>45798</v>
      </c>
      <c r="D5454" t="inlineStr">
        <is>
          <t>NORRBOTTENS LÄN</t>
        </is>
      </c>
      <c r="E5454" t="inlineStr">
        <is>
          <t>ÖVERKALIX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9931-2023</t>
        </is>
      </c>
      <c r="B5455" s="1" t="n">
        <v>44985</v>
      </c>
      <c r="C5455" s="1" t="n">
        <v>45798</v>
      </c>
      <c r="D5455" t="inlineStr">
        <is>
          <t>NORRBOTTENS LÄN</t>
        </is>
      </c>
      <c r="E5455" t="inlineStr">
        <is>
          <t>PITEÅ</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9962-2023</t>
        </is>
      </c>
      <c r="B5456" s="1" t="n">
        <v>44985</v>
      </c>
      <c r="C5456" s="1" t="n">
        <v>45798</v>
      </c>
      <c r="D5456" t="inlineStr">
        <is>
          <t>NORRBOTTENS LÄN</t>
        </is>
      </c>
      <c r="E5456" t="inlineStr">
        <is>
          <t>PITEÅ</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9928-2023</t>
        </is>
      </c>
      <c r="B5457" s="1" t="n">
        <v>44985</v>
      </c>
      <c r="C5457" s="1" t="n">
        <v>45798</v>
      </c>
      <c r="D5457" t="inlineStr">
        <is>
          <t>NORRBOTTENS LÄN</t>
        </is>
      </c>
      <c r="E5457" t="inlineStr">
        <is>
          <t>ARVIDSJAUR</t>
        </is>
      </c>
      <c r="F5457" t="inlineStr">
        <is>
          <t>Sveaskog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9964-2023</t>
        </is>
      </c>
      <c r="B5458" s="1" t="n">
        <v>44985</v>
      </c>
      <c r="C5458" s="1" t="n">
        <v>45798</v>
      </c>
      <c r="D5458" t="inlineStr">
        <is>
          <t>NORRBOTTENS LÄN</t>
        </is>
      </c>
      <c r="E5458" t="inlineStr">
        <is>
          <t>PITEÅ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10859-2023</t>
        </is>
      </c>
      <c r="B5459" s="1" t="n">
        <v>44985</v>
      </c>
      <c r="C5459" s="1" t="n">
        <v>45798</v>
      </c>
      <c r="D5459" t="inlineStr">
        <is>
          <t>NORRBOTTENS LÄN</t>
        </is>
      </c>
      <c r="E5459" t="inlineStr">
        <is>
          <t>ARVIDSJAUR</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10066-2023</t>
        </is>
      </c>
      <c r="B5460" s="1" t="n">
        <v>44985</v>
      </c>
      <c r="C5460" s="1" t="n">
        <v>45798</v>
      </c>
      <c r="D5460" t="inlineStr">
        <is>
          <t>NORRBOTTENS LÄN</t>
        </is>
      </c>
      <c r="E5460" t="inlineStr">
        <is>
          <t>ÄLVSBYN</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10903-2023</t>
        </is>
      </c>
      <c r="B5461" s="1" t="n">
        <v>44985</v>
      </c>
      <c r="C5461" s="1" t="n">
        <v>45798</v>
      </c>
      <c r="D5461" t="inlineStr">
        <is>
          <t>NORRBOTTENS LÄN</t>
        </is>
      </c>
      <c r="E5461" t="inlineStr">
        <is>
          <t>LULEÅ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10894-2023</t>
        </is>
      </c>
      <c r="B5462" s="1" t="n">
        <v>44985</v>
      </c>
      <c r="C5462" s="1" t="n">
        <v>45798</v>
      </c>
      <c r="D5462" t="inlineStr">
        <is>
          <t>NORRBOTTENS LÄN</t>
        </is>
      </c>
      <c r="E5462" t="inlineStr">
        <is>
          <t>LULEÅ</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10948-2023</t>
        </is>
      </c>
      <c r="B5463" s="1" t="n">
        <v>44985</v>
      </c>
      <c r="C5463" s="1" t="n">
        <v>45798</v>
      </c>
      <c r="D5463" t="inlineStr">
        <is>
          <t>NORRBOTTENS LÄN</t>
        </is>
      </c>
      <c r="E5463" t="inlineStr">
        <is>
          <t>HAPARANDA</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10954-2023</t>
        </is>
      </c>
      <c r="B5464" s="1" t="n">
        <v>44985</v>
      </c>
      <c r="C5464" s="1" t="n">
        <v>45798</v>
      </c>
      <c r="D5464" t="inlineStr">
        <is>
          <t>NORRBOTTENS LÄN</t>
        </is>
      </c>
      <c r="E5464" t="inlineStr">
        <is>
          <t>HAPARANDA</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10885-2023</t>
        </is>
      </c>
      <c r="B5465" s="1" t="n">
        <v>44985</v>
      </c>
      <c r="C5465" s="1" t="n">
        <v>45798</v>
      </c>
      <c r="D5465" t="inlineStr">
        <is>
          <t>NORRBOTTENS LÄN</t>
        </is>
      </c>
      <c r="E5465" t="inlineStr">
        <is>
          <t>LULEÅ</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10899-2023</t>
        </is>
      </c>
      <c r="B5466" s="1" t="n">
        <v>44985</v>
      </c>
      <c r="C5466" s="1" t="n">
        <v>45798</v>
      </c>
      <c r="D5466" t="inlineStr">
        <is>
          <t>NORRBOTTENS LÄN</t>
        </is>
      </c>
      <c r="E5466" t="inlineStr">
        <is>
          <t>PAJALA</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10298-2023</t>
        </is>
      </c>
      <c r="B5467" s="1" t="n">
        <v>44986</v>
      </c>
      <c r="C5467" s="1" t="n">
        <v>45798</v>
      </c>
      <c r="D5467" t="inlineStr">
        <is>
          <t>NORRBOTTENS LÄN</t>
        </is>
      </c>
      <c r="E5467" t="inlineStr">
        <is>
          <t>GÄLLIVARE</t>
        </is>
      </c>
      <c r="F5467" t="inlineStr">
        <is>
          <t>SCA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10529-2023</t>
        </is>
      </c>
      <c r="B5468" s="1" t="n">
        <v>44987</v>
      </c>
      <c r="C5468" s="1" t="n">
        <v>45798</v>
      </c>
      <c r="D5468" t="inlineStr">
        <is>
          <t>NORRBOTTENS LÄN</t>
        </is>
      </c>
      <c r="E5468" t="inlineStr">
        <is>
          <t>ÖVERTORNEÅ</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10528-2023</t>
        </is>
      </c>
      <c r="B5469" s="1" t="n">
        <v>44987</v>
      </c>
      <c r="C5469" s="1" t="n">
        <v>45798</v>
      </c>
      <c r="D5469" t="inlineStr">
        <is>
          <t>NORRBOTTENS LÄN</t>
        </is>
      </c>
      <c r="E5469" t="inlineStr">
        <is>
          <t>ÖVERTORNEÅ</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11142-2023</t>
        </is>
      </c>
      <c r="B5470" s="1" t="n">
        <v>44987</v>
      </c>
      <c r="C5470" s="1" t="n">
        <v>45798</v>
      </c>
      <c r="D5470" t="inlineStr">
        <is>
          <t>NORRBOTTENS LÄN</t>
        </is>
      </c>
      <c r="E5470" t="inlineStr">
        <is>
          <t>LULEÅ</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11178-2023</t>
        </is>
      </c>
      <c r="B5471" s="1" t="n">
        <v>44987</v>
      </c>
      <c r="C5471" s="1" t="n">
        <v>45798</v>
      </c>
      <c r="D5471" t="inlineStr">
        <is>
          <t>NORRBOTTENS LÄN</t>
        </is>
      </c>
      <c r="E5471" t="inlineStr">
        <is>
          <t>LULEÅ</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10664-2023</t>
        </is>
      </c>
      <c r="B5472" s="1" t="n">
        <v>44988</v>
      </c>
      <c r="C5472" s="1" t="n">
        <v>45798</v>
      </c>
      <c r="D5472" t="inlineStr">
        <is>
          <t>NORRBOTTENS LÄN</t>
        </is>
      </c>
      <c r="E5472" t="inlineStr">
        <is>
          <t>ARVIDSJAUR</t>
        </is>
      </c>
      <c r="F5472" t="inlineStr">
        <is>
          <t>Sveaskog</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10712-2023</t>
        </is>
      </c>
      <c r="B5473" s="1" t="n">
        <v>44988</v>
      </c>
      <c r="C5473" s="1" t="n">
        <v>45798</v>
      </c>
      <c r="D5473" t="inlineStr">
        <is>
          <t>NORRBOTTENS LÄN</t>
        </is>
      </c>
      <c r="E5473" t="inlineStr">
        <is>
          <t>ÄLVSBYN</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11197-2023</t>
        </is>
      </c>
      <c r="B5474" s="1" t="n">
        <v>44988</v>
      </c>
      <c r="C5474" s="1" t="n">
        <v>45798</v>
      </c>
      <c r="D5474" t="inlineStr">
        <is>
          <t>NORRBOTTENS LÄN</t>
        </is>
      </c>
      <c r="E5474" t="inlineStr">
        <is>
          <t>PAJALA</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11207-2023</t>
        </is>
      </c>
      <c r="B5475" s="1" t="n">
        <v>44988</v>
      </c>
      <c r="C5475" s="1" t="n">
        <v>45798</v>
      </c>
      <c r="D5475" t="inlineStr">
        <is>
          <t>NORRBOTTENS LÄN</t>
        </is>
      </c>
      <c r="E5475" t="inlineStr">
        <is>
          <t>PAJALA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10705-2023</t>
        </is>
      </c>
      <c r="B5476" s="1" t="n">
        <v>44988</v>
      </c>
      <c r="C5476" s="1" t="n">
        <v>45798</v>
      </c>
      <c r="D5476" t="inlineStr">
        <is>
          <t>NORRBOTTENS LÄN</t>
        </is>
      </c>
      <c r="E5476" t="inlineStr">
        <is>
          <t>ÄLVSBYN</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11200-2023</t>
        </is>
      </c>
      <c r="B5477" s="1" t="n">
        <v>44988</v>
      </c>
      <c r="C5477" s="1" t="n">
        <v>45798</v>
      </c>
      <c r="D5477" t="inlineStr">
        <is>
          <t>NORRBOTTENS LÄN</t>
        </is>
      </c>
      <c r="E5477" t="inlineStr">
        <is>
          <t>PAJALA</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11203-2023</t>
        </is>
      </c>
      <c r="B5478" s="1" t="n">
        <v>44988</v>
      </c>
      <c r="C5478" s="1" t="n">
        <v>45798</v>
      </c>
      <c r="D5478" t="inlineStr">
        <is>
          <t>NORRBOTTENS LÄN</t>
        </is>
      </c>
      <c r="E5478" t="inlineStr">
        <is>
          <t>PAJALA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11512-2023</t>
        </is>
      </c>
      <c r="B5479" s="1" t="n">
        <v>44988</v>
      </c>
      <c r="C5479" s="1" t="n">
        <v>45798</v>
      </c>
      <c r="D5479" t="inlineStr">
        <is>
          <t>NORRBOTTENS LÄN</t>
        </is>
      </c>
      <c r="E5479" t="inlineStr">
        <is>
          <t>PAJALA</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10999-2023</t>
        </is>
      </c>
      <c r="B5480" s="1" t="n">
        <v>44991</v>
      </c>
      <c r="C5480" s="1" t="n">
        <v>45798</v>
      </c>
      <c r="D5480" t="inlineStr">
        <is>
          <t>NORRBOTTENS LÄN</t>
        </is>
      </c>
      <c r="E5480" t="inlineStr">
        <is>
          <t>BODEN</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11482-2023</t>
        </is>
      </c>
      <c r="B5481" s="1" t="n">
        <v>44991</v>
      </c>
      <c r="C5481" s="1" t="n">
        <v>45798</v>
      </c>
      <c r="D5481" t="inlineStr">
        <is>
          <t>NORRBOTTENS LÄN</t>
        </is>
      </c>
      <c r="E5481" t="inlineStr">
        <is>
          <t>PITEÅ</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11464-2023</t>
        </is>
      </c>
      <c r="B5482" s="1" t="n">
        <v>44991</v>
      </c>
      <c r="C5482" s="1" t="n">
        <v>45798</v>
      </c>
      <c r="D5482" t="inlineStr">
        <is>
          <t>NORRBOTTENS LÄN</t>
        </is>
      </c>
      <c r="E5482" t="inlineStr">
        <is>
          <t>PITEÅ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11112-2023</t>
        </is>
      </c>
      <c r="B5483" s="1" t="n">
        <v>44992</v>
      </c>
      <c r="C5483" s="1" t="n">
        <v>45798</v>
      </c>
      <c r="D5483" t="inlineStr">
        <is>
          <t>NORRBOTTENS LÄN</t>
        </is>
      </c>
      <c r="E5483" t="inlineStr">
        <is>
          <t>KALIX</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11292-2023</t>
        </is>
      </c>
      <c r="B5484" s="1" t="n">
        <v>44992</v>
      </c>
      <c r="C5484" s="1" t="n">
        <v>45798</v>
      </c>
      <c r="D5484" t="inlineStr">
        <is>
          <t>NORRBOTTENS LÄN</t>
        </is>
      </c>
      <c r="E5484" t="inlineStr">
        <is>
          <t>ARVIDSJAUR</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11290-2023</t>
        </is>
      </c>
      <c r="B5485" s="1" t="n">
        <v>44992</v>
      </c>
      <c r="C5485" s="1" t="n">
        <v>45798</v>
      </c>
      <c r="D5485" t="inlineStr">
        <is>
          <t>NORRBOTTENS LÄN</t>
        </is>
      </c>
      <c r="E5485" t="inlineStr">
        <is>
          <t>GÄLLIVARE</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11293-2023</t>
        </is>
      </c>
      <c r="B5486" s="1" t="n">
        <v>44992</v>
      </c>
      <c r="C5486" s="1" t="n">
        <v>45798</v>
      </c>
      <c r="D5486" t="inlineStr">
        <is>
          <t>NORRBOTTENS LÄN</t>
        </is>
      </c>
      <c r="E5486" t="inlineStr">
        <is>
          <t>ÄLVSBYN</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11716-2023</t>
        </is>
      </c>
      <c r="B5487" s="1" t="n">
        <v>44992</v>
      </c>
      <c r="C5487" s="1" t="n">
        <v>45798</v>
      </c>
      <c r="D5487" t="inlineStr">
        <is>
          <t>NORRBOTTENS LÄN</t>
        </is>
      </c>
      <c r="E5487" t="inlineStr">
        <is>
          <t>LULEÅ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11719-2023</t>
        </is>
      </c>
      <c r="B5488" s="1" t="n">
        <v>44992</v>
      </c>
      <c r="C5488" s="1" t="n">
        <v>45798</v>
      </c>
      <c r="D5488" t="inlineStr">
        <is>
          <t>NORRBOTTENS LÄN</t>
        </is>
      </c>
      <c r="E5488" t="inlineStr">
        <is>
          <t>LULEÅ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11919-2023</t>
        </is>
      </c>
      <c r="B5489" s="1" t="n">
        <v>44993</v>
      </c>
      <c r="C5489" s="1" t="n">
        <v>45798</v>
      </c>
      <c r="D5489" t="inlineStr">
        <is>
          <t>NORRBOTTENS LÄN</t>
        </is>
      </c>
      <c r="E5489" t="inlineStr">
        <is>
          <t>ÖVERKALIX</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11915-2023</t>
        </is>
      </c>
      <c r="B5490" s="1" t="n">
        <v>44993</v>
      </c>
      <c r="C5490" s="1" t="n">
        <v>45798</v>
      </c>
      <c r="D5490" t="inlineStr">
        <is>
          <t>NORRBOTTENS LÄN</t>
        </is>
      </c>
      <c r="E5490" t="inlineStr">
        <is>
          <t>ÖVERKALIX</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11647-2023</t>
        </is>
      </c>
      <c r="B5491" s="1" t="n">
        <v>44994</v>
      </c>
      <c r="C5491" s="1" t="n">
        <v>45798</v>
      </c>
      <c r="D5491" t="inlineStr">
        <is>
          <t>NORRBOTTENS LÄN</t>
        </is>
      </c>
      <c r="E5491" t="inlineStr">
        <is>
          <t>BODEN</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11651-2023</t>
        </is>
      </c>
      <c r="B5492" s="1" t="n">
        <v>44994</v>
      </c>
      <c r="C5492" s="1" t="n">
        <v>45798</v>
      </c>
      <c r="D5492" t="inlineStr">
        <is>
          <t>NORRBOTTENS LÄN</t>
        </is>
      </c>
      <c r="E5492" t="inlineStr">
        <is>
          <t>BODEN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11930-2023</t>
        </is>
      </c>
      <c r="B5493" s="1" t="n">
        <v>44994</v>
      </c>
      <c r="C5493" s="1" t="n">
        <v>45798</v>
      </c>
      <c r="D5493" t="inlineStr">
        <is>
          <t>NORRBOTTENS LÄN</t>
        </is>
      </c>
      <c r="E5493" t="inlineStr">
        <is>
          <t>BODEN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11911-2023</t>
        </is>
      </c>
      <c r="B5494" s="1" t="n">
        <v>44994</v>
      </c>
      <c r="C5494" s="1" t="n">
        <v>45798</v>
      </c>
      <c r="D5494" t="inlineStr">
        <is>
          <t>NORRBOTTENS LÄN</t>
        </is>
      </c>
      <c r="E5494" t="inlineStr">
        <is>
          <t>KALIX</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11984-2023</t>
        </is>
      </c>
      <c r="B5495" s="1" t="n">
        <v>44994</v>
      </c>
      <c r="C5495" s="1" t="n">
        <v>45798</v>
      </c>
      <c r="D5495" t="inlineStr">
        <is>
          <t>NORRBOTTENS LÄN</t>
        </is>
      </c>
      <c r="E5495" t="inlineStr">
        <is>
          <t>BODEN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11835-2023</t>
        </is>
      </c>
      <c r="B5496" s="1" t="n">
        <v>44994</v>
      </c>
      <c r="C5496" s="1" t="n">
        <v>45798</v>
      </c>
      <c r="D5496" t="inlineStr">
        <is>
          <t>NORRBOTTENS LÄN</t>
        </is>
      </c>
      <c r="E5496" t="inlineStr">
        <is>
          <t>ÄLVSBYN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11982-2023</t>
        </is>
      </c>
      <c r="B5497" s="1" t="n">
        <v>44994</v>
      </c>
      <c r="C5497" s="1" t="n">
        <v>45798</v>
      </c>
      <c r="D5497" t="inlineStr">
        <is>
          <t>NORRBOTTENS LÄN</t>
        </is>
      </c>
      <c r="E5497" t="inlineStr">
        <is>
          <t>LULEÅ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11856-2023</t>
        </is>
      </c>
      <c r="B5498" s="1" t="n">
        <v>44995</v>
      </c>
      <c r="C5498" s="1" t="n">
        <v>45798</v>
      </c>
      <c r="D5498" t="inlineStr">
        <is>
          <t>NORRBOTTENS LÄN</t>
        </is>
      </c>
      <c r="E5498" t="inlineStr">
        <is>
          <t>KALIX</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12312-2023</t>
        </is>
      </c>
      <c r="B5499" s="1" t="n">
        <v>44995</v>
      </c>
      <c r="C5499" s="1" t="n">
        <v>45798</v>
      </c>
      <c r="D5499" t="inlineStr">
        <is>
          <t>NORRBOTTENS LÄN</t>
        </is>
      </c>
      <c r="E5499" t="inlineStr">
        <is>
          <t>LULEÅ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12323-2023</t>
        </is>
      </c>
      <c r="B5500" s="1" t="n">
        <v>44995</v>
      </c>
      <c r="C5500" s="1" t="n">
        <v>45798</v>
      </c>
      <c r="D5500" t="inlineStr">
        <is>
          <t>NORRBOTTENS LÄN</t>
        </is>
      </c>
      <c r="E5500" t="inlineStr">
        <is>
          <t>LULEÅ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12035-2023</t>
        </is>
      </c>
      <c r="B5501" s="1" t="n">
        <v>44995</v>
      </c>
      <c r="C5501" s="1" t="n">
        <v>45798</v>
      </c>
      <c r="D5501" t="inlineStr">
        <is>
          <t>NORRBOTTENS LÄN</t>
        </is>
      </c>
      <c r="E5501" t="inlineStr">
        <is>
          <t>ÖVERKALIX</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12686-2023</t>
        </is>
      </c>
      <c r="B5502" s="1" t="n">
        <v>44999</v>
      </c>
      <c r="C5502" s="1" t="n">
        <v>45798</v>
      </c>
      <c r="D5502" t="inlineStr">
        <is>
          <t>NORRBOTTENS LÄN</t>
        </is>
      </c>
      <c r="E5502" t="inlineStr">
        <is>
          <t>JOKKMOKK</t>
        </is>
      </c>
      <c r="G5502" t="n">
        <v>36.7</v>
      </c>
      <c r="H5502" t="n">
        <v>0</v>
      </c>
      <c r="I5502" t="n">
        <v>0</v>
      </c>
      <c r="J5502" t="n">
        <v>0</v>
      </c>
      <c r="K5502" t="n">
        <v>0</v>
      </c>
      <c r="L5502" t="n">
        <v>0</v>
      </c>
      <c r="M5502" t="n">
        <v>0</v>
      </c>
      <c r="N5502" t="n">
        <v>0</v>
      </c>
      <c r="O5502" t="n">
        <v>0</v>
      </c>
      <c r="P5502" t="n">
        <v>0</v>
      </c>
      <c r="Q5502" t="n">
        <v>0</v>
      </c>
      <c r="R5502" s="2" t="inlineStr"/>
    </row>
    <row r="5503" ht="15" customHeight="1">
      <c r="A5503" t="inlineStr">
        <is>
          <t>A 12656-2023</t>
        </is>
      </c>
      <c r="B5503" s="1" t="n">
        <v>44999</v>
      </c>
      <c r="C5503" s="1" t="n">
        <v>45798</v>
      </c>
      <c r="D5503" t="inlineStr">
        <is>
          <t>NORRBOTTENS LÄN</t>
        </is>
      </c>
      <c r="E5503" t="inlineStr">
        <is>
          <t>ARJEPLOG</t>
        </is>
      </c>
      <c r="G5503" t="n">
        <v>18.9</v>
      </c>
      <c r="H5503" t="n">
        <v>0</v>
      </c>
      <c r="I5503" t="n">
        <v>0</v>
      </c>
      <c r="J5503" t="n">
        <v>0</v>
      </c>
      <c r="K5503" t="n">
        <v>0</v>
      </c>
      <c r="L5503" t="n">
        <v>0</v>
      </c>
      <c r="M5503" t="n">
        <v>0</v>
      </c>
      <c r="N5503" t="n">
        <v>0</v>
      </c>
      <c r="O5503" t="n">
        <v>0</v>
      </c>
      <c r="P5503" t="n">
        <v>0</v>
      </c>
      <c r="Q5503" t="n">
        <v>0</v>
      </c>
      <c r="R5503" s="2" t="inlineStr"/>
    </row>
    <row r="5504" ht="15" customHeight="1">
      <c r="A5504" t="inlineStr">
        <is>
          <t>A 12685-2023</t>
        </is>
      </c>
      <c r="B5504" s="1" t="n">
        <v>44999</v>
      </c>
      <c r="C5504" s="1" t="n">
        <v>45798</v>
      </c>
      <c r="D5504" t="inlineStr">
        <is>
          <t>NORRBOTTENS LÄN</t>
        </is>
      </c>
      <c r="E5504" t="inlineStr">
        <is>
          <t>LULEÅ</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12782-2023</t>
        </is>
      </c>
      <c r="B5505" s="1" t="n">
        <v>45000</v>
      </c>
      <c r="C5505" s="1" t="n">
        <v>45798</v>
      </c>
      <c r="D5505" t="inlineStr">
        <is>
          <t>NORRBOTTENS LÄN</t>
        </is>
      </c>
      <c r="E5505" t="inlineStr">
        <is>
          <t>LULEÅ</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12794-2023</t>
        </is>
      </c>
      <c r="B5506" s="1" t="n">
        <v>45001</v>
      </c>
      <c r="C5506" s="1" t="n">
        <v>45798</v>
      </c>
      <c r="D5506" t="inlineStr">
        <is>
          <t>NORRBOTTENS LÄN</t>
        </is>
      </c>
      <c r="E5506" t="inlineStr">
        <is>
          <t>ARVIDSJAUR</t>
        </is>
      </c>
      <c r="F5506" t="inlineStr">
        <is>
          <t>Sveaskog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12865-2023</t>
        </is>
      </c>
      <c r="B5507" s="1" t="n">
        <v>45001</v>
      </c>
      <c r="C5507" s="1" t="n">
        <v>45798</v>
      </c>
      <c r="D5507" t="inlineStr">
        <is>
          <t>NORRBOTTENS LÄN</t>
        </is>
      </c>
      <c r="E5507" t="inlineStr">
        <is>
          <t>LULEÅ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12801-2023</t>
        </is>
      </c>
      <c r="B5508" s="1" t="n">
        <v>45001</v>
      </c>
      <c r="C5508" s="1" t="n">
        <v>45798</v>
      </c>
      <c r="D5508" t="inlineStr">
        <is>
          <t>NORRBOTTENS LÄN</t>
        </is>
      </c>
      <c r="E5508" t="inlineStr">
        <is>
          <t>BODEN</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13197-2023</t>
        </is>
      </c>
      <c r="B5509" s="1" t="n">
        <v>45002</v>
      </c>
      <c r="C5509" s="1" t="n">
        <v>45798</v>
      </c>
      <c r="D5509" t="inlineStr">
        <is>
          <t>NORRBOTTENS LÄN</t>
        </is>
      </c>
      <c r="E5509" t="inlineStr">
        <is>
          <t>PAJALA</t>
        </is>
      </c>
      <c r="F5509" t="inlineStr">
        <is>
          <t>Allmännings- och besparingsskogar</t>
        </is>
      </c>
      <c r="G5509" t="n">
        <v>26.1</v>
      </c>
      <c r="H5509" t="n">
        <v>0</v>
      </c>
      <c r="I5509" t="n">
        <v>0</v>
      </c>
      <c r="J5509" t="n">
        <v>0</v>
      </c>
      <c r="K5509" t="n">
        <v>0</v>
      </c>
      <c r="L5509" t="n">
        <v>0</v>
      </c>
      <c r="M5509" t="n">
        <v>0</v>
      </c>
      <c r="N5509" t="n">
        <v>0</v>
      </c>
      <c r="O5509" t="n">
        <v>0</v>
      </c>
      <c r="P5509" t="n">
        <v>0</v>
      </c>
      <c r="Q5509" t="n">
        <v>0</v>
      </c>
      <c r="R5509" s="2" t="inlineStr"/>
    </row>
    <row r="5510" ht="15" customHeight="1">
      <c r="A5510" t="inlineStr">
        <is>
          <t>A 13173-2023</t>
        </is>
      </c>
      <c r="B5510" s="1" t="n">
        <v>45002</v>
      </c>
      <c r="C5510" s="1" t="n">
        <v>45798</v>
      </c>
      <c r="D5510" t="inlineStr">
        <is>
          <t>NORRBOTTENS LÄN</t>
        </is>
      </c>
      <c r="E5510" t="inlineStr">
        <is>
          <t>ÄLVSBYN</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13204-2023</t>
        </is>
      </c>
      <c r="B5511" s="1" t="n">
        <v>45002</v>
      </c>
      <c r="C5511" s="1" t="n">
        <v>45798</v>
      </c>
      <c r="D5511" t="inlineStr">
        <is>
          <t>NORRBOTTENS LÄN</t>
        </is>
      </c>
      <c r="E5511" t="inlineStr">
        <is>
          <t>ÄLVSBYN</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13212-2023</t>
        </is>
      </c>
      <c r="B5512" s="1" t="n">
        <v>45002</v>
      </c>
      <c r="C5512" s="1" t="n">
        <v>45798</v>
      </c>
      <c r="D5512" t="inlineStr">
        <is>
          <t>NORRBOTTENS LÄN</t>
        </is>
      </c>
      <c r="E5512" t="inlineStr">
        <is>
          <t>PAJALA</t>
        </is>
      </c>
      <c r="F5512" t="inlineStr">
        <is>
          <t>Allmännings- och besparingsskogar</t>
        </is>
      </c>
      <c r="G5512" t="n">
        <v>46.9</v>
      </c>
      <c r="H5512" t="n">
        <v>0</v>
      </c>
      <c r="I5512" t="n">
        <v>0</v>
      </c>
      <c r="J5512" t="n">
        <v>0</v>
      </c>
      <c r="K5512" t="n">
        <v>0</v>
      </c>
      <c r="L5512" t="n">
        <v>0</v>
      </c>
      <c r="M5512" t="n">
        <v>0</v>
      </c>
      <c r="N5512" t="n">
        <v>0</v>
      </c>
      <c r="O5512" t="n">
        <v>0</v>
      </c>
      <c r="P5512" t="n">
        <v>0</v>
      </c>
      <c r="Q5512" t="n">
        <v>0</v>
      </c>
      <c r="R5512" s="2" t="inlineStr"/>
    </row>
    <row r="5513" ht="15" customHeight="1">
      <c r="A5513" t="inlineStr">
        <is>
          <t>A 13250-2023</t>
        </is>
      </c>
      <c r="B5513" s="1" t="n">
        <v>45002</v>
      </c>
      <c r="C5513" s="1" t="n">
        <v>45798</v>
      </c>
      <c r="D5513" t="inlineStr">
        <is>
          <t>NORRBOTTENS LÄN</t>
        </is>
      </c>
      <c r="E5513" t="inlineStr">
        <is>
          <t>GÄLLIVARE</t>
        </is>
      </c>
      <c r="F5513" t="inlineStr">
        <is>
          <t>SCA</t>
        </is>
      </c>
      <c r="G5513" t="n">
        <v>16.9</v>
      </c>
      <c r="H5513" t="n">
        <v>0</v>
      </c>
      <c r="I5513" t="n">
        <v>0</v>
      </c>
      <c r="J5513" t="n">
        <v>0</v>
      </c>
      <c r="K5513" t="n">
        <v>0</v>
      </c>
      <c r="L5513" t="n">
        <v>0</v>
      </c>
      <c r="M5513" t="n">
        <v>0</v>
      </c>
      <c r="N5513" t="n">
        <v>0</v>
      </c>
      <c r="O5513" t="n">
        <v>0</v>
      </c>
      <c r="P5513" t="n">
        <v>0</v>
      </c>
      <c r="Q5513" t="n">
        <v>0</v>
      </c>
      <c r="R5513" s="2" t="inlineStr"/>
    </row>
    <row r="5514" ht="15" customHeight="1">
      <c r="A5514" t="inlineStr">
        <is>
          <t>A 13247-2023</t>
        </is>
      </c>
      <c r="B5514" s="1" t="n">
        <v>45002</v>
      </c>
      <c r="C5514" s="1" t="n">
        <v>45798</v>
      </c>
      <c r="D5514" t="inlineStr">
        <is>
          <t>NORRBOTTENS LÄN</t>
        </is>
      </c>
      <c r="E5514" t="inlineStr">
        <is>
          <t>LULEÅ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13207-2023</t>
        </is>
      </c>
      <c r="B5515" s="1" t="n">
        <v>45002</v>
      </c>
      <c r="C5515" s="1" t="n">
        <v>45798</v>
      </c>
      <c r="D5515" t="inlineStr">
        <is>
          <t>NORRBOTTENS LÄN</t>
        </is>
      </c>
      <c r="E5515" t="inlineStr">
        <is>
          <t>PAJALA</t>
        </is>
      </c>
      <c r="F5515" t="inlineStr">
        <is>
          <t>Allmännings- och besparingsskogar</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13251-2023</t>
        </is>
      </c>
      <c r="B5516" s="1" t="n">
        <v>45002</v>
      </c>
      <c r="C5516" s="1" t="n">
        <v>45798</v>
      </c>
      <c r="D5516" t="inlineStr">
        <is>
          <t>NORRBOTTENS LÄN</t>
        </is>
      </c>
      <c r="E5516" t="inlineStr">
        <is>
          <t>GÄLLIVARE</t>
        </is>
      </c>
      <c r="F5516" t="inlineStr">
        <is>
          <t>SCA</t>
        </is>
      </c>
      <c r="G5516" t="n">
        <v>23.6</v>
      </c>
      <c r="H5516" t="n">
        <v>0</v>
      </c>
      <c r="I5516" t="n">
        <v>0</v>
      </c>
      <c r="J5516" t="n">
        <v>0</v>
      </c>
      <c r="K5516" t="n">
        <v>0</v>
      </c>
      <c r="L5516" t="n">
        <v>0</v>
      </c>
      <c r="M5516" t="n">
        <v>0</v>
      </c>
      <c r="N5516" t="n">
        <v>0</v>
      </c>
      <c r="O5516" t="n">
        <v>0</v>
      </c>
      <c r="P5516" t="n">
        <v>0</v>
      </c>
      <c r="Q5516" t="n">
        <v>0</v>
      </c>
      <c r="R5516" s="2" t="inlineStr"/>
    </row>
    <row r="5517" ht="15" customHeight="1">
      <c r="A5517" t="inlineStr">
        <is>
          <t>A 13372-2023</t>
        </is>
      </c>
      <c r="B5517" s="1" t="n">
        <v>45005</v>
      </c>
      <c r="C5517" s="1" t="n">
        <v>45798</v>
      </c>
      <c r="D5517" t="inlineStr">
        <is>
          <t>NORRBOTTENS LÄN</t>
        </is>
      </c>
      <c r="E5517" t="inlineStr">
        <is>
          <t>ÖVERKALIX</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13395-2023</t>
        </is>
      </c>
      <c r="B5518" s="1" t="n">
        <v>45005</v>
      </c>
      <c r="C5518" s="1" t="n">
        <v>45798</v>
      </c>
      <c r="D5518" t="inlineStr">
        <is>
          <t>NORRBOTTENS LÄN</t>
        </is>
      </c>
      <c r="E5518" t="inlineStr">
        <is>
          <t>ARVIDSJAUR</t>
        </is>
      </c>
      <c r="F5518" t="inlineStr">
        <is>
          <t>Sveaskog</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13380-2023</t>
        </is>
      </c>
      <c r="B5519" s="1" t="n">
        <v>45005</v>
      </c>
      <c r="C5519" s="1" t="n">
        <v>45798</v>
      </c>
      <c r="D5519" t="inlineStr">
        <is>
          <t>NORRBOTTENS LÄN</t>
        </is>
      </c>
      <c r="E5519" t="inlineStr">
        <is>
          <t>KALIX</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13435-2023</t>
        </is>
      </c>
      <c r="B5520" s="1" t="n">
        <v>45005</v>
      </c>
      <c r="C5520" s="1" t="n">
        <v>45798</v>
      </c>
      <c r="D5520" t="inlineStr">
        <is>
          <t>NORRBOTTENS LÄN</t>
        </is>
      </c>
      <c r="E5520" t="inlineStr">
        <is>
          <t>BODEN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13451-2023</t>
        </is>
      </c>
      <c r="B5521" s="1" t="n">
        <v>45005</v>
      </c>
      <c r="C5521" s="1" t="n">
        <v>45798</v>
      </c>
      <c r="D5521" t="inlineStr">
        <is>
          <t>NORRBOTTENS LÄN</t>
        </is>
      </c>
      <c r="E5521" t="inlineStr">
        <is>
          <t>BODEN</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13473-2023</t>
        </is>
      </c>
      <c r="B5522" s="1" t="n">
        <v>45005</v>
      </c>
      <c r="C5522" s="1" t="n">
        <v>45798</v>
      </c>
      <c r="D5522" t="inlineStr">
        <is>
          <t>NORRBOTTENS LÄN</t>
        </is>
      </c>
      <c r="E5522" t="inlineStr">
        <is>
          <t>BODEN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13590-2023</t>
        </is>
      </c>
      <c r="B5523" s="1" t="n">
        <v>45005</v>
      </c>
      <c r="C5523" s="1" t="n">
        <v>45798</v>
      </c>
      <c r="D5523" t="inlineStr">
        <is>
          <t>NORRBOTTENS LÄN</t>
        </is>
      </c>
      <c r="E5523" t="inlineStr">
        <is>
          <t>ARJEPLOG</t>
        </is>
      </c>
      <c r="F5523" t="inlineStr">
        <is>
          <t>Sveaskog</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13652-2023</t>
        </is>
      </c>
      <c r="B5524" s="1" t="n">
        <v>45006</v>
      </c>
      <c r="C5524" s="1" t="n">
        <v>45798</v>
      </c>
      <c r="D5524" t="inlineStr">
        <is>
          <t>NORRBOTTENS LÄN</t>
        </is>
      </c>
      <c r="E5524" t="inlineStr">
        <is>
          <t>PAJALA</t>
        </is>
      </c>
      <c r="F5524" t="inlineStr">
        <is>
          <t>Allmännings- och besparingsskogar</t>
        </is>
      </c>
      <c r="G5524" t="n">
        <v>31.1</v>
      </c>
      <c r="H5524" t="n">
        <v>0</v>
      </c>
      <c r="I5524" t="n">
        <v>0</v>
      </c>
      <c r="J5524" t="n">
        <v>0</v>
      </c>
      <c r="K5524" t="n">
        <v>0</v>
      </c>
      <c r="L5524" t="n">
        <v>0</v>
      </c>
      <c r="M5524" t="n">
        <v>0</v>
      </c>
      <c r="N5524" t="n">
        <v>0</v>
      </c>
      <c r="O5524" t="n">
        <v>0</v>
      </c>
      <c r="P5524" t="n">
        <v>0</v>
      </c>
      <c r="Q5524" t="n">
        <v>0</v>
      </c>
      <c r="R5524" s="2" t="inlineStr"/>
    </row>
    <row r="5525" ht="15" customHeight="1">
      <c r="A5525" t="inlineStr">
        <is>
          <t>A 13659-2023</t>
        </is>
      </c>
      <c r="B5525" s="1" t="n">
        <v>45006</v>
      </c>
      <c r="C5525" s="1" t="n">
        <v>45798</v>
      </c>
      <c r="D5525" t="inlineStr">
        <is>
          <t>NORRBOTTENS LÄN</t>
        </is>
      </c>
      <c r="E5525" t="inlineStr">
        <is>
          <t>PAJALA</t>
        </is>
      </c>
      <c r="F5525" t="inlineStr">
        <is>
          <t>Allmännings- och besparingsskogar</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13683-2023</t>
        </is>
      </c>
      <c r="B5526" s="1" t="n">
        <v>45006</v>
      </c>
      <c r="C5526" s="1" t="n">
        <v>45798</v>
      </c>
      <c r="D5526" t="inlineStr">
        <is>
          <t>NORRBOTTENS LÄN</t>
        </is>
      </c>
      <c r="E5526" t="inlineStr">
        <is>
          <t>PITEÅ</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13682-2023</t>
        </is>
      </c>
      <c r="B5527" s="1" t="n">
        <v>45006</v>
      </c>
      <c r="C5527" s="1" t="n">
        <v>45798</v>
      </c>
      <c r="D5527" t="inlineStr">
        <is>
          <t>NORRBOTTENS LÄN</t>
        </is>
      </c>
      <c r="E5527" t="inlineStr">
        <is>
          <t>PITEÅ</t>
        </is>
      </c>
      <c r="G5527" t="n">
        <v>10.1</v>
      </c>
      <c r="H5527" t="n">
        <v>0</v>
      </c>
      <c r="I5527" t="n">
        <v>0</v>
      </c>
      <c r="J5527" t="n">
        <v>0</v>
      </c>
      <c r="K5527" t="n">
        <v>0</v>
      </c>
      <c r="L5527" t="n">
        <v>0</v>
      </c>
      <c r="M5527" t="n">
        <v>0</v>
      </c>
      <c r="N5527" t="n">
        <v>0</v>
      </c>
      <c r="O5527" t="n">
        <v>0</v>
      </c>
      <c r="P5527" t="n">
        <v>0</v>
      </c>
      <c r="Q5527" t="n">
        <v>0</v>
      </c>
      <c r="R5527" s="2" t="inlineStr"/>
    </row>
    <row r="5528" ht="15" customHeight="1">
      <c r="A5528" t="inlineStr">
        <is>
          <t>A 13802-2023</t>
        </is>
      </c>
      <c r="B5528" s="1" t="n">
        <v>45006</v>
      </c>
      <c r="C5528" s="1" t="n">
        <v>45798</v>
      </c>
      <c r="D5528" t="inlineStr">
        <is>
          <t>NORRBOTTENS LÄN</t>
        </is>
      </c>
      <c r="E5528" t="inlineStr">
        <is>
          <t>KALIX</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13808-2023</t>
        </is>
      </c>
      <c r="B5529" s="1" t="n">
        <v>45006</v>
      </c>
      <c r="C5529" s="1" t="n">
        <v>45798</v>
      </c>
      <c r="D5529" t="inlineStr">
        <is>
          <t>NORRBOTTENS LÄN</t>
        </is>
      </c>
      <c r="E5529" t="inlineStr">
        <is>
          <t>BODEN</t>
        </is>
      </c>
      <c r="G5529" t="n">
        <v>14.5</v>
      </c>
      <c r="H5529" t="n">
        <v>0</v>
      </c>
      <c r="I5529" t="n">
        <v>0</v>
      </c>
      <c r="J5529" t="n">
        <v>0</v>
      </c>
      <c r="K5529" t="n">
        <v>0</v>
      </c>
      <c r="L5529" t="n">
        <v>0</v>
      </c>
      <c r="M5529" t="n">
        <v>0</v>
      </c>
      <c r="N5529" t="n">
        <v>0</v>
      </c>
      <c r="O5529" t="n">
        <v>0</v>
      </c>
      <c r="P5529" t="n">
        <v>0</v>
      </c>
      <c r="Q5529" t="n">
        <v>0</v>
      </c>
      <c r="R5529" s="2" t="inlineStr"/>
    </row>
    <row r="5530" ht="15" customHeight="1">
      <c r="A5530" t="inlineStr">
        <is>
          <t>A 14047-2023</t>
        </is>
      </c>
      <c r="B5530" s="1" t="n">
        <v>45008</v>
      </c>
      <c r="C5530" s="1" t="n">
        <v>45798</v>
      </c>
      <c r="D5530" t="inlineStr">
        <is>
          <t>NORRBOTTENS LÄN</t>
        </is>
      </c>
      <c r="E5530" t="inlineStr">
        <is>
          <t>KALIX</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14128-2023</t>
        </is>
      </c>
      <c r="B5531" s="1" t="n">
        <v>45009</v>
      </c>
      <c r="C5531" s="1" t="n">
        <v>45798</v>
      </c>
      <c r="D5531" t="inlineStr">
        <is>
          <t>NORRBOTTENS LÄN</t>
        </is>
      </c>
      <c r="E5531" t="inlineStr">
        <is>
          <t>LULEÅ</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14255-2023</t>
        </is>
      </c>
      <c r="B5532" s="1" t="n">
        <v>45009</v>
      </c>
      <c r="C5532" s="1" t="n">
        <v>45798</v>
      </c>
      <c r="D5532" t="inlineStr">
        <is>
          <t>NORRBOTTENS LÄN</t>
        </is>
      </c>
      <c r="E5532" t="inlineStr">
        <is>
          <t>ÖVERKALIX</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14404-2023</t>
        </is>
      </c>
      <c r="B5533" s="1" t="n">
        <v>45009</v>
      </c>
      <c r="C5533" s="1" t="n">
        <v>45798</v>
      </c>
      <c r="D5533" t="inlineStr">
        <is>
          <t>NORRBOTTENS LÄN</t>
        </is>
      </c>
      <c r="E5533" t="inlineStr">
        <is>
          <t>KALIX</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14281-2023</t>
        </is>
      </c>
      <c r="B5534" s="1" t="n">
        <v>45010</v>
      </c>
      <c r="C5534" s="1" t="n">
        <v>45798</v>
      </c>
      <c r="D5534" t="inlineStr">
        <is>
          <t>NORRBOTTENS LÄN</t>
        </is>
      </c>
      <c r="E5534" t="inlineStr">
        <is>
          <t>ÖVERTORNEÅ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14298-2023</t>
        </is>
      </c>
      <c r="B5535" s="1" t="n">
        <v>45011</v>
      </c>
      <c r="C5535" s="1" t="n">
        <v>45798</v>
      </c>
      <c r="D5535" t="inlineStr">
        <is>
          <t>NORRBOTTENS LÄN</t>
        </is>
      </c>
      <c r="E5535" t="inlineStr">
        <is>
          <t>ÖVERTORNEÅ</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14436-2023</t>
        </is>
      </c>
      <c r="B5536" s="1" t="n">
        <v>45012</v>
      </c>
      <c r="C5536" s="1" t="n">
        <v>45798</v>
      </c>
      <c r="D5536" t="inlineStr">
        <is>
          <t>NORRBOTTENS LÄN</t>
        </is>
      </c>
      <c r="E5536" t="inlineStr">
        <is>
          <t>ÄLVSBYN</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14445-2023</t>
        </is>
      </c>
      <c r="B5537" s="1" t="n">
        <v>45012</v>
      </c>
      <c r="C5537" s="1" t="n">
        <v>45798</v>
      </c>
      <c r="D5537" t="inlineStr">
        <is>
          <t>NORRBOTTENS LÄN</t>
        </is>
      </c>
      <c r="E5537" t="inlineStr">
        <is>
          <t>PAJALA</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14405-2023</t>
        </is>
      </c>
      <c r="B5538" s="1" t="n">
        <v>45012</v>
      </c>
      <c r="C5538" s="1" t="n">
        <v>45798</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14409-2023</t>
        </is>
      </c>
      <c r="B5539" s="1" t="n">
        <v>45012</v>
      </c>
      <c r="C5539" s="1" t="n">
        <v>45798</v>
      </c>
      <c r="D5539" t="inlineStr">
        <is>
          <t>NORRBOTTENS LÄN</t>
        </is>
      </c>
      <c r="E5539" t="inlineStr">
        <is>
          <t>PAJALA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14447-2023</t>
        </is>
      </c>
      <c r="B5540" s="1" t="n">
        <v>45012</v>
      </c>
      <c r="C5540" s="1" t="n">
        <v>45798</v>
      </c>
      <c r="D5540" t="inlineStr">
        <is>
          <t>NORRBOTTENS LÄN</t>
        </is>
      </c>
      <c r="E5540" t="inlineStr">
        <is>
          <t>LULEÅ</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14573-2023</t>
        </is>
      </c>
      <c r="B5541" s="1" t="n">
        <v>45012</v>
      </c>
      <c r="C5541" s="1" t="n">
        <v>45798</v>
      </c>
      <c r="D5541" t="inlineStr">
        <is>
          <t>NORRBOTTENS LÄN</t>
        </is>
      </c>
      <c r="E5541" t="inlineStr">
        <is>
          <t>PAJALA</t>
        </is>
      </c>
      <c r="F5541" t="inlineStr">
        <is>
          <t>Allmännings- och besparingsskogar</t>
        </is>
      </c>
      <c r="G5541" t="n">
        <v>48.8</v>
      </c>
      <c r="H5541" t="n">
        <v>0</v>
      </c>
      <c r="I5541" t="n">
        <v>0</v>
      </c>
      <c r="J5541" t="n">
        <v>0</v>
      </c>
      <c r="K5541" t="n">
        <v>0</v>
      </c>
      <c r="L5541" t="n">
        <v>0</v>
      </c>
      <c r="M5541" t="n">
        <v>0</v>
      </c>
      <c r="N5541" t="n">
        <v>0</v>
      </c>
      <c r="O5541" t="n">
        <v>0</v>
      </c>
      <c r="P5541" t="n">
        <v>0</v>
      </c>
      <c r="Q5541" t="n">
        <v>0</v>
      </c>
      <c r="R5541" s="2" t="inlineStr"/>
    </row>
    <row r="5542" ht="15" customHeight="1">
      <c r="A5542" t="inlineStr">
        <is>
          <t>A 14522-2023</t>
        </is>
      </c>
      <c r="B5542" s="1" t="n">
        <v>45013</v>
      </c>
      <c r="C5542" s="1" t="n">
        <v>45798</v>
      </c>
      <c r="D5542" t="inlineStr">
        <is>
          <t>NORRBOTTENS LÄN</t>
        </is>
      </c>
      <c r="E5542" t="inlineStr">
        <is>
          <t>PITEÅ</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14574-2023</t>
        </is>
      </c>
      <c r="B5543" s="1" t="n">
        <v>45012</v>
      </c>
      <c r="C5543" s="1" t="n">
        <v>45798</v>
      </c>
      <c r="D5543" t="inlineStr">
        <is>
          <t>NORRBOTTENS LÄN</t>
        </is>
      </c>
      <c r="E5543" t="inlineStr">
        <is>
          <t>PAJALA</t>
        </is>
      </c>
      <c r="F5543" t="inlineStr">
        <is>
          <t>Allmännings- och besparingsskogar</t>
        </is>
      </c>
      <c r="G5543" t="n">
        <v>31.2</v>
      </c>
      <c r="H5543" t="n">
        <v>0</v>
      </c>
      <c r="I5543" t="n">
        <v>0</v>
      </c>
      <c r="J5543" t="n">
        <v>0</v>
      </c>
      <c r="K5543" t="n">
        <v>0</v>
      </c>
      <c r="L5543" t="n">
        <v>0</v>
      </c>
      <c r="M5543" t="n">
        <v>0</v>
      </c>
      <c r="N5543" t="n">
        <v>0</v>
      </c>
      <c r="O5543" t="n">
        <v>0</v>
      </c>
      <c r="P5543" t="n">
        <v>0</v>
      </c>
      <c r="Q5543" t="n">
        <v>0</v>
      </c>
      <c r="R5543" s="2" t="inlineStr"/>
    </row>
    <row r="5544" ht="15" customHeight="1">
      <c r="A5544" t="inlineStr">
        <is>
          <t>A 14613-2023</t>
        </is>
      </c>
      <c r="B5544" s="1" t="n">
        <v>45013</v>
      </c>
      <c r="C5544" s="1" t="n">
        <v>45798</v>
      </c>
      <c r="D5544" t="inlineStr">
        <is>
          <t>NORRBOTTENS LÄN</t>
        </is>
      </c>
      <c r="E5544" t="inlineStr">
        <is>
          <t>ARVIDSJAUR</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14748-2023</t>
        </is>
      </c>
      <c r="B5545" s="1" t="n">
        <v>45013</v>
      </c>
      <c r="C5545" s="1" t="n">
        <v>45798</v>
      </c>
      <c r="D5545" t="inlineStr">
        <is>
          <t>NORRBOTTENS LÄN</t>
        </is>
      </c>
      <c r="E5545" t="inlineStr">
        <is>
          <t>BODEN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14738-2023</t>
        </is>
      </c>
      <c r="B5546" s="1" t="n">
        <v>45013</v>
      </c>
      <c r="C5546" s="1" t="n">
        <v>45798</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14761-2023</t>
        </is>
      </c>
      <c r="B5547" s="1" t="n">
        <v>45013</v>
      </c>
      <c r="C5547" s="1" t="n">
        <v>45798</v>
      </c>
      <c r="D5547" t="inlineStr">
        <is>
          <t>NORRBOTTENS LÄN</t>
        </is>
      </c>
      <c r="E5547" t="inlineStr">
        <is>
          <t>KALIX</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14743-2023</t>
        </is>
      </c>
      <c r="B5548" s="1" t="n">
        <v>45013</v>
      </c>
      <c r="C5548" s="1" t="n">
        <v>45798</v>
      </c>
      <c r="D5548" t="inlineStr">
        <is>
          <t>NORRBOTTENS LÄN</t>
        </is>
      </c>
      <c r="E5548" t="inlineStr">
        <is>
          <t>BODEN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14803-2023</t>
        </is>
      </c>
      <c r="B5549" s="1" t="n">
        <v>45013</v>
      </c>
      <c r="C5549" s="1" t="n">
        <v>45798</v>
      </c>
      <c r="D5549" t="inlineStr">
        <is>
          <t>NORRBOTTENS LÄN</t>
        </is>
      </c>
      <c r="E5549" t="inlineStr">
        <is>
          <t>LULEÅ</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14757-2023</t>
        </is>
      </c>
      <c r="B5550" s="1" t="n">
        <v>45014</v>
      </c>
      <c r="C5550" s="1" t="n">
        <v>45798</v>
      </c>
      <c r="D5550" t="inlineStr">
        <is>
          <t>NORRBOTTENS LÄN</t>
        </is>
      </c>
      <c r="E5550" t="inlineStr">
        <is>
          <t>BODEN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14886-2023</t>
        </is>
      </c>
      <c r="B5551" s="1" t="n">
        <v>45015</v>
      </c>
      <c r="C5551" s="1" t="n">
        <v>45798</v>
      </c>
      <c r="D5551" t="inlineStr">
        <is>
          <t>NORRBOTTENS LÄN</t>
        </is>
      </c>
      <c r="E5551" t="inlineStr">
        <is>
          <t>PITEÅ</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14862-2023</t>
        </is>
      </c>
      <c r="B5552" s="1" t="n">
        <v>45015</v>
      </c>
      <c r="C5552" s="1" t="n">
        <v>45798</v>
      </c>
      <c r="D5552" t="inlineStr">
        <is>
          <t>NORRBOTTENS LÄN</t>
        </is>
      </c>
      <c r="E5552" t="inlineStr">
        <is>
          <t>PITEÅ</t>
        </is>
      </c>
      <c r="F5552" t="inlineStr">
        <is>
          <t>SCA</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14997-2023</t>
        </is>
      </c>
      <c r="B5553" s="1" t="n">
        <v>45015</v>
      </c>
      <c r="C5553" s="1" t="n">
        <v>45798</v>
      </c>
      <c r="D5553" t="inlineStr">
        <is>
          <t>NORRBOTTENS LÄN</t>
        </is>
      </c>
      <c r="E5553" t="inlineStr">
        <is>
          <t>PITEÅ</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15072-2023</t>
        </is>
      </c>
      <c r="B5554" s="1" t="n">
        <v>45015</v>
      </c>
      <c r="C5554" s="1" t="n">
        <v>45798</v>
      </c>
      <c r="D5554" t="inlineStr">
        <is>
          <t>NORRBOTTENS LÄN</t>
        </is>
      </c>
      <c r="E5554" t="inlineStr">
        <is>
          <t>GÄLLIVARE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15076-2023</t>
        </is>
      </c>
      <c r="B5555" s="1" t="n">
        <v>45016</v>
      </c>
      <c r="C5555" s="1" t="n">
        <v>45798</v>
      </c>
      <c r="D5555" t="inlineStr">
        <is>
          <t>NORRBOTTENS LÄN</t>
        </is>
      </c>
      <c r="E5555" t="inlineStr">
        <is>
          <t>ÄLVSBYN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15127-2023</t>
        </is>
      </c>
      <c r="B5556" s="1" t="n">
        <v>45016</v>
      </c>
      <c r="C5556" s="1" t="n">
        <v>45798</v>
      </c>
      <c r="D5556" t="inlineStr">
        <is>
          <t>NORRBOTTENS LÄN</t>
        </is>
      </c>
      <c r="E5556" t="inlineStr">
        <is>
          <t>LULEÅ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15251-2023</t>
        </is>
      </c>
      <c r="B5557" s="1" t="n">
        <v>45016</v>
      </c>
      <c r="C5557" s="1" t="n">
        <v>45798</v>
      </c>
      <c r="D5557" t="inlineStr">
        <is>
          <t>NORRBOTTENS LÄN</t>
        </is>
      </c>
      <c r="E5557" t="inlineStr">
        <is>
          <t>ÄLVSBYN</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15255-2023</t>
        </is>
      </c>
      <c r="B5558" s="1" t="n">
        <v>45016</v>
      </c>
      <c r="C5558" s="1" t="n">
        <v>45798</v>
      </c>
      <c r="D5558" t="inlineStr">
        <is>
          <t>NORRBOTTENS LÄN</t>
        </is>
      </c>
      <c r="E5558" t="inlineStr">
        <is>
          <t>ÄLVSBYN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15250-2023</t>
        </is>
      </c>
      <c r="B5559" s="1" t="n">
        <v>45016</v>
      </c>
      <c r="C5559" s="1" t="n">
        <v>45798</v>
      </c>
      <c r="D5559" t="inlineStr">
        <is>
          <t>NORRBOTTENS LÄN</t>
        </is>
      </c>
      <c r="E5559" t="inlineStr">
        <is>
          <t>ÄLVSBYN</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15201-2023</t>
        </is>
      </c>
      <c r="B5560" s="1" t="n">
        <v>45017</v>
      </c>
      <c r="C5560" s="1" t="n">
        <v>45798</v>
      </c>
      <c r="D5560" t="inlineStr">
        <is>
          <t>NORRBOTTENS LÄN</t>
        </is>
      </c>
      <c r="E5560" t="inlineStr">
        <is>
          <t>ÖVERTORNEÅ</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15422-2023</t>
        </is>
      </c>
      <c r="B5561" s="1" t="n">
        <v>45019</v>
      </c>
      <c r="C5561" s="1" t="n">
        <v>45798</v>
      </c>
      <c r="D5561" t="inlineStr">
        <is>
          <t>NORRBOTTENS LÄN</t>
        </is>
      </c>
      <c r="E5561" t="inlineStr">
        <is>
          <t>PAJALA</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15475-2023</t>
        </is>
      </c>
      <c r="B5562" s="1" t="n">
        <v>45020</v>
      </c>
      <c r="C5562" s="1" t="n">
        <v>45798</v>
      </c>
      <c r="D5562" t="inlineStr">
        <is>
          <t>NORRBOTTENS LÄN</t>
        </is>
      </c>
      <c r="E5562" t="inlineStr">
        <is>
          <t>ARVIDSJAUR</t>
        </is>
      </c>
      <c r="F5562" t="inlineStr">
        <is>
          <t>Sveaskog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15619-2023</t>
        </is>
      </c>
      <c r="B5563" s="1" t="n">
        <v>45021</v>
      </c>
      <c r="C5563" s="1" t="n">
        <v>45798</v>
      </c>
      <c r="D5563" t="inlineStr">
        <is>
          <t>NORRBOTTENS LÄN</t>
        </is>
      </c>
      <c r="E5563" t="inlineStr">
        <is>
          <t>ÄLVSBYN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15810-2023</t>
        </is>
      </c>
      <c r="B5564" s="1" t="n">
        <v>45021</v>
      </c>
      <c r="C5564" s="1" t="n">
        <v>45798</v>
      </c>
      <c r="D5564" t="inlineStr">
        <is>
          <t>NORRBOTTENS LÄN</t>
        </is>
      </c>
      <c r="E5564" t="inlineStr">
        <is>
          <t>PITEÅ</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15803-2023</t>
        </is>
      </c>
      <c r="B5565" s="1" t="n">
        <v>45021</v>
      </c>
      <c r="C5565" s="1" t="n">
        <v>45798</v>
      </c>
      <c r="D5565" t="inlineStr">
        <is>
          <t>NORRBOTTENS LÄN</t>
        </is>
      </c>
      <c r="E5565" t="inlineStr">
        <is>
          <t>PITEÅ</t>
        </is>
      </c>
      <c r="G5565" t="n">
        <v>10.2</v>
      </c>
      <c r="H5565" t="n">
        <v>0</v>
      </c>
      <c r="I5565" t="n">
        <v>0</v>
      </c>
      <c r="J5565" t="n">
        <v>0</v>
      </c>
      <c r="K5565" t="n">
        <v>0</v>
      </c>
      <c r="L5565" t="n">
        <v>0</v>
      </c>
      <c r="M5565" t="n">
        <v>0</v>
      </c>
      <c r="N5565" t="n">
        <v>0</v>
      </c>
      <c r="O5565" t="n">
        <v>0</v>
      </c>
      <c r="P5565" t="n">
        <v>0</v>
      </c>
      <c r="Q5565" t="n">
        <v>0</v>
      </c>
      <c r="R5565" s="2" t="inlineStr"/>
    </row>
    <row r="5566" ht="15" customHeight="1">
      <c r="A5566" t="inlineStr">
        <is>
          <t>A 15916-2023</t>
        </is>
      </c>
      <c r="B5566" s="1" t="n">
        <v>45021</v>
      </c>
      <c r="C5566" s="1" t="n">
        <v>45798</v>
      </c>
      <c r="D5566" t="inlineStr">
        <is>
          <t>NORRBOTTENS LÄN</t>
        </is>
      </c>
      <c r="E5566" t="inlineStr">
        <is>
          <t>KALIX</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16108-2023</t>
        </is>
      </c>
      <c r="B5567" s="1" t="n">
        <v>45021</v>
      </c>
      <c r="C5567" s="1" t="n">
        <v>45798</v>
      </c>
      <c r="D5567" t="inlineStr">
        <is>
          <t>NORRBOTTENS LÄN</t>
        </is>
      </c>
      <c r="E5567" t="inlineStr">
        <is>
          <t>LULEÅ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15909-2023</t>
        </is>
      </c>
      <c r="B5568" s="1" t="n">
        <v>45021</v>
      </c>
      <c r="C5568" s="1" t="n">
        <v>45798</v>
      </c>
      <c r="D5568" t="inlineStr">
        <is>
          <t>NORRBOTTENS LÄN</t>
        </is>
      </c>
      <c r="E5568" t="inlineStr">
        <is>
          <t>KALIX</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15868-2023</t>
        </is>
      </c>
      <c r="B5569" s="1" t="n">
        <v>45022</v>
      </c>
      <c r="C5569" s="1" t="n">
        <v>45798</v>
      </c>
      <c r="D5569" t="inlineStr">
        <is>
          <t>NORRBOTTENS LÄN</t>
        </is>
      </c>
      <c r="E5569" t="inlineStr">
        <is>
          <t>BODEN</t>
        </is>
      </c>
      <c r="G5569" t="n">
        <v>24.8</v>
      </c>
      <c r="H5569" t="n">
        <v>0</v>
      </c>
      <c r="I5569" t="n">
        <v>0</v>
      </c>
      <c r="J5569" t="n">
        <v>0</v>
      </c>
      <c r="K5569" t="n">
        <v>0</v>
      </c>
      <c r="L5569" t="n">
        <v>0</v>
      </c>
      <c r="M5569" t="n">
        <v>0</v>
      </c>
      <c r="N5569" t="n">
        <v>0</v>
      </c>
      <c r="O5569" t="n">
        <v>0</v>
      </c>
      <c r="P5569" t="n">
        <v>0</v>
      </c>
      <c r="Q5569" t="n">
        <v>0</v>
      </c>
      <c r="R5569" s="2" t="inlineStr"/>
    </row>
    <row r="5570" ht="15" customHeight="1">
      <c r="A5570" t="inlineStr">
        <is>
          <t>A 15881-2023</t>
        </is>
      </c>
      <c r="B5570" s="1" t="n">
        <v>45022</v>
      </c>
      <c r="C5570" s="1" t="n">
        <v>45798</v>
      </c>
      <c r="D5570" t="inlineStr">
        <is>
          <t>NORRBOTTENS LÄN</t>
        </is>
      </c>
      <c r="E5570" t="inlineStr">
        <is>
          <t>BODEN</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15912-2023</t>
        </is>
      </c>
      <c r="B5571" s="1" t="n">
        <v>45022</v>
      </c>
      <c r="C5571" s="1" t="n">
        <v>45798</v>
      </c>
      <c r="D5571" t="inlineStr">
        <is>
          <t>NORRBOTTENS LÄN</t>
        </is>
      </c>
      <c r="E5571" t="inlineStr">
        <is>
          <t>ÖVERTORNEÅ</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15922-2023</t>
        </is>
      </c>
      <c r="B5572" s="1" t="n">
        <v>45022</v>
      </c>
      <c r="C5572" s="1" t="n">
        <v>45798</v>
      </c>
      <c r="D5572" t="inlineStr">
        <is>
          <t>NORRBOTTENS LÄN</t>
        </is>
      </c>
      <c r="E5572" t="inlineStr">
        <is>
          <t>BODEN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16336-2023</t>
        </is>
      </c>
      <c r="B5573" s="1" t="n">
        <v>45022</v>
      </c>
      <c r="C5573" s="1" t="n">
        <v>45798</v>
      </c>
      <c r="D5573" t="inlineStr">
        <is>
          <t>NORRBOTTENS LÄN</t>
        </is>
      </c>
      <c r="E5573" t="inlineStr">
        <is>
          <t>JOKKMOKK</t>
        </is>
      </c>
      <c r="F5573" t="inlineStr">
        <is>
          <t>Övriga statliga verk och myndigheter</t>
        </is>
      </c>
      <c r="G5573" t="n">
        <v>130.2</v>
      </c>
      <c r="H5573" t="n">
        <v>0</v>
      </c>
      <c r="I5573" t="n">
        <v>0</v>
      </c>
      <c r="J5573" t="n">
        <v>0</v>
      </c>
      <c r="K5573" t="n">
        <v>0</v>
      </c>
      <c r="L5573" t="n">
        <v>0</v>
      </c>
      <c r="M5573" t="n">
        <v>0</v>
      </c>
      <c r="N5573" t="n">
        <v>0</v>
      </c>
      <c r="O5573" t="n">
        <v>0</v>
      </c>
      <c r="P5573" t="n">
        <v>0</v>
      </c>
      <c r="Q5573" t="n">
        <v>0</v>
      </c>
      <c r="R5573" s="2" t="inlineStr"/>
    </row>
    <row r="5574" ht="15" customHeight="1">
      <c r="A5574" t="inlineStr">
        <is>
          <t>A 16402-2023</t>
        </is>
      </c>
      <c r="B5574" s="1" t="n">
        <v>45022</v>
      </c>
      <c r="C5574" s="1" t="n">
        <v>45798</v>
      </c>
      <c r="D5574" t="inlineStr">
        <is>
          <t>NORRBOTTENS LÄN</t>
        </is>
      </c>
      <c r="E5574" t="inlineStr">
        <is>
          <t>PAJALA</t>
        </is>
      </c>
      <c r="F5574" t="inlineStr">
        <is>
          <t>Allmännings- och besparingsskogar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16068-2023</t>
        </is>
      </c>
      <c r="B5575" s="1" t="n">
        <v>45027</v>
      </c>
      <c r="C5575" s="1" t="n">
        <v>45798</v>
      </c>
      <c r="D5575" t="inlineStr">
        <is>
          <t>NORRBOTTENS LÄN</t>
        </is>
      </c>
      <c r="E5575" t="inlineStr">
        <is>
          <t>GÄLLIVARE</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16184-2023</t>
        </is>
      </c>
      <c r="B5576" s="1" t="n">
        <v>45027</v>
      </c>
      <c r="C5576" s="1" t="n">
        <v>45798</v>
      </c>
      <c r="D5576" t="inlineStr">
        <is>
          <t>NORRBOTTENS LÄN</t>
        </is>
      </c>
      <c r="E5576" t="inlineStr">
        <is>
          <t>PAJALA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16233-2023</t>
        </is>
      </c>
      <c r="B5577" s="1" t="n">
        <v>45028</v>
      </c>
      <c r="C5577" s="1" t="n">
        <v>45798</v>
      </c>
      <c r="D5577" t="inlineStr">
        <is>
          <t>NORRBOTTENS LÄN</t>
        </is>
      </c>
      <c r="E5577" t="inlineStr">
        <is>
          <t>PITEÅ</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16864-2023</t>
        </is>
      </c>
      <c r="B5578" s="1" t="n">
        <v>45028</v>
      </c>
      <c r="C5578" s="1" t="n">
        <v>45798</v>
      </c>
      <c r="D5578" t="inlineStr">
        <is>
          <t>NORRBOTTENS LÄN</t>
        </is>
      </c>
      <c r="E5578" t="inlineStr">
        <is>
          <t>JOKKMOKK</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16847-2023</t>
        </is>
      </c>
      <c r="B5579" s="1" t="n">
        <v>45028</v>
      </c>
      <c r="C5579" s="1" t="n">
        <v>45798</v>
      </c>
      <c r="D5579" t="inlineStr">
        <is>
          <t>NORRBOTTENS LÄN</t>
        </is>
      </c>
      <c r="E5579" t="inlineStr">
        <is>
          <t>JOKKMOKK</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16363-2023</t>
        </is>
      </c>
      <c r="B5580" s="1" t="n">
        <v>45028</v>
      </c>
      <c r="C5580" s="1" t="n">
        <v>45798</v>
      </c>
      <c r="D5580" t="inlineStr">
        <is>
          <t>NORRBOTTENS LÄN</t>
        </is>
      </c>
      <c r="E5580" t="inlineStr">
        <is>
          <t>BODEN</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18537-2023</t>
        </is>
      </c>
      <c r="B5581" s="1" t="n">
        <v>45028</v>
      </c>
      <c r="C5581" s="1" t="n">
        <v>45798</v>
      </c>
      <c r="D5581" t="inlineStr">
        <is>
          <t>NORRBOTTENS LÄN</t>
        </is>
      </c>
      <c r="E5581" t="inlineStr">
        <is>
          <t>JOKKMOKK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16914-2023</t>
        </is>
      </c>
      <c r="B5582" s="1" t="n">
        <v>45028</v>
      </c>
      <c r="C5582" s="1" t="n">
        <v>45798</v>
      </c>
      <c r="D5582" t="inlineStr">
        <is>
          <t>NORRBOTTENS LÄN</t>
        </is>
      </c>
      <c r="E5582" t="inlineStr">
        <is>
          <t>ÄLVSBYN</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16560-2023</t>
        </is>
      </c>
      <c r="B5583" s="1" t="n">
        <v>45029</v>
      </c>
      <c r="C5583" s="1" t="n">
        <v>45798</v>
      </c>
      <c r="D5583" t="inlineStr">
        <is>
          <t>NORRBOTTENS LÄN</t>
        </is>
      </c>
      <c r="E5583" t="inlineStr">
        <is>
          <t>PITEÅ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16557-2023</t>
        </is>
      </c>
      <c r="B5584" s="1" t="n">
        <v>45030</v>
      </c>
      <c r="C5584" s="1" t="n">
        <v>45798</v>
      </c>
      <c r="D5584" t="inlineStr">
        <is>
          <t>NORRBOTTENS LÄN</t>
        </is>
      </c>
      <c r="E5584" t="inlineStr">
        <is>
          <t>PITEÅ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16754-2023</t>
        </is>
      </c>
      <c r="B5585" s="1" t="n">
        <v>45030</v>
      </c>
      <c r="C5585" s="1" t="n">
        <v>45798</v>
      </c>
      <c r="D5585" t="inlineStr">
        <is>
          <t>NORRBOTTENS LÄN</t>
        </is>
      </c>
      <c r="E5585" t="inlineStr">
        <is>
          <t>GÄLLIVARE</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16769-2023</t>
        </is>
      </c>
      <c r="B5586" s="1" t="n">
        <v>45031</v>
      </c>
      <c r="C5586" s="1" t="n">
        <v>45798</v>
      </c>
      <c r="D5586" t="inlineStr">
        <is>
          <t>NORRBOTTENS LÄN</t>
        </is>
      </c>
      <c r="E5586" t="inlineStr">
        <is>
          <t>PAJALA</t>
        </is>
      </c>
      <c r="G5586" t="n">
        <v>35.6</v>
      </c>
      <c r="H5586" t="n">
        <v>0</v>
      </c>
      <c r="I5586" t="n">
        <v>0</v>
      </c>
      <c r="J5586" t="n">
        <v>0</v>
      </c>
      <c r="K5586" t="n">
        <v>0</v>
      </c>
      <c r="L5586" t="n">
        <v>0</v>
      </c>
      <c r="M5586" t="n">
        <v>0</v>
      </c>
      <c r="N5586" t="n">
        <v>0</v>
      </c>
      <c r="O5586" t="n">
        <v>0</v>
      </c>
      <c r="P5586" t="n">
        <v>0</v>
      </c>
      <c r="Q5586" t="n">
        <v>0</v>
      </c>
      <c r="R5586" s="2" t="inlineStr"/>
    </row>
    <row r="5587" ht="15" customHeight="1">
      <c r="A5587" t="inlineStr">
        <is>
          <t>A 16973-2023</t>
        </is>
      </c>
      <c r="B5587" s="1" t="n">
        <v>45033</v>
      </c>
      <c r="C5587" s="1" t="n">
        <v>45798</v>
      </c>
      <c r="D5587" t="inlineStr">
        <is>
          <t>NORRBOTTENS LÄN</t>
        </is>
      </c>
      <c r="E5587" t="inlineStr">
        <is>
          <t>GÄLLIVARE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16991-2023</t>
        </is>
      </c>
      <c r="B5588" s="1" t="n">
        <v>45033</v>
      </c>
      <c r="C5588" s="1" t="n">
        <v>45798</v>
      </c>
      <c r="D5588" t="inlineStr">
        <is>
          <t>NORRBOTTENS LÄN</t>
        </is>
      </c>
      <c r="E5588" t="inlineStr">
        <is>
          <t>ÄLVSBYN</t>
        </is>
      </c>
      <c r="G5588" t="n">
        <v>11.2</v>
      </c>
      <c r="H5588" t="n">
        <v>0</v>
      </c>
      <c r="I5588" t="n">
        <v>0</v>
      </c>
      <c r="J5588" t="n">
        <v>0</v>
      </c>
      <c r="K5588" t="n">
        <v>0</v>
      </c>
      <c r="L5588" t="n">
        <v>0</v>
      </c>
      <c r="M5588" t="n">
        <v>0</v>
      </c>
      <c r="N5588" t="n">
        <v>0</v>
      </c>
      <c r="O5588" t="n">
        <v>0</v>
      </c>
      <c r="P5588" t="n">
        <v>0</v>
      </c>
      <c r="Q5588" t="n">
        <v>0</v>
      </c>
      <c r="R5588" s="2" t="inlineStr"/>
    </row>
    <row r="5589" ht="15" customHeight="1">
      <c r="A5589" t="inlineStr">
        <is>
          <t>A 16952-2023</t>
        </is>
      </c>
      <c r="B5589" s="1" t="n">
        <v>45033</v>
      </c>
      <c r="C5589" s="1" t="n">
        <v>45798</v>
      </c>
      <c r="D5589" t="inlineStr">
        <is>
          <t>NORRBOTTENS LÄN</t>
        </is>
      </c>
      <c r="E5589" t="inlineStr">
        <is>
          <t>GÄLLIVARE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17000-2023</t>
        </is>
      </c>
      <c r="B5590" s="1" t="n">
        <v>45033</v>
      </c>
      <c r="C5590" s="1" t="n">
        <v>45798</v>
      </c>
      <c r="D5590" t="inlineStr">
        <is>
          <t>NORRBOTTENS LÄN</t>
        </is>
      </c>
      <c r="E5590" t="inlineStr">
        <is>
          <t>PAJALA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17536-2023</t>
        </is>
      </c>
      <c r="B5591" s="1" t="n">
        <v>45034</v>
      </c>
      <c r="C5591" s="1" t="n">
        <v>45798</v>
      </c>
      <c r="D5591" t="inlineStr">
        <is>
          <t>NORRBOTTENS LÄN</t>
        </is>
      </c>
      <c r="E5591" t="inlineStr">
        <is>
          <t>ARJEPLOG</t>
        </is>
      </c>
      <c r="F5591" t="inlineStr">
        <is>
          <t>Övriga statliga verk och myndigheter</t>
        </is>
      </c>
      <c r="G5591" t="n">
        <v>20.3</v>
      </c>
      <c r="H5591" t="n">
        <v>0</v>
      </c>
      <c r="I5591" t="n">
        <v>0</v>
      </c>
      <c r="J5591" t="n">
        <v>0</v>
      </c>
      <c r="K5591" t="n">
        <v>0</v>
      </c>
      <c r="L5591" t="n">
        <v>0</v>
      </c>
      <c r="M5591" t="n">
        <v>0</v>
      </c>
      <c r="N5591" t="n">
        <v>0</v>
      </c>
      <c r="O5591" t="n">
        <v>0</v>
      </c>
      <c r="P5591" t="n">
        <v>0</v>
      </c>
      <c r="Q5591" t="n">
        <v>0</v>
      </c>
      <c r="R5591" s="2" t="inlineStr"/>
    </row>
    <row r="5592" ht="15" customHeight="1">
      <c r="A5592" t="inlineStr">
        <is>
          <t>A 17418-2023</t>
        </is>
      </c>
      <c r="B5592" s="1" t="n">
        <v>45036</v>
      </c>
      <c r="C5592" s="1" t="n">
        <v>45798</v>
      </c>
      <c r="D5592" t="inlineStr">
        <is>
          <t>NORRBOTTENS LÄN</t>
        </is>
      </c>
      <c r="E5592" t="inlineStr">
        <is>
          <t>PITEÅ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17422-2023</t>
        </is>
      </c>
      <c r="B5593" s="1" t="n">
        <v>45036</v>
      </c>
      <c r="C5593" s="1" t="n">
        <v>45798</v>
      </c>
      <c r="D5593" t="inlineStr">
        <is>
          <t>NORRBOTTENS LÄN</t>
        </is>
      </c>
      <c r="E5593" t="inlineStr">
        <is>
          <t>PITEÅ</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17419-2023</t>
        </is>
      </c>
      <c r="B5594" s="1" t="n">
        <v>45035</v>
      </c>
      <c r="C5594" s="1" t="n">
        <v>45798</v>
      </c>
      <c r="D5594" t="inlineStr">
        <is>
          <t>NORRBOTTENS LÄN</t>
        </is>
      </c>
      <c r="E5594" t="inlineStr">
        <is>
          <t>LULEÅ</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17423-2023</t>
        </is>
      </c>
      <c r="B5595" s="1" t="n">
        <v>45036</v>
      </c>
      <c r="C5595" s="1" t="n">
        <v>45798</v>
      </c>
      <c r="D5595" t="inlineStr">
        <is>
          <t>NORRBOTTENS LÄN</t>
        </is>
      </c>
      <c r="E5595" t="inlineStr">
        <is>
          <t>PITEÅ</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17438-2023</t>
        </is>
      </c>
      <c r="B5596" s="1" t="n">
        <v>45036</v>
      </c>
      <c r="C5596" s="1" t="n">
        <v>45798</v>
      </c>
      <c r="D5596" t="inlineStr">
        <is>
          <t>NORRBOTTENS LÄN</t>
        </is>
      </c>
      <c r="E5596" t="inlineStr">
        <is>
          <t>LULEÅ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17447-2023</t>
        </is>
      </c>
      <c r="B5597" s="1" t="n">
        <v>45035</v>
      </c>
      <c r="C5597" s="1" t="n">
        <v>45798</v>
      </c>
      <c r="D5597" t="inlineStr">
        <is>
          <t>NORRBOTTENS LÄN</t>
        </is>
      </c>
      <c r="E5597" t="inlineStr">
        <is>
          <t>PITEÅ</t>
        </is>
      </c>
      <c r="F5597" t="inlineStr">
        <is>
          <t>SCA</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17420-2023</t>
        </is>
      </c>
      <c r="B5598" s="1" t="n">
        <v>45036</v>
      </c>
      <c r="C5598" s="1" t="n">
        <v>45798</v>
      </c>
      <c r="D5598" t="inlineStr">
        <is>
          <t>NORRBOTTENS LÄN</t>
        </is>
      </c>
      <c r="E5598" t="inlineStr">
        <is>
          <t>PITEÅ</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17424-2023</t>
        </is>
      </c>
      <c r="B5599" s="1" t="n">
        <v>45035</v>
      </c>
      <c r="C5599" s="1" t="n">
        <v>45798</v>
      </c>
      <c r="D5599" t="inlineStr">
        <is>
          <t>NORRBOTTENS LÄN</t>
        </is>
      </c>
      <c r="E5599" t="inlineStr">
        <is>
          <t>PITEÅ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17445-2023</t>
        </is>
      </c>
      <c r="B5600" s="1" t="n">
        <v>45035</v>
      </c>
      <c r="C5600" s="1" t="n">
        <v>45798</v>
      </c>
      <c r="D5600" t="inlineStr">
        <is>
          <t>NORRBOTTENS LÄN</t>
        </is>
      </c>
      <c r="E5600" t="inlineStr">
        <is>
          <t>ÄLVSBYN</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17427-2023</t>
        </is>
      </c>
      <c r="B5601" s="1" t="n">
        <v>45035</v>
      </c>
      <c r="C5601" s="1" t="n">
        <v>45798</v>
      </c>
      <c r="D5601" t="inlineStr">
        <is>
          <t>NORRBOTTENS LÄN</t>
        </is>
      </c>
      <c r="E5601" t="inlineStr">
        <is>
          <t>LULEÅ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17435-2023</t>
        </is>
      </c>
      <c r="B5602" s="1" t="n">
        <v>45036</v>
      </c>
      <c r="C5602" s="1" t="n">
        <v>45798</v>
      </c>
      <c r="D5602" t="inlineStr">
        <is>
          <t>NORRBOTTENS LÄN</t>
        </is>
      </c>
      <c r="E5602" t="inlineStr">
        <is>
          <t>KALIX</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17439-2023</t>
        </is>
      </c>
      <c r="B5603" s="1" t="n">
        <v>45036</v>
      </c>
      <c r="C5603" s="1" t="n">
        <v>45798</v>
      </c>
      <c r="D5603" t="inlineStr">
        <is>
          <t>NORRBOTTENS LÄN</t>
        </is>
      </c>
      <c r="E5603" t="inlineStr">
        <is>
          <t>LULEÅ</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17417-2023</t>
        </is>
      </c>
      <c r="B5604" s="1" t="n">
        <v>45035</v>
      </c>
      <c r="C5604" s="1" t="n">
        <v>45798</v>
      </c>
      <c r="D5604" t="inlineStr">
        <is>
          <t>NORRBOTTENS LÄN</t>
        </is>
      </c>
      <c r="E5604" t="inlineStr">
        <is>
          <t>BODEN</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17421-2023</t>
        </is>
      </c>
      <c r="B5605" s="1" t="n">
        <v>45036</v>
      </c>
      <c r="C5605" s="1" t="n">
        <v>45798</v>
      </c>
      <c r="D5605" t="inlineStr">
        <is>
          <t>NORRBOTTENS LÄN</t>
        </is>
      </c>
      <c r="E5605" t="inlineStr">
        <is>
          <t>LULEÅ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17425-2023</t>
        </is>
      </c>
      <c r="B5606" s="1" t="n">
        <v>45035</v>
      </c>
      <c r="C5606" s="1" t="n">
        <v>45798</v>
      </c>
      <c r="D5606" t="inlineStr">
        <is>
          <t>NORRBOTTENS LÄN</t>
        </is>
      </c>
      <c r="E5606" t="inlineStr">
        <is>
          <t>LULEÅ</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17490-2023</t>
        </is>
      </c>
      <c r="B5607" s="1" t="n">
        <v>45036</v>
      </c>
      <c r="C5607" s="1" t="n">
        <v>45798</v>
      </c>
      <c r="D5607" t="inlineStr">
        <is>
          <t>NORRBOTTENS LÄN</t>
        </is>
      </c>
      <c r="E5607" t="inlineStr">
        <is>
          <t>ÖVERTORNEÅ</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17661-2023</t>
        </is>
      </c>
      <c r="B5608" s="1" t="n">
        <v>45036</v>
      </c>
      <c r="C5608" s="1" t="n">
        <v>45798</v>
      </c>
      <c r="D5608" t="inlineStr">
        <is>
          <t>NORRBOTTENS LÄN</t>
        </is>
      </c>
      <c r="E5608" t="inlineStr">
        <is>
          <t>KALIX</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17491-2023</t>
        </is>
      </c>
      <c r="B5609" s="1" t="n">
        <v>45036</v>
      </c>
      <c r="C5609" s="1" t="n">
        <v>45798</v>
      </c>
      <c r="D5609" t="inlineStr">
        <is>
          <t>NORRBOTTENS LÄN</t>
        </is>
      </c>
      <c r="E5609" t="inlineStr">
        <is>
          <t>PAJALA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17498-2023</t>
        </is>
      </c>
      <c r="B5610" s="1" t="n">
        <v>45036</v>
      </c>
      <c r="C5610" s="1" t="n">
        <v>45798</v>
      </c>
      <c r="D5610" t="inlineStr">
        <is>
          <t>NORRBOTTENS LÄN</t>
        </is>
      </c>
      <c r="E5610" t="inlineStr">
        <is>
          <t>PAJALA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17505-2023</t>
        </is>
      </c>
      <c r="B5611" s="1" t="n">
        <v>45036</v>
      </c>
      <c r="C5611" s="1" t="n">
        <v>45798</v>
      </c>
      <c r="D5611" t="inlineStr">
        <is>
          <t>NORRBOTTENS LÄN</t>
        </is>
      </c>
      <c r="E5611" t="inlineStr">
        <is>
          <t>HAPARANDA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17823-2023</t>
        </is>
      </c>
      <c r="B5612" s="1" t="n">
        <v>45036</v>
      </c>
      <c r="C5612" s="1" t="n">
        <v>45798</v>
      </c>
      <c r="D5612" t="inlineStr">
        <is>
          <t>NORRBOTTENS LÄN</t>
        </is>
      </c>
      <c r="E5612" t="inlineStr">
        <is>
          <t>PAJALA</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17829-2023</t>
        </is>
      </c>
      <c r="B5613" s="1" t="n">
        <v>45036</v>
      </c>
      <c r="C5613" s="1" t="n">
        <v>45798</v>
      </c>
      <c r="D5613" t="inlineStr">
        <is>
          <t>NORRBOTTENS LÄN</t>
        </is>
      </c>
      <c r="E5613" t="inlineStr">
        <is>
          <t>PAJALA</t>
        </is>
      </c>
      <c r="G5613" t="n">
        <v>41.2</v>
      </c>
      <c r="H5613" t="n">
        <v>0</v>
      </c>
      <c r="I5613" t="n">
        <v>0</v>
      </c>
      <c r="J5613" t="n">
        <v>0</v>
      </c>
      <c r="K5613" t="n">
        <v>0</v>
      </c>
      <c r="L5613" t="n">
        <v>0</v>
      </c>
      <c r="M5613" t="n">
        <v>0</v>
      </c>
      <c r="N5613" t="n">
        <v>0</v>
      </c>
      <c r="O5613" t="n">
        <v>0</v>
      </c>
      <c r="P5613" t="n">
        <v>0</v>
      </c>
      <c r="Q5613" t="n">
        <v>0</v>
      </c>
      <c r="R5613" s="2" t="inlineStr"/>
    </row>
    <row r="5614" ht="15" customHeight="1">
      <c r="A5614" t="inlineStr">
        <is>
          <t>A 17771-2023</t>
        </is>
      </c>
      <c r="B5614" s="1" t="n">
        <v>45036</v>
      </c>
      <c r="C5614" s="1" t="n">
        <v>45798</v>
      </c>
      <c r="D5614" t="inlineStr">
        <is>
          <t>NORRBOTTENS LÄN</t>
        </is>
      </c>
      <c r="E5614" t="inlineStr">
        <is>
          <t>ARVIDSJAUR</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17856-2023</t>
        </is>
      </c>
      <c r="B5615" s="1" t="n">
        <v>45037</v>
      </c>
      <c r="C5615" s="1" t="n">
        <v>45798</v>
      </c>
      <c r="D5615" t="inlineStr">
        <is>
          <t>NORRBOTTENS LÄN</t>
        </is>
      </c>
      <c r="E5615" t="inlineStr">
        <is>
          <t>KALIX</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17889-2023</t>
        </is>
      </c>
      <c r="B5616" s="1" t="n">
        <v>45037</v>
      </c>
      <c r="C5616" s="1" t="n">
        <v>45798</v>
      </c>
      <c r="D5616" t="inlineStr">
        <is>
          <t>NORRBOTTENS LÄN</t>
        </is>
      </c>
      <c r="E5616" t="inlineStr">
        <is>
          <t>ÖVERTORNEÅ</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17896-2023</t>
        </is>
      </c>
      <c r="B5617" s="1" t="n">
        <v>45039</v>
      </c>
      <c r="C5617" s="1" t="n">
        <v>45798</v>
      </c>
      <c r="D5617" t="inlineStr">
        <is>
          <t>NORRBOTTENS LÄN</t>
        </is>
      </c>
      <c r="E5617" t="inlineStr">
        <is>
          <t>ÖVERTORNEÅ</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18166-2023</t>
        </is>
      </c>
      <c r="B5618" s="1" t="n">
        <v>45041</v>
      </c>
      <c r="C5618" s="1" t="n">
        <v>45798</v>
      </c>
      <c r="D5618" t="inlineStr">
        <is>
          <t>NORRBOTTENS LÄN</t>
        </is>
      </c>
      <c r="E5618" t="inlineStr">
        <is>
          <t>LULEÅ</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18208-2023</t>
        </is>
      </c>
      <c r="B5619" s="1" t="n">
        <v>45040</v>
      </c>
      <c r="C5619" s="1" t="n">
        <v>45798</v>
      </c>
      <c r="D5619" t="inlineStr">
        <is>
          <t>NORRBOTTENS LÄN</t>
        </is>
      </c>
      <c r="E5619" t="inlineStr">
        <is>
          <t>LULEÅ</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17999-2023</t>
        </is>
      </c>
      <c r="B5620" s="1" t="n">
        <v>45040</v>
      </c>
      <c r="C5620" s="1" t="n">
        <v>45798</v>
      </c>
      <c r="D5620" t="inlineStr">
        <is>
          <t>NORRBOTTENS LÄN</t>
        </is>
      </c>
      <c r="E5620" t="inlineStr">
        <is>
          <t>JOKKMOKK</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18358-2023</t>
        </is>
      </c>
      <c r="B5621" s="1" t="n">
        <v>45042</v>
      </c>
      <c r="C5621" s="1" t="n">
        <v>45798</v>
      </c>
      <c r="D5621" t="inlineStr">
        <is>
          <t>NORRBOTTENS LÄN</t>
        </is>
      </c>
      <c r="E5621" t="inlineStr">
        <is>
          <t>ÖVERTORNEÅ</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18359-2023</t>
        </is>
      </c>
      <c r="B5622" s="1" t="n">
        <v>45041</v>
      </c>
      <c r="C5622" s="1" t="n">
        <v>45798</v>
      </c>
      <c r="D5622" t="inlineStr">
        <is>
          <t>NORRBOTTENS LÄN</t>
        </is>
      </c>
      <c r="E5622" t="inlineStr">
        <is>
          <t>ÖVERTORNEÅ</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18453-2023</t>
        </is>
      </c>
      <c r="B5623" s="1" t="n">
        <v>45041</v>
      </c>
      <c r="C5623" s="1" t="n">
        <v>45798</v>
      </c>
      <c r="D5623" t="inlineStr">
        <is>
          <t>NORRBOTTENS LÄN</t>
        </is>
      </c>
      <c r="E5623" t="inlineStr">
        <is>
          <t>HAPARANDA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18447-2023</t>
        </is>
      </c>
      <c r="B5624" s="1" t="n">
        <v>45041</v>
      </c>
      <c r="C5624" s="1" t="n">
        <v>45798</v>
      </c>
      <c r="D5624" t="inlineStr">
        <is>
          <t>NORRBOTTENS LÄN</t>
        </is>
      </c>
      <c r="E5624" t="inlineStr">
        <is>
          <t>HAPARANDA</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18737-2023</t>
        </is>
      </c>
      <c r="B5625" s="1" t="n">
        <v>45042</v>
      </c>
      <c r="C5625" s="1" t="n">
        <v>45798</v>
      </c>
      <c r="D5625" t="inlineStr">
        <is>
          <t>NORRBOTTENS LÄN</t>
        </is>
      </c>
      <c r="E5625" t="inlineStr">
        <is>
          <t>KIRUNA</t>
        </is>
      </c>
      <c r="F5625" t="inlineStr">
        <is>
          <t>Sveaskog</t>
        </is>
      </c>
      <c r="G5625" t="n">
        <v>10.7</v>
      </c>
      <c r="H5625" t="n">
        <v>0</v>
      </c>
      <c r="I5625" t="n">
        <v>0</v>
      </c>
      <c r="J5625" t="n">
        <v>0</v>
      </c>
      <c r="K5625" t="n">
        <v>0</v>
      </c>
      <c r="L5625" t="n">
        <v>0</v>
      </c>
      <c r="M5625" t="n">
        <v>0</v>
      </c>
      <c r="N5625" t="n">
        <v>0</v>
      </c>
      <c r="O5625" t="n">
        <v>0</v>
      </c>
      <c r="P5625" t="n">
        <v>0</v>
      </c>
      <c r="Q5625" t="n">
        <v>0</v>
      </c>
      <c r="R5625" s="2" t="inlineStr"/>
    </row>
    <row r="5626" ht="15" customHeight="1">
      <c r="A5626" t="inlineStr">
        <is>
          <t>A 18550-2023</t>
        </is>
      </c>
      <c r="B5626" s="1" t="n">
        <v>45043</v>
      </c>
      <c r="C5626" s="1" t="n">
        <v>45798</v>
      </c>
      <c r="D5626" t="inlineStr">
        <is>
          <t>NORRBOTTENS LÄN</t>
        </is>
      </c>
      <c r="E5626" t="inlineStr">
        <is>
          <t>PITEÅ</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18663-2023</t>
        </is>
      </c>
      <c r="B5627" s="1" t="n">
        <v>45043</v>
      </c>
      <c r="C5627" s="1" t="n">
        <v>45798</v>
      </c>
      <c r="D5627" t="inlineStr">
        <is>
          <t>NORRBOTTENS LÄN</t>
        </is>
      </c>
      <c r="E5627" t="inlineStr">
        <is>
          <t>PAJALA</t>
        </is>
      </c>
      <c r="F5627" t="inlineStr">
        <is>
          <t>Sveaskog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18740-2023</t>
        </is>
      </c>
      <c r="B5628" s="1" t="n">
        <v>45043</v>
      </c>
      <c r="C5628" s="1" t="n">
        <v>45798</v>
      </c>
      <c r="D5628" t="inlineStr">
        <is>
          <t>NORRBOTTENS LÄN</t>
        </is>
      </c>
      <c r="E5628" t="inlineStr">
        <is>
          <t>PITEÅ</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18754-2023</t>
        </is>
      </c>
      <c r="B5629" s="1" t="n">
        <v>45043</v>
      </c>
      <c r="C5629" s="1" t="n">
        <v>45798</v>
      </c>
      <c r="D5629" t="inlineStr">
        <is>
          <t>NORRBOTTENS LÄN</t>
        </is>
      </c>
      <c r="E5629" t="inlineStr">
        <is>
          <t>LULEÅ</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18643-2023</t>
        </is>
      </c>
      <c r="B5630" s="1" t="n">
        <v>45043</v>
      </c>
      <c r="C5630" s="1" t="n">
        <v>45798</v>
      </c>
      <c r="D5630" t="inlineStr">
        <is>
          <t>NORRBOTTENS LÄN</t>
        </is>
      </c>
      <c r="E5630" t="inlineStr">
        <is>
          <t>BODEN</t>
        </is>
      </c>
      <c r="F5630" t="inlineStr">
        <is>
          <t>Sveaskog</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18724-2023</t>
        </is>
      </c>
      <c r="B5631" s="1" t="n">
        <v>45043</v>
      </c>
      <c r="C5631" s="1" t="n">
        <v>45798</v>
      </c>
      <c r="D5631" t="inlineStr">
        <is>
          <t>NORRBOTTENS LÄN</t>
        </is>
      </c>
      <c r="E5631" t="inlineStr">
        <is>
          <t>PITEÅ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18771-2023</t>
        </is>
      </c>
      <c r="B5632" s="1" t="n">
        <v>45044</v>
      </c>
      <c r="C5632" s="1" t="n">
        <v>45798</v>
      </c>
      <c r="D5632" t="inlineStr">
        <is>
          <t>NORRBOTTENS LÄN</t>
        </is>
      </c>
      <c r="E5632" t="inlineStr">
        <is>
          <t>PITEÅ</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18772-2023</t>
        </is>
      </c>
      <c r="B5633" s="1" t="n">
        <v>45043</v>
      </c>
      <c r="C5633" s="1" t="n">
        <v>45798</v>
      </c>
      <c r="D5633" t="inlineStr">
        <is>
          <t>NORRBOTTENS LÄN</t>
        </is>
      </c>
      <c r="E5633" t="inlineStr">
        <is>
          <t>JOKKMOKK</t>
        </is>
      </c>
      <c r="F5633" t="inlineStr">
        <is>
          <t>SCA</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18935-2023</t>
        </is>
      </c>
      <c r="B5634" s="1" t="n">
        <v>45044</v>
      </c>
      <c r="C5634" s="1" t="n">
        <v>45798</v>
      </c>
      <c r="D5634" t="inlineStr">
        <is>
          <t>NORRBOTTENS LÄN</t>
        </is>
      </c>
      <c r="E5634" t="inlineStr">
        <is>
          <t>ARVIDSJAUR</t>
        </is>
      </c>
      <c r="F5634" t="inlineStr">
        <is>
          <t>Sveaskog</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18983-2023</t>
        </is>
      </c>
      <c r="B5635" s="1" t="n">
        <v>45044</v>
      </c>
      <c r="C5635" s="1" t="n">
        <v>45798</v>
      </c>
      <c r="D5635" t="inlineStr">
        <is>
          <t>NORRBOTTENS LÄN</t>
        </is>
      </c>
      <c r="E5635" t="inlineStr">
        <is>
          <t>BODEN</t>
        </is>
      </c>
      <c r="F5635" t="inlineStr">
        <is>
          <t>SCA</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18855-2023</t>
        </is>
      </c>
      <c r="B5636" s="1" t="n">
        <v>45044</v>
      </c>
      <c r="C5636" s="1" t="n">
        <v>45798</v>
      </c>
      <c r="D5636" t="inlineStr">
        <is>
          <t>NORRBOTTENS LÄN</t>
        </is>
      </c>
      <c r="E5636" t="inlineStr">
        <is>
          <t>HAPARANDA</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18934-2023</t>
        </is>
      </c>
      <c r="B5637" s="1" t="n">
        <v>45044</v>
      </c>
      <c r="C5637" s="1" t="n">
        <v>45798</v>
      </c>
      <c r="D5637" t="inlineStr">
        <is>
          <t>NORRBOTTENS LÄN</t>
        </is>
      </c>
      <c r="E5637" t="inlineStr">
        <is>
          <t>ARVIDSJAUR</t>
        </is>
      </c>
      <c r="F5637" t="inlineStr">
        <is>
          <t>Sveaskog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19142-2023</t>
        </is>
      </c>
      <c r="B5638" s="1" t="n">
        <v>45044</v>
      </c>
      <c r="C5638" s="1" t="n">
        <v>45798</v>
      </c>
      <c r="D5638" t="inlineStr">
        <is>
          <t>NORRBOTTENS LÄN</t>
        </is>
      </c>
      <c r="E5638" t="inlineStr">
        <is>
          <t>ÄLVSBYN</t>
        </is>
      </c>
      <c r="G5638" t="n">
        <v>11.4</v>
      </c>
      <c r="H5638" t="n">
        <v>0</v>
      </c>
      <c r="I5638" t="n">
        <v>0</v>
      </c>
      <c r="J5638" t="n">
        <v>0</v>
      </c>
      <c r="K5638" t="n">
        <v>0</v>
      </c>
      <c r="L5638" t="n">
        <v>0</v>
      </c>
      <c r="M5638" t="n">
        <v>0</v>
      </c>
      <c r="N5638" t="n">
        <v>0</v>
      </c>
      <c r="O5638" t="n">
        <v>0</v>
      </c>
      <c r="P5638" t="n">
        <v>0</v>
      </c>
      <c r="Q5638" t="n">
        <v>0</v>
      </c>
      <c r="R5638" s="2" t="inlineStr"/>
    </row>
    <row r="5639" ht="15" customHeight="1">
      <c r="A5639" t="inlineStr">
        <is>
          <t>A 19155-2023</t>
        </is>
      </c>
      <c r="B5639" s="1" t="n">
        <v>45044</v>
      </c>
      <c r="C5639" s="1" t="n">
        <v>45798</v>
      </c>
      <c r="D5639" t="inlineStr">
        <is>
          <t>NORRBOTTENS LÄN</t>
        </is>
      </c>
      <c r="E5639" t="inlineStr">
        <is>
          <t>KALIX</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19146-2023</t>
        </is>
      </c>
      <c r="B5640" s="1" t="n">
        <v>45044</v>
      </c>
      <c r="C5640" s="1" t="n">
        <v>45798</v>
      </c>
      <c r="D5640" t="inlineStr">
        <is>
          <t>NORRBOTTENS LÄN</t>
        </is>
      </c>
      <c r="E5640" t="inlineStr">
        <is>
          <t>KALIX</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19195-2023</t>
        </is>
      </c>
      <c r="B5641" s="1" t="n">
        <v>45048</v>
      </c>
      <c r="C5641" s="1" t="n">
        <v>45798</v>
      </c>
      <c r="D5641" t="inlineStr">
        <is>
          <t>NORRBOTTENS LÄN</t>
        </is>
      </c>
      <c r="E5641" t="inlineStr">
        <is>
          <t>HAPARANDA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19297-2023</t>
        </is>
      </c>
      <c r="B5642" s="1" t="n">
        <v>45048</v>
      </c>
      <c r="C5642" s="1" t="n">
        <v>45798</v>
      </c>
      <c r="D5642" t="inlineStr">
        <is>
          <t>NORRBOTTENS LÄN</t>
        </is>
      </c>
      <c r="E5642" t="inlineStr">
        <is>
          <t>KALIX</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19312-2023</t>
        </is>
      </c>
      <c r="B5643" s="1" t="n">
        <v>45048</v>
      </c>
      <c r="C5643" s="1" t="n">
        <v>45798</v>
      </c>
      <c r="D5643" t="inlineStr">
        <is>
          <t>NORRBOTTENS LÄN</t>
        </is>
      </c>
      <c r="E5643" t="inlineStr">
        <is>
          <t>ÖVERTORNEÅ</t>
        </is>
      </c>
      <c r="G5643" t="n">
        <v>30.7</v>
      </c>
      <c r="H5643" t="n">
        <v>0</v>
      </c>
      <c r="I5643" t="n">
        <v>0</v>
      </c>
      <c r="J5643" t="n">
        <v>0</v>
      </c>
      <c r="K5643" t="n">
        <v>0</v>
      </c>
      <c r="L5643" t="n">
        <v>0</v>
      </c>
      <c r="M5643" t="n">
        <v>0</v>
      </c>
      <c r="N5643" t="n">
        <v>0</v>
      </c>
      <c r="O5643" t="n">
        <v>0</v>
      </c>
      <c r="P5643" t="n">
        <v>0</v>
      </c>
      <c r="Q5643" t="n">
        <v>0</v>
      </c>
      <c r="R5643" s="2" t="inlineStr"/>
    </row>
    <row r="5644" ht="15" customHeight="1">
      <c r="A5644" t="inlineStr">
        <is>
          <t>A 19368-2023</t>
        </is>
      </c>
      <c r="B5644" s="1" t="n">
        <v>45048</v>
      </c>
      <c r="C5644" s="1" t="n">
        <v>45798</v>
      </c>
      <c r="D5644" t="inlineStr">
        <is>
          <t>NORRBOTTENS LÄN</t>
        </is>
      </c>
      <c r="E5644" t="inlineStr">
        <is>
          <t>PITEÅ</t>
        </is>
      </c>
      <c r="G5644" t="n">
        <v>16.3</v>
      </c>
      <c r="H5644" t="n">
        <v>0</v>
      </c>
      <c r="I5644" t="n">
        <v>0</v>
      </c>
      <c r="J5644" t="n">
        <v>0</v>
      </c>
      <c r="K5644" t="n">
        <v>0</v>
      </c>
      <c r="L5644" t="n">
        <v>0</v>
      </c>
      <c r="M5644" t="n">
        <v>0</v>
      </c>
      <c r="N5644" t="n">
        <v>0</v>
      </c>
      <c r="O5644" t="n">
        <v>0</v>
      </c>
      <c r="P5644" t="n">
        <v>0</v>
      </c>
      <c r="Q5644" t="n">
        <v>0</v>
      </c>
      <c r="R5644" s="2" t="inlineStr"/>
    </row>
    <row r="5645" ht="15" customHeight="1">
      <c r="A5645" t="inlineStr">
        <is>
          <t>A 19412-2023</t>
        </is>
      </c>
      <c r="B5645" s="1" t="n">
        <v>45049</v>
      </c>
      <c r="C5645" s="1" t="n">
        <v>45798</v>
      </c>
      <c r="D5645" t="inlineStr">
        <is>
          <t>NORRBOTTENS LÄN</t>
        </is>
      </c>
      <c r="E5645" t="inlineStr">
        <is>
          <t>BODEN</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19579-2023</t>
        </is>
      </c>
      <c r="B5646" s="1" t="n">
        <v>45049</v>
      </c>
      <c r="C5646" s="1" t="n">
        <v>45798</v>
      </c>
      <c r="D5646" t="inlineStr">
        <is>
          <t>NORRBOTTENS LÄN</t>
        </is>
      </c>
      <c r="E5646" t="inlineStr">
        <is>
          <t>KALIX</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19311-2023</t>
        </is>
      </c>
      <c r="B5647" s="1" t="n">
        <v>45049</v>
      </c>
      <c r="C5647" s="1" t="n">
        <v>45798</v>
      </c>
      <c r="D5647" t="inlineStr">
        <is>
          <t>NORRBOTTENS LÄN</t>
        </is>
      </c>
      <c r="E5647" t="inlineStr">
        <is>
          <t>KALIX</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19599-2023</t>
        </is>
      </c>
      <c r="B5648" s="1" t="n">
        <v>45049</v>
      </c>
      <c r="C5648" s="1" t="n">
        <v>45798</v>
      </c>
      <c r="D5648" t="inlineStr">
        <is>
          <t>NORRBOTTENS LÄN</t>
        </is>
      </c>
      <c r="E5648" t="inlineStr">
        <is>
          <t>BODEN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19569-2023</t>
        </is>
      </c>
      <c r="B5649" s="1" t="n">
        <v>45049</v>
      </c>
      <c r="C5649" s="1" t="n">
        <v>45798</v>
      </c>
      <c r="D5649" t="inlineStr">
        <is>
          <t>NORRBOTTENS LÄN</t>
        </is>
      </c>
      <c r="E5649" t="inlineStr">
        <is>
          <t>ÖVERTORNEÅ</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19537-2023</t>
        </is>
      </c>
      <c r="B5650" s="1" t="n">
        <v>45050</v>
      </c>
      <c r="C5650" s="1" t="n">
        <v>45798</v>
      </c>
      <c r="D5650" t="inlineStr">
        <is>
          <t>NORRBOTTENS LÄN</t>
        </is>
      </c>
      <c r="E5650" t="inlineStr">
        <is>
          <t>ARVIDSJAUR</t>
        </is>
      </c>
      <c r="G5650" t="n">
        <v>17.3</v>
      </c>
      <c r="H5650" t="n">
        <v>0</v>
      </c>
      <c r="I5650" t="n">
        <v>0</v>
      </c>
      <c r="J5650" t="n">
        <v>0</v>
      </c>
      <c r="K5650" t="n">
        <v>0</v>
      </c>
      <c r="L5650" t="n">
        <v>0</v>
      </c>
      <c r="M5650" t="n">
        <v>0</v>
      </c>
      <c r="N5650" t="n">
        <v>0</v>
      </c>
      <c r="O5650" t="n">
        <v>0</v>
      </c>
      <c r="P5650" t="n">
        <v>0</v>
      </c>
      <c r="Q5650" t="n">
        <v>0</v>
      </c>
      <c r="R5650" s="2" t="inlineStr"/>
    </row>
    <row r="5651" ht="15" customHeight="1">
      <c r="A5651" t="inlineStr">
        <is>
          <t>A 19611-2023</t>
        </is>
      </c>
      <c r="B5651" s="1" t="n">
        <v>45050</v>
      </c>
      <c r="C5651" s="1" t="n">
        <v>45798</v>
      </c>
      <c r="D5651" t="inlineStr">
        <is>
          <t>NORRBOTTENS LÄN</t>
        </is>
      </c>
      <c r="E5651" t="inlineStr">
        <is>
          <t>JOKKMOKK</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19619-2023</t>
        </is>
      </c>
      <c r="B5652" s="1" t="n">
        <v>45050</v>
      </c>
      <c r="C5652" s="1" t="n">
        <v>45798</v>
      </c>
      <c r="D5652" t="inlineStr">
        <is>
          <t>NORRBOTTENS LÄN</t>
        </is>
      </c>
      <c r="E5652" t="inlineStr">
        <is>
          <t>GÄLLIVARE</t>
        </is>
      </c>
      <c r="F5652" t="inlineStr">
        <is>
          <t>SCA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19595-2023</t>
        </is>
      </c>
      <c r="B5653" s="1" t="n">
        <v>45050</v>
      </c>
      <c r="C5653" s="1" t="n">
        <v>45798</v>
      </c>
      <c r="D5653" t="inlineStr">
        <is>
          <t>NORRBOTTENS LÄN</t>
        </is>
      </c>
      <c r="E5653" t="inlineStr">
        <is>
          <t>PITEÅ</t>
        </is>
      </c>
      <c r="G5653" t="n">
        <v>11.3</v>
      </c>
      <c r="H5653" t="n">
        <v>0</v>
      </c>
      <c r="I5653" t="n">
        <v>0</v>
      </c>
      <c r="J5653" t="n">
        <v>0</v>
      </c>
      <c r="K5653" t="n">
        <v>0</v>
      </c>
      <c r="L5653" t="n">
        <v>0</v>
      </c>
      <c r="M5653" t="n">
        <v>0</v>
      </c>
      <c r="N5653" t="n">
        <v>0</v>
      </c>
      <c r="O5653" t="n">
        <v>0</v>
      </c>
      <c r="P5653" t="n">
        <v>0</v>
      </c>
      <c r="Q5653" t="n">
        <v>0</v>
      </c>
      <c r="R5653" s="2" t="inlineStr"/>
    </row>
    <row r="5654" ht="15" customHeight="1">
      <c r="A5654" t="inlineStr">
        <is>
          <t>A 20126-2023</t>
        </is>
      </c>
      <c r="B5654" s="1" t="n">
        <v>45051</v>
      </c>
      <c r="C5654" s="1" t="n">
        <v>45798</v>
      </c>
      <c r="D5654" t="inlineStr">
        <is>
          <t>NORRBOTTENS LÄN</t>
        </is>
      </c>
      <c r="E5654" t="inlineStr">
        <is>
          <t>GÄLLIVARE</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19836-2023</t>
        </is>
      </c>
      <c r="B5655" s="1" t="n">
        <v>45052</v>
      </c>
      <c r="C5655" s="1" t="n">
        <v>45798</v>
      </c>
      <c r="D5655" t="inlineStr">
        <is>
          <t>NORRBOTTENS LÄN</t>
        </is>
      </c>
      <c r="E5655" t="inlineStr">
        <is>
          <t>ÖVERTORNEÅ</t>
        </is>
      </c>
      <c r="F5655" t="inlineStr">
        <is>
          <t>Sveaskog</t>
        </is>
      </c>
      <c r="G5655" t="n">
        <v>25.4</v>
      </c>
      <c r="H5655" t="n">
        <v>0</v>
      </c>
      <c r="I5655" t="n">
        <v>0</v>
      </c>
      <c r="J5655" t="n">
        <v>0</v>
      </c>
      <c r="K5655" t="n">
        <v>0</v>
      </c>
      <c r="L5655" t="n">
        <v>0</v>
      </c>
      <c r="M5655" t="n">
        <v>0</v>
      </c>
      <c r="N5655" t="n">
        <v>0</v>
      </c>
      <c r="O5655" t="n">
        <v>0</v>
      </c>
      <c r="P5655" t="n">
        <v>0</v>
      </c>
      <c r="Q5655" t="n">
        <v>0</v>
      </c>
      <c r="R5655" s="2" t="inlineStr"/>
    </row>
    <row r="5656" ht="15" customHeight="1">
      <c r="A5656" t="inlineStr">
        <is>
          <t>A 19925-2023</t>
        </is>
      </c>
      <c r="B5656" s="1" t="n">
        <v>45054</v>
      </c>
      <c r="C5656" s="1" t="n">
        <v>45798</v>
      </c>
      <c r="D5656" t="inlineStr">
        <is>
          <t>NORRBOTTENS LÄN</t>
        </is>
      </c>
      <c r="E5656" t="inlineStr">
        <is>
          <t>PAJALA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19873-2023</t>
        </is>
      </c>
      <c r="B5657" s="1" t="n">
        <v>45054</v>
      </c>
      <c r="C5657" s="1" t="n">
        <v>45798</v>
      </c>
      <c r="D5657" t="inlineStr">
        <is>
          <t>NORRBOTTENS LÄN</t>
        </is>
      </c>
      <c r="E5657" t="inlineStr">
        <is>
          <t>ÖVERTORNEÅ</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19923-2023</t>
        </is>
      </c>
      <c r="B5658" s="1" t="n">
        <v>45054</v>
      </c>
      <c r="C5658" s="1" t="n">
        <v>45798</v>
      </c>
      <c r="D5658" t="inlineStr">
        <is>
          <t>NORRBOTTENS LÄN</t>
        </is>
      </c>
      <c r="E5658" t="inlineStr">
        <is>
          <t>PAJALA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20063-2023</t>
        </is>
      </c>
      <c r="B5659" s="1" t="n">
        <v>45054</v>
      </c>
      <c r="C5659" s="1" t="n">
        <v>45798</v>
      </c>
      <c r="D5659" t="inlineStr">
        <is>
          <t>NORRBOTTENS LÄN</t>
        </is>
      </c>
      <c r="E5659" t="inlineStr">
        <is>
          <t>LULEÅ</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20350-2023</t>
        </is>
      </c>
      <c r="B5660" s="1" t="n">
        <v>45054</v>
      </c>
      <c r="C5660" s="1" t="n">
        <v>45798</v>
      </c>
      <c r="D5660" t="inlineStr">
        <is>
          <t>NORRBOTTENS LÄN</t>
        </is>
      </c>
      <c r="E5660" t="inlineStr">
        <is>
          <t>KALIX</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20362-2023</t>
        </is>
      </c>
      <c r="B5661" s="1" t="n">
        <v>45054</v>
      </c>
      <c r="C5661" s="1" t="n">
        <v>45798</v>
      </c>
      <c r="D5661" t="inlineStr">
        <is>
          <t>NORRBOTTENS LÄN</t>
        </is>
      </c>
      <c r="E5661" t="inlineStr">
        <is>
          <t>KALIX</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20083-2023</t>
        </is>
      </c>
      <c r="B5662" s="1" t="n">
        <v>45055</v>
      </c>
      <c r="C5662" s="1" t="n">
        <v>45798</v>
      </c>
      <c r="D5662" t="inlineStr">
        <is>
          <t>NORRBOTTENS LÄN</t>
        </is>
      </c>
      <c r="E5662" t="inlineStr">
        <is>
          <t>KALIX</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20317-2023</t>
        </is>
      </c>
      <c r="B5663" s="1" t="n">
        <v>45054</v>
      </c>
      <c r="C5663" s="1" t="n">
        <v>45798</v>
      </c>
      <c r="D5663" t="inlineStr">
        <is>
          <t>NORRBOTTENS LÄN</t>
        </is>
      </c>
      <c r="E5663" t="inlineStr">
        <is>
          <t>KALIX</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19928-2023</t>
        </is>
      </c>
      <c r="B5664" s="1" t="n">
        <v>45054</v>
      </c>
      <c r="C5664" s="1" t="n">
        <v>45798</v>
      </c>
      <c r="D5664" t="inlineStr">
        <is>
          <t>NORRBOTTENS LÄN</t>
        </is>
      </c>
      <c r="E5664" t="inlineStr">
        <is>
          <t>PAJALA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20084-2023</t>
        </is>
      </c>
      <c r="B5665" s="1" t="n">
        <v>45055</v>
      </c>
      <c r="C5665" s="1" t="n">
        <v>45798</v>
      </c>
      <c r="D5665" t="inlineStr">
        <is>
          <t>NORRBOTTENS LÄN</t>
        </is>
      </c>
      <c r="E5665" t="inlineStr">
        <is>
          <t>KALIX</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20505-2023</t>
        </is>
      </c>
      <c r="B5666" s="1" t="n">
        <v>45054</v>
      </c>
      <c r="C5666" s="1" t="n">
        <v>45798</v>
      </c>
      <c r="D5666" t="inlineStr">
        <is>
          <t>NORRBOTTENS LÄN</t>
        </is>
      </c>
      <c r="E5666" t="inlineStr">
        <is>
          <t>BODEN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20340-2023</t>
        </is>
      </c>
      <c r="B5667" s="1" t="n">
        <v>45054</v>
      </c>
      <c r="C5667" s="1" t="n">
        <v>45798</v>
      </c>
      <c r="D5667" t="inlineStr">
        <is>
          <t>NORRBOTTENS LÄN</t>
        </is>
      </c>
      <c r="E5667" t="inlineStr">
        <is>
          <t>LULEÅ</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20387-2023</t>
        </is>
      </c>
      <c r="B5668" s="1" t="n">
        <v>45054</v>
      </c>
      <c r="C5668" s="1" t="n">
        <v>45798</v>
      </c>
      <c r="D5668" t="inlineStr">
        <is>
          <t>NORRBOTTENS LÄN</t>
        </is>
      </c>
      <c r="E5668" t="inlineStr">
        <is>
          <t>ÖVERTORNEÅ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20675-2023</t>
        </is>
      </c>
      <c r="B5669" s="1" t="n">
        <v>45055</v>
      </c>
      <c r="C5669" s="1" t="n">
        <v>45798</v>
      </c>
      <c r="D5669" t="inlineStr">
        <is>
          <t>NORRBOTTENS LÄN</t>
        </is>
      </c>
      <c r="E5669" t="inlineStr">
        <is>
          <t>ARVIDSJAUR</t>
        </is>
      </c>
      <c r="F5669" t="inlineStr">
        <is>
          <t>Allmännings- och besparingsskogar</t>
        </is>
      </c>
      <c r="G5669" t="n">
        <v>20</v>
      </c>
      <c r="H5669" t="n">
        <v>0</v>
      </c>
      <c r="I5669" t="n">
        <v>0</v>
      </c>
      <c r="J5669" t="n">
        <v>0</v>
      </c>
      <c r="K5669" t="n">
        <v>0</v>
      </c>
      <c r="L5669" t="n">
        <v>0</v>
      </c>
      <c r="M5669" t="n">
        <v>0</v>
      </c>
      <c r="N5669" t="n">
        <v>0</v>
      </c>
      <c r="O5669" t="n">
        <v>0</v>
      </c>
      <c r="P5669" t="n">
        <v>0</v>
      </c>
      <c r="Q5669" t="n">
        <v>0</v>
      </c>
      <c r="R5669" s="2" t="inlineStr"/>
    </row>
    <row r="5670" ht="15" customHeight="1">
      <c r="A5670" t="inlineStr">
        <is>
          <t>A 20691-2023</t>
        </is>
      </c>
      <c r="B5670" s="1" t="n">
        <v>45055</v>
      </c>
      <c r="C5670" s="1" t="n">
        <v>45798</v>
      </c>
      <c r="D5670" t="inlineStr">
        <is>
          <t>NORRBOTTENS LÄN</t>
        </is>
      </c>
      <c r="E5670" t="inlineStr">
        <is>
          <t>ARVIDSJAUR</t>
        </is>
      </c>
      <c r="F5670" t="inlineStr">
        <is>
          <t>Allmännings- och besparingsskogar</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20731-2023</t>
        </is>
      </c>
      <c r="B5671" s="1" t="n">
        <v>45055</v>
      </c>
      <c r="C5671" s="1" t="n">
        <v>45798</v>
      </c>
      <c r="D5671" t="inlineStr">
        <is>
          <t>NORRBOTTENS LÄN</t>
        </is>
      </c>
      <c r="E5671" t="inlineStr">
        <is>
          <t>PITEÅ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20684-2023</t>
        </is>
      </c>
      <c r="B5672" s="1" t="n">
        <v>45055</v>
      </c>
      <c r="C5672" s="1" t="n">
        <v>45798</v>
      </c>
      <c r="D5672" t="inlineStr">
        <is>
          <t>NORRBOTTENS LÄN</t>
        </is>
      </c>
      <c r="E5672" t="inlineStr">
        <is>
          <t>ARVIDSJAUR</t>
        </is>
      </c>
      <c r="F5672" t="inlineStr">
        <is>
          <t>Allmännings- och besparingsskogar</t>
        </is>
      </c>
      <c r="G5672" t="n">
        <v>10.3</v>
      </c>
      <c r="H5672" t="n">
        <v>0</v>
      </c>
      <c r="I5672" t="n">
        <v>0</v>
      </c>
      <c r="J5672" t="n">
        <v>0</v>
      </c>
      <c r="K5672" t="n">
        <v>0</v>
      </c>
      <c r="L5672" t="n">
        <v>0</v>
      </c>
      <c r="M5672" t="n">
        <v>0</v>
      </c>
      <c r="N5672" t="n">
        <v>0</v>
      </c>
      <c r="O5672" t="n">
        <v>0</v>
      </c>
      <c r="P5672" t="n">
        <v>0</v>
      </c>
      <c r="Q5672" t="n">
        <v>0</v>
      </c>
      <c r="R5672" s="2" t="inlineStr"/>
    </row>
    <row r="5673" ht="15" customHeight="1">
      <c r="A5673" t="inlineStr">
        <is>
          <t>A 20698-2023</t>
        </is>
      </c>
      <c r="B5673" s="1" t="n">
        <v>45055</v>
      </c>
      <c r="C5673" s="1" t="n">
        <v>45798</v>
      </c>
      <c r="D5673" t="inlineStr">
        <is>
          <t>NORRBOTTENS LÄN</t>
        </is>
      </c>
      <c r="E5673" t="inlineStr">
        <is>
          <t>ARVIDSJAUR</t>
        </is>
      </c>
      <c r="F5673" t="inlineStr">
        <is>
          <t>Allmännings- och besparingsskogar</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20685-2023</t>
        </is>
      </c>
      <c r="B5674" s="1" t="n">
        <v>45055</v>
      </c>
      <c r="C5674" s="1" t="n">
        <v>45798</v>
      </c>
      <c r="D5674" t="inlineStr">
        <is>
          <t>NORRBOTTENS LÄN</t>
        </is>
      </c>
      <c r="E5674" t="inlineStr">
        <is>
          <t>PAJALA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20690-2023</t>
        </is>
      </c>
      <c r="B5675" s="1" t="n">
        <v>45055</v>
      </c>
      <c r="C5675" s="1" t="n">
        <v>45798</v>
      </c>
      <c r="D5675" t="inlineStr">
        <is>
          <t>NORRBOTTENS LÄN</t>
        </is>
      </c>
      <c r="E5675" t="inlineStr">
        <is>
          <t>ARVIDSJAUR</t>
        </is>
      </c>
      <c r="F5675" t="inlineStr">
        <is>
          <t>Allmännings- och besparingsskogar</t>
        </is>
      </c>
      <c r="G5675" t="n">
        <v>13.6</v>
      </c>
      <c r="H5675" t="n">
        <v>0</v>
      </c>
      <c r="I5675" t="n">
        <v>0</v>
      </c>
      <c r="J5675" t="n">
        <v>0</v>
      </c>
      <c r="K5675" t="n">
        <v>0</v>
      </c>
      <c r="L5675" t="n">
        <v>0</v>
      </c>
      <c r="M5675" t="n">
        <v>0</v>
      </c>
      <c r="N5675" t="n">
        <v>0</v>
      </c>
      <c r="O5675" t="n">
        <v>0</v>
      </c>
      <c r="P5675" t="n">
        <v>0</v>
      </c>
      <c r="Q5675" t="n">
        <v>0</v>
      </c>
      <c r="R5675" s="2" t="inlineStr"/>
    </row>
    <row r="5676" ht="15" customHeight="1">
      <c r="A5676" t="inlineStr">
        <is>
          <t>A 20796-2023</t>
        </is>
      </c>
      <c r="B5676" s="1" t="n">
        <v>45055</v>
      </c>
      <c r="C5676" s="1" t="n">
        <v>45798</v>
      </c>
      <c r="D5676" t="inlineStr">
        <is>
          <t>NORRBOTTENS LÄN</t>
        </is>
      </c>
      <c r="E5676" t="inlineStr">
        <is>
          <t>BODEN</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20707-2023</t>
        </is>
      </c>
      <c r="B5677" s="1" t="n">
        <v>45055</v>
      </c>
      <c r="C5677" s="1" t="n">
        <v>45798</v>
      </c>
      <c r="D5677" t="inlineStr">
        <is>
          <t>NORRBOTTENS LÄN</t>
        </is>
      </c>
      <c r="E5677" t="inlineStr">
        <is>
          <t>ARVIDSJAUR</t>
        </is>
      </c>
      <c r="F5677" t="inlineStr">
        <is>
          <t>Allmännings- och besparingsskogar</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20448-2023</t>
        </is>
      </c>
      <c r="B5678" s="1" t="n">
        <v>45057</v>
      </c>
      <c r="C5678" s="1" t="n">
        <v>45798</v>
      </c>
      <c r="D5678" t="inlineStr">
        <is>
          <t>NORRBOTTENS LÄN</t>
        </is>
      </c>
      <c r="E5678" t="inlineStr">
        <is>
          <t>PITEÅ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20449-2023</t>
        </is>
      </c>
      <c r="B5679" s="1" t="n">
        <v>45056</v>
      </c>
      <c r="C5679" s="1" t="n">
        <v>45798</v>
      </c>
      <c r="D5679" t="inlineStr">
        <is>
          <t>NORRBOTTENS LÄN</t>
        </is>
      </c>
      <c r="E5679" t="inlineStr">
        <is>
          <t>PITEÅ</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20480-2023</t>
        </is>
      </c>
      <c r="B5680" s="1" t="n">
        <v>45057</v>
      </c>
      <c r="C5680" s="1" t="n">
        <v>45798</v>
      </c>
      <c r="D5680" t="inlineStr">
        <is>
          <t>NORRBOTTENS LÄN</t>
        </is>
      </c>
      <c r="E5680" t="inlineStr">
        <is>
          <t>JOKKMOKK</t>
        </is>
      </c>
      <c r="G5680" t="n">
        <v>19.5</v>
      </c>
      <c r="H5680" t="n">
        <v>0</v>
      </c>
      <c r="I5680" t="n">
        <v>0</v>
      </c>
      <c r="J5680" t="n">
        <v>0</v>
      </c>
      <c r="K5680" t="n">
        <v>0</v>
      </c>
      <c r="L5680" t="n">
        <v>0</v>
      </c>
      <c r="M5680" t="n">
        <v>0</v>
      </c>
      <c r="N5680" t="n">
        <v>0</v>
      </c>
      <c r="O5680" t="n">
        <v>0</v>
      </c>
      <c r="P5680" t="n">
        <v>0</v>
      </c>
      <c r="Q5680" t="n">
        <v>0</v>
      </c>
      <c r="R5680" s="2" t="inlineStr"/>
    </row>
    <row r="5681" ht="15" customHeight="1">
      <c r="A5681" t="inlineStr">
        <is>
          <t>A 20621-2023</t>
        </is>
      </c>
      <c r="B5681" s="1" t="n">
        <v>45058</v>
      </c>
      <c r="C5681" s="1" t="n">
        <v>45798</v>
      </c>
      <c r="D5681" t="inlineStr">
        <is>
          <t>NORRBOTTENS LÄN</t>
        </is>
      </c>
      <c r="E5681" t="inlineStr">
        <is>
          <t>PAJALA</t>
        </is>
      </c>
      <c r="F5681" t="inlineStr">
        <is>
          <t>SCA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20593-2023</t>
        </is>
      </c>
      <c r="B5682" s="1" t="n">
        <v>45057</v>
      </c>
      <c r="C5682" s="1" t="n">
        <v>45798</v>
      </c>
      <c r="D5682" t="inlineStr">
        <is>
          <t>NORRBOTTENS LÄN</t>
        </is>
      </c>
      <c r="E5682" t="inlineStr">
        <is>
          <t>JOKKMOKK</t>
        </is>
      </c>
      <c r="F5682" t="inlineStr">
        <is>
          <t>SCA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20357-2023</t>
        </is>
      </c>
      <c r="B5683" s="1" t="n">
        <v>45058</v>
      </c>
      <c r="C5683" s="1" t="n">
        <v>45798</v>
      </c>
      <c r="D5683" t="inlineStr">
        <is>
          <t>NORRBOTTENS LÄN</t>
        </is>
      </c>
      <c r="E5683" t="inlineStr">
        <is>
          <t>KALIX</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20848-2023</t>
        </is>
      </c>
      <c r="B5684" s="1" t="n">
        <v>45058</v>
      </c>
      <c r="C5684" s="1" t="n">
        <v>45798</v>
      </c>
      <c r="D5684" t="inlineStr">
        <is>
          <t>NORRBOTTENS LÄN</t>
        </is>
      </c>
      <c r="E5684" t="inlineStr">
        <is>
          <t>PAJALA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21226-2023</t>
        </is>
      </c>
      <c r="B5685" s="1" t="n">
        <v>45058</v>
      </c>
      <c r="C5685" s="1" t="n">
        <v>45798</v>
      </c>
      <c r="D5685" t="inlineStr">
        <is>
          <t>NORRBOTTENS LÄN</t>
        </is>
      </c>
      <c r="E5685" t="inlineStr">
        <is>
          <t>LULEÅ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21120-2023</t>
        </is>
      </c>
      <c r="B5686" s="1" t="n">
        <v>45062</v>
      </c>
      <c r="C5686" s="1" t="n">
        <v>45798</v>
      </c>
      <c r="D5686" t="inlineStr">
        <is>
          <t>NORRBOTTENS LÄN</t>
        </is>
      </c>
      <c r="E5686" t="inlineStr">
        <is>
          <t>PITEÅ</t>
        </is>
      </c>
      <c r="F5686" t="inlineStr">
        <is>
          <t>SCA</t>
        </is>
      </c>
      <c r="G5686" t="n">
        <v>11.9</v>
      </c>
      <c r="H5686" t="n">
        <v>0</v>
      </c>
      <c r="I5686" t="n">
        <v>0</v>
      </c>
      <c r="J5686" t="n">
        <v>0</v>
      </c>
      <c r="K5686" t="n">
        <v>0</v>
      </c>
      <c r="L5686" t="n">
        <v>0</v>
      </c>
      <c r="M5686" t="n">
        <v>0</v>
      </c>
      <c r="N5686" t="n">
        <v>0</v>
      </c>
      <c r="O5686" t="n">
        <v>0</v>
      </c>
      <c r="P5686" t="n">
        <v>0</v>
      </c>
      <c r="Q5686" t="n">
        <v>0</v>
      </c>
      <c r="R5686" s="2" t="inlineStr"/>
    </row>
    <row r="5687" ht="15" customHeight="1">
      <c r="A5687" t="inlineStr">
        <is>
          <t>A 21562-2023</t>
        </is>
      </c>
      <c r="B5687" s="1" t="n">
        <v>45061</v>
      </c>
      <c r="C5687" s="1" t="n">
        <v>45798</v>
      </c>
      <c r="D5687" t="inlineStr">
        <is>
          <t>NORRBOTTENS LÄN</t>
        </is>
      </c>
      <c r="E5687" t="inlineStr">
        <is>
          <t>ÖVERKALIX</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21119-2023</t>
        </is>
      </c>
      <c r="B5688" s="1" t="n">
        <v>45062</v>
      </c>
      <c r="C5688" s="1" t="n">
        <v>45798</v>
      </c>
      <c r="D5688" t="inlineStr">
        <is>
          <t>NORRBOTTENS LÄN</t>
        </is>
      </c>
      <c r="E5688" t="inlineStr">
        <is>
          <t>PITEÅ</t>
        </is>
      </c>
      <c r="F5688" t="inlineStr">
        <is>
          <t>SCA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21123-2023</t>
        </is>
      </c>
      <c r="B5689" s="1" t="n">
        <v>45062</v>
      </c>
      <c r="C5689" s="1" t="n">
        <v>45798</v>
      </c>
      <c r="D5689" t="inlineStr">
        <is>
          <t>NORRBOTTENS LÄN</t>
        </is>
      </c>
      <c r="E5689" t="inlineStr">
        <is>
          <t>PAJALA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21159-2023</t>
        </is>
      </c>
      <c r="B5690" s="1" t="n">
        <v>45062</v>
      </c>
      <c r="C5690" s="1" t="n">
        <v>45798</v>
      </c>
      <c r="D5690" t="inlineStr">
        <is>
          <t>NORRBOTTENS LÄN</t>
        </is>
      </c>
      <c r="E5690" t="inlineStr">
        <is>
          <t>GÄLLIVARE</t>
        </is>
      </c>
      <c r="F5690" t="inlineStr">
        <is>
          <t>Sveaskog</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21139-2023</t>
        </is>
      </c>
      <c r="B5691" s="1" t="n">
        <v>45062</v>
      </c>
      <c r="C5691" s="1" t="n">
        <v>45798</v>
      </c>
      <c r="D5691" t="inlineStr">
        <is>
          <t>NORRBOTTENS LÄN</t>
        </is>
      </c>
      <c r="E5691" t="inlineStr">
        <is>
          <t>PAJALA</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21515-2023</t>
        </is>
      </c>
      <c r="B5692" s="1" t="n">
        <v>45063</v>
      </c>
      <c r="C5692" s="1" t="n">
        <v>45798</v>
      </c>
      <c r="D5692" t="inlineStr">
        <is>
          <t>NORRBOTTENS LÄN</t>
        </is>
      </c>
      <c r="E5692" t="inlineStr">
        <is>
          <t>ÖVERKALIX</t>
        </is>
      </c>
      <c r="F5692" t="inlineStr">
        <is>
          <t>Sveaskog</t>
        </is>
      </c>
      <c r="G5692" t="n">
        <v>15.9</v>
      </c>
      <c r="H5692" t="n">
        <v>0</v>
      </c>
      <c r="I5692" t="n">
        <v>0</v>
      </c>
      <c r="J5692" t="n">
        <v>0</v>
      </c>
      <c r="K5692" t="n">
        <v>0</v>
      </c>
      <c r="L5692" t="n">
        <v>0</v>
      </c>
      <c r="M5692" t="n">
        <v>0</v>
      </c>
      <c r="N5692" t="n">
        <v>0</v>
      </c>
      <c r="O5692" t="n">
        <v>0</v>
      </c>
      <c r="P5692" t="n">
        <v>0</v>
      </c>
      <c r="Q5692" t="n">
        <v>0</v>
      </c>
      <c r="R5692" s="2" t="inlineStr"/>
    </row>
    <row r="5693" ht="15" customHeight="1">
      <c r="A5693" t="inlineStr">
        <is>
          <t>A 21514-2023</t>
        </is>
      </c>
      <c r="B5693" s="1" t="n">
        <v>45063</v>
      </c>
      <c r="C5693" s="1" t="n">
        <v>45798</v>
      </c>
      <c r="D5693" t="inlineStr">
        <is>
          <t>NORRBOTTENS LÄN</t>
        </is>
      </c>
      <c r="E5693" t="inlineStr">
        <is>
          <t>ÖVERKALIX</t>
        </is>
      </c>
      <c r="F5693" t="inlineStr">
        <is>
          <t>Sveaskog</t>
        </is>
      </c>
      <c r="G5693" t="n">
        <v>13.3</v>
      </c>
      <c r="H5693" t="n">
        <v>0</v>
      </c>
      <c r="I5693" t="n">
        <v>0</v>
      </c>
      <c r="J5693" t="n">
        <v>0</v>
      </c>
      <c r="K5693" t="n">
        <v>0</v>
      </c>
      <c r="L5693" t="n">
        <v>0</v>
      </c>
      <c r="M5693" t="n">
        <v>0</v>
      </c>
      <c r="N5693" t="n">
        <v>0</v>
      </c>
      <c r="O5693" t="n">
        <v>0</v>
      </c>
      <c r="P5693" t="n">
        <v>0</v>
      </c>
      <c r="Q5693" t="n">
        <v>0</v>
      </c>
      <c r="R5693" s="2" t="inlineStr"/>
    </row>
    <row r="5694" ht="15" customHeight="1">
      <c r="A5694" t="inlineStr">
        <is>
          <t>A 21537-2023</t>
        </is>
      </c>
      <c r="B5694" s="1" t="n">
        <v>45063</v>
      </c>
      <c r="C5694" s="1" t="n">
        <v>45798</v>
      </c>
      <c r="D5694" t="inlineStr">
        <is>
          <t>NORRBOTTENS LÄN</t>
        </is>
      </c>
      <c r="E5694" t="inlineStr">
        <is>
          <t>HAPARANDA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21481-2023</t>
        </is>
      </c>
      <c r="B5695" s="1" t="n">
        <v>45063</v>
      </c>
      <c r="C5695" s="1" t="n">
        <v>45798</v>
      </c>
      <c r="D5695" t="inlineStr">
        <is>
          <t>NORRBOTTENS LÄN</t>
        </is>
      </c>
      <c r="E5695" t="inlineStr">
        <is>
          <t>KALIX</t>
        </is>
      </c>
      <c r="G5695" t="n">
        <v>37.1</v>
      </c>
      <c r="H5695" t="n">
        <v>0</v>
      </c>
      <c r="I5695" t="n">
        <v>0</v>
      </c>
      <c r="J5695" t="n">
        <v>0</v>
      </c>
      <c r="K5695" t="n">
        <v>0</v>
      </c>
      <c r="L5695" t="n">
        <v>0</v>
      </c>
      <c r="M5695" t="n">
        <v>0</v>
      </c>
      <c r="N5695" t="n">
        <v>0</v>
      </c>
      <c r="O5695" t="n">
        <v>0</v>
      </c>
      <c r="P5695" t="n">
        <v>0</v>
      </c>
      <c r="Q5695" t="n">
        <v>0</v>
      </c>
      <c r="R5695" s="2" t="inlineStr"/>
    </row>
    <row r="5696" ht="15" customHeight="1">
      <c r="A5696" t="inlineStr">
        <is>
          <t>A 21559-2023</t>
        </is>
      </c>
      <c r="B5696" s="1" t="n">
        <v>45063</v>
      </c>
      <c r="C5696" s="1" t="n">
        <v>45798</v>
      </c>
      <c r="D5696" t="inlineStr">
        <is>
          <t>NORRBOTTENS LÄN</t>
        </is>
      </c>
      <c r="E5696" t="inlineStr">
        <is>
          <t>ÖVERKALIX</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21574-2023</t>
        </is>
      </c>
      <c r="B5697" s="1" t="n">
        <v>45063</v>
      </c>
      <c r="C5697" s="1" t="n">
        <v>45798</v>
      </c>
      <c r="D5697" t="inlineStr">
        <is>
          <t>NORRBOTTENS LÄN</t>
        </is>
      </c>
      <c r="E5697" t="inlineStr">
        <is>
          <t>KALIX</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21606-2023</t>
        </is>
      </c>
      <c r="B5698" s="1" t="n">
        <v>45063</v>
      </c>
      <c r="C5698" s="1" t="n">
        <v>45798</v>
      </c>
      <c r="D5698" t="inlineStr">
        <is>
          <t>NORRBOTTENS LÄN</t>
        </is>
      </c>
      <c r="E5698" t="inlineStr">
        <is>
          <t>KALIX</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21532-2023</t>
        </is>
      </c>
      <c r="B5699" s="1" t="n">
        <v>45063</v>
      </c>
      <c r="C5699" s="1" t="n">
        <v>45798</v>
      </c>
      <c r="D5699" t="inlineStr">
        <is>
          <t>NORRBOTTENS LÄN</t>
        </is>
      </c>
      <c r="E5699" t="inlineStr">
        <is>
          <t>HAPARANDA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21556-2023</t>
        </is>
      </c>
      <c r="B5700" s="1" t="n">
        <v>45063</v>
      </c>
      <c r="C5700" s="1" t="n">
        <v>45798</v>
      </c>
      <c r="D5700" t="inlineStr">
        <is>
          <t>NORRBOTTENS LÄN</t>
        </is>
      </c>
      <c r="E5700" t="inlineStr">
        <is>
          <t>GÄLLIVARE</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21561-2023</t>
        </is>
      </c>
      <c r="B5701" s="1" t="n">
        <v>45063</v>
      </c>
      <c r="C5701" s="1" t="n">
        <v>45798</v>
      </c>
      <c r="D5701" t="inlineStr">
        <is>
          <t>NORRBOTTENS LÄN</t>
        </is>
      </c>
      <c r="E5701" t="inlineStr">
        <is>
          <t>KALIX</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21589-2023</t>
        </is>
      </c>
      <c r="B5702" s="1" t="n">
        <v>45063</v>
      </c>
      <c r="C5702" s="1" t="n">
        <v>45798</v>
      </c>
      <c r="D5702" t="inlineStr">
        <is>
          <t>NORRBOTTENS LÄN</t>
        </is>
      </c>
      <c r="E5702" t="inlineStr">
        <is>
          <t>KALIX</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21610-2023</t>
        </is>
      </c>
      <c r="B5703" s="1" t="n">
        <v>45063</v>
      </c>
      <c r="C5703" s="1" t="n">
        <v>45798</v>
      </c>
      <c r="D5703" t="inlineStr">
        <is>
          <t>NORRBOTTENS LÄN</t>
        </is>
      </c>
      <c r="E5703" t="inlineStr">
        <is>
          <t>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21599-2023</t>
        </is>
      </c>
      <c r="B5704" s="1" t="n">
        <v>45063</v>
      </c>
      <c r="C5704" s="1" t="n">
        <v>45798</v>
      </c>
      <c r="D5704" t="inlineStr">
        <is>
          <t>NORRBOTTENS LÄN</t>
        </is>
      </c>
      <c r="E5704" t="inlineStr">
        <is>
          <t>KALIX</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21651-2023</t>
        </is>
      </c>
      <c r="B5705" s="1" t="n">
        <v>45063</v>
      </c>
      <c r="C5705" s="1" t="n">
        <v>45798</v>
      </c>
      <c r="D5705" t="inlineStr">
        <is>
          <t>NORRBOTTENS LÄN</t>
        </is>
      </c>
      <c r="E5705" t="inlineStr">
        <is>
          <t>PAJALA</t>
        </is>
      </c>
      <c r="F5705" t="inlineStr">
        <is>
          <t>Sveaskog</t>
        </is>
      </c>
      <c r="G5705" t="n">
        <v>19.5</v>
      </c>
      <c r="H5705" t="n">
        <v>0</v>
      </c>
      <c r="I5705" t="n">
        <v>0</v>
      </c>
      <c r="J5705" t="n">
        <v>0</v>
      </c>
      <c r="K5705" t="n">
        <v>0</v>
      </c>
      <c r="L5705" t="n">
        <v>0</v>
      </c>
      <c r="M5705" t="n">
        <v>0</v>
      </c>
      <c r="N5705" t="n">
        <v>0</v>
      </c>
      <c r="O5705" t="n">
        <v>0</v>
      </c>
      <c r="P5705" t="n">
        <v>0</v>
      </c>
      <c r="Q5705" t="n">
        <v>0</v>
      </c>
      <c r="R5705" s="2" t="inlineStr"/>
    </row>
    <row r="5706" ht="15" customHeight="1">
      <c r="A5706" t="inlineStr">
        <is>
          <t>A 21614-2023</t>
        </is>
      </c>
      <c r="B5706" s="1" t="n">
        <v>45063</v>
      </c>
      <c r="C5706" s="1" t="n">
        <v>45798</v>
      </c>
      <c r="D5706" t="inlineStr">
        <is>
          <t>NORRBOTTENS LÄN</t>
        </is>
      </c>
      <c r="E5706" t="inlineStr">
        <is>
          <t>KALIX</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21678-2023</t>
        </is>
      </c>
      <c r="B5707" s="1" t="n">
        <v>45064</v>
      </c>
      <c r="C5707" s="1" t="n">
        <v>45798</v>
      </c>
      <c r="D5707" t="inlineStr">
        <is>
          <t>NORRBOTTENS LÄN</t>
        </is>
      </c>
      <c r="E5707" t="inlineStr">
        <is>
          <t>PITEÅ</t>
        </is>
      </c>
      <c r="F5707" t="inlineStr">
        <is>
          <t>SCA</t>
        </is>
      </c>
      <c r="G5707" t="n">
        <v>10.4</v>
      </c>
      <c r="H5707" t="n">
        <v>0</v>
      </c>
      <c r="I5707" t="n">
        <v>0</v>
      </c>
      <c r="J5707" t="n">
        <v>0</v>
      </c>
      <c r="K5707" t="n">
        <v>0</v>
      </c>
      <c r="L5707" t="n">
        <v>0</v>
      </c>
      <c r="M5707" t="n">
        <v>0</v>
      </c>
      <c r="N5707" t="n">
        <v>0</v>
      </c>
      <c r="O5707" t="n">
        <v>0</v>
      </c>
      <c r="P5707" t="n">
        <v>0</v>
      </c>
      <c r="Q5707" t="n">
        <v>0</v>
      </c>
      <c r="R5707" s="2" t="inlineStr"/>
    </row>
    <row r="5708" ht="15" customHeight="1">
      <c r="A5708" t="inlineStr">
        <is>
          <t>A 21677-2023</t>
        </is>
      </c>
      <c r="B5708" s="1" t="n">
        <v>45064</v>
      </c>
      <c r="C5708" s="1" t="n">
        <v>45798</v>
      </c>
      <c r="D5708" t="inlineStr">
        <is>
          <t>NORRBOTTENS LÄN</t>
        </is>
      </c>
      <c r="E5708" t="inlineStr">
        <is>
          <t>ÄLVSBYN</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21702-2023</t>
        </is>
      </c>
      <c r="B5709" s="1" t="n">
        <v>45064</v>
      </c>
      <c r="C5709" s="1" t="n">
        <v>45798</v>
      </c>
      <c r="D5709" t="inlineStr">
        <is>
          <t>NORRBOTTENS LÄN</t>
        </is>
      </c>
      <c r="E5709" t="inlineStr">
        <is>
          <t>PAJALA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21713-2023</t>
        </is>
      </c>
      <c r="B5710" s="1" t="n">
        <v>45065</v>
      </c>
      <c r="C5710" s="1" t="n">
        <v>45798</v>
      </c>
      <c r="D5710" t="inlineStr">
        <is>
          <t>NORRBOTTENS LÄN</t>
        </is>
      </c>
      <c r="E5710" t="inlineStr">
        <is>
          <t>BODEN</t>
        </is>
      </c>
      <c r="F5710" t="inlineStr">
        <is>
          <t>Sveaskog</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21785-2023</t>
        </is>
      </c>
      <c r="B5711" s="1" t="n">
        <v>45065</v>
      </c>
      <c r="C5711" s="1" t="n">
        <v>45798</v>
      </c>
      <c r="D5711" t="inlineStr">
        <is>
          <t>NORRBOTTENS LÄN</t>
        </is>
      </c>
      <c r="E5711" t="inlineStr">
        <is>
          <t>GÄLLIVARE</t>
        </is>
      </c>
      <c r="G5711" t="n">
        <v>22.4</v>
      </c>
      <c r="H5711" t="n">
        <v>0</v>
      </c>
      <c r="I5711" t="n">
        <v>0</v>
      </c>
      <c r="J5711" t="n">
        <v>0</v>
      </c>
      <c r="K5711" t="n">
        <v>0</v>
      </c>
      <c r="L5711" t="n">
        <v>0</v>
      </c>
      <c r="M5711" t="n">
        <v>0</v>
      </c>
      <c r="N5711" t="n">
        <v>0</v>
      </c>
      <c r="O5711" t="n">
        <v>0</v>
      </c>
      <c r="P5711" t="n">
        <v>0</v>
      </c>
      <c r="Q5711" t="n">
        <v>0</v>
      </c>
      <c r="R5711" s="2" t="inlineStr"/>
    </row>
    <row r="5712" ht="15" customHeight="1">
      <c r="A5712" t="inlineStr">
        <is>
          <t>A 21783-2023</t>
        </is>
      </c>
      <c r="B5712" s="1" t="n">
        <v>45066</v>
      </c>
      <c r="C5712" s="1" t="n">
        <v>45798</v>
      </c>
      <c r="D5712" t="inlineStr">
        <is>
          <t>NORRBOTTENS LÄN</t>
        </is>
      </c>
      <c r="E5712" t="inlineStr">
        <is>
          <t>PITEÅ</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21924-2023</t>
        </is>
      </c>
      <c r="B5713" s="1" t="n">
        <v>45067</v>
      </c>
      <c r="C5713" s="1" t="n">
        <v>45798</v>
      </c>
      <c r="D5713" t="inlineStr">
        <is>
          <t>NORRBOTTENS LÄN</t>
        </is>
      </c>
      <c r="E5713" t="inlineStr">
        <is>
          <t>JOKKMOKK</t>
        </is>
      </c>
      <c r="F5713" t="inlineStr">
        <is>
          <t>Övriga Aktiebolag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21821-2023</t>
        </is>
      </c>
      <c r="B5714" s="1" t="n">
        <v>45068</v>
      </c>
      <c r="C5714" s="1" t="n">
        <v>45798</v>
      </c>
      <c r="D5714" t="inlineStr">
        <is>
          <t>NORRBOTTENS LÄN</t>
        </is>
      </c>
      <c r="E5714" t="inlineStr">
        <is>
          <t>PITEÅ</t>
        </is>
      </c>
      <c r="F5714" t="inlineStr">
        <is>
          <t>Sveaskog</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21938-2023</t>
        </is>
      </c>
      <c r="B5715" s="1" t="n">
        <v>45068</v>
      </c>
      <c r="C5715" s="1" t="n">
        <v>45798</v>
      </c>
      <c r="D5715" t="inlineStr">
        <is>
          <t>NORRBOTTENS LÄN</t>
        </is>
      </c>
      <c r="E5715" t="inlineStr">
        <is>
          <t>ÖVERTORNEÅ</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21951-2023</t>
        </is>
      </c>
      <c r="B5716" s="1" t="n">
        <v>45068</v>
      </c>
      <c r="C5716" s="1" t="n">
        <v>45798</v>
      </c>
      <c r="D5716" t="inlineStr">
        <is>
          <t>NORRBOTTENS LÄN</t>
        </is>
      </c>
      <c r="E5716" t="inlineStr">
        <is>
          <t>BODEN</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21891-2023</t>
        </is>
      </c>
      <c r="B5717" s="1" t="n">
        <v>45068</v>
      </c>
      <c r="C5717" s="1" t="n">
        <v>45798</v>
      </c>
      <c r="D5717" t="inlineStr">
        <is>
          <t>NORRBOTTENS LÄN</t>
        </is>
      </c>
      <c r="E5717" t="inlineStr">
        <is>
          <t>LULEÅ</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21979-2023</t>
        </is>
      </c>
      <c r="B5718" s="1" t="n">
        <v>45068</v>
      </c>
      <c r="C5718" s="1" t="n">
        <v>45798</v>
      </c>
      <c r="D5718" t="inlineStr">
        <is>
          <t>NORRBOTTENS LÄN</t>
        </is>
      </c>
      <c r="E5718" t="inlineStr">
        <is>
          <t>HAPARANDA</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22127-2023</t>
        </is>
      </c>
      <c r="B5719" s="1" t="n">
        <v>45068</v>
      </c>
      <c r="C5719" s="1" t="n">
        <v>45798</v>
      </c>
      <c r="D5719" t="inlineStr">
        <is>
          <t>NORRBOTTENS LÄN</t>
        </is>
      </c>
      <c r="E5719" t="inlineStr">
        <is>
          <t>BODEN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21895-2023</t>
        </is>
      </c>
      <c r="B5720" s="1" t="n">
        <v>45068</v>
      </c>
      <c r="C5720" s="1" t="n">
        <v>45798</v>
      </c>
      <c r="D5720" t="inlineStr">
        <is>
          <t>NORRBOTTENS LÄN</t>
        </is>
      </c>
      <c r="E5720" t="inlineStr">
        <is>
          <t>ÄLVSBYN</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22230-2023</t>
        </is>
      </c>
      <c r="B5721" s="1" t="n">
        <v>45070</v>
      </c>
      <c r="C5721" s="1" t="n">
        <v>45798</v>
      </c>
      <c r="D5721" t="inlineStr">
        <is>
          <t>NORRBOTTENS LÄN</t>
        </is>
      </c>
      <c r="E5721" t="inlineStr">
        <is>
          <t>PITEÅ</t>
        </is>
      </c>
      <c r="F5721" t="inlineStr">
        <is>
          <t>SCA</t>
        </is>
      </c>
      <c r="G5721" t="n">
        <v>13.4</v>
      </c>
      <c r="H5721" t="n">
        <v>0</v>
      </c>
      <c r="I5721" t="n">
        <v>0</v>
      </c>
      <c r="J5721" t="n">
        <v>0</v>
      </c>
      <c r="K5721" t="n">
        <v>0</v>
      </c>
      <c r="L5721" t="n">
        <v>0</v>
      </c>
      <c r="M5721" t="n">
        <v>0</v>
      </c>
      <c r="N5721" t="n">
        <v>0</v>
      </c>
      <c r="O5721" t="n">
        <v>0</v>
      </c>
      <c r="P5721" t="n">
        <v>0</v>
      </c>
      <c r="Q5721" t="n">
        <v>0</v>
      </c>
      <c r="R5721" s="2" t="inlineStr"/>
    </row>
    <row r="5722" ht="15" customHeight="1">
      <c r="A5722" t="inlineStr">
        <is>
          <t>A 22335-2023</t>
        </is>
      </c>
      <c r="B5722" s="1" t="n">
        <v>45070</v>
      </c>
      <c r="C5722" s="1" t="n">
        <v>45798</v>
      </c>
      <c r="D5722" t="inlineStr">
        <is>
          <t>NORRBOTTENS LÄN</t>
        </is>
      </c>
      <c r="E5722" t="inlineStr">
        <is>
          <t>ÄLVSBYN</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22355-2023</t>
        </is>
      </c>
      <c r="B5723" s="1" t="n">
        <v>45070</v>
      </c>
      <c r="C5723" s="1" t="n">
        <v>45798</v>
      </c>
      <c r="D5723" t="inlineStr">
        <is>
          <t>NORRBOTTENS LÄN</t>
        </is>
      </c>
      <c r="E5723" t="inlineStr">
        <is>
          <t>KALIX</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22460-2023</t>
        </is>
      </c>
      <c r="B5724" s="1" t="n">
        <v>45071</v>
      </c>
      <c r="C5724" s="1" t="n">
        <v>45798</v>
      </c>
      <c r="D5724" t="inlineStr">
        <is>
          <t>NORRBOTTENS LÄN</t>
        </is>
      </c>
      <c r="E5724" t="inlineStr">
        <is>
          <t>BODEN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22458-2023</t>
        </is>
      </c>
      <c r="B5725" s="1" t="n">
        <v>45070</v>
      </c>
      <c r="C5725" s="1" t="n">
        <v>45798</v>
      </c>
      <c r="D5725" t="inlineStr">
        <is>
          <t>NORRBOTTENS LÄN</t>
        </is>
      </c>
      <c r="E5725" t="inlineStr">
        <is>
          <t>BODEN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22470-2023</t>
        </is>
      </c>
      <c r="B5726" s="1" t="n">
        <v>45070</v>
      </c>
      <c r="C5726" s="1" t="n">
        <v>45798</v>
      </c>
      <c r="D5726" t="inlineStr">
        <is>
          <t>NORRBOTTENS LÄN</t>
        </is>
      </c>
      <c r="E5726" t="inlineStr">
        <is>
          <t>ÖVERKALIX</t>
        </is>
      </c>
      <c r="F5726" t="inlineStr">
        <is>
          <t>SCA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22597-2023</t>
        </is>
      </c>
      <c r="B5727" s="1" t="n">
        <v>45071</v>
      </c>
      <c r="C5727" s="1" t="n">
        <v>45798</v>
      </c>
      <c r="D5727" t="inlineStr">
        <is>
          <t>NORRBOTTENS LÄN</t>
        </is>
      </c>
      <c r="E5727" t="inlineStr">
        <is>
          <t>ÖVERTORNEÅ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22685-2023</t>
        </is>
      </c>
      <c r="B5728" s="1" t="n">
        <v>45071</v>
      </c>
      <c r="C5728" s="1" t="n">
        <v>45798</v>
      </c>
      <c r="D5728" t="inlineStr">
        <is>
          <t>NORRBOTTENS LÄN</t>
        </is>
      </c>
      <c r="E5728" t="inlineStr">
        <is>
          <t>JOKKMOKK</t>
        </is>
      </c>
      <c r="F5728" t="inlineStr">
        <is>
          <t>Sveaskog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22595-2023</t>
        </is>
      </c>
      <c r="B5729" s="1" t="n">
        <v>45071</v>
      </c>
      <c r="C5729" s="1" t="n">
        <v>45798</v>
      </c>
      <c r="D5729" t="inlineStr">
        <is>
          <t>NORRBOTTENS LÄN</t>
        </is>
      </c>
      <c r="E5729" t="inlineStr">
        <is>
          <t>ÖVERTORNEÅ</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22744-2023</t>
        </is>
      </c>
      <c r="B5730" s="1" t="n">
        <v>45072</v>
      </c>
      <c r="C5730" s="1" t="n">
        <v>45798</v>
      </c>
      <c r="D5730" t="inlineStr">
        <is>
          <t>NORRBOTTENS LÄN</t>
        </is>
      </c>
      <c r="E5730" t="inlineStr">
        <is>
          <t>GÄLLIVARE</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22743-2023</t>
        </is>
      </c>
      <c r="B5731" s="1" t="n">
        <v>45072</v>
      </c>
      <c r="C5731" s="1" t="n">
        <v>45798</v>
      </c>
      <c r="D5731" t="inlineStr">
        <is>
          <t>NORRBOTTENS LÄN</t>
        </is>
      </c>
      <c r="E5731" t="inlineStr">
        <is>
          <t>GÄLLIVARE</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22757-2023</t>
        </is>
      </c>
      <c r="B5732" s="1" t="n">
        <v>45072</v>
      </c>
      <c r="C5732" s="1" t="n">
        <v>45798</v>
      </c>
      <c r="D5732" t="inlineStr">
        <is>
          <t>NORRBOTTENS LÄN</t>
        </is>
      </c>
      <c r="E5732" t="inlineStr">
        <is>
          <t>BODEN</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22768-2023</t>
        </is>
      </c>
      <c r="B5733" s="1" t="n">
        <v>45072</v>
      </c>
      <c r="C5733" s="1" t="n">
        <v>45798</v>
      </c>
      <c r="D5733" t="inlineStr">
        <is>
          <t>NORRBOTTENS LÄN</t>
        </is>
      </c>
      <c r="E5733" t="inlineStr">
        <is>
          <t>ÖVERKALIX</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22894-2023</t>
        </is>
      </c>
      <c r="B5734" s="1" t="n">
        <v>45072</v>
      </c>
      <c r="C5734" s="1" t="n">
        <v>45798</v>
      </c>
      <c r="D5734" t="inlineStr">
        <is>
          <t>NORRBOTTENS LÄN</t>
        </is>
      </c>
      <c r="E5734" t="inlineStr">
        <is>
          <t>PITEÅ</t>
        </is>
      </c>
      <c r="F5734" t="inlineStr">
        <is>
          <t>Övriga Aktiebolag</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22909-2023</t>
        </is>
      </c>
      <c r="B5735" s="1" t="n">
        <v>45072</v>
      </c>
      <c r="C5735" s="1" t="n">
        <v>45798</v>
      </c>
      <c r="D5735" t="inlineStr">
        <is>
          <t>NORRBOTTENS LÄN</t>
        </is>
      </c>
      <c r="E5735" t="inlineStr">
        <is>
          <t>PAJALA</t>
        </is>
      </c>
      <c r="F5735" t="inlineStr">
        <is>
          <t>Sveaskog</t>
        </is>
      </c>
      <c r="G5735" t="n">
        <v>22.1</v>
      </c>
      <c r="H5735" t="n">
        <v>0</v>
      </c>
      <c r="I5735" t="n">
        <v>0</v>
      </c>
      <c r="J5735" t="n">
        <v>0</v>
      </c>
      <c r="K5735" t="n">
        <v>0</v>
      </c>
      <c r="L5735" t="n">
        <v>0</v>
      </c>
      <c r="M5735" t="n">
        <v>0</v>
      </c>
      <c r="N5735" t="n">
        <v>0</v>
      </c>
      <c r="O5735" t="n">
        <v>0</v>
      </c>
      <c r="P5735" t="n">
        <v>0</v>
      </c>
      <c r="Q5735" t="n">
        <v>0</v>
      </c>
      <c r="R5735" s="2" t="inlineStr"/>
    </row>
    <row r="5736" ht="15" customHeight="1">
      <c r="A5736" t="inlineStr">
        <is>
          <t>A 22895-2023</t>
        </is>
      </c>
      <c r="B5736" s="1" t="n">
        <v>45072</v>
      </c>
      <c r="C5736" s="1" t="n">
        <v>45798</v>
      </c>
      <c r="D5736" t="inlineStr">
        <is>
          <t>NORRBOTTENS LÄN</t>
        </is>
      </c>
      <c r="E5736" t="inlineStr">
        <is>
          <t>ARVIDSJAUR</t>
        </is>
      </c>
      <c r="F5736" t="inlineStr">
        <is>
          <t>Sveaskog</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22908-2023</t>
        </is>
      </c>
      <c r="B5737" s="1" t="n">
        <v>45072</v>
      </c>
      <c r="C5737" s="1" t="n">
        <v>45798</v>
      </c>
      <c r="D5737" t="inlineStr">
        <is>
          <t>NORRBOTTENS LÄN</t>
        </is>
      </c>
      <c r="E5737" t="inlineStr">
        <is>
          <t>PITEÅ</t>
        </is>
      </c>
      <c r="F5737" t="inlineStr">
        <is>
          <t>Sveaskog</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22982-2023</t>
        </is>
      </c>
      <c r="B5738" s="1" t="n">
        <v>45072</v>
      </c>
      <c r="C5738" s="1" t="n">
        <v>45798</v>
      </c>
      <c r="D5738" t="inlineStr">
        <is>
          <t>NORRBOTTENS LÄN</t>
        </is>
      </c>
      <c r="E5738" t="inlineStr">
        <is>
          <t>LULEÅ</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22905-2023</t>
        </is>
      </c>
      <c r="B5739" s="1" t="n">
        <v>45072</v>
      </c>
      <c r="C5739" s="1" t="n">
        <v>45798</v>
      </c>
      <c r="D5739" t="inlineStr">
        <is>
          <t>NORRBOTTENS LÄN</t>
        </is>
      </c>
      <c r="E5739" t="inlineStr">
        <is>
          <t>BODEN</t>
        </is>
      </c>
      <c r="F5739" t="inlineStr">
        <is>
          <t>Sveaskog</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23489-2023</t>
        </is>
      </c>
      <c r="B5740" s="1" t="n">
        <v>45072</v>
      </c>
      <c r="C5740" s="1" t="n">
        <v>45798</v>
      </c>
      <c r="D5740" t="inlineStr">
        <is>
          <t>NORRBOTTENS LÄN</t>
        </is>
      </c>
      <c r="E5740" t="inlineStr">
        <is>
          <t>GÄLLIVARE</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23022-2023</t>
        </is>
      </c>
      <c r="B5741" s="1" t="n">
        <v>45074</v>
      </c>
      <c r="C5741" s="1" t="n">
        <v>45798</v>
      </c>
      <c r="D5741" t="inlineStr">
        <is>
          <t>NORRBOTTENS LÄN</t>
        </is>
      </c>
      <c r="E5741" t="inlineStr">
        <is>
          <t>JOKKMOKK</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23021-2023</t>
        </is>
      </c>
      <c r="B5742" s="1" t="n">
        <v>45074</v>
      </c>
      <c r="C5742" s="1" t="n">
        <v>45798</v>
      </c>
      <c r="D5742" t="inlineStr">
        <is>
          <t>NORRBOTTENS LÄN</t>
        </is>
      </c>
      <c r="E5742" t="inlineStr">
        <is>
          <t>JOKKMOKK</t>
        </is>
      </c>
      <c r="F5742" t="inlineStr">
        <is>
          <t>SCA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23019-2023</t>
        </is>
      </c>
      <c r="B5743" s="1" t="n">
        <v>45073</v>
      </c>
      <c r="C5743" s="1" t="n">
        <v>45798</v>
      </c>
      <c r="D5743" t="inlineStr">
        <is>
          <t>NORRBOTTENS LÄN</t>
        </is>
      </c>
      <c r="E5743" t="inlineStr">
        <is>
          <t>JOKKMOKK</t>
        </is>
      </c>
      <c r="F5743" t="inlineStr">
        <is>
          <t>SCA</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23023-2023</t>
        </is>
      </c>
      <c r="B5744" s="1" t="n">
        <v>45073</v>
      </c>
      <c r="C5744" s="1" t="n">
        <v>45798</v>
      </c>
      <c r="D5744" t="inlineStr">
        <is>
          <t>NORRBOTTENS LÄN</t>
        </is>
      </c>
      <c r="E5744" t="inlineStr">
        <is>
          <t>JOKKMOKK</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23278-2023</t>
        </is>
      </c>
      <c r="B5745" s="1" t="n">
        <v>45076</v>
      </c>
      <c r="C5745" s="1" t="n">
        <v>45798</v>
      </c>
      <c r="D5745" t="inlineStr">
        <is>
          <t>NORRBOTTENS LÄN</t>
        </is>
      </c>
      <c r="E5745" t="inlineStr">
        <is>
          <t>ÄLVSBYN</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23290-2023</t>
        </is>
      </c>
      <c r="B5746" s="1" t="n">
        <v>45076</v>
      </c>
      <c r="C5746" s="1" t="n">
        <v>45798</v>
      </c>
      <c r="D5746" t="inlineStr">
        <is>
          <t>NORRBOTTENS LÄN</t>
        </is>
      </c>
      <c r="E5746" t="inlineStr">
        <is>
          <t>KALIX</t>
        </is>
      </c>
      <c r="F5746" t="inlineStr">
        <is>
          <t>SCA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23280-2023</t>
        </is>
      </c>
      <c r="B5747" s="1" t="n">
        <v>45076</v>
      </c>
      <c r="C5747" s="1" t="n">
        <v>45798</v>
      </c>
      <c r="D5747" t="inlineStr">
        <is>
          <t>NORRBOTTENS LÄN</t>
        </is>
      </c>
      <c r="E5747" t="inlineStr">
        <is>
          <t>ÄLVSBYN</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23178-2023</t>
        </is>
      </c>
      <c r="B5748" s="1" t="n">
        <v>45075</v>
      </c>
      <c r="C5748" s="1" t="n">
        <v>45798</v>
      </c>
      <c r="D5748" t="inlineStr">
        <is>
          <t>NORRBOTTENS LÄN</t>
        </is>
      </c>
      <c r="E5748" t="inlineStr">
        <is>
          <t>ÄLVSBYN</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23281-2023</t>
        </is>
      </c>
      <c r="B5749" s="1" t="n">
        <v>45076</v>
      </c>
      <c r="C5749" s="1" t="n">
        <v>45798</v>
      </c>
      <c r="D5749" t="inlineStr">
        <is>
          <t>NORRBOTTENS LÄN</t>
        </is>
      </c>
      <c r="E5749" t="inlineStr">
        <is>
          <t>PITEÅ</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23279-2023</t>
        </is>
      </c>
      <c r="B5750" s="1" t="n">
        <v>45076</v>
      </c>
      <c r="C5750" s="1" t="n">
        <v>45798</v>
      </c>
      <c r="D5750" t="inlineStr">
        <is>
          <t>NORRBOTTENS LÄN</t>
        </is>
      </c>
      <c r="E5750" t="inlineStr">
        <is>
          <t>ÄLVSBYN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23292-2023</t>
        </is>
      </c>
      <c r="B5751" s="1" t="n">
        <v>45075</v>
      </c>
      <c r="C5751" s="1" t="n">
        <v>45798</v>
      </c>
      <c r="D5751" t="inlineStr">
        <is>
          <t>NORRBOTTENS LÄN</t>
        </is>
      </c>
      <c r="E5751" t="inlineStr">
        <is>
          <t>ÖVERKALIX</t>
        </is>
      </c>
      <c r="F5751" t="inlineStr">
        <is>
          <t>SCA</t>
        </is>
      </c>
      <c r="G5751" t="n">
        <v>22.5</v>
      </c>
      <c r="H5751" t="n">
        <v>0</v>
      </c>
      <c r="I5751" t="n">
        <v>0</v>
      </c>
      <c r="J5751" t="n">
        <v>0</v>
      </c>
      <c r="K5751" t="n">
        <v>0</v>
      </c>
      <c r="L5751" t="n">
        <v>0</v>
      </c>
      <c r="M5751" t="n">
        <v>0</v>
      </c>
      <c r="N5751" t="n">
        <v>0</v>
      </c>
      <c r="O5751" t="n">
        <v>0</v>
      </c>
      <c r="P5751" t="n">
        <v>0</v>
      </c>
      <c r="Q5751" t="n">
        <v>0</v>
      </c>
      <c r="R5751" s="2" t="inlineStr"/>
    </row>
    <row r="5752" ht="15" customHeight="1">
      <c r="A5752" t="inlineStr">
        <is>
          <t>A 23293-2023</t>
        </is>
      </c>
      <c r="B5752" s="1" t="n">
        <v>45076</v>
      </c>
      <c r="C5752" s="1" t="n">
        <v>45798</v>
      </c>
      <c r="D5752" t="inlineStr">
        <is>
          <t>NORRBOTTENS LÄN</t>
        </is>
      </c>
      <c r="E5752" t="inlineStr">
        <is>
          <t>ÖVERKALIX</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23302-2023</t>
        </is>
      </c>
      <c r="B5753" s="1" t="n">
        <v>45075</v>
      </c>
      <c r="C5753" s="1" t="n">
        <v>45798</v>
      </c>
      <c r="D5753" t="inlineStr">
        <is>
          <t>NORRBOTTENS LÄN</t>
        </is>
      </c>
      <c r="E5753" t="inlineStr">
        <is>
          <t>ÖVERKALIX</t>
        </is>
      </c>
      <c r="F5753" t="inlineStr">
        <is>
          <t>SCA</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23801-2023</t>
        </is>
      </c>
      <c r="B5754" s="1" t="n">
        <v>45075</v>
      </c>
      <c r="C5754" s="1" t="n">
        <v>45798</v>
      </c>
      <c r="D5754" t="inlineStr">
        <is>
          <t>NORRBOTTENS LÄN</t>
        </is>
      </c>
      <c r="E5754" t="inlineStr">
        <is>
          <t>LULEÅ</t>
        </is>
      </c>
      <c r="G5754" t="n">
        <v>26.1</v>
      </c>
      <c r="H5754" t="n">
        <v>0</v>
      </c>
      <c r="I5754" t="n">
        <v>0</v>
      </c>
      <c r="J5754" t="n">
        <v>0</v>
      </c>
      <c r="K5754" t="n">
        <v>0</v>
      </c>
      <c r="L5754" t="n">
        <v>0</v>
      </c>
      <c r="M5754" t="n">
        <v>0</v>
      </c>
      <c r="N5754" t="n">
        <v>0</v>
      </c>
      <c r="O5754" t="n">
        <v>0</v>
      </c>
      <c r="P5754" t="n">
        <v>0</v>
      </c>
      <c r="Q5754" t="n">
        <v>0</v>
      </c>
      <c r="R5754" s="2" t="inlineStr"/>
    </row>
    <row r="5755" ht="15" customHeight="1">
      <c r="A5755" t="inlineStr">
        <is>
          <t>A 23835-2023</t>
        </is>
      </c>
      <c r="B5755" s="1" t="n">
        <v>45075</v>
      </c>
      <c r="C5755" s="1" t="n">
        <v>45798</v>
      </c>
      <c r="D5755" t="inlineStr">
        <is>
          <t>NORRBOTTENS LÄN</t>
        </is>
      </c>
      <c r="E5755" t="inlineStr">
        <is>
          <t>LULEÅ</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23819-2023</t>
        </is>
      </c>
      <c r="B5756" s="1" t="n">
        <v>45075</v>
      </c>
      <c r="C5756" s="1" t="n">
        <v>45798</v>
      </c>
      <c r="D5756" t="inlineStr">
        <is>
          <t>NORRBOTTENS LÄN</t>
        </is>
      </c>
      <c r="E5756" t="inlineStr">
        <is>
          <t>LULEÅ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23830-2023</t>
        </is>
      </c>
      <c r="B5757" s="1" t="n">
        <v>45075</v>
      </c>
      <c r="C5757" s="1" t="n">
        <v>45798</v>
      </c>
      <c r="D5757" t="inlineStr">
        <is>
          <t>NORRBOTTENS LÄN</t>
        </is>
      </c>
      <c r="E5757" t="inlineStr">
        <is>
          <t>LULEÅ</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23351-2023</t>
        </is>
      </c>
      <c r="B5758" s="1" t="n">
        <v>45076</v>
      </c>
      <c r="C5758" s="1" t="n">
        <v>45798</v>
      </c>
      <c r="D5758" t="inlineStr">
        <is>
          <t>NORRBOTTENS LÄN</t>
        </is>
      </c>
      <c r="E5758" t="inlineStr">
        <is>
          <t>PAJALA</t>
        </is>
      </c>
      <c r="F5758" t="inlineStr">
        <is>
          <t>Sveaskog</t>
        </is>
      </c>
      <c r="G5758" t="n">
        <v>12.7</v>
      </c>
      <c r="H5758" t="n">
        <v>0</v>
      </c>
      <c r="I5758" t="n">
        <v>0</v>
      </c>
      <c r="J5758" t="n">
        <v>0</v>
      </c>
      <c r="K5758" t="n">
        <v>0</v>
      </c>
      <c r="L5758" t="n">
        <v>0</v>
      </c>
      <c r="M5758" t="n">
        <v>0</v>
      </c>
      <c r="N5758" t="n">
        <v>0</v>
      </c>
      <c r="O5758" t="n">
        <v>0</v>
      </c>
      <c r="P5758" t="n">
        <v>0</v>
      </c>
      <c r="Q5758" t="n">
        <v>0</v>
      </c>
      <c r="R5758" s="2" t="inlineStr"/>
    </row>
    <row r="5759" ht="15" customHeight="1">
      <c r="A5759" t="inlineStr">
        <is>
          <t>A 23359-2023</t>
        </is>
      </c>
      <c r="B5759" s="1" t="n">
        <v>45076</v>
      </c>
      <c r="C5759" s="1" t="n">
        <v>45798</v>
      </c>
      <c r="D5759" t="inlineStr">
        <is>
          <t>NORRBOTTENS LÄN</t>
        </is>
      </c>
      <c r="E5759" t="inlineStr">
        <is>
          <t>PITEÅ</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23453-2023</t>
        </is>
      </c>
      <c r="B5760" s="1" t="n">
        <v>45076</v>
      </c>
      <c r="C5760" s="1" t="n">
        <v>45798</v>
      </c>
      <c r="D5760" t="inlineStr">
        <is>
          <t>NORRBOTTENS LÄN</t>
        </is>
      </c>
      <c r="E5760" t="inlineStr">
        <is>
          <t>HAPARANDA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23324-2023</t>
        </is>
      </c>
      <c r="B5761" s="1" t="n">
        <v>45076</v>
      </c>
      <c r="C5761" s="1" t="n">
        <v>45798</v>
      </c>
      <c r="D5761" t="inlineStr">
        <is>
          <t>NORRBOTTENS LÄN</t>
        </is>
      </c>
      <c r="E5761" t="inlineStr">
        <is>
          <t>ÖVERKALIX</t>
        </is>
      </c>
      <c r="F5761" t="inlineStr">
        <is>
          <t>Övriga statliga verk och myndigheter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23357-2023</t>
        </is>
      </c>
      <c r="B5762" s="1" t="n">
        <v>45076</v>
      </c>
      <c r="C5762" s="1" t="n">
        <v>45798</v>
      </c>
      <c r="D5762" t="inlineStr">
        <is>
          <t>NORRBOTTENS LÄN</t>
        </is>
      </c>
      <c r="E5762" t="inlineStr">
        <is>
          <t>PAJALA</t>
        </is>
      </c>
      <c r="F5762" t="inlineStr">
        <is>
          <t>Sveaskog</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23484-2023</t>
        </is>
      </c>
      <c r="B5763" s="1" t="n">
        <v>45076</v>
      </c>
      <c r="C5763" s="1" t="n">
        <v>45798</v>
      </c>
      <c r="D5763" t="inlineStr">
        <is>
          <t>NORRBOTTENS LÄN</t>
        </is>
      </c>
      <c r="E5763" t="inlineStr">
        <is>
          <t>HAPARANDA</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23502-2023</t>
        </is>
      </c>
      <c r="B5764" s="1" t="n">
        <v>45076</v>
      </c>
      <c r="C5764" s="1" t="n">
        <v>45798</v>
      </c>
      <c r="D5764" t="inlineStr">
        <is>
          <t>NORRBOTTENS LÄN</t>
        </is>
      </c>
      <c r="E5764" t="inlineStr">
        <is>
          <t>PAJALA</t>
        </is>
      </c>
      <c r="F5764" t="inlineStr">
        <is>
          <t>Sveaskog</t>
        </is>
      </c>
      <c r="G5764" t="n">
        <v>30.9</v>
      </c>
      <c r="H5764" t="n">
        <v>0</v>
      </c>
      <c r="I5764" t="n">
        <v>0</v>
      </c>
      <c r="J5764" t="n">
        <v>0</v>
      </c>
      <c r="K5764" t="n">
        <v>0</v>
      </c>
      <c r="L5764" t="n">
        <v>0</v>
      </c>
      <c r="M5764" t="n">
        <v>0</v>
      </c>
      <c r="N5764" t="n">
        <v>0</v>
      </c>
      <c r="O5764" t="n">
        <v>0</v>
      </c>
      <c r="P5764" t="n">
        <v>0</v>
      </c>
      <c r="Q5764" t="n">
        <v>0</v>
      </c>
      <c r="R5764" s="2" t="inlineStr"/>
    </row>
    <row r="5765" ht="15" customHeight="1">
      <c r="A5765" t="inlineStr">
        <is>
          <t>A 23522-2023</t>
        </is>
      </c>
      <c r="B5765" s="1" t="n">
        <v>45077</v>
      </c>
      <c r="C5765" s="1" t="n">
        <v>45798</v>
      </c>
      <c r="D5765" t="inlineStr">
        <is>
          <t>NORRBOTTENS LÄN</t>
        </is>
      </c>
      <c r="E5765" t="inlineStr">
        <is>
          <t>ÄLVSBYN</t>
        </is>
      </c>
      <c r="F5765" t="inlineStr">
        <is>
          <t>SCA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23571-2023</t>
        </is>
      </c>
      <c r="B5766" s="1" t="n">
        <v>45077</v>
      </c>
      <c r="C5766" s="1" t="n">
        <v>45798</v>
      </c>
      <c r="D5766" t="inlineStr">
        <is>
          <t>NORRBOTTENS LÄN</t>
        </is>
      </c>
      <c r="E5766" t="inlineStr">
        <is>
          <t>BODEN</t>
        </is>
      </c>
      <c r="G5766" t="n">
        <v>10.5</v>
      </c>
      <c r="H5766" t="n">
        <v>0</v>
      </c>
      <c r="I5766" t="n">
        <v>0</v>
      </c>
      <c r="J5766" t="n">
        <v>0</v>
      </c>
      <c r="K5766" t="n">
        <v>0</v>
      </c>
      <c r="L5766" t="n">
        <v>0</v>
      </c>
      <c r="M5766" t="n">
        <v>0</v>
      </c>
      <c r="N5766" t="n">
        <v>0</v>
      </c>
      <c r="O5766" t="n">
        <v>0</v>
      </c>
      <c r="P5766" t="n">
        <v>0</v>
      </c>
      <c r="Q5766" t="n">
        <v>0</v>
      </c>
      <c r="R5766" s="2" t="inlineStr"/>
    </row>
    <row r="5767" ht="15" customHeight="1">
      <c r="A5767" t="inlineStr">
        <is>
          <t>A 23575-2023</t>
        </is>
      </c>
      <c r="B5767" s="1" t="n">
        <v>45077</v>
      </c>
      <c r="C5767" s="1" t="n">
        <v>45798</v>
      </c>
      <c r="D5767" t="inlineStr">
        <is>
          <t>NORRBOTTENS LÄN</t>
        </is>
      </c>
      <c r="E5767" t="inlineStr">
        <is>
          <t>BODEN</t>
        </is>
      </c>
      <c r="G5767" t="n">
        <v>7.9</v>
      </c>
      <c r="H5767" t="n">
        <v>0</v>
      </c>
      <c r="I5767" t="n">
        <v>0</v>
      </c>
      <c r="J5767" t="n">
        <v>0</v>
      </c>
      <c r="K5767" t="n">
        <v>0</v>
      </c>
      <c r="L5767" t="n">
        <v>0</v>
      </c>
      <c r="M5767" t="n">
        <v>0</v>
      </c>
      <c r="N5767" t="n">
        <v>0</v>
      </c>
      <c r="O5767" t="n">
        <v>0</v>
      </c>
      <c r="P5767" t="n">
        <v>0</v>
      </c>
      <c r="Q5767" t="n">
        <v>0</v>
      </c>
      <c r="R5767" s="2" t="inlineStr"/>
    </row>
    <row r="5768" ht="15" customHeight="1">
      <c r="A5768" t="inlineStr">
        <is>
          <t>A 23569-2023</t>
        </is>
      </c>
      <c r="B5768" s="1" t="n">
        <v>45077</v>
      </c>
      <c r="C5768" s="1" t="n">
        <v>45798</v>
      </c>
      <c r="D5768" t="inlineStr">
        <is>
          <t>NORRBOTTENS LÄN</t>
        </is>
      </c>
      <c r="E5768" t="inlineStr">
        <is>
          <t>BODEN</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23749-2023</t>
        </is>
      </c>
      <c r="B5769" s="1" t="n">
        <v>45077</v>
      </c>
      <c r="C5769" s="1" t="n">
        <v>45798</v>
      </c>
      <c r="D5769" t="inlineStr">
        <is>
          <t>NORRBOTTENS LÄN</t>
        </is>
      </c>
      <c r="E5769" t="inlineStr">
        <is>
          <t>PITEÅ</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23744-2023</t>
        </is>
      </c>
      <c r="B5770" s="1" t="n">
        <v>45077</v>
      </c>
      <c r="C5770" s="1" t="n">
        <v>45798</v>
      </c>
      <c r="D5770" t="inlineStr">
        <is>
          <t>NORRBOTTENS LÄN</t>
        </is>
      </c>
      <c r="E5770" t="inlineStr">
        <is>
          <t>LULEÅ</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23774-2023</t>
        </is>
      </c>
      <c r="B5771" s="1" t="n">
        <v>45077</v>
      </c>
      <c r="C5771" s="1" t="n">
        <v>45798</v>
      </c>
      <c r="D5771" t="inlineStr">
        <is>
          <t>NORRBOTTENS LÄN</t>
        </is>
      </c>
      <c r="E5771" t="inlineStr">
        <is>
          <t>GÄLLIVARE</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23730-2023</t>
        </is>
      </c>
      <c r="B5772" s="1" t="n">
        <v>45077</v>
      </c>
      <c r="C5772" s="1" t="n">
        <v>45798</v>
      </c>
      <c r="D5772" t="inlineStr">
        <is>
          <t>NORRBOTTENS LÄN</t>
        </is>
      </c>
      <c r="E5772" t="inlineStr">
        <is>
          <t>LULEÅ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24511-2023</t>
        </is>
      </c>
      <c r="B5773" s="1" t="n">
        <v>45077</v>
      </c>
      <c r="C5773" s="1" t="n">
        <v>45798</v>
      </c>
      <c r="D5773" t="inlineStr">
        <is>
          <t>NORRBOTTENS LÄN</t>
        </is>
      </c>
      <c r="E5773" t="inlineStr">
        <is>
          <t>HAPARANDA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23964-2023</t>
        </is>
      </c>
      <c r="B5774" s="1" t="n">
        <v>45078</v>
      </c>
      <c r="C5774" s="1" t="n">
        <v>45798</v>
      </c>
      <c r="D5774" t="inlineStr">
        <is>
          <t>NORRBOTTENS LÄN</t>
        </is>
      </c>
      <c r="E5774" t="inlineStr">
        <is>
          <t>ÖVERKALIX</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23982-2023</t>
        </is>
      </c>
      <c r="B5775" s="1" t="n">
        <v>45078</v>
      </c>
      <c r="C5775" s="1" t="n">
        <v>45798</v>
      </c>
      <c r="D5775" t="inlineStr">
        <is>
          <t>NORRBOTTENS LÄN</t>
        </is>
      </c>
      <c r="E5775" t="inlineStr">
        <is>
          <t>HAPARANDA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24054-2023</t>
        </is>
      </c>
      <c r="B5776" s="1" t="n">
        <v>45078</v>
      </c>
      <c r="C5776" s="1" t="n">
        <v>45798</v>
      </c>
      <c r="D5776" t="inlineStr">
        <is>
          <t>NORRBOTTENS LÄN</t>
        </is>
      </c>
      <c r="E5776" t="inlineStr">
        <is>
          <t>JOKKMOKK</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24050-2023</t>
        </is>
      </c>
      <c r="B5777" s="1" t="n">
        <v>45079</v>
      </c>
      <c r="C5777" s="1" t="n">
        <v>45798</v>
      </c>
      <c r="D5777" t="inlineStr">
        <is>
          <t>NORRBOTTENS LÄN</t>
        </is>
      </c>
      <c r="E5777" t="inlineStr">
        <is>
          <t>ÖVERKALIX</t>
        </is>
      </c>
      <c r="F5777" t="inlineStr">
        <is>
          <t>SCA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24052-2023</t>
        </is>
      </c>
      <c r="B5778" s="1" t="n">
        <v>45078</v>
      </c>
      <c r="C5778" s="1" t="n">
        <v>45798</v>
      </c>
      <c r="D5778" t="inlineStr">
        <is>
          <t>NORRBOTTENS LÄN</t>
        </is>
      </c>
      <c r="E5778" t="inlineStr">
        <is>
          <t>JOKKMOKK</t>
        </is>
      </c>
      <c r="F5778" t="inlineStr">
        <is>
          <t>Naturvårdsverket</t>
        </is>
      </c>
      <c r="G5778" t="n">
        <v>58.1</v>
      </c>
      <c r="H5778" t="n">
        <v>0</v>
      </c>
      <c r="I5778" t="n">
        <v>0</v>
      </c>
      <c r="J5778" t="n">
        <v>0</v>
      </c>
      <c r="K5778" t="n">
        <v>0</v>
      </c>
      <c r="L5778" t="n">
        <v>0</v>
      </c>
      <c r="M5778" t="n">
        <v>0</v>
      </c>
      <c r="N5778" t="n">
        <v>0</v>
      </c>
      <c r="O5778" t="n">
        <v>0</v>
      </c>
      <c r="P5778" t="n">
        <v>0</v>
      </c>
      <c r="Q5778" t="n">
        <v>0</v>
      </c>
      <c r="R5778" s="2" t="inlineStr"/>
    </row>
    <row r="5779" ht="15" customHeight="1">
      <c r="A5779" t="inlineStr">
        <is>
          <t>A 24056-2023</t>
        </is>
      </c>
      <c r="B5779" s="1" t="n">
        <v>45079</v>
      </c>
      <c r="C5779" s="1" t="n">
        <v>45798</v>
      </c>
      <c r="D5779" t="inlineStr">
        <is>
          <t>NORRBOTTENS LÄN</t>
        </is>
      </c>
      <c r="E5779" t="inlineStr">
        <is>
          <t>JOKKMOKK</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24053-2023</t>
        </is>
      </c>
      <c r="B5780" s="1" t="n">
        <v>45078</v>
      </c>
      <c r="C5780" s="1" t="n">
        <v>45798</v>
      </c>
      <c r="D5780" t="inlineStr">
        <is>
          <t>NORRBOTTENS LÄN</t>
        </is>
      </c>
      <c r="E5780" t="inlineStr">
        <is>
          <t>JOKKMOKK</t>
        </is>
      </c>
      <c r="F5780" t="inlineStr">
        <is>
          <t>SCA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24057-2023</t>
        </is>
      </c>
      <c r="B5781" s="1" t="n">
        <v>45078</v>
      </c>
      <c r="C5781" s="1" t="n">
        <v>45798</v>
      </c>
      <c r="D5781" t="inlineStr">
        <is>
          <t>NORRBOTTENS LÄN</t>
        </is>
      </c>
      <c r="E5781" t="inlineStr">
        <is>
          <t>JOKKMOKK</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24065-2023</t>
        </is>
      </c>
      <c r="B5782" s="1" t="n">
        <v>45079</v>
      </c>
      <c r="C5782" s="1" t="n">
        <v>45798</v>
      </c>
      <c r="D5782" t="inlineStr">
        <is>
          <t>NORRBOTTENS LÄN</t>
        </is>
      </c>
      <c r="E5782" t="inlineStr">
        <is>
          <t>JOKKMOKK</t>
        </is>
      </c>
      <c r="F5782" t="inlineStr">
        <is>
          <t>SCA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25158-2023</t>
        </is>
      </c>
      <c r="B5783" s="1" t="n">
        <v>45078</v>
      </c>
      <c r="C5783" s="1" t="n">
        <v>45798</v>
      </c>
      <c r="D5783" t="inlineStr">
        <is>
          <t>NORRBOTTENS LÄN</t>
        </is>
      </c>
      <c r="E5783" t="inlineStr">
        <is>
          <t>ÄLVSBYN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25102-2023</t>
        </is>
      </c>
      <c r="B5784" s="1" t="n">
        <v>45078</v>
      </c>
      <c r="C5784" s="1" t="n">
        <v>45798</v>
      </c>
      <c r="D5784" t="inlineStr">
        <is>
          <t>NORRBOTTENS LÄN</t>
        </is>
      </c>
      <c r="E5784" t="inlineStr">
        <is>
          <t>ÄLVSBYN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24892-2023</t>
        </is>
      </c>
      <c r="B5785" s="1" t="n">
        <v>45078</v>
      </c>
      <c r="C5785" s="1" t="n">
        <v>45798</v>
      </c>
      <c r="D5785" t="inlineStr">
        <is>
          <t>NORRBOTTENS LÄN</t>
        </is>
      </c>
      <c r="E5785" t="inlineStr">
        <is>
          <t>ÖVERKALIX</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24922-2023</t>
        </is>
      </c>
      <c r="B5786" s="1" t="n">
        <v>45078</v>
      </c>
      <c r="C5786" s="1" t="n">
        <v>45798</v>
      </c>
      <c r="D5786" t="inlineStr">
        <is>
          <t>NORRBOTTENS LÄN</t>
        </is>
      </c>
      <c r="E5786" t="inlineStr">
        <is>
          <t>ÄLVSBYN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24094-2023</t>
        </is>
      </c>
      <c r="B5787" s="1" t="n">
        <v>45079</v>
      </c>
      <c r="C5787" s="1" t="n">
        <v>45798</v>
      </c>
      <c r="D5787" t="inlineStr">
        <is>
          <t>NORRBOTTENS LÄN</t>
        </is>
      </c>
      <c r="E5787" t="inlineStr">
        <is>
          <t>GÄLLIVARE</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24117-2023</t>
        </is>
      </c>
      <c r="B5788" s="1" t="n">
        <v>45079</v>
      </c>
      <c r="C5788" s="1" t="n">
        <v>45798</v>
      </c>
      <c r="D5788" t="inlineStr">
        <is>
          <t>NORRBOTTENS LÄN</t>
        </is>
      </c>
      <c r="E5788" t="inlineStr">
        <is>
          <t>GÄLLIVARE</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24135-2023</t>
        </is>
      </c>
      <c r="B5789" s="1" t="n">
        <v>45079</v>
      </c>
      <c r="C5789" s="1" t="n">
        <v>45798</v>
      </c>
      <c r="D5789" t="inlineStr">
        <is>
          <t>NORRBOTTENS LÄN</t>
        </is>
      </c>
      <c r="E5789" t="inlineStr">
        <is>
          <t>KALIX</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24168-2023</t>
        </is>
      </c>
      <c r="B5790" s="1" t="n">
        <v>45079</v>
      </c>
      <c r="C5790" s="1" t="n">
        <v>45798</v>
      </c>
      <c r="D5790" t="inlineStr">
        <is>
          <t>NORRBOTTENS LÄN</t>
        </is>
      </c>
      <c r="E5790" t="inlineStr">
        <is>
          <t>LULEÅ</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24120-2023</t>
        </is>
      </c>
      <c r="B5791" s="1" t="n">
        <v>45079</v>
      </c>
      <c r="C5791" s="1" t="n">
        <v>45798</v>
      </c>
      <c r="D5791" t="inlineStr">
        <is>
          <t>NORRBOTTENS LÄN</t>
        </is>
      </c>
      <c r="E5791" t="inlineStr">
        <is>
          <t>JOKKMOKK</t>
        </is>
      </c>
      <c r="F5791" t="inlineStr">
        <is>
          <t>Sveaskog</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24166-2023</t>
        </is>
      </c>
      <c r="B5792" s="1" t="n">
        <v>45079</v>
      </c>
      <c r="C5792" s="1" t="n">
        <v>45798</v>
      </c>
      <c r="D5792" t="inlineStr">
        <is>
          <t>NORRBOTTENS LÄN</t>
        </is>
      </c>
      <c r="E5792" t="inlineStr">
        <is>
          <t>LULEÅ</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24125-2023</t>
        </is>
      </c>
      <c r="B5793" s="1" t="n">
        <v>45079</v>
      </c>
      <c r="C5793" s="1" t="n">
        <v>45798</v>
      </c>
      <c r="D5793" t="inlineStr">
        <is>
          <t>NORRBOTTENS LÄN</t>
        </is>
      </c>
      <c r="E5793" t="inlineStr">
        <is>
          <t>ÄLVSBYN</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24247-2023</t>
        </is>
      </c>
      <c r="B5794" s="1" t="n">
        <v>45079</v>
      </c>
      <c r="C5794" s="1" t="n">
        <v>45798</v>
      </c>
      <c r="D5794" t="inlineStr">
        <is>
          <t>NORRBOTTENS LÄN</t>
        </is>
      </c>
      <c r="E5794" t="inlineStr">
        <is>
          <t>PITEÅ</t>
        </is>
      </c>
      <c r="F5794" t="inlineStr">
        <is>
          <t>Övriga Aktiebolag</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24252-2023</t>
        </is>
      </c>
      <c r="B5795" s="1" t="n">
        <v>45079</v>
      </c>
      <c r="C5795" s="1" t="n">
        <v>45798</v>
      </c>
      <c r="D5795" t="inlineStr">
        <is>
          <t>NORRBOTTENS LÄN</t>
        </is>
      </c>
      <c r="E5795" t="inlineStr">
        <is>
          <t>PITEÅ</t>
        </is>
      </c>
      <c r="F5795" t="inlineStr">
        <is>
          <t>Övriga Aktiebolag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24269-2023</t>
        </is>
      </c>
      <c r="B5796" s="1" t="n">
        <v>45079</v>
      </c>
      <c r="C5796" s="1" t="n">
        <v>45798</v>
      </c>
      <c r="D5796" t="inlineStr">
        <is>
          <t>NORRBOTTENS LÄN</t>
        </is>
      </c>
      <c r="E5796" t="inlineStr">
        <is>
          <t>PAJALA</t>
        </is>
      </c>
      <c r="F5796" t="inlineStr">
        <is>
          <t>Sveaskog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24274-2023</t>
        </is>
      </c>
      <c r="B5797" s="1" t="n">
        <v>45079</v>
      </c>
      <c r="C5797" s="1" t="n">
        <v>45798</v>
      </c>
      <c r="D5797" t="inlineStr">
        <is>
          <t>NORRBOTTENS LÄN</t>
        </is>
      </c>
      <c r="E5797" t="inlineStr">
        <is>
          <t>ÄLVSBYN</t>
        </is>
      </c>
      <c r="F5797" t="inlineStr">
        <is>
          <t>Sveaskog</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24109-2023</t>
        </is>
      </c>
      <c r="B5798" s="1" t="n">
        <v>45079</v>
      </c>
      <c r="C5798" s="1" t="n">
        <v>45798</v>
      </c>
      <c r="D5798" t="inlineStr">
        <is>
          <t>NORRBOTTENS LÄN</t>
        </is>
      </c>
      <c r="E5798" t="inlineStr">
        <is>
          <t>JOKKMOKK</t>
        </is>
      </c>
      <c r="F5798" t="inlineStr">
        <is>
          <t>Sveaskog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24165-2023</t>
        </is>
      </c>
      <c r="B5799" s="1" t="n">
        <v>45079</v>
      </c>
      <c r="C5799" s="1" t="n">
        <v>45798</v>
      </c>
      <c r="D5799" t="inlineStr">
        <is>
          <t>NORRBOTTENS LÄN</t>
        </is>
      </c>
      <c r="E5799" t="inlineStr">
        <is>
          <t>ARVIDSJAUR</t>
        </is>
      </c>
      <c r="F5799" t="inlineStr">
        <is>
          <t>Sveaskog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24266-2023</t>
        </is>
      </c>
      <c r="B5800" s="1" t="n">
        <v>45079</v>
      </c>
      <c r="C5800" s="1" t="n">
        <v>45798</v>
      </c>
      <c r="D5800" t="inlineStr">
        <is>
          <t>NORRBOTTENS LÄN</t>
        </is>
      </c>
      <c r="E5800" t="inlineStr">
        <is>
          <t>PAJALA</t>
        </is>
      </c>
      <c r="F5800" t="inlineStr">
        <is>
          <t>Sveaskog</t>
        </is>
      </c>
      <c r="G5800" t="n">
        <v>15.5</v>
      </c>
      <c r="H5800" t="n">
        <v>0</v>
      </c>
      <c r="I5800" t="n">
        <v>0</v>
      </c>
      <c r="J5800" t="n">
        <v>0</v>
      </c>
      <c r="K5800" t="n">
        <v>0</v>
      </c>
      <c r="L5800" t="n">
        <v>0</v>
      </c>
      <c r="M5800" t="n">
        <v>0</v>
      </c>
      <c r="N5800" t="n">
        <v>0</v>
      </c>
      <c r="O5800" t="n">
        <v>0</v>
      </c>
      <c r="P5800" t="n">
        <v>0</v>
      </c>
      <c r="Q5800" t="n">
        <v>0</v>
      </c>
      <c r="R5800" s="2" t="inlineStr"/>
    </row>
    <row r="5801" ht="15" customHeight="1">
      <c r="A5801" t="inlineStr">
        <is>
          <t>A 25275-2023</t>
        </is>
      </c>
      <c r="B5801" s="1" t="n">
        <v>45079</v>
      </c>
      <c r="C5801" s="1" t="n">
        <v>45798</v>
      </c>
      <c r="D5801" t="inlineStr">
        <is>
          <t>NORRBOTTENS LÄN</t>
        </is>
      </c>
      <c r="E5801" t="inlineStr">
        <is>
          <t>ARJEPLOG</t>
        </is>
      </c>
      <c r="F5801" t="inlineStr">
        <is>
          <t>Övriga statliga verk och myndigheter</t>
        </is>
      </c>
      <c r="G5801" t="n">
        <v>22.7</v>
      </c>
      <c r="H5801" t="n">
        <v>0</v>
      </c>
      <c r="I5801" t="n">
        <v>0</v>
      </c>
      <c r="J5801" t="n">
        <v>0</v>
      </c>
      <c r="K5801" t="n">
        <v>0</v>
      </c>
      <c r="L5801" t="n">
        <v>0</v>
      </c>
      <c r="M5801" t="n">
        <v>0</v>
      </c>
      <c r="N5801" t="n">
        <v>0</v>
      </c>
      <c r="O5801" t="n">
        <v>0</v>
      </c>
      <c r="P5801" t="n">
        <v>0</v>
      </c>
      <c r="Q5801" t="n">
        <v>0</v>
      </c>
      <c r="R5801" s="2" t="inlineStr"/>
    </row>
    <row r="5802" ht="15" customHeight="1">
      <c r="A5802" t="inlineStr">
        <is>
          <t>A 25390-2023</t>
        </is>
      </c>
      <c r="B5802" s="1" t="n">
        <v>45079</v>
      </c>
      <c r="C5802" s="1" t="n">
        <v>45798</v>
      </c>
      <c r="D5802" t="inlineStr">
        <is>
          <t>NORRBOTTENS LÄN</t>
        </is>
      </c>
      <c r="E5802" t="inlineStr">
        <is>
          <t>BODEN</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25239-2023</t>
        </is>
      </c>
      <c r="B5803" s="1" t="n">
        <v>45079</v>
      </c>
      <c r="C5803" s="1" t="n">
        <v>45798</v>
      </c>
      <c r="D5803" t="inlineStr">
        <is>
          <t>NORRBOTTENS LÄN</t>
        </is>
      </c>
      <c r="E5803" t="inlineStr">
        <is>
          <t>ARJEPLOG</t>
        </is>
      </c>
      <c r="F5803" t="inlineStr">
        <is>
          <t>Övriga statliga verk och myndigheter</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25270-2023</t>
        </is>
      </c>
      <c r="B5804" s="1" t="n">
        <v>45079</v>
      </c>
      <c r="C5804" s="1" t="n">
        <v>45798</v>
      </c>
      <c r="D5804" t="inlineStr">
        <is>
          <t>NORRBOTTENS LÄN</t>
        </is>
      </c>
      <c r="E5804" t="inlineStr">
        <is>
          <t>ARJEPLOG</t>
        </is>
      </c>
      <c r="F5804" t="inlineStr">
        <is>
          <t>Övriga statliga verk och myndigheter</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25387-2023</t>
        </is>
      </c>
      <c r="B5805" s="1" t="n">
        <v>45079</v>
      </c>
      <c r="C5805" s="1" t="n">
        <v>45798</v>
      </c>
      <c r="D5805" t="inlineStr">
        <is>
          <t>NORRBOTTENS LÄN</t>
        </is>
      </c>
      <c r="E5805" t="inlineStr">
        <is>
          <t>BODEN</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24563-2023</t>
        </is>
      </c>
      <c r="B5806" s="1" t="n">
        <v>45083</v>
      </c>
      <c r="C5806" s="1" t="n">
        <v>45798</v>
      </c>
      <c r="D5806" t="inlineStr">
        <is>
          <t>NORRBOTTENS LÄN</t>
        </is>
      </c>
      <c r="E5806" t="inlineStr">
        <is>
          <t>ARVIDSJAUR</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24603-2023</t>
        </is>
      </c>
      <c r="B5807" s="1" t="n">
        <v>45083</v>
      </c>
      <c r="C5807" s="1" t="n">
        <v>45798</v>
      </c>
      <c r="D5807" t="inlineStr">
        <is>
          <t>NORRBOTTENS LÄN</t>
        </is>
      </c>
      <c r="E5807" t="inlineStr">
        <is>
          <t>JOKKMOKK</t>
        </is>
      </c>
      <c r="F5807" t="inlineStr">
        <is>
          <t>SCA</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24734-2023</t>
        </is>
      </c>
      <c r="B5808" s="1" t="n">
        <v>45084</v>
      </c>
      <c r="C5808" s="1" t="n">
        <v>45798</v>
      </c>
      <c r="D5808" t="inlineStr">
        <is>
          <t>NORRBOTTENS LÄN</t>
        </is>
      </c>
      <c r="E5808" t="inlineStr">
        <is>
          <t>BODEN</t>
        </is>
      </c>
      <c r="F5808" t="inlineStr">
        <is>
          <t>Sveaskog</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24758-2023</t>
        </is>
      </c>
      <c r="B5809" s="1" t="n">
        <v>45084</v>
      </c>
      <c r="C5809" s="1" t="n">
        <v>45798</v>
      </c>
      <c r="D5809" t="inlineStr">
        <is>
          <t>NORRBOTTENS LÄN</t>
        </is>
      </c>
      <c r="E5809" t="inlineStr">
        <is>
          <t>BODEN</t>
        </is>
      </c>
      <c r="F5809" t="inlineStr">
        <is>
          <t>Sveaskog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24760-2023</t>
        </is>
      </c>
      <c r="B5810" s="1" t="n">
        <v>45084</v>
      </c>
      <c r="C5810" s="1" t="n">
        <v>45798</v>
      </c>
      <c r="D5810" t="inlineStr">
        <is>
          <t>NORRBOTTENS LÄN</t>
        </is>
      </c>
      <c r="E5810" t="inlineStr">
        <is>
          <t>ÖVERKALIX</t>
        </is>
      </c>
      <c r="F5810" t="inlineStr">
        <is>
          <t>Sveaskog</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24737-2023</t>
        </is>
      </c>
      <c r="B5811" s="1" t="n">
        <v>45084</v>
      </c>
      <c r="C5811" s="1" t="n">
        <v>45798</v>
      </c>
      <c r="D5811" t="inlineStr">
        <is>
          <t>NORRBOTTENS LÄN</t>
        </is>
      </c>
      <c r="E5811" t="inlineStr">
        <is>
          <t>ÄLVSBYN</t>
        </is>
      </c>
      <c r="F5811" t="inlineStr">
        <is>
          <t>Övriga Aktiebolag</t>
        </is>
      </c>
      <c r="G5811" t="n">
        <v>10.3</v>
      </c>
      <c r="H5811" t="n">
        <v>0</v>
      </c>
      <c r="I5811" t="n">
        <v>0</v>
      </c>
      <c r="J5811" t="n">
        <v>0</v>
      </c>
      <c r="K5811" t="n">
        <v>0</v>
      </c>
      <c r="L5811" t="n">
        <v>0</v>
      </c>
      <c r="M5811" t="n">
        <v>0</v>
      </c>
      <c r="N5811" t="n">
        <v>0</v>
      </c>
      <c r="O5811" t="n">
        <v>0</v>
      </c>
      <c r="P5811" t="n">
        <v>0</v>
      </c>
      <c r="Q5811" t="n">
        <v>0</v>
      </c>
      <c r="R5811" s="2" t="inlineStr"/>
    </row>
    <row r="5812" ht="15" customHeight="1">
      <c r="A5812" t="inlineStr">
        <is>
          <t>A 24755-2023</t>
        </is>
      </c>
      <c r="B5812" s="1" t="n">
        <v>45084</v>
      </c>
      <c r="C5812" s="1" t="n">
        <v>45798</v>
      </c>
      <c r="D5812" t="inlineStr">
        <is>
          <t>NORRBOTTENS LÄN</t>
        </is>
      </c>
      <c r="E5812" t="inlineStr">
        <is>
          <t>BODEN</t>
        </is>
      </c>
      <c r="F5812" t="inlineStr">
        <is>
          <t>Sveaskog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24810-2023</t>
        </is>
      </c>
      <c r="B5813" s="1" t="n">
        <v>45084</v>
      </c>
      <c r="C5813" s="1" t="n">
        <v>45798</v>
      </c>
      <c r="D5813" t="inlineStr">
        <is>
          <t>NORRBOTTENS LÄN</t>
        </is>
      </c>
      <c r="E5813" t="inlineStr">
        <is>
          <t>ARVIDSJAUR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25731-2023</t>
        </is>
      </c>
      <c r="B5814" s="1" t="n">
        <v>45084</v>
      </c>
      <c r="C5814" s="1" t="n">
        <v>45798</v>
      </c>
      <c r="D5814" t="inlineStr">
        <is>
          <t>NORRBOTTENS LÄN</t>
        </is>
      </c>
      <c r="E5814" t="inlineStr">
        <is>
          <t>ARVIDSJAUR</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24860-2023</t>
        </is>
      </c>
      <c r="B5815" s="1" t="n">
        <v>45085</v>
      </c>
      <c r="C5815" s="1" t="n">
        <v>45798</v>
      </c>
      <c r="D5815" t="inlineStr">
        <is>
          <t>NORRBOTTENS LÄN</t>
        </is>
      </c>
      <c r="E5815" t="inlineStr">
        <is>
          <t>PAJALA</t>
        </is>
      </c>
      <c r="F5815" t="inlineStr">
        <is>
          <t>Sveaskog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24865-2023</t>
        </is>
      </c>
      <c r="B5816" s="1" t="n">
        <v>45085</v>
      </c>
      <c r="C5816" s="1" t="n">
        <v>45798</v>
      </c>
      <c r="D5816" t="inlineStr">
        <is>
          <t>NORRBOTTENS LÄN</t>
        </is>
      </c>
      <c r="E5816" t="inlineStr">
        <is>
          <t>ÖVERKALIX</t>
        </is>
      </c>
      <c r="F5816" t="inlineStr">
        <is>
          <t>Sveaskog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25031-2023</t>
        </is>
      </c>
      <c r="B5817" s="1" t="n">
        <v>45085</v>
      </c>
      <c r="C5817" s="1" t="n">
        <v>45798</v>
      </c>
      <c r="D5817" t="inlineStr">
        <is>
          <t>NORRBOTTENS LÄN</t>
        </is>
      </c>
      <c r="E5817" t="inlineStr">
        <is>
          <t>KALIX</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25049-2023</t>
        </is>
      </c>
      <c r="B5818" s="1" t="n">
        <v>45086</v>
      </c>
      <c r="C5818" s="1" t="n">
        <v>45798</v>
      </c>
      <c r="D5818" t="inlineStr">
        <is>
          <t>NORRBOTTENS LÄN</t>
        </is>
      </c>
      <c r="E5818" t="inlineStr">
        <is>
          <t>BODEN</t>
        </is>
      </c>
      <c r="F5818" t="inlineStr">
        <is>
          <t>SCA</t>
        </is>
      </c>
      <c r="G5818" t="n">
        <v>17.4</v>
      </c>
      <c r="H5818" t="n">
        <v>0</v>
      </c>
      <c r="I5818" t="n">
        <v>0</v>
      </c>
      <c r="J5818" t="n">
        <v>0</v>
      </c>
      <c r="K5818" t="n">
        <v>0</v>
      </c>
      <c r="L5818" t="n">
        <v>0</v>
      </c>
      <c r="M5818" t="n">
        <v>0</v>
      </c>
      <c r="N5818" t="n">
        <v>0</v>
      </c>
      <c r="O5818" t="n">
        <v>0</v>
      </c>
      <c r="P5818" t="n">
        <v>0</v>
      </c>
      <c r="Q5818" t="n">
        <v>0</v>
      </c>
      <c r="R5818" s="2" t="inlineStr"/>
    </row>
    <row r="5819" ht="15" customHeight="1">
      <c r="A5819" t="inlineStr">
        <is>
          <t>A 25054-2023</t>
        </is>
      </c>
      <c r="B5819" s="1" t="n">
        <v>45086</v>
      </c>
      <c r="C5819" s="1" t="n">
        <v>45798</v>
      </c>
      <c r="D5819" t="inlineStr">
        <is>
          <t>NORRBOTTENS LÄN</t>
        </is>
      </c>
      <c r="E5819" t="inlineStr">
        <is>
          <t>PITEÅ</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25032-2023</t>
        </is>
      </c>
      <c r="B5820" s="1" t="n">
        <v>45086</v>
      </c>
      <c r="C5820" s="1" t="n">
        <v>45798</v>
      </c>
      <c r="D5820" t="inlineStr">
        <is>
          <t>NORRBOTTENS LÄN</t>
        </is>
      </c>
      <c r="E5820" t="inlineStr">
        <is>
          <t>KALIX</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25044-2023</t>
        </is>
      </c>
      <c r="B5821" s="1" t="n">
        <v>45085</v>
      </c>
      <c r="C5821" s="1" t="n">
        <v>45798</v>
      </c>
      <c r="D5821" t="inlineStr">
        <is>
          <t>NORRBOTTENS LÄN</t>
        </is>
      </c>
      <c r="E5821" t="inlineStr">
        <is>
          <t>PAJALA</t>
        </is>
      </c>
      <c r="F5821" t="inlineStr">
        <is>
          <t>SCA</t>
        </is>
      </c>
      <c r="G5821" t="n">
        <v>23.8</v>
      </c>
      <c r="H5821" t="n">
        <v>0</v>
      </c>
      <c r="I5821" t="n">
        <v>0</v>
      </c>
      <c r="J5821" t="n">
        <v>0</v>
      </c>
      <c r="K5821" t="n">
        <v>0</v>
      </c>
      <c r="L5821" t="n">
        <v>0</v>
      </c>
      <c r="M5821" t="n">
        <v>0</v>
      </c>
      <c r="N5821" t="n">
        <v>0</v>
      </c>
      <c r="O5821" t="n">
        <v>0</v>
      </c>
      <c r="P5821" t="n">
        <v>0</v>
      </c>
      <c r="Q5821" t="n">
        <v>0</v>
      </c>
      <c r="R5821" s="2" t="inlineStr"/>
    </row>
    <row r="5822" ht="15" customHeight="1">
      <c r="A5822" t="inlineStr">
        <is>
          <t>A 25053-2023</t>
        </is>
      </c>
      <c r="B5822" s="1" t="n">
        <v>45085</v>
      </c>
      <c r="C5822" s="1" t="n">
        <v>45798</v>
      </c>
      <c r="D5822" t="inlineStr">
        <is>
          <t>NORRBOTTENS LÄN</t>
        </is>
      </c>
      <c r="E5822" t="inlineStr">
        <is>
          <t>PITEÅ</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25920-2023</t>
        </is>
      </c>
      <c r="B5823" s="1" t="n">
        <v>45085</v>
      </c>
      <c r="C5823" s="1" t="n">
        <v>45798</v>
      </c>
      <c r="D5823" t="inlineStr">
        <is>
          <t>NORRBOTTENS LÄN</t>
        </is>
      </c>
      <c r="E5823" t="inlineStr">
        <is>
          <t>BODEN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25916-2023</t>
        </is>
      </c>
      <c r="B5824" s="1" t="n">
        <v>45085</v>
      </c>
      <c r="C5824" s="1" t="n">
        <v>45798</v>
      </c>
      <c r="D5824" t="inlineStr">
        <is>
          <t>NORRBOTTENS LÄN</t>
        </is>
      </c>
      <c r="E5824" t="inlineStr">
        <is>
          <t>BODEN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25148-2023</t>
        </is>
      </c>
      <c r="B5825" s="1" t="n">
        <v>45086</v>
      </c>
      <c r="C5825" s="1" t="n">
        <v>45798</v>
      </c>
      <c r="D5825" t="inlineStr">
        <is>
          <t>NORRBOTTENS LÄN</t>
        </is>
      </c>
      <c r="E5825" t="inlineStr">
        <is>
          <t>PITEÅ</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25157-2023</t>
        </is>
      </c>
      <c r="B5826" s="1" t="n">
        <v>45086</v>
      </c>
      <c r="C5826" s="1" t="n">
        <v>45798</v>
      </c>
      <c r="D5826" t="inlineStr">
        <is>
          <t>NORRBOTTENS LÄN</t>
        </is>
      </c>
      <c r="E5826" t="inlineStr">
        <is>
          <t>PITEÅ</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25197-2023</t>
        </is>
      </c>
      <c r="B5827" s="1" t="n">
        <v>45086</v>
      </c>
      <c r="C5827" s="1" t="n">
        <v>45798</v>
      </c>
      <c r="D5827" t="inlineStr">
        <is>
          <t>NORRBOTTENS LÄN</t>
        </is>
      </c>
      <c r="E5827" t="inlineStr">
        <is>
          <t>GÄLLIVARE</t>
        </is>
      </c>
      <c r="F5827" t="inlineStr">
        <is>
          <t>Sveaskog</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25154-2023</t>
        </is>
      </c>
      <c r="B5828" s="1" t="n">
        <v>45086</v>
      </c>
      <c r="C5828" s="1" t="n">
        <v>45798</v>
      </c>
      <c r="D5828" t="inlineStr">
        <is>
          <t>NORRBOTTENS LÄN</t>
        </is>
      </c>
      <c r="E5828" t="inlineStr">
        <is>
          <t>PITEÅ</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25160-2023</t>
        </is>
      </c>
      <c r="B5829" s="1" t="n">
        <v>45086</v>
      </c>
      <c r="C5829" s="1" t="n">
        <v>45798</v>
      </c>
      <c r="D5829" t="inlineStr">
        <is>
          <t>NORRBOTTENS LÄN</t>
        </is>
      </c>
      <c r="E5829" t="inlineStr">
        <is>
          <t>PITEÅ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25212-2023</t>
        </is>
      </c>
      <c r="B5830" s="1" t="n">
        <v>45086</v>
      </c>
      <c r="C5830" s="1" t="n">
        <v>45798</v>
      </c>
      <c r="D5830" t="inlineStr">
        <is>
          <t>NORRBOTTENS LÄN</t>
        </is>
      </c>
      <c r="E5830" t="inlineStr">
        <is>
          <t>ÄLVSBYN</t>
        </is>
      </c>
      <c r="F5830" t="inlineStr">
        <is>
          <t>Sveaskog</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25161-2023</t>
        </is>
      </c>
      <c r="B5831" s="1" t="n">
        <v>45086</v>
      </c>
      <c r="C5831" s="1" t="n">
        <v>45798</v>
      </c>
      <c r="D5831" t="inlineStr">
        <is>
          <t>NORRBOTTENS LÄN</t>
        </is>
      </c>
      <c r="E5831" t="inlineStr">
        <is>
          <t>PITEÅ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25195-2023</t>
        </is>
      </c>
      <c r="B5832" s="1" t="n">
        <v>45086</v>
      </c>
      <c r="C5832" s="1" t="n">
        <v>45798</v>
      </c>
      <c r="D5832" t="inlineStr">
        <is>
          <t>NORRBOTTENS LÄN</t>
        </is>
      </c>
      <c r="E5832" t="inlineStr">
        <is>
          <t>GÄLLIVARE</t>
        </is>
      </c>
      <c r="F5832" t="inlineStr">
        <is>
          <t>Sveaskog</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25222-2023</t>
        </is>
      </c>
      <c r="B5833" s="1" t="n">
        <v>45086</v>
      </c>
      <c r="C5833" s="1" t="n">
        <v>45798</v>
      </c>
      <c r="D5833" t="inlineStr">
        <is>
          <t>NORRBOTTENS LÄN</t>
        </is>
      </c>
      <c r="E5833" t="inlineStr">
        <is>
          <t>ÄLVSBYN</t>
        </is>
      </c>
      <c r="F5833" t="inlineStr">
        <is>
          <t>Sveaskog</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25298-2023</t>
        </is>
      </c>
      <c r="B5834" s="1" t="n">
        <v>45087</v>
      </c>
      <c r="C5834" s="1" t="n">
        <v>45798</v>
      </c>
      <c r="D5834" t="inlineStr">
        <is>
          <t>NORRBOTTENS LÄN</t>
        </is>
      </c>
      <c r="E5834" t="inlineStr">
        <is>
          <t>ÖVERTORNEÅ</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25137-2023</t>
        </is>
      </c>
      <c r="B5835" s="1" t="n">
        <v>45086</v>
      </c>
      <c r="C5835" s="1" t="n">
        <v>45798</v>
      </c>
      <c r="D5835" t="inlineStr">
        <is>
          <t>NORRBOTTENS LÄN</t>
        </is>
      </c>
      <c r="E5835" t="inlineStr">
        <is>
          <t>ÄLVSBYN</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25156-2023</t>
        </is>
      </c>
      <c r="B5836" s="1" t="n">
        <v>45086</v>
      </c>
      <c r="C5836" s="1" t="n">
        <v>45798</v>
      </c>
      <c r="D5836" t="inlineStr">
        <is>
          <t>NORRBOTTENS LÄN</t>
        </is>
      </c>
      <c r="E5836" t="inlineStr">
        <is>
          <t>PITEÅ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25191-2023</t>
        </is>
      </c>
      <c r="B5837" s="1" t="n">
        <v>45086</v>
      </c>
      <c r="C5837" s="1" t="n">
        <v>45798</v>
      </c>
      <c r="D5837" t="inlineStr">
        <is>
          <t>NORRBOTTENS LÄN</t>
        </is>
      </c>
      <c r="E5837" t="inlineStr">
        <is>
          <t>GÄLLIVARE</t>
        </is>
      </c>
      <c r="F5837" t="inlineStr">
        <is>
          <t>Sveaskog</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25271-2023</t>
        </is>
      </c>
      <c r="B5838" s="1" t="n">
        <v>45086</v>
      </c>
      <c r="C5838" s="1" t="n">
        <v>45798</v>
      </c>
      <c r="D5838" t="inlineStr">
        <is>
          <t>NORRBOTTENS LÄN</t>
        </is>
      </c>
      <c r="E5838" t="inlineStr">
        <is>
          <t>PAJALA</t>
        </is>
      </c>
      <c r="F5838" t="inlineStr">
        <is>
          <t>Sveaskog</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25277-2023</t>
        </is>
      </c>
      <c r="B5839" s="1" t="n">
        <v>45086</v>
      </c>
      <c r="C5839" s="1" t="n">
        <v>45798</v>
      </c>
      <c r="D5839" t="inlineStr">
        <is>
          <t>NORRBOTTENS LÄN</t>
        </is>
      </c>
      <c r="E5839" t="inlineStr">
        <is>
          <t>PAJALA</t>
        </is>
      </c>
      <c r="F5839" t="inlineStr">
        <is>
          <t>Sveaskog</t>
        </is>
      </c>
      <c r="G5839" t="n">
        <v>17.5</v>
      </c>
      <c r="H5839" t="n">
        <v>0</v>
      </c>
      <c r="I5839" t="n">
        <v>0</v>
      </c>
      <c r="J5839" t="n">
        <v>0</v>
      </c>
      <c r="K5839" t="n">
        <v>0</v>
      </c>
      <c r="L5839" t="n">
        <v>0</v>
      </c>
      <c r="M5839" t="n">
        <v>0</v>
      </c>
      <c r="N5839" t="n">
        <v>0</v>
      </c>
      <c r="O5839" t="n">
        <v>0</v>
      </c>
      <c r="P5839" t="n">
        <v>0</v>
      </c>
      <c r="Q5839" t="n">
        <v>0</v>
      </c>
      <c r="R5839" s="2" t="inlineStr"/>
    </row>
    <row r="5840" ht="15" customHeight="1">
      <c r="A5840" t="inlineStr">
        <is>
          <t>A 26131-2023</t>
        </is>
      </c>
      <c r="B5840" s="1" t="n">
        <v>45086</v>
      </c>
      <c r="C5840" s="1" t="n">
        <v>45798</v>
      </c>
      <c r="D5840" t="inlineStr">
        <is>
          <t>NORRBOTTENS LÄN</t>
        </is>
      </c>
      <c r="E5840" t="inlineStr">
        <is>
          <t>JOKKMOKK</t>
        </is>
      </c>
      <c r="G5840" t="n">
        <v>35.6</v>
      </c>
      <c r="H5840" t="n">
        <v>0</v>
      </c>
      <c r="I5840" t="n">
        <v>0</v>
      </c>
      <c r="J5840" t="n">
        <v>0</v>
      </c>
      <c r="K5840" t="n">
        <v>0</v>
      </c>
      <c r="L5840" t="n">
        <v>0</v>
      </c>
      <c r="M5840" t="n">
        <v>0</v>
      </c>
      <c r="N5840" t="n">
        <v>0</v>
      </c>
      <c r="O5840" t="n">
        <v>0</v>
      </c>
      <c r="P5840" t="n">
        <v>0</v>
      </c>
      <c r="Q5840" t="n">
        <v>0</v>
      </c>
      <c r="R5840" s="2" t="inlineStr"/>
    </row>
    <row r="5841" ht="15" customHeight="1">
      <c r="A5841" t="inlineStr">
        <is>
          <t>A 26140-2023</t>
        </is>
      </c>
      <c r="B5841" s="1" t="n">
        <v>45086</v>
      </c>
      <c r="C5841" s="1" t="n">
        <v>45798</v>
      </c>
      <c r="D5841" t="inlineStr">
        <is>
          <t>NORRBOTTENS LÄN</t>
        </is>
      </c>
      <c r="E5841" t="inlineStr">
        <is>
          <t>ÖVERKALIX</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25335-2023</t>
        </is>
      </c>
      <c r="B5842" s="1" t="n">
        <v>45087</v>
      </c>
      <c r="C5842" s="1" t="n">
        <v>45798</v>
      </c>
      <c r="D5842" t="inlineStr">
        <is>
          <t>NORRBOTTENS LÄN</t>
        </is>
      </c>
      <c r="E5842" t="inlineStr">
        <is>
          <t>KIRUNA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25336-2023</t>
        </is>
      </c>
      <c r="B5843" s="1" t="n">
        <v>45087</v>
      </c>
      <c r="C5843" s="1" t="n">
        <v>45798</v>
      </c>
      <c r="D5843" t="inlineStr">
        <is>
          <t>NORRBOTTENS LÄN</t>
        </is>
      </c>
      <c r="E5843" t="inlineStr">
        <is>
          <t>KIRUNA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25414-2023</t>
        </is>
      </c>
      <c r="B5844" s="1" t="n">
        <v>45089</v>
      </c>
      <c r="C5844" s="1" t="n">
        <v>45798</v>
      </c>
      <c r="D5844" t="inlineStr">
        <is>
          <t>NORRBOTTENS LÄN</t>
        </is>
      </c>
      <c r="E5844" t="inlineStr">
        <is>
          <t>BODEN</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25622-2023</t>
        </is>
      </c>
      <c r="B5845" s="1" t="n">
        <v>45089</v>
      </c>
      <c r="C5845" s="1" t="n">
        <v>45798</v>
      </c>
      <c r="D5845" t="inlineStr">
        <is>
          <t>NORRBOTTENS LÄN</t>
        </is>
      </c>
      <c r="E5845" t="inlineStr">
        <is>
          <t>BODEN</t>
        </is>
      </c>
      <c r="F5845" t="inlineStr">
        <is>
          <t>Sveaskog</t>
        </is>
      </c>
      <c r="G5845" t="n">
        <v>28.2</v>
      </c>
      <c r="H5845" t="n">
        <v>0</v>
      </c>
      <c r="I5845" t="n">
        <v>0</v>
      </c>
      <c r="J5845" t="n">
        <v>0</v>
      </c>
      <c r="K5845" t="n">
        <v>0</v>
      </c>
      <c r="L5845" t="n">
        <v>0</v>
      </c>
      <c r="M5845" t="n">
        <v>0</v>
      </c>
      <c r="N5845" t="n">
        <v>0</v>
      </c>
      <c r="O5845" t="n">
        <v>0</v>
      </c>
      <c r="P5845" t="n">
        <v>0</v>
      </c>
      <c r="Q5845" t="n">
        <v>0</v>
      </c>
      <c r="R5845" s="2" t="inlineStr"/>
    </row>
    <row r="5846" ht="15" customHeight="1">
      <c r="A5846" t="inlineStr">
        <is>
          <t>A 25681-2023</t>
        </is>
      </c>
      <c r="B5846" s="1" t="n">
        <v>45089</v>
      </c>
      <c r="C5846" s="1" t="n">
        <v>45798</v>
      </c>
      <c r="D5846" t="inlineStr">
        <is>
          <t>NORRBOTTENS LÄN</t>
        </is>
      </c>
      <c r="E5846" t="inlineStr">
        <is>
          <t>GÄLLIVARE</t>
        </is>
      </c>
      <c r="F5846" t="inlineStr">
        <is>
          <t>SCA</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25663-2023</t>
        </is>
      </c>
      <c r="B5847" s="1" t="n">
        <v>45090</v>
      </c>
      <c r="C5847" s="1" t="n">
        <v>45798</v>
      </c>
      <c r="D5847" t="inlineStr">
        <is>
          <t>NORRBOTTENS LÄN</t>
        </is>
      </c>
      <c r="E5847" t="inlineStr">
        <is>
          <t>ÄLVSBYN</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25691-2023</t>
        </is>
      </c>
      <c r="B5848" s="1" t="n">
        <v>45090</v>
      </c>
      <c r="C5848" s="1" t="n">
        <v>45798</v>
      </c>
      <c r="D5848" t="inlineStr">
        <is>
          <t>NORRBOTTENS LÄN</t>
        </is>
      </c>
      <c r="E5848" t="inlineStr">
        <is>
          <t>ÄLVSBYN</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25690-2023</t>
        </is>
      </c>
      <c r="B5849" s="1" t="n">
        <v>45090</v>
      </c>
      <c r="C5849" s="1" t="n">
        <v>45798</v>
      </c>
      <c r="D5849" t="inlineStr">
        <is>
          <t>NORRBOTTENS LÄN</t>
        </is>
      </c>
      <c r="E5849" t="inlineStr">
        <is>
          <t>PITEÅ</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25662-2023</t>
        </is>
      </c>
      <c r="B5850" s="1" t="n">
        <v>45090</v>
      </c>
      <c r="C5850" s="1" t="n">
        <v>45798</v>
      </c>
      <c r="D5850" t="inlineStr">
        <is>
          <t>NORRBOTTENS LÄN</t>
        </is>
      </c>
      <c r="E5850" t="inlineStr">
        <is>
          <t>ÄLVSBYN</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25661-2023</t>
        </is>
      </c>
      <c r="B5851" s="1" t="n">
        <v>45089</v>
      </c>
      <c r="C5851" s="1" t="n">
        <v>45798</v>
      </c>
      <c r="D5851" t="inlineStr">
        <is>
          <t>NORRBOTTENS LÄN</t>
        </is>
      </c>
      <c r="E5851" t="inlineStr">
        <is>
          <t>PITEÅ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25667-2023</t>
        </is>
      </c>
      <c r="B5852" s="1" t="n">
        <v>45090</v>
      </c>
      <c r="C5852" s="1" t="n">
        <v>45798</v>
      </c>
      <c r="D5852" t="inlineStr">
        <is>
          <t>NORRBOTTENS LÄN</t>
        </is>
      </c>
      <c r="E5852" t="inlineStr">
        <is>
          <t>PITEÅ</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25719-2023</t>
        </is>
      </c>
      <c r="B5853" s="1" t="n">
        <v>45090</v>
      </c>
      <c r="C5853" s="1" t="n">
        <v>45798</v>
      </c>
      <c r="D5853" t="inlineStr">
        <is>
          <t>NORRBOTTENS LÄN</t>
        </is>
      </c>
      <c r="E5853" t="inlineStr">
        <is>
          <t>JOKKMOKK</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25890-2023</t>
        </is>
      </c>
      <c r="B5854" s="1" t="n">
        <v>45090</v>
      </c>
      <c r="C5854" s="1" t="n">
        <v>45798</v>
      </c>
      <c r="D5854" t="inlineStr">
        <is>
          <t>NORRBOTTENS LÄN</t>
        </is>
      </c>
      <c r="E5854" t="inlineStr">
        <is>
          <t>ÄLVSBYN</t>
        </is>
      </c>
      <c r="F5854" t="inlineStr">
        <is>
          <t>Övriga Aktiebolag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25924-2023</t>
        </is>
      </c>
      <c r="B5855" s="1" t="n">
        <v>45090</v>
      </c>
      <c r="C5855" s="1" t="n">
        <v>45798</v>
      </c>
      <c r="D5855" t="inlineStr">
        <is>
          <t>NORRBOTTENS LÄN</t>
        </is>
      </c>
      <c r="E5855" t="inlineStr">
        <is>
          <t>PITEÅ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25930-2023</t>
        </is>
      </c>
      <c r="B5856" s="1" t="n">
        <v>45090</v>
      </c>
      <c r="C5856" s="1" t="n">
        <v>45798</v>
      </c>
      <c r="D5856" t="inlineStr">
        <is>
          <t>NORRBOTTENS LÄN</t>
        </is>
      </c>
      <c r="E5856" t="inlineStr">
        <is>
          <t>PITEÅ</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25720-2023</t>
        </is>
      </c>
      <c r="B5857" s="1" t="n">
        <v>45090</v>
      </c>
      <c r="C5857" s="1" t="n">
        <v>45798</v>
      </c>
      <c r="D5857" t="inlineStr">
        <is>
          <t>NORRBOTTENS LÄN</t>
        </is>
      </c>
      <c r="E5857" t="inlineStr">
        <is>
          <t>JOKKMOKK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25879-2023</t>
        </is>
      </c>
      <c r="B5858" s="1" t="n">
        <v>45090</v>
      </c>
      <c r="C5858" s="1" t="n">
        <v>45798</v>
      </c>
      <c r="D5858" t="inlineStr">
        <is>
          <t>NORRBOTTENS LÄN</t>
        </is>
      </c>
      <c r="E5858" t="inlineStr">
        <is>
          <t>ÄLVSBYN</t>
        </is>
      </c>
      <c r="F5858" t="inlineStr">
        <is>
          <t>Övriga Aktiebolag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25834-2023</t>
        </is>
      </c>
      <c r="B5859" s="1" t="n">
        <v>45090</v>
      </c>
      <c r="C5859" s="1" t="n">
        <v>45798</v>
      </c>
      <c r="D5859" t="inlineStr">
        <is>
          <t>NORRBOTTENS LÄN</t>
        </is>
      </c>
      <c r="E5859" t="inlineStr">
        <is>
          <t>LULEÅ</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25896-2023</t>
        </is>
      </c>
      <c r="B5860" s="1" t="n">
        <v>45090</v>
      </c>
      <c r="C5860" s="1" t="n">
        <v>45798</v>
      </c>
      <c r="D5860" t="inlineStr">
        <is>
          <t>NORRBOTTENS LÄN</t>
        </is>
      </c>
      <c r="E5860" t="inlineStr">
        <is>
          <t>PITEÅ</t>
        </is>
      </c>
      <c r="G5860" t="n">
        <v>12.7</v>
      </c>
      <c r="H5860" t="n">
        <v>0</v>
      </c>
      <c r="I5860" t="n">
        <v>0</v>
      </c>
      <c r="J5860" t="n">
        <v>0</v>
      </c>
      <c r="K5860" t="n">
        <v>0</v>
      </c>
      <c r="L5860" t="n">
        <v>0</v>
      </c>
      <c r="M5860" t="n">
        <v>0</v>
      </c>
      <c r="N5860" t="n">
        <v>0</v>
      </c>
      <c r="O5860" t="n">
        <v>0</v>
      </c>
      <c r="P5860" t="n">
        <v>0</v>
      </c>
      <c r="Q5860" t="n">
        <v>0</v>
      </c>
      <c r="R5860" s="2" t="inlineStr"/>
    </row>
    <row r="5861" ht="15" customHeight="1">
      <c r="A5861" t="inlineStr">
        <is>
          <t>A 25983-2023</t>
        </is>
      </c>
      <c r="B5861" s="1" t="n">
        <v>45090</v>
      </c>
      <c r="C5861" s="1" t="n">
        <v>45798</v>
      </c>
      <c r="D5861" t="inlineStr">
        <is>
          <t>NORRBOTTENS LÄN</t>
        </is>
      </c>
      <c r="E5861" t="inlineStr">
        <is>
          <t>PITEÅ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25984-2023</t>
        </is>
      </c>
      <c r="B5862" s="1" t="n">
        <v>45091</v>
      </c>
      <c r="C5862" s="1" t="n">
        <v>45798</v>
      </c>
      <c r="D5862" t="inlineStr">
        <is>
          <t>NORRBOTTENS LÄN</t>
        </is>
      </c>
      <c r="E5862" t="inlineStr">
        <is>
          <t>PITEÅ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26591-2023</t>
        </is>
      </c>
      <c r="B5863" s="1" t="n">
        <v>45090</v>
      </c>
      <c r="C5863" s="1" t="n">
        <v>45798</v>
      </c>
      <c r="D5863" t="inlineStr">
        <is>
          <t>NORRBOTTENS LÄN</t>
        </is>
      </c>
      <c r="E5863" t="inlineStr">
        <is>
          <t>ARVIDSJAUR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25989-2023</t>
        </is>
      </c>
      <c r="B5864" s="1" t="n">
        <v>45091</v>
      </c>
      <c r="C5864" s="1" t="n">
        <v>45798</v>
      </c>
      <c r="D5864" t="inlineStr">
        <is>
          <t>NORRBOTTENS LÄN</t>
        </is>
      </c>
      <c r="E5864" t="inlineStr">
        <is>
          <t>PITEÅ</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26583-2023</t>
        </is>
      </c>
      <c r="B5865" s="1" t="n">
        <v>45090</v>
      </c>
      <c r="C5865" s="1" t="n">
        <v>45798</v>
      </c>
      <c r="D5865" t="inlineStr">
        <is>
          <t>NORRBOTTENS LÄN</t>
        </is>
      </c>
      <c r="E5865" t="inlineStr">
        <is>
          <t>ARVIDSJAUR</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26240-2023</t>
        </is>
      </c>
      <c r="B5866" s="1" t="n">
        <v>45091</v>
      </c>
      <c r="C5866" s="1" t="n">
        <v>45798</v>
      </c>
      <c r="D5866" t="inlineStr">
        <is>
          <t>NORRBOTTENS LÄN</t>
        </is>
      </c>
      <c r="E5866" t="inlineStr">
        <is>
          <t>ÄLVSBYN</t>
        </is>
      </c>
      <c r="F5866" t="inlineStr">
        <is>
          <t>Sveaskog</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26253-2023</t>
        </is>
      </c>
      <c r="B5867" s="1" t="n">
        <v>45091</v>
      </c>
      <c r="C5867" s="1" t="n">
        <v>45798</v>
      </c>
      <c r="D5867" t="inlineStr">
        <is>
          <t>NORRBOTTENS LÄN</t>
        </is>
      </c>
      <c r="E5867" t="inlineStr">
        <is>
          <t>LULEÅ</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26271-2023</t>
        </is>
      </c>
      <c r="B5868" s="1" t="n">
        <v>45091</v>
      </c>
      <c r="C5868" s="1" t="n">
        <v>45798</v>
      </c>
      <c r="D5868" t="inlineStr">
        <is>
          <t>NORRBOTTENS LÄN</t>
        </is>
      </c>
      <c r="E5868" t="inlineStr">
        <is>
          <t>BODEN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26035-2023</t>
        </is>
      </c>
      <c r="B5869" s="1" t="n">
        <v>45091</v>
      </c>
      <c r="C5869" s="1" t="n">
        <v>45798</v>
      </c>
      <c r="D5869" t="inlineStr">
        <is>
          <t>NORRBOTTENS LÄN</t>
        </is>
      </c>
      <c r="E5869" t="inlineStr">
        <is>
          <t>BODEN</t>
        </is>
      </c>
      <c r="G5869" t="n">
        <v>14.1</v>
      </c>
      <c r="H5869" t="n">
        <v>0</v>
      </c>
      <c r="I5869" t="n">
        <v>0</v>
      </c>
      <c r="J5869" t="n">
        <v>0</v>
      </c>
      <c r="K5869" t="n">
        <v>0</v>
      </c>
      <c r="L5869" t="n">
        <v>0</v>
      </c>
      <c r="M5869" t="n">
        <v>0</v>
      </c>
      <c r="N5869" t="n">
        <v>0</v>
      </c>
      <c r="O5869" t="n">
        <v>0</v>
      </c>
      <c r="P5869" t="n">
        <v>0</v>
      </c>
      <c r="Q5869" t="n">
        <v>0</v>
      </c>
      <c r="R5869" s="2" t="inlineStr"/>
    </row>
    <row r="5870" ht="15" customHeight="1">
      <c r="A5870" t="inlineStr">
        <is>
          <t>A 26164-2023</t>
        </is>
      </c>
      <c r="B5870" s="1" t="n">
        <v>45091</v>
      </c>
      <c r="C5870" s="1" t="n">
        <v>45798</v>
      </c>
      <c r="D5870" t="inlineStr">
        <is>
          <t>NORRBOTTENS LÄN</t>
        </is>
      </c>
      <c r="E5870" t="inlineStr">
        <is>
          <t>ÄLVSBYN</t>
        </is>
      </c>
      <c r="F5870" t="inlineStr">
        <is>
          <t>Sveaskog</t>
        </is>
      </c>
      <c r="G5870" t="n">
        <v>13.7</v>
      </c>
      <c r="H5870" t="n">
        <v>0</v>
      </c>
      <c r="I5870" t="n">
        <v>0</v>
      </c>
      <c r="J5870" t="n">
        <v>0</v>
      </c>
      <c r="K5870" t="n">
        <v>0</v>
      </c>
      <c r="L5870" t="n">
        <v>0</v>
      </c>
      <c r="M5870" t="n">
        <v>0</v>
      </c>
      <c r="N5870" t="n">
        <v>0</v>
      </c>
      <c r="O5870" t="n">
        <v>0</v>
      </c>
      <c r="P5870" t="n">
        <v>0</v>
      </c>
      <c r="Q5870" t="n">
        <v>0</v>
      </c>
      <c r="R5870" s="2" t="inlineStr"/>
    </row>
    <row r="5871" ht="15" customHeight="1">
      <c r="A5871" t="inlineStr">
        <is>
          <t>A 26119-2023</t>
        </is>
      </c>
      <c r="B5871" s="1" t="n">
        <v>45091</v>
      </c>
      <c r="C5871" s="1" t="n">
        <v>45798</v>
      </c>
      <c r="D5871" t="inlineStr">
        <is>
          <t>NORRBOTTENS LÄN</t>
        </is>
      </c>
      <c r="E5871" t="inlineStr">
        <is>
          <t>PITEÅ</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26141-2023</t>
        </is>
      </c>
      <c r="B5872" s="1" t="n">
        <v>45091</v>
      </c>
      <c r="C5872" s="1" t="n">
        <v>45798</v>
      </c>
      <c r="D5872" t="inlineStr">
        <is>
          <t>NORRBOTTENS LÄN</t>
        </is>
      </c>
      <c r="E5872" t="inlineStr">
        <is>
          <t>PITEÅ</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26961-2023</t>
        </is>
      </c>
      <c r="B5873" s="1" t="n">
        <v>45091</v>
      </c>
      <c r="C5873" s="1" t="n">
        <v>45798</v>
      </c>
      <c r="D5873" t="inlineStr">
        <is>
          <t>NORRBOTTENS LÄN</t>
        </is>
      </c>
      <c r="E5873" t="inlineStr">
        <is>
          <t>KALIX</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26969-2023</t>
        </is>
      </c>
      <c r="B5874" s="1" t="n">
        <v>45091</v>
      </c>
      <c r="C5874" s="1" t="n">
        <v>45798</v>
      </c>
      <c r="D5874" t="inlineStr">
        <is>
          <t>NORRBOTTENS LÄN</t>
        </is>
      </c>
      <c r="E5874" t="inlineStr">
        <is>
          <t>KALIX</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26972-2023</t>
        </is>
      </c>
      <c r="B5875" s="1" t="n">
        <v>45091</v>
      </c>
      <c r="C5875" s="1" t="n">
        <v>45798</v>
      </c>
      <c r="D5875" t="inlineStr">
        <is>
          <t>NORRBOTTENS LÄN</t>
        </is>
      </c>
      <c r="E5875" t="inlineStr">
        <is>
          <t>KALIX</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26552-2023</t>
        </is>
      </c>
      <c r="B5876" s="1" t="n">
        <v>45092</v>
      </c>
      <c r="C5876" s="1" t="n">
        <v>45798</v>
      </c>
      <c r="D5876" t="inlineStr">
        <is>
          <t>NORRBOTTENS LÄN</t>
        </is>
      </c>
      <c r="E5876" t="inlineStr">
        <is>
          <t>ÖVERKALIX</t>
        </is>
      </c>
      <c r="F5876" t="inlineStr">
        <is>
          <t>Sveaskog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26499-2023</t>
        </is>
      </c>
      <c r="B5877" s="1" t="n">
        <v>45092</v>
      </c>
      <c r="C5877" s="1" t="n">
        <v>45798</v>
      </c>
      <c r="D5877" t="inlineStr">
        <is>
          <t>NORRBOTTENS LÄN</t>
        </is>
      </c>
      <c r="E5877" t="inlineStr">
        <is>
          <t>KALIX</t>
        </is>
      </c>
      <c r="G5877" t="n">
        <v>14.6</v>
      </c>
      <c r="H5877" t="n">
        <v>0</v>
      </c>
      <c r="I5877" t="n">
        <v>0</v>
      </c>
      <c r="J5877" t="n">
        <v>0</v>
      </c>
      <c r="K5877" t="n">
        <v>0</v>
      </c>
      <c r="L5877" t="n">
        <v>0</v>
      </c>
      <c r="M5877" t="n">
        <v>0</v>
      </c>
      <c r="N5877" t="n">
        <v>0</v>
      </c>
      <c r="O5877" t="n">
        <v>0</v>
      </c>
      <c r="P5877" t="n">
        <v>0</v>
      </c>
      <c r="Q5877" t="n">
        <v>0</v>
      </c>
      <c r="R5877" s="2" t="inlineStr"/>
    </row>
    <row r="5878" ht="15" customHeight="1">
      <c r="A5878" t="inlineStr">
        <is>
          <t>A 26576-2023</t>
        </is>
      </c>
      <c r="B5878" s="1" t="n">
        <v>45092</v>
      </c>
      <c r="C5878" s="1" t="n">
        <v>45798</v>
      </c>
      <c r="D5878" t="inlineStr">
        <is>
          <t>NORRBOTTENS LÄN</t>
        </is>
      </c>
      <c r="E5878" t="inlineStr">
        <is>
          <t>BODEN</t>
        </is>
      </c>
      <c r="F5878" t="inlineStr">
        <is>
          <t>Sveaskog</t>
        </is>
      </c>
      <c r="G5878" t="n">
        <v>19.2</v>
      </c>
      <c r="H5878" t="n">
        <v>0</v>
      </c>
      <c r="I5878" t="n">
        <v>0</v>
      </c>
      <c r="J5878" t="n">
        <v>0</v>
      </c>
      <c r="K5878" t="n">
        <v>0</v>
      </c>
      <c r="L5878" t="n">
        <v>0</v>
      </c>
      <c r="M5878" t="n">
        <v>0</v>
      </c>
      <c r="N5878" t="n">
        <v>0</v>
      </c>
      <c r="O5878" t="n">
        <v>0</v>
      </c>
      <c r="P5878" t="n">
        <v>0</v>
      </c>
      <c r="Q5878" t="n">
        <v>0</v>
      </c>
      <c r="R5878" s="2" t="inlineStr"/>
    </row>
    <row r="5879" ht="15" customHeight="1">
      <c r="A5879" t="inlineStr">
        <is>
          <t>A 26554-2023</t>
        </is>
      </c>
      <c r="B5879" s="1" t="n">
        <v>45092</v>
      </c>
      <c r="C5879" s="1" t="n">
        <v>45798</v>
      </c>
      <c r="D5879" t="inlineStr">
        <is>
          <t>NORRBOTTENS LÄN</t>
        </is>
      </c>
      <c r="E5879" t="inlineStr">
        <is>
          <t>ÖVERKALIX</t>
        </is>
      </c>
      <c r="F5879" t="inlineStr">
        <is>
          <t>Sveaskog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26579-2023</t>
        </is>
      </c>
      <c r="B5880" s="1" t="n">
        <v>45092</v>
      </c>
      <c r="C5880" s="1" t="n">
        <v>45798</v>
      </c>
      <c r="D5880" t="inlineStr">
        <is>
          <t>NORRBOTTENS LÄN</t>
        </is>
      </c>
      <c r="E5880" t="inlineStr">
        <is>
          <t>BODEN</t>
        </is>
      </c>
      <c r="F5880" t="inlineStr">
        <is>
          <t>Sveaskog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26556-2023</t>
        </is>
      </c>
      <c r="B5881" s="1" t="n">
        <v>45092</v>
      </c>
      <c r="C5881" s="1" t="n">
        <v>45798</v>
      </c>
      <c r="D5881" t="inlineStr">
        <is>
          <t>NORRBOTTENS LÄN</t>
        </is>
      </c>
      <c r="E5881" t="inlineStr">
        <is>
          <t>ÖVERTORNEÅ</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27503-2023</t>
        </is>
      </c>
      <c r="B5882" s="1" t="n">
        <v>45092</v>
      </c>
      <c r="C5882" s="1" t="n">
        <v>45798</v>
      </c>
      <c r="D5882" t="inlineStr">
        <is>
          <t>NORRBOTTENS LÄN</t>
        </is>
      </c>
      <c r="E5882" t="inlineStr">
        <is>
          <t>LULEÅ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26671-2023</t>
        </is>
      </c>
      <c r="B5883" s="1" t="n">
        <v>45093</v>
      </c>
      <c r="C5883" s="1" t="n">
        <v>45798</v>
      </c>
      <c r="D5883" t="inlineStr">
        <is>
          <t>NORRBOTTENS LÄN</t>
        </is>
      </c>
      <c r="E5883" t="inlineStr">
        <is>
          <t>ARVIDSJAUR</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26674-2023</t>
        </is>
      </c>
      <c r="B5884" s="1" t="n">
        <v>45093</v>
      </c>
      <c r="C5884" s="1" t="n">
        <v>45798</v>
      </c>
      <c r="D5884" t="inlineStr">
        <is>
          <t>NORRBOTTENS LÄN</t>
        </is>
      </c>
      <c r="E5884" t="inlineStr">
        <is>
          <t>ARVIDSJAUR</t>
        </is>
      </c>
      <c r="F5884" t="inlineStr">
        <is>
          <t>Sveaskog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26673-2023</t>
        </is>
      </c>
      <c r="B5885" s="1" t="n">
        <v>45093</v>
      </c>
      <c r="C5885" s="1" t="n">
        <v>45798</v>
      </c>
      <c r="D5885" t="inlineStr">
        <is>
          <t>NORRBOTTENS LÄN</t>
        </is>
      </c>
      <c r="E5885" t="inlineStr">
        <is>
          <t>ARVIDSJAUR</t>
        </is>
      </c>
      <c r="F5885" t="inlineStr">
        <is>
          <t>Sveaskog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26724-2023</t>
        </is>
      </c>
      <c r="B5886" s="1" t="n">
        <v>45093</v>
      </c>
      <c r="C5886" s="1" t="n">
        <v>45798</v>
      </c>
      <c r="D5886" t="inlineStr">
        <is>
          <t>NORRBOTTENS LÄN</t>
        </is>
      </c>
      <c r="E5886" t="inlineStr">
        <is>
          <t>PITEÅ</t>
        </is>
      </c>
      <c r="F5886" t="inlineStr">
        <is>
          <t>Sveaskog</t>
        </is>
      </c>
      <c r="G5886" t="n">
        <v>18.6</v>
      </c>
      <c r="H5886" t="n">
        <v>0</v>
      </c>
      <c r="I5886" t="n">
        <v>0</v>
      </c>
      <c r="J5886" t="n">
        <v>0</v>
      </c>
      <c r="K5886" t="n">
        <v>0</v>
      </c>
      <c r="L5886" t="n">
        <v>0</v>
      </c>
      <c r="M5886" t="n">
        <v>0</v>
      </c>
      <c r="N5886" t="n">
        <v>0</v>
      </c>
      <c r="O5886" t="n">
        <v>0</v>
      </c>
      <c r="P5886" t="n">
        <v>0</v>
      </c>
      <c r="Q5886" t="n">
        <v>0</v>
      </c>
      <c r="R5886" s="2" t="inlineStr"/>
    </row>
    <row r="5887" ht="15" customHeight="1">
      <c r="A5887" t="inlineStr">
        <is>
          <t>A 26712-2023</t>
        </is>
      </c>
      <c r="B5887" s="1" t="n">
        <v>45093</v>
      </c>
      <c r="C5887" s="1" t="n">
        <v>45798</v>
      </c>
      <c r="D5887" t="inlineStr">
        <is>
          <t>NORRBOTTENS LÄN</t>
        </is>
      </c>
      <c r="E5887" t="inlineStr">
        <is>
          <t>HAPARANDA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26963-2023</t>
        </is>
      </c>
      <c r="B5888" s="1" t="n">
        <v>45093</v>
      </c>
      <c r="C5888" s="1" t="n">
        <v>45798</v>
      </c>
      <c r="D5888" t="inlineStr">
        <is>
          <t>NORRBOTTENS LÄN</t>
        </is>
      </c>
      <c r="E5888" t="inlineStr">
        <is>
          <t>BODEN</t>
        </is>
      </c>
      <c r="F5888" t="inlineStr">
        <is>
          <t>Sveaskog</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26964-2023</t>
        </is>
      </c>
      <c r="B5889" s="1" t="n">
        <v>45093</v>
      </c>
      <c r="C5889" s="1" t="n">
        <v>45798</v>
      </c>
      <c r="D5889" t="inlineStr">
        <is>
          <t>NORRBOTTENS LÄN</t>
        </is>
      </c>
      <c r="E5889" t="inlineStr">
        <is>
          <t>BODEN</t>
        </is>
      </c>
      <c r="F5889" t="inlineStr">
        <is>
          <t>Sveaskog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26962-2023</t>
        </is>
      </c>
      <c r="B5890" s="1" t="n">
        <v>45093</v>
      </c>
      <c r="C5890" s="1" t="n">
        <v>45798</v>
      </c>
      <c r="D5890" t="inlineStr">
        <is>
          <t>NORRBOTTENS LÄN</t>
        </is>
      </c>
      <c r="E5890" t="inlineStr">
        <is>
          <t>JOKKMOKK</t>
        </is>
      </c>
      <c r="F5890" t="inlineStr">
        <is>
          <t>Sveaskog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27003-2023</t>
        </is>
      </c>
      <c r="B5891" s="1" t="n">
        <v>45094</v>
      </c>
      <c r="C5891" s="1" t="n">
        <v>45798</v>
      </c>
      <c r="D5891" t="inlineStr">
        <is>
          <t>NORRBOTTENS LÄN</t>
        </is>
      </c>
      <c r="E5891" t="inlineStr">
        <is>
          <t>PITEÅ</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27021-2023</t>
        </is>
      </c>
      <c r="B5892" s="1" t="n">
        <v>45094</v>
      </c>
      <c r="C5892" s="1" t="n">
        <v>45798</v>
      </c>
      <c r="D5892" t="inlineStr">
        <is>
          <t>NORRBOTTENS LÄN</t>
        </is>
      </c>
      <c r="E5892" t="inlineStr">
        <is>
          <t>JOKKMOKK</t>
        </is>
      </c>
      <c r="F5892" t="inlineStr">
        <is>
          <t>SCA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27017-2023</t>
        </is>
      </c>
      <c r="B5893" s="1" t="n">
        <v>45094</v>
      </c>
      <c r="C5893" s="1" t="n">
        <v>45798</v>
      </c>
      <c r="D5893" t="inlineStr">
        <is>
          <t>NORRBOTTENS LÄN</t>
        </is>
      </c>
      <c r="E5893" t="inlineStr">
        <is>
          <t>JOKKMOKK</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27022-2023</t>
        </is>
      </c>
      <c r="B5894" s="1" t="n">
        <v>45094</v>
      </c>
      <c r="C5894" s="1" t="n">
        <v>45798</v>
      </c>
      <c r="D5894" t="inlineStr">
        <is>
          <t>NORRBOTTENS LÄN</t>
        </is>
      </c>
      <c r="E5894" t="inlineStr">
        <is>
          <t>JOKKMOKK</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27020-2023</t>
        </is>
      </c>
      <c r="B5895" s="1" t="n">
        <v>45094</v>
      </c>
      <c r="C5895" s="1" t="n">
        <v>45798</v>
      </c>
      <c r="D5895" t="inlineStr">
        <is>
          <t>NORRBOTTENS LÄN</t>
        </is>
      </c>
      <c r="E5895" t="inlineStr">
        <is>
          <t>JOKKMOKK</t>
        </is>
      </c>
      <c r="F5895" t="inlineStr">
        <is>
          <t>SCA</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27116-2023</t>
        </is>
      </c>
      <c r="B5896" s="1" t="n">
        <v>45096</v>
      </c>
      <c r="C5896" s="1" t="n">
        <v>45798</v>
      </c>
      <c r="D5896" t="inlineStr">
        <is>
          <t>NORRBOTTENS LÄN</t>
        </is>
      </c>
      <c r="E5896" t="inlineStr">
        <is>
          <t>PITEÅ</t>
        </is>
      </c>
      <c r="G5896" t="n">
        <v>10.4</v>
      </c>
      <c r="H5896" t="n">
        <v>0</v>
      </c>
      <c r="I5896" t="n">
        <v>0</v>
      </c>
      <c r="J5896" t="n">
        <v>0</v>
      </c>
      <c r="K5896" t="n">
        <v>0</v>
      </c>
      <c r="L5896" t="n">
        <v>0</v>
      </c>
      <c r="M5896" t="n">
        <v>0</v>
      </c>
      <c r="N5896" t="n">
        <v>0</v>
      </c>
      <c r="O5896" t="n">
        <v>0</v>
      </c>
      <c r="P5896" t="n">
        <v>0</v>
      </c>
      <c r="Q5896" t="n">
        <v>0</v>
      </c>
      <c r="R5896" s="2" t="inlineStr"/>
    </row>
    <row r="5897" ht="15" customHeight="1">
      <c r="A5897" t="inlineStr">
        <is>
          <t>A 27062-2023</t>
        </is>
      </c>
      <c r="B5897" s="1" t="n">
        <v>45096</v>
      </c>
      <c r="C5897" s="1" t="n">
        <v>45798</v>
      </c>
      <c r="D5897" t="inlineStr">
        <is>
          <t>NORRBOTTENS LÄN</t>
        </is>
      </c>
      <c r="E5897" t="inlineStr">
        <is>
          <t>ÖVERKALIX</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27066-2023</t>
        </is>
      </c>
      <c r="B5898" s="1" t="n">
        <v>45096</v>
      </c>
      <c r="C5898" s="1" t="n">
        <v>45798</v>
      </c>
      <c r="D5898" t="inlineStr">
        <is>
          <t>NORRBOTTENS LÄN</t>
        </is>
      </c>
      <c r="E5898" t="inlineStr">
        <is>
          <t>ÖVERKALIX</t>
        </is>
      </c>
      <c r="F5898" t="inlineStr">
        <is>
          <t>Sveaskog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27131-2023</t>
        </is>
      </c>
      <c r="B5899" s="1" t="n">
        <v>45096</v>
      </c>
      <c r="C5899" s="1" t="n">
        <v>45798</v>
      </c>
      <c r="D5899" t="inlineStr">
        <is>
          <t>NORRBOTTENS LÄN</t>
        </is>
      </c>
      <c r="E5899" t="inlineStr">
        <is>
          <t>PITEÅ</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27139-2023</t>
        </is>
      </c>
      <c r="B5900" s="1" t="n">
        <v>45096</v>
      </c>
      <c r="C5900" s="1" t="n">
        <v>45798</v>
      </c>
      <c r="D5900" t="inlineStr">
        <is>
          <t>NORRBOTTENS LÄN</t>
        </is>
      </c>
      <c r="E5900" t="inlineStr">
        <is>
          <t>KALIX</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27175-2023</t>
        </is>
      </c>
      <c r="B5901" s="1" t="n">
        <v>45096</v>
      </c>
      <c r="C5901" s="1" t="n">
        <v>45798</v>
      </c>
      <c r="D5901" t="inlineStr">
        <is>
          <t>NORRBOTTENS LÄN</t>
        </is>
      </c>
      <c r="E5901" t="inlineStr">
        <is>
          <t>PITEÅ</t>
        </is>
      </c>
      <c r="F5901" t="inlineStr">
        <is>
          <t>Övriga Aktiebolag</t>
        </is>
      </c>
      <c r="G5901" t="n">
        <v>9.4</v>
      </c>
      <c r="H5901" t="n">
        <v>0</v>
      </c>
      <c r="I5901" t="n">
        <v>0</v>
      </c>
      <c r="J5901" t="n">
        <v>0</v>
      </c>
      <c r="K5901" t="n">
        <v>0</v>
      </c>
      <c r="L5901" t="n">
        <v>0</v>
      </c>
      <c r="M5901" t="n">
        <v>0</v>
      </c>
      <c r="N5901" t="n">
        <v>0</v>
      </c>
      <c r="O5901" t="n">
        <v>0</v>
      </c>
      <c r="P5901" t="n">
        <v>0</v>
      </c>
      <c r="Q5901" t="n">
        <v>0</v>
      </c>
      <c r="R5901" s="2" t="inlineStr"/>
    </row>
    <row r="5902" ht="15" customHeight="1">
      <c r="A5902" t="inlineStr">
        <is>
          <t>A 27095-2023</t>
        </is>
      </c>
      <c r="B5902" s="1" t="n">
        <v>45096</v>
      </c>
      <c r="C5902" s="1" t="n">
        <v>45798</v>
      </c>
      <c r="D5902" t="inlineStr">
        <is>
          <t>NORRBOTTENS LÄN</t>
        </is>
      </c>
      <c r="E5902" t="inlineStr">
        <is>
          <t>JOKKMOKK</t>
        </is>
      </c>
      <c r="F5902" t="inlineStr">
        <is>
          <t>Sveaskog</t>
        </is>
      </c>
      <c r="G5902" t="n">
        <v>10.6</v>
      </c>
      <c r="H5902" t="n">
        <v>0</v>
      </c>
      <c r="I5902" t="n">
        <v>0</v>
      </c>
      <c r="J5902" t="n">
        <v>0</v>
      </c>
      <c r="K5902" t="n">
        <v>0</v>
      </c>
      <c r="L5902" t="n">
        <v>0</v>
      </c>
      <c r="M5902" t="n">
        <v>0</v>
      </c>
      <c r="N5902" t="n">
        <v>0</v>
      </c>
      <c r="O5902" t="n">
        <v>0</v>
      </c>
      <c r="P5902" t="n">
        <v>0</v>
      </c>
      <c r="Q5902" t="n">
        <v>0</v>
      </c>
      <c r="R5902" s="2" t="inlineStr"/>
    </row>
    <row r="5903" ht="15" customHeight="1">
      <c r="A5903" t="inlineStr">
        <is>
          <t>A 27133-2023</t>
        </is>
      </c>
      <c r="B5903" s="1" t="n">
        <v>45096</v>
      </c>
      <c r="C5903" s="1" t="n">
        <v>45798</v>
      </c>
      <c r="D5903" t="inlineStr">
        <is>
          <t>NORRBOTTENS LÄN</t>
        </is>
      </c>
      <c r="E5903" t="inlineStr">
        <is>
          <t>KALIX</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27141-2023</t>
        </is>
      </c>
      <c r="B5904" s="1" t="n">
        <v>45096</v>
      </c>
      <c r="C5904" s="1" t="n">
        <v>45798</v>
      </c>
      <c r="D5904" t="inlineStr">
        <is>
          <t>NORRBOTTENS LÄN</t>
        </is>
      </c>
      <c r="E5904" t="inlineStr">
        <is>
          <t>KALIX</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28600-2023</t>
        </is>
      </c>
      <c r="B5905" s="1" t="n">
        <v>45096</v>
      </c>
      <c r="C5905" s="1" t="n">
        <v>45798</v>
      </c>
      <c r="D5905" t="inlineStr">
        <is>
          <t>NORRBOTTENS LÄN</t>
        </is>
      </c>
      <c r="E5905" t="inlineStr">
        <is>
          <t>GÄLLIVARE</t>
        </is>
      </c>
      <c r="F5905" t="inlineStr">
        <is>
          <t>Allmännings- och besparingsskogar</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28646-2023</t>
        </is>
      </c>
      <c r="B5906" s="1" t="n">
        <v>45096</v>
      </c>
      <c r="C5906" s="1" t="n">
        <v>45798</v>
      </c>
      <c r="D5906" t="inlineStr">
        <is>
          <t>NORRBOTTENS LÄN</t>
        </is>
      </c>
      <c r="E5906" t="inlineStr">
        <is>
          <t>GÄLLIVARE</t>
        </is>
      </c>
      <c r="F5906" t="inlineStr">
        <is>
          <t>Allmännings- och besparingsskogar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28619-2023</t>
        </is>
      </c>
      <c r="B5907" s="1" t="n">
        <v>45096</v>
      </c>
      <c r="C5907" s="1" t="n">
        <v>45798</v>
      </c>
      <c r="D5907" t="inlineStr">
        <is>
          <t>NORRBOTTENS LÄN</t>
        </is>
      </c>
      <c r="E5907" t="inlineStr">
        <is>
          <t>GÄLLIVARE</t>
        </is>
      </c>
      <c r="F5907" t="inlineStr">
        <is>
          <t>Allmännings- och besparingsskogar</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28294-2023</t>
        </is>
      </c>
      <c r="B5908" s="1" t="n">
        <v>45096</v>
      </c>
      <c r="C5908" s="1" t="n">
        <v>45798</v>
      </c>
      <c r="D5908" t="inlineStr">
        <is>
          <t>NORRBOTTENS LÄN</t>
        </is>
      </c>
      <c r="E5908" t="inlineStr">
        <is>
          <t>LULEÅ</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28624-2023</t>
        </is>
      </c>
      <c r="B5909" s="1" t="n">
        <v>45096</v>
      </c>
      <c r="C5909" s="1" t="n">
        <v>45798</v>
      </c>
      <c r="D5909" t="inlineStr">
        <is>
          <t>NORRBOTTENS LÄN</t>
        </is>
      </c>
      <c r="E5909" t="inlineStr">
        <is>
          <t>GÄLLIVARE</t>
        </is>
      </c>
      <c r="F5909" t="inlineStr">
        <is>
          <t>Allmännings- och besparingsskogar</t>
        </is>
      </c>
      <c r="G5909" t="n">
        <v>44.7</v>
      </c>
      <c r="H5909" t="n">
        <v>0</v>
      </c>
      <c r="I5909" t="n">
        <v>0</v>
      </c>
      <c r="J5909" t="n">
        <v>0</v>
      </c>
      <c r="K5909" t="n">
        <v>0</v>
      </c>
      <c r="L5909" t="n">
        <v>0</v>
      </c>
      <c r="M5909" t="n">
        <v>0</v>
      </c>
      <c r="N5909" t="n">
        <v>0</v>
      </c>
      <c r="O5909" t="n">
        <v>0</v>
      </c>
      <c r="P5909" t="n">
        <v>0</v>
      </c>
      <c r="Q5909" t="n">
        <v>0</v>
      </c>
      <c r="R5909" s="2" t="inlineStr"/>
    </row>
    <row r="5910" ht="15" customHeight="1">
      <c r="A5910" t="inlineStr">
        <is>
          <t>A 27441-2023</t>
        </is>
      </c>
      <c r="B5910" s="1" t="n">
        <v>45097</v>
      </c>
      <c r="C5910" s="1" t="n">
        <v>45798</v>
      </c>
      <c r="D5910" t="inlineStr">
        <is>
          <t>NORRBOTTENS LÄN</t>
        </is>
      </c>
      <c r="E5910" t="inlineStr">
        <is>
          <t>ARVIDSJAUR</t>
        </is>
      </c>
      <c r="F5910" t="inlineStr">
        <is>
          <t>Sveaskog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27439-2023</t>
        </is>
      </c>
      <c r="B5911" s="1" t="n">
        <v>45097</v>
      </c>
      <c r="C5911" s="1" t="n">
        <v>45798</v>
      </c>
      <c r="D5911" t="inlineStr">
        <is>
          <t>NORRBOTTENS LÄN</t>
        </is>
      </c>
      <c r="E5911" t="inlineStr">
        <is>
          <t>ARVIDSJAUR</t>
        </is>
      </c>
      <c r="F5911" t="inlineStr">
        <is>
          <t>Sveaskog</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27459-2023</t>
        </is>
      </c>
      <c r="B5912" s="1" t="n">
        <v>45097</v>
      </c>
      <c r="C5912" s="1" t="n">
        <v>45798</v>
      </c>
      <c r="D5912" t="inlineStr">
        <is>
          <t>NORRBOTTENS LÄN</t>
        </is>
      </c>
      <c r="E5912" t="inlineStr">
        <is>
          <t>ARVIDSJAUR</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27442-2023</t>
        </is>
      </c>
      <c r="B5913" s="1" t="n">
        <v>45097</v>
      </c>
      <c r="C5913" s="1" t="n">
        <v>45798</v>
      </c>
      <c r="D5913" t="inlineStr">
        <is>
          <t>NORRBOTTENS LÄN</t>
        </is>
      </c>
      <c r="E5913" t="inlineStr">
        <is>
          <t>ARVIDSJAUR</t>
        </is>
      </c>
      <c r="F5913" t="inlineStr">
        <is>
          <t>Sveaskog</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27450-2023</t>
        </is>
      </c>
      <c r="B5914" s="1" t="n">
        <v>45097</v>
      </c>
      <c r="C5914" s="1" t="n">
        <v>45798</v>
      </c>
      <c r="D5914" t="inlineStr">
        <is>
          <t>NORRBOTTENS LÄN</t>
        </is>
      </c>
      <c r="E5914" t="inlineStr">
        <is>
          <t>BODEN</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27462-2023</t>
        </is>
      </c>
      <c r="B5915" s="1" t="n">
        <v>45097</v>
      </c>
      <c r="C5915" s="1" t="n">
        <v>45798</v>
      </c>
      <c r="D5915" t="inlineStr">
        <is>
          <t>NORRBOTTENS LÄN</t>
        </is>
      </c>
      <c r="E5915" t="inlineStr">
        <is>
          <t>ARVIDSJAUR</t>
        </is>
      </c>
      <c r="F5915" t="inlineStr">
        <is>
          <t>Sveaskog</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27676-2023</t>
        </is>
      </c>
      <c r="B5916" s="1" t="n">
        <v>45098</v>
      </c>
      <c r="C5916" s="1" t="n">
        <v>45798</v>
      </c>
      <c r="D5916" t="inlineStr">
        <is>
          <t>NORRBOTTENS LÄN</t>
        </is>
      </c>
      <c r="E5916" t="inlineStr">
        <is>
          <t>PITEÅ</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27688-2023</t>
        </is>
      </c>
      <c r="B5917" s="1" t="n">
        <v>45098</v>
      </c>
      <c r="C5917" s="1" t="n">
        <v>45798</v>
      </c>
      <c r="D5917" t="inlineStr">
        <is>
          <t>NORRBOTTENS LÄN</t>
        </is>
      </c>
      <c r="E5917" t="inlineStr">
        <is>
          <t>PITEÅ</t>
        </is>
      </c>
      <c r="F5917" t="inlineStr">
        <is>
          <t>SCA</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27689-2023</t>
        </is>
      </c>
      <c r="B5918" s="1" t="n">
        <v>45098</v>
      </c>
      <c r="C5918" s="1" t="n">
        <v>45798</v>
      </c>
      <c r="D5918" t="inlineStr">
        <is>
          <t>NORRBOTTENS LÄN</t>
        </is>
      </c>
      <c r="E5918" t="inlineStr">
        <is>
          <t>PITEÅ</t>
        </is>
      </c>
      <c r="F5918" t="inlineStr">
        <is>
          <t>SCA</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27680-2023</t>
        </is>
      </c>
      <c r="B5919" s="1" t="n">
        <v>45097</v>
      </c>
      <c r="C5919" s="1" t="n">
        <v>45798</v>
      </c>
      <c r="D5919" t="inlineStr">
        <is>
          <t>NORRBOTTENS LÄN</t>
        </is>
      </c>
      <c r="E5919" t="inlineStr">
        <is>
          <t>ÖVERKALIX</t>
        </is>
      </c>
      <c r="G5919" t="n">
        <v>12.3</v>
      </c>
      <c r="H5919" t="n">
        <v>0</v>
      </c>
      <c r="I5919" t="n">
        <v>0</v>
      </c>
      <c r="J5919" t="n">
        <v>0</v>
      </c>
      <c r="K5919" t="n">
        <v>0</v>
      </c>
      <c r="L5919" t="n">
        <v>0</v>
      </c>
      <c r="M5919" t="n">
        <v>0</v>
      </c>
      <c r="N5919" t="n">
        <v>0</v>
      </c>
      <c r="O5919" t="n">
        <v>0</v>
      </c>
      <c r="P5919" t="n">
        <v>0</v>
      </c>
      <c r="Q5919" t="n">
        <v>0</v>
      </c>
      <c r="R5919" s="2" t="inlineStr"/>
    </row>
    <row r="5920" ht="15" customHeight="1">
      <c r="A5920" t="inlineStr">
        <is>
          <t>A 29059-2023</t>
        </is>
      </c>
      <c r="B5920" s="1" t="n">
        <v>45097</v>
      </c>
      <c r="C5920" s="1" t="n">
        <v>45798</v>
      </c>
      <c r="D5920" t="inlineStr">
        <is>
          <t>NORRBOTTENS LÄN</t>
        </is>
      </c>
      <c r="E5920" t="inlineStr">
        <is>
          <t>KALIX</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27681-2023</t>
        </is>
      </c>
      <c r="B5921" s="1" t="n">
        <v>45097</v>
      </c>
      <c r="C5921" s="1" t="n">
        <v>45798</v>
      </c>
      <c r="D5921" t="inlineStr">
        <is>
          <t>NORRBOTTENS LÄN</t>
        </is>
      </c>
      <c r="E5921" t="inlineStr">
        <is>
          <t>ÖVERKALIX</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29218-2023</t>
        </is>
      </c>
      <c r="B5922" s="1" t="n">
        <v>45097</v>
      </c>
      <c r="C5922" s="1" t="n">
        <v>45798</v>
      </c>
      <c r="D5922" t="inlineStr">
        <is>
          <t>NORRBOTTENS LÄN</t>
        </is>
      </c>
      <c r="E5922" t="inlineStr">
        <is>
          <t>KALIX</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29060-2023</t>
        </is>
      </c>
      <c r="B5923" s="1" t="n">
        <v>45097</v>
      </c>
      <c r="C5923" s="1" t="n">
        <v>45798</v>
      </c>
      <c r="D5923" t="inlineStr">
        <is>
          <t>NORRBOTTENS LÄN</t>
        </is>
      </c>
      <c r="E5923" t="inlineStr">
        <is>
          <t>KALIX</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27778-2023</t>
        </is>
      </c>
      <c r="B5924" s="1" t="n">
        <v>45098</v>
      </c>
      <c r="C5924" s="1" t="n">
        <v>45798</v>
      </c>
      <c r="D5924" t="inlineStr">
        <is>
          <t>NORRBOTTENS LÄN</t>
        </is>
      </c>
      <c r="E5924" t="inlineStr">
        <is>
          <t>ARVIDSJAUR</t>
        </is>
      </c>
      <c r="F5924" t="inlineStr">
        <is>
          <t>Sveaskog</t>
        </is>
      </c>
      <c r="G5924" t="n">
        <v>15.2</v>
      </c>
      <c r="H5924" t="n">
        <v>0</v>
      </c>
      <c r="I5924" t="n">
        <v>0</v>
      </c>
      <c r="J5924" t="n">
        <v>0</v>
      </c>
      <c r="K5924" t="n">
        <v>0</v>
      </c>
      <c r="L5924" t="n">
        <v>0</v>
      </c>
      <c r="M5924" t="n">
        <v>0</v>
      </c>
      <c r="N5924" t="n">
        <v>0</v>
      </c>
      <c r="O5924" t="n">
        <v>0</v>
      </c>
      <c r="P5924" t="n">
        <v>0</v>
      </c>
      <c r="Q5924" t="n">
        <v>0</v>
      </c>
      <c r="R5924" s="2" t="inlineStr"/>
    </row>
    <row r="5925" ht="15" customHeight="1">
      <c r="A5925" t="inlineStr">
        <is>
          <t>A 27797-2023</t>
        </is>
      </c>
      <c r="B5925" s="1" t="n">
        <v>45098</v>
      </c>
      <c r="C5925" s="1" t="n">
        <v>45798</v>
      </c>
      <c r="D5925" t="inlineStr">
        <is>
          <t>NORRBOTTENS LÄN</t>
        </is>
      </c>
      <c r="E5925" t="inlineStr">
        <is>
          <t>BODEN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27803-2023</t>
        </is>
      </c>
      <c r="B5926" s="1" t="n">
        <v>45098</v>
      </c>
      <c r="C5926" s="1" t="n">
        <v>45798</v>
      </c>
      <c r="D5926" t="inlineStr">
        <is>
          <t>NORRBOTTENS LÄN</t>
        </is>
      </c>
      <c r="E5926" t="inlineStr">
        <is>
          <t>BODEN</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27896-2023</t>
        </is>
      </c>
      <c r="B5927" s="1" t="n">
        <v>45098</v>
      </c>
      <c r="C5927" s="1" t="n">
        <v>45798</v>
      </c>
      <c r="D5927" t="inlineStr">
        <is>
          <t>NORRBOTTENS LÄN</t>
        </is>
      </c>
      <c r="E5927" t="inlineStr">
        <is>
          <t>PITEÅ</t>
        </is>
      </c>
      <c r="F5927" t="inlineStr">
        <is>
          <t>Övriga Aktiebolag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27895-2023</t>
        </is>
      </c>
      <c r="B5928" s="1" t="n">
        <v>45098</v>
      </c>
      <c r="C5928" s="1" t="n">
        <v>45798</v>
      </c>
      <c r="D5928" t="inlineStr">
        <is>
          <t>NORRBOTTENS LÄN</t>
        </is>
      </c>
      <c r="E5928" t="inlineStr">
        <is>
          <t>PAJALA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27899-2023</t>
        </is>
      </c>
      <c r="B5929" s="1" t="n">
        <v>45098</v>
      </c>
      <c r="C5929" s="1" t="n">
        <v>45798</v>
      </c>
      <c r="D5929" t="inlineStr">
        <is>
          <t>NORRBOTTENS LÄN</t>
        </is>
      </c>
      <c r="E5929" t="inlineStr">
        <is>
          <t>PITEÅ</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27911-2023</t>
        </is>
      </c>
      <c r="B5930" s="1" t="n">
        <v>45098</v>
      </c>
      <c r="C5930" s="1" t="n">
        <v>45798</v>
      </c>
      <c r="D5930" t="inlineStr">
        <is>
          <t>NORRBOTTENS LÄN</t>
        </is>
      </c>
      <c r="E5930" t="inlineStr">
        <is>
          <t>PITEÅ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27860-2023</t>
        </is>
      </c>
      <c r="B5931" s="1" t="n">
        <v>45098</v>
      </c>
      <c r="C5931" s="1" t="n">
        <v>45798</v>
      </c>
      <c r="D5931" t="inlineStr">
        <is>
          <t>NORRBOTTENS LÄN</t>
        </is>
      </c>
      <c r="E5931" t="inlineStr">
        <is>
          <t>PITEÅ</t>
        </is>
      </c>
      <c r="F5931" t="inlineStr">
        <is>
          <t>Övriga Aktiebolag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27858-2023</t>
        </is>
      </c>
      <c r="B5932" s="1" t="n">
        <v>45098</v>
      </c>
      <c r="C5932" s="1" t="n">
        <v>45798</v>
      </c>
      <c r="D5932" t="inlineStr">
        <is>
          <t>NORRBOTTENS LÄN</t>
        </is>
      </c>
      <c r="E5932" t="inlineStr">
        <is>
          <t>PITEÅ</t>
        </is>
      </c>
      <c r="F5932" t="inlineStr">
        <is>
          <t>Övriga Aktiebolag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27893-2023</t>
        </is>
      </c>
      <c r="B5933" s="1" t="n">
        <v>45098</v>
      </c>
      <c r="C5933" s="1" t="n">
        <v>45798</v>
      </c>
      <c r="D5933" t="inlineStr">
        <is>
          <t>NORRBOTTENS LÄN</t>
        </is>
      </c>
      <c r="E5933" t="inlineStr">
        <is>
          <t>PITEÅ</t>
        </is>
      </c>
      <c r="G5933" t="n">
        <v>43.6</v>
      </c>
      <c r="H5933" t="n">
        <v>0</v>
      </c>
      <c r="I5933" t="n">
        <v>0</v>
      </c>
      <c r="J5933" t="n">
        <v>0</v>
      </c>
      <c r="K5933" t="n">
        <v>0</v>
      </c>
      <c r="L5933" t="n">
        <v>0</v>
      </c>
      <c r="M5933" t="n">
        <v>0</v>
      </c>
      <c r="N5933" t="n">
        <v>0</v>
      </c>
      <c r="O5933" t="n">
        <v>0</v>
      </c>
      <c r="P5933" t="n">
        <v>0</v>
      </c>
      <c r="Q5933" t="n">
        <v>0</v>
      </c>
      <c r="R5933" s="2" t="inlineStr"/>
    </row>
    <row r="5934" ht="15" customHeight="1">
      <c r="A5934" t="inlineStr">
        <is>
          <t>A 27923-2023</t>
        </is>
      </c>
      <c r="B5934" s="1" t="n">
        <v>45098</v>
      </c>
      <c r="C5934" s="1" t="n">
        <v>45798</v>
      </c>
      <c r="D5934" t="inlineStr">
        <is>
          <t>NORRBOTTENS LÄN</t>
        </is>
      </c>
      <c r="E5934" t="inlineStr">
        <is>
          <t>PITEÅ</t>
        </is>
      </c>
      <c r="F5934" t="inlineStr">
        <is>
          <t>Övriga Aktiebolag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27982-2023</t>
        </is>
      </c>
      <c r="B5935" s="1" t="n">
        <v>45098</v>
      </c>
      <c r="C5935" s="1" t="n">
        <v>45798</v>
      </c>
      <c r="D5935" t="inlineStr">
        <is>
          <t>NORRBOTTENS LÄN</t>
        </is>
      </c>
      <c r="E5935" t="inlineStr">
        <is>
          <t>PAJALA</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27999-2023</t>
        </is>
      </c>
      <c r="B5936" s="1" t="n">
        <v>45099</v>
      </c>
      <c r="C5936" s="1" t="n">
        <v>45798</v>
      </c>
      <c r="D5936" t="inlineStr">
        <is>
          <t>NORRBOTTENS LÄN</t>
        </is>
      </c>
      <c r="E5936" t="inlineStr">
        <is>
          <t>LULEÅ</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29490-2023</t>
        </is>
      </c>
      <c r="B5937" s="1" t="n">
        <v>45098</v>
      </c>
      <c r="C5937" s="1" t="n">
        <v>45798</v>
      </c>
      <c r="D5937" t="inlineStr">
        <is>
          <t>NORRBOTTENS LÄN</t>
        </is>
      </c>
      <c r="E5937" t="inlineStr">
        <is>
          <t>LULEÅ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29398-2023</t>
        </is>
      </c>
      <c r="B5938" s="1" t="n">
        <v>45098</v>
      </c>
      <c r="C5938" s="1" t="n">
        <v>45798</v>
      </c>
      <c r="D5938" t="inlineStr">
        <is>
          <t>NORRBOTTENS LÄN</t>
        </is>
      </c>
      <c r="E5938" t="inlineStr">
        <is>
          <t>PITEÅ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29510-2023</t>
        </is>
      </c>
      <c r="B5939" s="1" t="n">
        <v>45098</v>
      </c>
      <c r="C5939" s="1" t="n">
        <v>45798</v>
      </c>
      <c r="D5939" t="inlineStr">
        <is>
          <t>NORRBOTTENS LÄN</t>
        </is>
      </c>
      <c r="E5939" t="inlineStr">
        <is>
          <t>LULEÅ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29580-2023</t>
        </is>
      </c>
      <c r="B5940" s="1" t="n">
        <v>45098</v>
      </c>
      <c r="C5940" s="1" t="n">
        <v>45798</v>
      </c>
      <c r="D5940" t="inlineStr">
        <is>
          <t>NORRBOTTENS LÄN</t>
        </is>
      </c>
      <c r="E5940" t="inlineStr">
        <is>
          <t>ARVIDSJAUR</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29636-2023</t>
        </is>
      </c>
      <c r="B5941" s="1" t="n">
        <v>45098</v>
      </c>
      <c r="C5941" s="1" t="n">
        <v>45798</v>
      </c>
      <c r="D5941" t="inlineStr">
        <is>
          <t>NORRBOTTENS LÄN</t>
        </is>
      </c>
      <c r="E5941" t="inlineStr">
        <is>
          <t>ARVIDSJAUR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29537-2023</t>
        </is>
      </c>
      <c r="B5942" s="1" t="n">
        <v>45098</v>
      </c>
      <c r="C5942" s="1" t="n">
        <v>45798</v>
      </c>
      <c r="D5942" t="inlineStr">
        <is>
          <t>NORRBOTTENS LÄN</t>
        </is>
      </c>
      <c r="E5942" t="inlineStr">
        <is>
          <t>LULEÅ</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29407-2023</t>
        </is>
      </c>
      <c r="B5943" s="1" t="n">
        <v>45098</v>
      </c>
      <c r="C5943" s="1" t="n">
        <v>45798</v>
      </c>
      <c r="D5943" t="inlineStr">
        <is>
          <t>NORRBOTTENS LÄN</t>
        </is>
      </c>
      <c r="E5943" t="inlineStr">
        <is>
          <t>PITEÅ</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29639-2023</t>
        </is>
      </c>
      <c r="B5944" s="1" t="n">
        <v>45098</v>
      </c>
      <c r="C5944" s="1" t="n">
        <v>45798</v>
      </c>
      <c r="D5944" t="inlineStr">
        <is>
          <t>NORRBOTTENS LÄN</t>
        </is>
      </c>
      <c r="E5944" t="inlineStr">
        <is>
          <t>ARVIDSJAUR</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29427-2023</t>
        </is>
      </c>
      <c r="B5945" s="1" t="n">
        <v>45098</v>
      </c>
      <c r="C5945" s="1" t="n">
        <v>45798</v>
      </c>
      <c r="D5945" t="inlineStr">
        <is>
          <t>NORRBOTTENS LÄN</t>
        </is>
      </c>
      <c r="E5945" t="inlineStr">
        <is>
          <t>PITEÅ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29402-2023</t>
        </is>
      </c>
      <c r="B5946" s="1" t="n">
        <v>45098</v>
      </c>
      <c r="C5946" s="1" t="n">
        <v>45798</v>
      </c>
      <c r="D5946" t="inlineStr">
        <is>
          <t>NORRBOTTENS LÄN</t>
        </is>
      </c>
      <c r="E5946" t="inlineStr">
        <is>
          <t>PITEÅ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29638-2023</t>
        </is>
      </c>
      <c r="B5947" s="1" t="n">
        <v>45098</v>
      </c>
      <c r="C5947" s="1" t="n">
        <v>45798</v>
      </c>
      <c r="D5947" t="inlineStr">
        <is>
          <t>NORRBOTTENS LÄN</t>
        </is>
      </c>
      <c r="E5947" t="inlineStr">
        <is>
          <t>ÄLVSBYN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29602-2023</t>
        </is>
      </c>
      <c r="B5948" s="1" t="n">
        <v>45098</v>
      </c>
      <c r="C5948" s="1" t="n">
        <v>45798</v>
      </c>
      <c r="D5948" t="inlineStr">
        <is>
          <t>NORRBOTTENS LÄN</t>
        </is>
      </c>
      <c r="E5948" t="inlineStr">
        <is>
          <t>ARVIDSJAUR</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28090-2023</t>
        </is>
      </c>
      <c r="B5949" s="1" t="n">
        <v>45099</v>
      </c>
      <c r="C5949" s="1" t="n">
        <v>45798</v>
      </c>
      <c r="D5949" t="inlineStr">
        <is>
          <t>NORRBOTTENS LÄN</t>
        </is>
      </c>
      <c r="E5949" t="inlineStr">
        <is>
          <t>JOKKMOKK</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28094-2023</t>
        </is>
      </c>
      <c r="B5950" s="1" t="n">
        <v>45099</v>
      </c>
      <c r="C5950" s="1" t="n">
        <v>45798</v>
      </c>
      <c r="D5950" t="inlineStr">
        <is>
          <t>NORRBOTTENS LÄN</t>
        </is>
      </c>
      <c r="E5950" t="inlineStr">
        <is>
          <t>ÄLVSBYN</t>
        </is>
      </c>
      <c r="F5950" t="inlineStr">
        <is>
          <t>Sveaskog</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28100-2023</t>
        </is>
      </c>
      <c r="B5951" s="1" t="n">
        <v>45099</v>
      </c>
      <c r="C5951" s="1" t="n">
        <v>45798</v>
      </c>
      <c r="D5951" t="inlineStr">
        <is>
          <t>NORRBOTTENS LÄN</t>
        </is>
      </c>
      <c r="E5951" t="inlineStr">
        <is>
          <t>PAJALA</t>
        </is>
      </c>
      <c r="F5951" t="inlineStr">
        <is>
          <t>Sveaskog</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28109-2023</t>
        </is>
      </c>
      <c r="B5952" s="1" t="n">
        <v>45099</v>
      </c>
      <c r="C5952" s="1" t="n">
        <v>45798</v>
      </c>
      <c r="D5952" t="inlineStr">
        <is>
          <t>NORRBOTTENS LÄN</t>
        </is>
      </c>
      <c r="E5952" t="inlineStr">
        <is>
          <t>BODEN</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28236-2023</t>
        </is>
      </c>
      <c r="B5953" s="1" t="n">
        <v>45099</v>
      </c>
      <c r="C5953" s="1" t="n">
        <v>45798</v>
      </c>
      <c r="D5953" t="inlineStr">
        <is>
          <t>NORRBOTTENS LÄN</t>
        </is>
      </c>
      <c r="E5953" t="inlineStr">
        <is>
          <t>PITEÅ</t>
        </is>
      </c>
      <c r="F5953" t="inlineStr">
        <is>
          <t>Sveaskog</t>
        </is>
      </c>
      <c r="G5953" t="n">
        <v>13.1</v>
      </c>
      <c r="H5953" t="n">
        <v>0</v>
      </c>
      <c r="I5953" t="n">
        <v>0</v>
      </c>
      <c r="J5953" t="n">
        <v>0</v>
      </c>
      <c r="K5953" t="n">
        <v>0</v>
      </c>
      <c r="L5953" t="n">
        <v>0</v>
      </c>
      <c r="M5953" t="n">
        <v>0</v>
      </c>
      <c r="N5953" t="n">
        <v>0</v>
      </c>
      <c r="O5953" t="n">
        <v>0</v>
      </c>
      <c r="P5953" t="n">
        <v>0</v>
      </c>
      <c r="Q5953" t="n">
        <v>0</v>
      </c>
      <c r="R5953" s="2" t="inlineStr"/>
    </row>
    <row r="5954" ht="15" customHeight="1">
      <c r="A5954" t="inlineStr">
        <is>
          <t>A 28177-2023</t>
        </is>
      </c>
      <c r="B5954" s="1" t="n">
        <v>45099</v>
      </c>
      <c r="C5954" s="1" t="n">
        <v>45798</v>
      </c>
      <c r="D5954" t="inlineStr">
        <is>
          <t>NORRBOTTENS LÄN</t>
        </is>
      </c>
      <c r="E5954" t="inlineStr">
        <is>
          <t>GÄLLIVARE</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28307-2023</t>
        </is>
      </c>
      <c r="B5955" s="1" t="n">
        <v>45099</v>
      </c>
      <c r="C5955" s="1" t="n">
        <v>45798</v>
      </c>
      <c r="D5955" t="inlineStr">
        <is>
          <t>NORRBOTTENS LÄN</t>
        </is>
      </c>
      <c r="E5955" t="inlineStr">
        <is>
          <t>ARVIDSJAUR</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28311-2023</t>
        </is>
      </c>
      <c r="B5956" s="1" t="n">
        <v>45099</v>
      </c>
      <c r="C5956" s="1" t="n">
        <v>45798</v>
      </c>
      <c r="D5956" t="inlineStr">
        <is>
          <t>NORRBOTTENS LÄN</t>
        </is>
      </c>
      <c r="E5956" t="inlineStr">
        <is>
          <t>ARVIDSJAUR</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28357-2023</t>
        </is>
      </c>
      <c r="B5957" s="1" t="n">
        <v>45100</v>
      </c>
      <c r="C5957" s="1" t="n">
        <v>45798</v>
      </c>
      <c r="D5957" t="inlineStr">
        <is>
          <t>NORRBOTTENS LÄN</t>
        </is>
      </c>
      <c r="E5957" t="inlineStr">
        <is>
          <t>BODEN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28389-2023</t>
        </is>
      </c>
      <c r="B5958" s="1" t="n">
        <v>45100</v>
      </c>
      <c r="C5958" s="1" t="n">
        <v>45798</v>
      </c>
      <c r="D5958" t="inlineStr">
        <is>
          <t>NORRBOTTENS LÄN</t>
        </is>
      </c>
      <c r="E5958" t="inlineStr">
        <is>
          <t>PITEÅ</t>
        </is>
      </c>
      <c r="F5958" t="inlineStr">
        <is>
          <t>SCA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28354-2023</t>
        </is>
      </c>
      <c r="B5959" s="1" t="n">
        <v>45100</v>
      </c>
      <c r="C5959" s="1" t="n">
        <v>45798</v>
      </c>
      <c r="D5959" t="inlineStr">
        <is>
          <t>NORRBOTTENS LÄN</t>
        </is>
      </c>
      <c r="E5959" t="inlineStr">
        <is>
          <t>ÄLVSBYN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28313-2023</t>
        </is>
      </c>
      <c r="B5960" s="1" t="n">
        <v>45099</v>
      </c>
      <c r="C5960" s="1" t="n">
        <v>45798</v>
      </c>
      <c r="D5960" t="inlineStr">
        <is>
          <t>NORRBOTTENS LÄN</t>
        </is>
      </c>
      <c r="E5960" t="inlineStr">
        <is>
          <t>ARVIDSJAUR</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28379-2023</t>
        </is>
      </c>
      <c r="B5961" s="1" t="n">
        <v>45100</v>
      </c>
      <c r="C5961" s="1" t="n">
        <v>45798</v>
      </c>
      <c r="D5961" t="inlineStr">
        <is>
          <t>NORRBOTTENS LÄN</t>
        </is>
      </c>
      <c r="E5961" t="inlineStr">
        <is>
          <t>PAJALA</t>
        </is>
      </c>
      <c r="F5961" t="inlineStr">
        <is>
          <t>SCA</t>
        </is>
      </c>
      <c r="G5961" t="n">
        <v>53.1</v>
      </c>
      <c r="H5961" t="n">
        <v>0</v>
      </c>
      <c r="I5961" t="n">
        <v>0</v>
      </c>
      <c r="J5961" t="n">
        <v>0</v>
      </c>
      <c r="K5961" t="n">
        <v>0</v>
      </c>
      <c r="L5961" t="n">
        <v>0</v>
      </c>
      <c r="M5961" t="n">
        <v>0</v>
      </c>
      <c r="N5961" t="n">
        <v>0</v>
      </c>
      <c r="O5961" t="n">
        <v>0</v>
      </c>
      <c r="P5961" t="n">
        <v>0</v>
      </c>
      <c r="Q5961" t="n">
        <v>0</v>
      </c>
      <c r="R5961" s="2" t="inlineStr"/>
    </row>
    <row r="5962" ht="15" customHeight="1">
      <c r="A5962" t="inlineStr">
        <is>
          <t>A 28390-2023</t>
        </is>
      </c>
      <c r="B5962" s="1" t="n">
        <v>45100</v>
      </c>
      <c r="C5962" s="1" t="n">
        <v>45798</v>
      </c>
      <c r="D5962" t="inlineStr">
        <is>
          <t>NORRBOTTENS LÄN</t>
        </is>
      </c>
      <c r="E5962" t="inlineStr">
        <is>
          <t>PITEÅ</t>
        </is>
      </c>
      <c r="F5962" t="inlineStr">
        <is>
          <t>SCA</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28391-2023</t>
        </is>
      </c>
      <c r="B5963" s="1" t="n">
        <v>45100</v>
      </c>
      <c r="C5963" s="1" t="n">
        <v>45798</v>
      </c>
      <c r="D5963" t="inlineStr">
        <is>
          <t>NORRBOTTENS LÄN</t>
        </is>
      </c>
      <c r="E5963" t="inlineStr">
        <is>
          <t>PITEÅ</t>
        </is>
      </c>
      <c r="F5963" t="inlineStr">
        <is>
          <t>SCA</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28359-2023</t>
        </is>
      </c>
      <c r="B5964" s="1" t="n">
        <v>45099</v>
      </c>
      <c r="C5964" s="1" t="n">
        <v>45798</v>
      </c>
      <c r="D5964" t="inlineStr">
        <is>
          <t>NORRBOTTENS LÄN</t>
        </is>
      </c>
      <c r="E5964" t="inlineStr">
        <is>
          <t>BODEN</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30134-2023</t>
        </is>
      </c>
      <c r="B5965" s="1" t="n">
        <v>45099</v>
      </c>
      <c r="C5965" s="1" t="n">
        <v>45798</v>
      </c>
      <c r="D5965" t="inlineStr">
        <is>
          <t>NORRBOTTENS LÄN</t>
        </is>
      </c>
      <c r="E5965" t="inlineStr">
        <is>
          <t>HAPARANDA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30141-2023</t>
        </is>
      </c>
      <c r="B5966" s="1" t="n">
        <v>45099</v>
      </c>
      <c r="C5966" s="1" t="n">
        <v>45798</v>
      </c>
      <c r="D5966" t="inlineStr">
        <is>
          <t>NORRBOTTENS LÄN</t>
        </is>
      </c>
      <c r="E5966" t="inlineStr">
        <is>
          <t>HAPARANDA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30193-2023</t>
        </is>
      </c>
      <c r="B5967" s="1" t="n">
        <v>45099</v>
      </c>
      <c r="C5967" s="1" t="n">
        <v>45798</v>
      </c>
      <c r="D5967" t="inlineStr">
        <is>
          <t>NORRBOTTENS LÄN</t>
        </is>
      </c>
      <c r="E5967" t="inlineStr">
        <is>
          <t>PAJALA</t>
        </is>
      </c>
      <c r="G5967" t="n">
        <v>26.1</v>
      </c>
      <c r="H5967" t="n">
        <v>0</v>
      </c>
      <c r="I5967" t="n">
        <v>0</v>
      </c>
      <c r="J5967" t="n">
        <v>0</v>
      </c>
      <c r="K5967" t="n">
        <v>0</v>
      </c>
      <c r="L5967" t="n">
        <v>0</v>
      </c>
      <c r="M5967" t="n">
        <v>0</v>
      </c>
      <c r="N5967" t="n">
        <v>0</v>
      </c>
      <c r="O5967" t="n">
        <v>0</v>
      </c>
      <c r="P5967" t="n">
        <v>0</v>
      </c>
      <c r="Q5967" t="n">
        <v>0</v>
      </c>
      <c r="R5967" s="2" t="inlineStr"/>
    </row>
    <row r="5968" ht="15" customHeight="1">
      <c r="A5968" t="inlineStr">
        <is>
          <t>A 30114-2023</t>
        </is>
      </c>
      <c r="B5968" s="1" t="n">
        <v>45099</v>
      </c>
      <c r="C5968" s="1" t="n">
        <v>45798</v>
      </c>
      <c r="D5968" t="inlineStr">
        <is>
          <t>NORRBOTTENS LÄN</t>
        </is>
      </c>
      <c r="E5968" t="inlineStr">
        <is>
          <t>BODEN</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30480-2023</t>
        </is>
      </c>
      <c r="B5969" s="1" t="n">
        <v>45099</v>
      </c>
      <c r="C5969" s="1" t="n">
        <v>45798</v>
      </c>
      <c r="D5969" t="inlineStr">
        <is>
          <t>NORRBOTTENS LÄN</t>
        </is>
      </c>
      <c r="E5969" t="inlineStr">
        <is>
          <t>PAJALA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30105-2023</t>
        </is>
      </c>
      <c r="B5970" s="1" t="n">
        <v>45099</v>
      </c>
      <c r="C5970" s="1" t="n">
        <v>45798</v>
      </c>
      <c r="D5970" t="inlineStr">
        <is>
          <t>NORRBOTTENS LÄN</t>
        </is>
      </c>
      <c r="E5970" t="inlineStr">
        <is>
          <t>BODEN</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28396-2023</t>
        </is>
      </c>
      <c r="B5971" s="1" t="n">
        <v>45100</v>
      </c>
      <c r="C5971" s="1" t="n">
        <v>45798</v>
      </c>
      <c r="D5971" t="inlineStr">
        <is>
          <t>NORRBOTTENS LÄN</t>
        </is>
      </c>
      <c r="E5971" t="inlineStr">
        <is>
          <t>PITEÅ</t>
        </is>
      </c>
      <c r="G5971" t="n">
        <v>13.3</v>
      </c>
      <c r="H5971" t="n">
        <v>0</v>
      </c>
      <c r="I5971" t="n">
        <v>0</v>
      </c>
      <c r="J5971" t="n">
        <v>0</v>
      </c>
      <c r="K5971" t="n">
        <v>0</v>
      </c>
      <c r="L5971" t="n">
        <v>0</v>
      </c>
      <c r="M5971" t="n">
        <v>0</v>
      </c>
      <c r="N5971" t="n">
        <v>0</v>
      </c>
      <c r="O5971" t="n">
        <v>0</v>
      </c>
      <c r="P5971" t="n">
        <v>0</v>
      </c>
      <c r="Q5971" t="n">
        <v>0</v>
      </c>
      <c r="R5971" s="2" t="inlineStr"/>
    </row>
    <row r="5972" ht="15" customHeight="1">
      <c r="A5972" t="inlineStr">
        <is>
          <t>A 28444-2023</t>
        </is>
      </c>
      <c r="B5972" s="1" t="n">
        <v>45103</v>
      </c>
      <c r="C5972" s="1" t="n">
        <v>45798</v>
      </c>
      <c r="D5972" t="inlineStr">
        <is>
          <t>NORRBOTTENS LÄN</t>
        </is>
      </c>
      <c r="E5972" t="inlineStr">
        <is>
          <t>BODEN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28442-2023</t>
        </is>
      </c>
      <c r="B5973" s="1" t="n">
        <v>45102</v>
      </c>
      <c r="C5973" s="1" t="n">
        <v>45798</v>
      </c>
      <c r="D5973" t="inlineStr">
        <is>
          <t>NORRBOTTENS LÄN</t>
        </is>
      </c>
      <c r="E5973" t="inlineStr">
        <is>
          <t>BODEN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28466-2023</t>
        </is>
      </c>
      <c r="B5974" s="1" t="n">
        <v>45103</v>
      </c>
      <c r="C5974" s="1" t="n">
        <v>45798</v>
      </c>
      <c r="D5974" t="inlineStr">
        <is>
          <t>NORRBOTTENS LÄN</t>
        </is>
      </c>
      <c r="E5974" t="inlineStr">
        <is>
          <t>PAJALA</t>
        </is>
      </c>
      <c r="F5974" t="inlineStr">
        <is>
          <t>Sveaskog</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28465-2023</t>
        </is>
      </c>
      <c r="B5975" s="1" t="n">
        <v>45103</v>
      </c>
      <c r="C5975" s="1" t="n">
        <v>45798</v>
      </c>
      <c r="D5975" t="inlineStr">
        <is>
          <t>NORRBOTTENS LÄN</t>
        </is>
      </c>
      <c r="E5975" t="inlineStr">
        <is>
          <t>PAJALA</t>
        </is>
      </c>
      <c r="F5975" t="inlineStr">
        <is>
          <t>Sveaskog</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28489-2023</t>
        </is>
      </c>
      <c r="B5976" s="1" t="n">
        <v>45103</v>
      </c>
      <c r="C5976" s="1" t="n">
        <v>45798</v>
      </c>
      <c r="D5976" t="inlineStr">
        <is>
          <t>NORRBOTTENS LÄN</t>
        </is>
      </c>
      <c r="E5976" t="inlineStr">
        <is>
          <t>PITEÅ</t>
        </is>
      </c>
      <c r="F5976" t="inlineStr">
        <is>
          <t>Sveaskog</t>
        </is>
      </c>
      <c r="G5976" t="n">
        <v>19.4</v>
      </c>
      <c r="H5976" t="n">
        <v>0</v>
      </c>
      <c r="I5976" t="n">
        <v>0</v>
      </c>
      <c r="J5976" t="n">
        <v>0</v>
      </c>
      <c r="K5976" t="n">
        <v>0</v>
      </c>
      <c r="L5976" t="n">
        <v>0</v>
      </c>
      <c r="M5976" t="n">
        <v>0</v>
      </c>
      <c r="N5976" t="n">
        <v>0</v>
      </c>
      <c r="O5976" t="n">
        <v>0</v>
      </c>
      <c r="P5976" t="n">
        <v>0</v>
      </c>
      <c r="Q5976" t="n">
        <v>0</v>
      </c>
      <c r="R5976" s="2" t="inlineStr"/>
    </row>
    <row r="5977" ht="15" customHeight="1">
      <c r="A5977" t="inlineStr">
        <is>
          <t>A 28569-2023</t>
        </is>
      </c>
      <c r="B5977" s="1" t="n">
        <v>45103</v>
      </c>
      <c r="C5977" s="1" t="n">
        <v>45798</v>
      </c>
      <c r="D5977" t="inlineStr">
        <is>
          <t>NORRBOTTENS LÄN</t>
        </is>
      </c>
      <c r="E5977" t="inlineStr">
        <is>
          <t>ÄLVSBYN</t>
        </is>
      </c>
      <c r="F5977" t="inlineStr">
        <is>
          <t>Övriga Aktiebolag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28691-2023</t>
        </is>
      </c>
      <c r="B5978" s="1" t="n">
        <v>45103</v>
      </c>
      <c r="C5978" s="1" t="n">
        <v>45798</v>
      </c>
      <c r="D5978" t="inlineStr">
        <is>
          <t>NORRBOTTENS LÄN</t>
        </is>
      </c>
      <c r="E5978" t="inlineStr">
        <is>
          <t>PAJALA</t>
        </is>
      </c>
      <c r="F5978" t="inlineStr">
        <is>
          <t>Sveaskog</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28757-2023</t>
        </is>
      </c>
      <c r="B5979" s="1" t="n">
        <v>45103</v>
      </c>
      <c r="C5979" s="1" t="n">
        <v>45798</v>
      </c>
      <c r="D5979" t="inlineStr">
        <is>
          <t>NORRBOTTENS LÄN</t>
        </is>
      </c>
      <c r="E5979" t="inlineStr">
        <is>
          <t>ÄLVSBYN</t>
        </is>
      </c>
      <c r="F5979" t="inlineStr">
        <is>
          <t>SCA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28692-2023</t>
        </is>
      </c>
      <c r="B5980" s="1" t="n">
        <v>45103</v>
      </c>
      <c r="C5980" s="1" t="n">
        <v>45798</v>
      </c>
      <c r="D5980" t="inlineStr">
        <is>
          <t>NORRBOTTENS LÄN</t>
        </is>
      </c>
      <c r="E5980" t="inlineStr">
        <is>
          <t>PAJALA</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28746-2023</t>
        </is>
      </c>
      <c r="B5981" s="1" t="n">
        <v>45104</v>
      </c>
      <c r="C5981" s="1" t="n">
        <v>45798</v>
      </c>
      <c r="D5981" t="inlineStr">
        <is>
          <t>NORRBOTTENS LÄN</t>
        </is>
      </c>
      <c r="E5981" t="inlineStr">
        <is>
          <t>BODEN</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28755-2023</t>
        </is>
      </c>
      <c r="B5982" s="1" t="n">
        <v>45104</v>
      </c>
      <c r="C5982" s="1" t="n">
        <v>45798</v>
      </c>
      <c r="D5982" t="inlineStr">
        <is>
          <t>NORRBOTTENS LÄN</t>
        </is>
      </c>
      <c r="E5982" t="inlineStr">
        <is>
          <t>ÄLVSBYN</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28733-2023</t>
        </is>
      </c>
      <c r="B5983" s="1" t="n">
        <v>45104</v>
      </c>
      <c r="C5983" s="1" t="n">
        <v>45798</v>
      </c>
      <c r="D5983" t="inlineStr">
        <is>
          <t>NORRBOTTENS LÄN</t>
        </is>
      </c>
      <c r="E5983" t="inlineStr">
        <is>
          <t>PITEÅ</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28745-2023</t>
        </is>
      </c>
      <c r="B5984" s="1" t="n">
        <v>45104</v>
      </c>
      <c r="C5984" s="1" t="n">
        <v>45798</v>
      </c>
      <c r="D5984" t="inlineStr">
        <is>
          <t>NORRBOTTENS LÄN</t>
        </is>
      </c>
      <c r="E5984" t="inlineStr">
        <is>
          <t>BODEN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30756-2023</t>
        </is>
      </c>
      <c r="B5985" s="1" t="n">
        <v>45103</v>
      </c>
      <c r="C5985" s="1" t="n">
        <v>45798</v>
      </c>
      <c r="D5985" t="inlineStr">
        <is>
          <t>NORRBOTTENS LÄN</t>
        </is>
      </c>
      <c r="E5985" t="inlineStr">
        <is>
          <t>ARVIDSJAUR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30757-2023</t>
        </is>
      </c>
      <c r="B5986" s="1" t="n">
        <v>45103</v>
      </c>
      <c r="C5986" s="1" t="n">
        <v>45798</v>
      </c>
      <c r="D5986" t="inlineStr">
        <is>
          <t>NORRBOTTENS LÄN</t>
        </is>
      </c>
      <c r="E5986" t="inlineStr">
        <is>
          <t>ARVIDSJAUR</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30753-2023</t>
        </is>
      </c>
      <c r="B5987" s="1" t="n">
        <v>45103</v>
      </c>
      <c r="C5987" s="1" t="n">
        <v>45798</v>
      </c>
      <c r="D5987" t="inlineStr">
        <is>
          <t>NORRBOTTENS LÄN</t>
        </is>
      </c>
      <c r="E5987" t="inlineStr">
        <is>
          <t>ARVIDSJAUR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28574-2023</t>
        </is>
      </c>
      <c r="B5988" s="1" t="n">
        <v>45103</v>
      </c>
      <c r="C5988" s="1" t="n">
        <v>45798</v>
      </c>
      <c r="D5988" t="inlineStr">
        <is>
          <t>NORRBOTTENS LÄN</t>
        </is>
      </c>
      <c r="E5988" t="inlineStr">
        <is>
          <t>BODEN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28583-2023</t>
        </is>
      </c>
      <c r="B5989" s="1" t="n">
        <v>45103</v>
      </c>
      <c r="C5989" s="1" t="n">
        <v>45798</v>
      </c>
      <c r="D5989" t="inlineStr">
        <is>
          <t>NORRBOTTENS LÄN</t>
        </is>
      </c>
      <c r="E5989" t="inlineStr">
        <is>
          <t>ÄLVSBYN</t>
        </is>
      </c>
      <c r="F5989" t="inlineStr">
        <is>
          <t>Övriga Aktiebolag</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28634-2023</t>
        </is>
      </c>
      <c r="B5990" s="1" t="n">
        <v>45103</v>
      </c>
      <c r="C5990" s="1" t="n">
        <v>45798</v>
      </c>
      <c r="D5990" t="inlineStr">
        <is>
          <t>NORRBOTTENS LÄN</t>
        </is>
      </c>
      <c r="E5990" t="inlineStr">
        <is>
          <t>PAJALA</t>
        </is>
      </c>
      <c r="F5990" t="inlineStr">
        <is>
          <t>Sveaskog</t>
        </is>
      </c>
      <c r="G5990" t="n">
        <v>20</v>
      </c>
      <c r="H5990" t="n">
        <v>0</v>
      </c>
      <c r="I5990" t="n">
        <v>0</v>
      </c>
      <c r="J5990" t="n">
        <v>0</v>
      </c>
      <c r="K5990" t="n">
        <v>0</v>
      </c>
      <c r="L5990" t="n">
        <v>0</v>
      </c>
      <c r="M5990" t="n">
        <v>0</v>
      </c>
      <c r="N5990" t="n">
        <v>0</v>
      </c>
      <c r="O5990" t="n">
        <v>0</v>
      </c>
      <c r="P5990" t="n">
        <v>0</v>
      </c>
      <c r="Q5990" t="n">
        <v>0</v>
      </c>
      <c r="R5990" s="2" t="inlineStr"/>
    </row>
    <row r="5991" ht="15" customHeight="1">
      <c r="A5991" t="inlineStr">
        <is>
          <t>A 28756-2023</t>
        </is>
      </c>
      <c r="B5991" s="1" t="n">
        <v>45104</v>
      </c>
      <c r="C5991" s="1" t="n">
        <v>45798</v>
      </c>
      <c r="D5991" t="inlineStr">
        <is>
          <t>NORRBOTTENS LÄN</t>
        </is>
      </c>
      <c r="E5991" t="inlineStr">
        <is>
          <t>ÄLVSBYN</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30752-2023</t>
        </is>
      </c>
      <c r="B5992" s="1" t="n">
        <v>45103</v>
      </c>
      <c r="C5992" s="1" t="n">
        <v>45798</v>
      </c>
      <c r="D5992" t="inlineStr">
        <is>
          <t>NORRBOTTENS LÄN</t>
        </is>
      </c>
      <c r="E5992" t="inlineStr">
        <is>
          <t>ARVIDSJAUR</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30765-2023</t>
        </is>
      </c>
      <c r="B5993" s="1" t="n">
        <v>45103</v>
      </c>
      <c r="C5993" s="1" t="n">
        <v>45798</v>
      </c>
      <c r="D5993" t="inlineStr">
        <is>
          <t>NORRBOTTENS LÄN</t>
        </is>
      </c>
      <c r="E5993" t="inlineStr">
        <is>
          <t>GÄLLIVARE</t>
        </is>
      </c>
      <c r="F5993" t="inlineStr">
        <is>
          <t>Allmännings- och besparingsskogar</t>
        </is>
      </c>
      <c r="G5993" t="n">
        <v>10.8</v>
      </c>
      <c r="H5993" t="n">
        <v>0</v>
      </c>
      <c r="I5993" t="n">
        <v>0</v>
      </c>
      <c r="J5993" t="n">
        <v>0</v>
      </c>
      <c r="K5993" t="n">
        <v>0</v>
      </c>
      <c r="L5993" t="n">
        <v>0</v>
      </c>
      <c r="M5993" t="n">
        <v>0</v>
      </c>
      <c r="N5993" t="n">
        <v>0</v>
      </c>
      <c r="O5993" t="n">
        <v>0</v>
      </c>
      <c r="P5993" t="n">
        <v>0</v>
      </c>
      <c r="Q5993" t="n">
        <v>0</v>
      </c>
      <c r="R5993" s="2" t="inlineStr"/>
    </row>
    <row r="5994" ht="15" customHeight="1">
      <c r="A5994" t="inlineStr">
        <is>
          <t>A 31238-2023</t>
        </is>
      </c>
      <c r="B5994" s="1" t="n">
        <v>45103</v>
      </c>
      <c r="C5994" s="1" t="n">
        <v>45798</v>
      </c>
      <c r="D5994" t="inlineStr">
        <is>
          <t>NORRBOTTENS LÄN</t>
        </is>
      </c>
      <c r="E5994" t="inlineStr">
        <is>
          <t>HAPARANDA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31236-2023</t>
        </is>
      </c>
      <c r="B5995" s="1" t="n">
        <v>45103</v>
      </c>
      <c r="C5995" s="1" t="n">
        <v>45798</v>
      </c>
      <c r="D5995" t="inlineStr">
        <is>
          <t>NORRBOTTENS LÄN</t>
        </is>
      </c>
      <c r="E5995" t="inlineStr">
        <is>
          <t>HAPARANDA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31242-2023</t>
        </is>
      </c>
      <c r="B5996" s="1" t="n">
        <v>45103</v>
      </c>
      <c r="C5996" s="1" t="n">
        <v>45798</v>
      </c>
      <c r="D5996" t="inlineStr">
        <is>
          <t>NORRBOTTENS LÄN</t>
        </is>
      </c>
      <c r="E5996" t="inlineStr">
        <is>
          <t>HAPARANDA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28859-2023</t>
        </is>
      </c>
      <c r="B5997" s="1" t="n">
        <v>45104</v>
      </c>
      <c r="C5997" s="1" t="n">
        <v>45798</v>
      </c>
      <c r="D5997" t="inlineStr">
        <is>
          <t>NORRBOTTENS LÄN</t>
        </is>
      </c>
      <c r="E5997" t="inlineStr">
        <is>
          <t>PITEÅ</t>
        </is>
      </c>
      <c r="G5997" t="n">
        <v>23.2</v>
      </c>
      <c r="H5997" t="n">
        <v>0</v>
      </c>
      <c r="I5997" t="n">
        <v>0</v>
      </c>
      <c r="J5997" t="n">
        <v>0</v>
      </c>
      <c r="K5997" t="n">
        <v>0</v>
      </c>
      <c r="L5997" t="n">
        <v>0</v>
      </c>
      <c r="M5997" t="n">
        <v>0</v>
      </c>
      <c r="N5997" t="n">
        <v>0</v>
      </c>
      <c r="O5997" t="n">
        <v>0</v>
      </c>
      <c r="P5997" t="n">
        <v>0</v>
      </c>
      <c r="Q5997" t="n">
        <v>0</v>
      </c>
      <c r="R5997" s="2" t="inlineStr"/>
    </row>
    <row r="5998" ht="15" customHeight="1">
      <c r="A5998" t="inlineStr">
        <is>
          <t>A 28916-2023</t>
        </is>
      </c>
      <c r="B5998" s="1" t="n">
        <v>45104</v>
      </c>
      <c r="C5998" s="1" t="n">
        <v>45798</v>
      </c>
      <c r="D5998" t="inlineStr">
        <is>
          <t>NORRBOTTENS LÄN</t>
        </is>
      </c>
      <c r="E5998" t="inlineStr">
        <is>
          <t>BODEN</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28993-2023</t>
        </is>
      </c>
      <c r="B5999" s="1" t="n">
        <v>45104</v>
      </c>
      <c r="C5999" s="1" t="n">
        <v>45798</v>
      </c>
      <c r="D5999" t="inlineStr">
        <is>
          <t>NORRBOTTENS LÄN</t>
        </is>
      </c>
      <c r="E5999" t="inlineStr">
        <is>
          <t>PITEÅ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31347-2023</t>
        </is>
      </c>
      <c r="B6000" s="1" t="n">
        <v>45104</v>
      </c>
      <c r="C6000" s="1" t="n">
        <v>45798</v>
      </c>
      <c r="D6000" t="inlineStr">
        <is>
          <t>NORRBOTTENS LÄN</t>
        </is>
      </c>
      <c r="E6000" t="inlineStr">
        <is>
          <t>LULEÅ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31338-2023</t>
        </is>
      </c>
      <c r="B6001" s="1" t="n">
        <v>45104</v>
      </c>
      <c r="C6001" s="1" t="n">
        <v>45798</v>
      </c>
      <c r="D6001" t="inlineStr">
        <is>
          <t>NORRBOTTENS LÄN</t>
        </is>
      </c>
      <c r="E6001" t="inlineStr">
        <is>
          <t>LULEÅ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31428-2023</t>
        </is>
      </c>
      <c r="B6002" s="1" t="n">
        <v>45104</v>
      </c>
      <c r="C6002" s="1" t="n">
        <v>45798</v>
      </c>
      <c r="D6002" t="inlineStr">
        <is>
          <t>NORRBOTTENS LÄN</t>
        </is>
      </c>
      <c r="E6002" t="inlineStr">
        <is>
          <t>PITEÅ</t>
        </is>
      </c>
      <c r="G6002" t="n">
        <v>10.7</v>
      </c>
      <c r="H6002" t="n">
        <v>0</v>
      </c>
      <c r="I6002" t="n">
        <v>0</v>
      </c>
      <c r="J6002" t="n">
        <v>0</v>
      </c>
      <c r="K6002" t="n">
        <v>0</v>
      </c>
      <c r="L6002" t="n">
        <v>0</v>
      </c>
      <c r="M6002" t="n">
        <v>0</v>
      </c>
      <c r="N6002" t="n">
        <v>0</v>
      </c>
      <c r="O6002" t="n">
        <v>0</v>
      </c>
      <c r="P6002" t="n">
        <v>0</v>
      </c>
      <c r="Q6002" t="n">
        <v>0</v>
      </c>
      <c r="R6002" s="2" t="inlineStr"/>
    </row>
    <row r="6003" ht="15" customHeight="1">
      <c r="A6003" t="inlineStr">
        <is>
          <t>A 28839-2023</t>
        </is>
      </c>
      <c r="B6003" s="1" t="n">
        <v>45104</v>
      </c>
      <c r="C6003" s="1" t="n">
        <v>45798</v>
      </c>
      <c r="D6003" t="inlineStr">
        <is>
          <t>NORRBOTTENS LÄN</t>
        </is>
      </c>
      <c r="E6003" t="inlineStr">
        <is>
          <t>ÖVERTORNEÅ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28851-2023</t>
        </is>
      </c>
      <c r="B6004" s="1" t="n">
        <v>45104</v>
      </c>
      <c r="C6004" s="1" t="n">
        <v>45798</v>
      </c>
      <c r="D6004" t="inlineStr">
        <is>
          <t>NORRBOTTENS LÄN</t>
        </is>
      </c>
      <c r="E6004" t="inlineStr">
        <is>
          <t>KALIX</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28837-2023</t>
        </is>
      </c>
      <c r="B6005" s="1" t="n">
        <v>45104</v>
      </c>
      <c r="C6005" s="1" t="n">
        <v>45798</v>
      </c>
      <c r="D6005" t="inlineStr">
        <is>
          <t>NORRBOTTENS LÄN</t>
        </is>
      </c>
      <c r="E6005" t="inlineStr">
        <is>
          <t>GÄLLIVARE</t>
        </is>
      </c>
      <c r="F6005" t="inlineStr">
        <is>
          <t>Sveaskog</t>
        </is>
      </c>
      <c r="G6005" t="n">
        <v>22.4</v>
      </c>
      <c r="H6005" t="n">
        <v>0</v>
      </c>
      <c r="I6005" t="n">
        <v>0</v>
      </c>
      <c r="J6005" t="n">
        <v>0</v>
      </c>
      <c r="K6005" t="n">
        <v>0</v>
      </c>
      <c r="L6005" t="n">
        <v>0</v>
      </c>
      <c r="M6005" t="n">
        <v>0</v>
      </c>
      <c r="N6005" t="n">
        <v>0</v>
      </c>
      <c r="O6005" t="n">
        <v>0</v>
      </c>
      <c r="P6005" t="n">
        <v>0</v>
      </c>
      <c r="Q6005" t="n">
        <v>0</v>
      </c>
      <c r="R6005" s="2" t="inlineStr"/>
    </row>
    <row r="6006" ht="15" customHeight="1">
      <c r="A6006" t="inlineStr">
        <is>
          <t>A 31436-2023</t>
        </is>
      </c>
      <c r="B6006" s="1" t="n">
        <v>45104</v>
      </c>
      <c r="C6006" s="1" t="n">
        <v>45798</v>
      </c>
      <c r="D6006" t="inlineStr">
        <is>
          <t>NORRBOTTENS LÄN</t>
        </is>
      </c>
      <c r="E6006" t="inlineStr">
        <is>
          <t>PITEÅ</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29243-2023</t>
        </is>
      </c>
      <c r="B6007" s="1" t="n">
        <v>45105</v>
      </c>
      <c r="C6007" s="1" t="n">
        <v>45798</v>
      </c>
      <c r="D6007" t="inlineStr">
        <is>
          <t>NORRBOTTENS LÄN</t>
        </is>
      </c>
      <c r="E6007" t="inlineStr">
        <is>
          <t>PAJALA</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29150-2023</t>
        </is>
      </c>
      <c r="B6008" s="1" t="n">
        <v>45105</v>
      </c>
      <c r="C6008" s="1" t="n">
        <v>45798</v>
      </c>
      <c r="D6008" t="inlineStr">
        <is>
          <t>NORRBOTTENS LÄN</t>
        </is>
      </c>
      <c r="E6008" t="inlineStr">
        <is>
          <t>BODEN</t>
        </is>
      </c>
      <c r="F6008" t="inlineStr">
        <is>
          <t>Sveaskog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29174-2023</t>
        </is>
      </c>
      <c r="B6009" s="1" t="n">
        <v>45105</v>
      </c>
      <c r="C6009" s="1" t="n">
        <v>45798</v>
      </c>
      <c r="D6009" t="inlineStr">
        <is>
          <t>NORRBOTTENS LÄN</t>
        </is>
      </c>
      <c r="E6009" t="inlineStr">
        <is>
          <t>BODEN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29215-2023</t>
        </is>
      </c>
      <c r="B6010" s="1" t="n">
        <v>45105</v>
      </c>
      <c r="C6010" s="1" t="n">
        <v>45798</v>
      </c>
      <c r="D6010" t="inlineStr">
        <is>
          <t>NORRBOTTENS LÄN</t>
        </is>
      </c>
      <c r="E6010" t="inlineStr">
        <is>
          <t>BODEN</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31666-2023</t>
        </is>
      </c>
      <c r="B6011" s="1" t="n">
        <v>45105</v>
      </c>
      <c r="C6011" s="1" t="n">
        <v>45798</v>
      </c>
      <c r="D6011" t="inlineStr">
        <is>
          <t>NORRBOTTENS LÄN</t>
        </is>
      </c>
      <c r="E6011" t="inlineStr">
        <is>
          <t>ARVIDSJAUR</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29309-2023</t>
        </is>
      </c>
      <c r="B6012" s="1" t="n">
        <v>45106</v>
      </c>
      <c r="C6012" s="1" t="n">
        <v>45798</v>
      </c>
      <c r="D6012" t="inlineStr">
        <is>
          <t>NORRBOTTENS LÄN</t>
        </is>
      </c>
      <c r="E6012" t="inlineStr">
        <is>
          <t>BODEN</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29310-2023</t>
        </is>
      </c>
      <c r="B6013" s="1" t="n">
        <v>45106</v>
      </c>
      <c r="C6013" s="1" t="n">
        <v>45798</v>
      </c>
      <c r="D6013" t="inlineStr">
        <is>
          <t>NORRBOTTENS LÄN</t>
        </is>
      </c>
      <c r="E6013" t="inlineStr">
        <is>
          <t>KALIX</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31655-2023</t>
        </is>
      </c>
      <c r="B6014" s="1" t="n">
        <v>45105</v>
      </c>
      <c r="C6014" s="1" t="n">
        <v>45798</v>
      </c>
      <c r="D6014" t="inlineStr">
        <is>
          <t>NORRBOTTENS LÄN</t>
        </is>
      </c>
      <c r="E6014" t="inlineStr">
        <is>
          <t>ÖVERKALIX</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29308-2023</t>
        </is>
      </c>
      <c r="B6015" s="1" t="n">
        <v>45106</v>
      </c>
      <c r="C6015" s="1" t="n">
        <v>45798</v>
      </c>
      <c r="D6015" t="inlineStr">
        <is>
          <t>NORRBOTTENS LÄN</t>
        </is>
      </c>
      <c r="E6015" t="inlineStr">
        <is>
          <t>BODEN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29307-2023</t>
        </is>
      </c>
      <c r="B6016" s="1" t="n">
        <v>45106</v>
      </c>
      <c r="C6016" s="1" t="n">
        <v>45798</v>
      </c>
      <c r="D6016" t="inlineStr">
        <is>
          <t>NORRBOTTENS LÄN</t>
        </is>
      </c>
      <c r="E6016" t="inlineStr">
        <is>
          <t>BODEN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29311-2023</t>
        </is>
      </c>
      <c r="B6017" s="1" t="n">
        <v>45106</v>
      </c>
      <c r="C6017" s="1" t="n">
        <v>45798</v>
      </c>
      <c r="D6017" t="inlineStr">
        <is>
          <t>NORRBOTTENS LÄN</t>
        </is>
      </c>
      <c r="E6017" t="inlineStr">
        <is>
          <t>BODEN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29377-2023</t>
        </is>
      </c>
      <c r="B6018" s="1" t="n">
        <v>45106</v>
      </c>
      <c r="C6018" s="1" t="n">
        <v>45798</v>
      </c>
      <c r="D6018" t="inlineStr">
        <is>
          <t>NORRBOTTENS LÄN</t>
        </is>
      </c>
      <c r="E6018" t="inlineStr">
        <is>
          <t>PITEÅ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29458-2023</t>
        </is>
      </c>
      <c r="B6019" s="1" t="n">
        <v>45106</v>
      </c>
      <c r="C6019" s="1" t="n">
        <v>45798</v>
      </c>
      <c r="D6019" t="inlineStr">
        <is>
          <t>NORRBOTTENS LÄN</t>
        </is>
      </c>
      <c r="E6019" t="inlineStr">
        <is>
          <t>LULEÅ</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29481-2023</t>
        </is>
      </c>
      <c r="B6020" s="1" t="n">
        <v>45106</v>
      </c>
      <c r="C6020" s="1" t="n">
        <v>45798</v>
      </c>
      <c r="D6020" t="inlineStr">
        <is>
          <t>NORRBOTTENS LÄN</t>
        </is>
      </c>
      <c r="E6020" t="inlineStr">
        <is>
          <t>PITEÅ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29457-2023</t>
        </is>
      </c>
      <c r="B6021" s="1" t="n">
        <v>45106</v>
      </c>
      <c r="C6021" s="1" t="n">
        <v>45798</v>
      </c>
      <c r="D6021" t="inlineStr">
        <is>
          <t>NORRBOTTENS LÄN</t>
        </is>
      </c>
      <c r="E6021" t="inlineStr">
        <is>
          <t>LULEÅ</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29483-2023</t>
        </is>
      </c>
      <c r="B6022" s="1" t="n">
        <v>45106</v>
      </c>
      <c r="C6022" s="1" t="n">
        <v>45798</v>
      </c>
      <c r="D6022" t="inlineStr">
        <is>
          <t>NORRBOTTENS LÄN</t>
        </is>
      </c>
      <c r="E6022" t="inlineStr">
        <is>
          <t>PITEÅ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29555-2023</t>
        </is>
      </c>
      <c r="B6023" s="1" t="n">
        <v>45106</v>
      </c>
      <c r="C6023" s="1" t="n">
        <v>45798</v>
      </c>
      <c r="D6023" t="inlineStr">
        <is>
          <t>NORRBOTTENS LÄN</t>
        </is>
      </c>
      <c r="E6023" t="inlineStr">
        <is>
          <t>PITEÅ</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31777-2023</t>
        </is>
      </c>
      <c r="B6024" s="1" t="n">
        <v>45106</v>
      </c>
      <c r="C6024" s="1" t="n">
        <v>45798</v>
      </c>
      <c r="D6024" t="inlineStr">
        <is>
          <t>NORRBOTTENS LÄN</t>
        </is>
      </c>
      <c r="E6024" t="inlineStr">
        <is>
          <t>PITEÅ</t>
        </is>
      </c>
      <c r="G6024" t="n">
        <v>11.4</v>
      </c>
      <c r="H6024" t="n">
        <v>0</v>
      </c>
      <c r="I6024" t="n">
        <v>0</v>
      </c>
      <c r="J6024" t="n">
        <v>0</v>
      </c>
      <c r="K6024" t="n">
        <v>0</v>
      </c>
      <c r="L6024" t="n">
        <v>0</v>
      </c>
      <c r="M6024" t="n">
        <v>0</v>
      </c>
      <c r="N6024" t="n">
        <v>0</v>
      </c>
      <c r="O6024" t="n">
        <v>0</v>
      </c>
      <c r="P6024" t="n">
        <v>0</v>
      </c>
      <c r="Q6024" t="n">
        <v>0</v>
      </c>
      <c r="R6024" s="2" t="inlineStr"/>
    </row>
    <row r="6025" ht="15" customHeight="1">
      <c r="A6025" t="inlineStr">
        <is>
          <t>A 31814-2023</t>
        </is>
      </c>
      <c r="B6025" s="1" t="n">
        <v>45106</v>
      </c>
      <c r="C6025" s="1" t="n">
        <v>45798</v>
      </c>
      <c r="D6025" t="inlineStr">
        <is>
          <t>NORRBOTTENS LÄN</t>
        </is>
      </c>
      <c r="E6025" t="inlineStr">
        <is>
          <t>PITEÅ</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29634-2023</t>
        </is>
      </c>
      <c r="B6026" s="1" t="n">
        <v>45107</v>
      </c>
      <c r="C6026" s="1" t="n">
        <v>45798</v>
      </c>
      <c r="D6026" t="inlineStr">
        <is>
          <t>NORRBOTTENS LÄN</t>
        </is>
      </c>
      <c r="E6026" t="inlineStr">
        <is>
          <t>GÄLLIVARE</t>
        </is>
      </c>
      <c r="F6026" t="inlineStr">
        <is>
          <t>SCA</t>
        </is>
      </c>
      <c r="G6026" t="n">
        <v>12.1</v>
      </c>
      <c r="H6026" t="n">
        <v>0</v>
      </c>
      <c r="I6026" t="n">
        <v>0</v>
      </c>
      <c r="J6026" t="n">
        <v>0</v>
      </c>
      <c r="K6026" t="n">
        <v>0</v>
      </c>
      <c r="L6026" t="n">
        <v>0</v>
      </c>
      <c r="M6026" t="n">
        <v>0</v>
      </c>
      <c r="N6026" t="n">
        <v>0</v>
      </c>
      <c r="O6026" t="n">
        <v>0</v>
      </c>
      <c r="P6026" t="n">
        <v>0</v>
      </c>
      <c r="Q6026" t="n">
        <v>0</v>
      </c>
      <c r="R6026" s="2" t="inlineStr"/>
    </row>
    <row r="6027" ht="15" customHeight="1">
      <c r="A6027" t="inlineStr">
        <is>
          <t>A 29624-2023</t>
        </is>
      </c>
      <c r="B6027" s="1" t="n">
        <v>45107</v>
      </c>
      <c r="C6027" s="1" t="n">
        <v>45798</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29628-2023</t>
        </is>
      </c>
      <c r="B6028" s="1" t="n">
        <v>45107</v>
      </c>
      <c r="C6028" s="1" t="n">
        <v>45798</v>
      </c>
      <c r="D6028" t="inlineStr">
        <is>
          <t>NORRBOTTENS LÄN</t>
        </is>
      </c>
      <c r="E6028" t="inlineStr">
        <is>
          <t>JOKKMOKK</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29627-2023</t>
        </is>
      </c>
      <c r="B6029" s="1" t="n">
        <v>45107</v>
      </c>
      <c r="C6029" s="1" t="n">
        <v>45798</v>
      </c>
      <c r="D6029" t="inlineStr">
        <is>
          <t>NORRBOTTENS LÄN</t>
        </is>
      </c>
      <c r="E6029" t="inlineStr">
        <is>
          <t>JOKKMOKK</t>
        </is>
      </c>
      <c r="F6029" t="inlineStr">
        <is>
          <t>SCA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29625-2023</t>
        </is>
      </c>
      <c r="B6030" s="1" t="n">
        <v>45107</v>
      </c>
      <c r="C6030" s="1" t="n">
        <v>45798</v>
      </c>
      <c r="D6030" t="inlineStr">
        <is>
          <t>NORRBOTTENS LÄN</t>
        </is>
      </c>
      <c r="E6030" t="inlineStr">
        <is>
          <t>JOKKMOKK</t>
        </is>
      </c>
      <c r="F6030" t="inlineStr">
        <is>
          <t>SCA</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29655-2023</t>
        </is>
      </c>
      <c r="B6031" s="1" t="n">
        <v>45107</v>
      </c>
      <c r="C6031" s="1" t="n">
        <v>45798</v>
      </c>
      <c r="D6031" t="inlineStr">
        <is>
          <t>NORRBOTTENS LÄN</t>
        </is>
      </c>
      <c r="E6031" t="inlineStr">
        <is>
          <t>ÄLVSBYN</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29693-2023</t>
        </is>
      </c>
      <c r="B6032" s="1" t="n">
        <v>45107</v>
      </c>
      <c r="C6032" s="1" t="n">
        <v>45798</v>
      </c>
      <c r="D6032" t="inlineStr">
        <is>
          <t>NORRBOTTENS LÄN</t>
        </is>
      </c>
      <c r="E6032" t="inlineStr">
        <is>
          <t>ARVIDSJAUR</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29654-2023</t>
        </is>
      </c>
      <c r="B6033" s="1" t="n">
        <v>45107</v>
      </c>
      <c r="C6033" s="1" t="n">
        <v>45798</v>
      </c>
      <c r="D6033" t="inlineStr">
        <is>
          <t>NORRBOTTENS LÄN</t>
        </is>
      </c>
      <c r="E6033" t="inlineStr">
        <is>
          <t>ÄLVSBYN</t>
        </is>
      </c>
      <c r="F6033" t="inlineStr">
        <is>
          <t>Sveaskog</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29709-2023</t>
        </is>
      </c>
      <c r="B6034" s="1" t="n">
        <v>45107</v>
      </c>
      <c r="C6034" s="1" t="n">
        <v>45798</v>
      </c>
      <c r="D6034" t="inlineStr">
        <is>
          <t>NORRBOTTENS LÄN</t>
        </is>
      </c>
      <c r="E6034" t="inlineStr">
        <is>
          <t>ARVIDSJAUR</t>
        </is>
      </c>
      <c r="F6034" t="inlineStr">
        <is>
          <t>Sveaskog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29649-2023</t>
        </is>
      </c>
      <c r="B6035" s="1" t="n">
        <v>45107</v>
      </c>
      <c r="C6035" s="1" t="n">
        <v>45798</v>
      </c>
      <c r="D6035" t="inlineStr">
        <is>
          <t>NORRBOTTENS LÄN</t>
        </is>
      </c>
      <c r="E6035" t="inlineStr">
        <is>
          <t>ÄLVSBYN</t>
        </is>
      </c>
      <c r="F6035" t="inlineStr">
        <is>
          <t>Sveaskog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29653-2023</t>
        </is>
      </c>
      <c r="B6036" s="1" t="n">
        <v>45107</v>
      </c>
      <c r="C6036" s="1" t="n">
        <v>45798</v>
      </c>
      <c r="D6036" t="inlineStr">
        <is>
          <t>NORRBOTTENS LÄN</t>
        </is>
      </c>
      <c r="E6036" t="inlineStr">
        <is>
          <t>ÄLVSBYN</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29695-2023</t>
        </is>
      </c>
      <c r="B6037" s="1" t="n">
        <v>45107</v>
      </c>
      <c r="C6037" s="1" t="n">
        <v>45798</v>
      </c>
      <c r="D6037" t="inlineStr">
        <is>
          <t>NORRBOTTENS LÄN</t>
        </is>
      </c>
      <c r="E6037" t="inlineStr">
        <is>
          <t>ARVIDSJAUR</t>
        </is>
      </c>
      <c r="F6037" t="inlineStr">
        <is>
          <t>Sveaskog</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29786-2023</t>
        </is>
      </c>
      <c r="B6038" s="1" t="n">
        <v>45107</v>
      </c>
      <c r="C6038" s="1" t="n">
        <v>45798</v>
      </c>
      <c r="D6038" t="inlineStr">
        <is>
          <t>NORRBOTTENS LÄN</t>
        </is>
      </c>
      <c r="E6038" t="inlineStr">
        <is>
          <t>PITEÅ</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29652-2023</t>
        </is>
      </c>
      <c r="B6039" s="1" t="n">
        <v>45107</v>
      </c>
      <c r="C6039" s="1" t="n">
        <v>45798</v>
      </c>
      <c r="D6039" t="inlineStr">
        <is>
          <t>NORRBOTTENS LÄN</t>
        </is>
      </c>
      <c r="E6039" t="inlineStr">
        <is>
          <t>ÄLVSBYN</t>
        </is>
      </c>
      <c r="F6039" t="inlineStr">
        <is>
          <t>Sveaskog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29920-2023</t>
        </is>
      </c>
      <c r="B6040" s="1" t="n">
        <v>45107</v>
      </c>
      <c r="C6040" s="1" t="n">
        <v>45798</v>
      </c>
      <c r="D6040" t="inlineStr">
        <is>
          <t>NORRBOTTENS LÄN</t>
        </is>
      </c>
      <c r="E6040" t="inlineStr">
        <is>
          <t>BODEN</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29876-2023</t>
        </is>
      </c>
      <c r="B6041" s="1" t="n">
        <v>45107</v>
      </c>
      <c r="C6041" s="1" t="n">
        <v>45798</v>
      </c>
      <c r="D6041" t="inlineStr">
        <is>
          <t>NORRBOTTENS LÄN</t>
        </is>
      </c>
      <c r="E6041" t="inlineStr">
        <is>
          <t>PAJALA</t>
        </is>
      </c>
      <c r="F6041" t="inlineStr">
        <is>
          <t>Sveaskog</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29919-2023</t>
        </is>
      </c>
      <c r="B6042" s="1" t="n">
        <v>45107</v>
      </c>
      <c r="C6042" s="1" t="n">
        <v>45798</v>
      </c>
      <c r="D6042" t="inlineStr">
        <is>
          <t>NORRBOTTENS LÄN</t>
        </is>
      </c>
      <c r="E6042" t="inlineStr">
        <is>
          <t>BODEN</t>
        </is>
      </c>
      <c r="F6042" t="inlineStr">
        <is>
          <t>Sveaskog</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29882-2023</t>
        </is>
      </c>
      <c r="B6043" s="1" t="n">
        <v>45107</v>
      </c>
      <c r="C6043" s="1" t="n">
        <v>45798</v>
      </c>
      <c r="D6043" t="inlineStr">
        <is>
          <t>NORRBOTTENS LÄN</t>
        </is>
      </c>
      <c r="E6043" t="inlineStr">
        <is>
          <t>ÄLVSBYN</t>
        </is>
      </c>
      <c r="F6043" t="inlineStr">
        <is>
          <t>Sveaskog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29886-2023</t>
        </is>
      </c>
      <c r="B6044" s="1" t="n">
        <v>45107</v>
      </c>
      <c r="C6044" s="1" t="n">
        <v>45798</v>
      </c>
      <c r="D6044" t="inlineStr">
        <is>
          <t>NORRBOTTENS LÄN</t>
        </is>
      </c>
      <c r="E6044" t="inlineStr">
        <is>
          <t>ÄLVSBYN</t>
        </is>
      </c>
      <c r="F6044" t="inlineStr">
        <is>
          <t>Sveaskog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29960-2023</t>
        </is>
      </c>
      <c r="B6045" s="1" t="n">
        <v>45108</v>
      </c>
      <c r="C6045" s="1" t="n">
        <v>45798</v>
      </c>
      <c r="D6045" t="inlineStr">
        <is>
          <t>NORRBOTTENS LÄN</t>
        </is>
      </c>
      <c r="E6045" t="inlineStr">
        <is>
          <t>ÖVERKALIX</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29961-2023</t>
        </is>
      </c>
      <c r="B6046" s="1" t="n">
        <v>45108</v>
      </c>
      <c r="C6046" s="1" t="n">
        <v>45798</v>
      </c>
      <c r="D6046" t="inlineStr">
        <is>
          <t>NORRBOTTENS LÄN</t>
        </is>
      </c>
      <c r="E6046" t="inlineStr">
        <is>
          <t>ÖVERKALIX</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32046-2023</t>
        </is>
      </c>
      <c r="B6047" s="1" t="n">
        <v>45107</v>
      </c>
      <c r="C6047" s="1" t="n">
        <v>45798</v>
      </c>
      <c r="D6047" t="inlineStr">
        <is>
          <t>NORRBOTTENS LÄN</t>
        </is>
      </c>
      <c r="E6047" t="inlineStr">
        <is>
          <t>PITEÅ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32034-2023</t>
        </is>
      </c>
      <c r="B6048" s="1" t="n">
        <v>45107</v>
      </c>
      <c r="C6048" s="1" t="n">
        <v>45798</v>
      </c>
      <c r="D6048" t="inlineStr">
        <is>
          <t>NORRBOTTENS LÄN</t>
        </is>
      </c>
      <c r="E6048" t="inlineStr">
        <is>
          <t>PITEÅ</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32144-2023</t>
        </is>
      </c>
      <c r="B6049" s="1" t="n">
        <v>45107</v>
      </c>
      <c r="C6049" s="1" t="n">
        <v>45798</v>
      </c>
      <c r="D6049" t="inlineStr">
        <is>
          <t>NORRBOTTENS LÄN</t>
        </is>
      </c>
      <c r="E6049" t="inlineStr">
        <is>
          <t>PITEÅ</t>
        </is>
      </c>
      <c r="G6049" t="n">
        <v>18.7</v>
      </c>
      <c r="H6049" t="n">
        <v>0</v>
      </c>
      <c r="I6049" t="n">
        <v>0</v>
      </c>
      <c r="J6049" t="n">
        <v>0</v>
      </c>
      <c r="K6049" t="n">
        <v>0</v>
      </c>
      <c r="L6049" t="n">
        <v>0</v>
      </c>
      <c r="M6049" t="n">
        <v>0</v>
      </c>
      <c r="N6049" t="n">
        <v>0</v>
      </c>
      <c r="O6049" t="n">
        <v>0</v>
      </c>
      <c r="P6049" t="n">
        <v>0</v>
      </c>
      <c r="Q6049" t="n">
        <v>0</v>
      </c>
      <c r="R6049" s="2" t="inlineStr"/>
    </row>
    <row r="6050" ht="15" customHeight="1">
      <c r="A6050" t="inlineStr">
        <is>
          <t>A 30020-2023</t>
        </is>
      </c>
      <c r="B6050" s="1" t="n">
        <v>45110</v>
      </c>
      <c r="C6050" s="1" t="n">
        <v>45798</v>
      </c>
      <c r="D6050" t="inlineStr">
        <is>
          <t>NORRBOTTENS LÄN</t>
        </is>
      </c>
      <c r="E6050" t="inlineStr">
        <is>
          <t>GÄLLIVARE</t>
        </is>
      </c>
      <c r="F6050" t="inlineStr">
        <is>
          <t>Sveaskog</t>
        </is>
      </c>
      <c r="G6050" t="n">
        <v>19.6</v>
      </c>
      <c r="H6050" t="n">
        <v>0</v>
      </c>
      <c r="I6050" t="n">
        <v>0</v>
      </c>
      <c r="J6050" t="n">
        <v>0</v>
      </c>
      <c r="K6050" t="n">
        <v>0</v>
      </c>
      <c r="L6050" t="n">
        <v>0</v>
      </c>
      <c r="M6050" t="n">
        <v>0</v>
      </c>
      <c r="N6050" t="n">
        <v>0</v>
      </c>
      <c r="O6050" t="n">
        <v>0</v>
      </c>
      <c r="P6050" t="n">
        <v>0</v>
      </c>
      <c r="Q6050" t="n">
        <v>0</v>
      </c>
      <c r="R6050" s="2" t="inlineStr"/>
    </row>
    <row r="6051" ht="15" customHeight="1">
      <c r="A6051" t="inlineStr">
        <is>
          <t>A 30198-2023</t>
        </is>
      </c>
      <c r="B6051" s="1" t="n">
        <v>45110</v>
      </c>
      <c r="C6051" s="1" t="n">
        <v>45798</v>
      </c>
      <c r="D6051" t="inlineStr">
        <is>
          <t>NORRBOTTENS LÄN</t>
        </is>
      </c>
      <c r="E6051" t="inlineStr">
        <is>
          <t>PITEÅ</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30290-2023</t>
        </is>
      </c>
      <c r="B6052" s="1" t="n">
        <v>45110</v>
      </c>
      <c r="C6052" s="1" t="n">
        <v>45798</v>
      </c>
      <c r="D6052" t="inlineStr">
        <is>
          <t>NORRBOTTENS LÄN</t>
        </is>
      </c>
      <c r="E6052" t="inlineStr">
        <is>
          <t>LULEÅ</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30026-2023</t>
        </is>
      </c>
      <c r="B6053" s="1" t="n">
        <v>45110</v>
      </c>
      <c r="C6053" s="1" t="n">
        <v>45798</v>
      </c>
      <c r="D6053" t="inlineStr">
        <is>
          <t>NORRBOTTENS LÄN</t>
        </is>
      </c>
      <c r="E6053" t="inlineStr">
        <is>
          <t>GÄLLIVARE</t>
        </is>
      </c>
      <c r="F6053" t="inlineStr">
        <is>
          <t>Sveaskog</t>
        </is>
      </c>
      <c r="G6053" t="n">
        <v>13.1</v>
      </c>
      <c r="H6053" t="n">
        <v>0</v>
      </c>
      <c r="I6053" t="n">
        <v>0</v>
      </c>
      <c r="J6053" t="n">
        <v>0</v>
      </c>
      <c r="K6053" t="n">
        <v>0</v>
      </c>
      <c r="L6053" t="n">
        <v>0</v>
      </c>
      <c r="M6053" t="n">
        <v>0</v>
      </c>
      <c r="N6053" t="n">
        <v>0</v>
      </c>
      <c r="O6053" t="n">
        <v>0</v>
      </c>
      <c r="P6053" t="n">
        <v>0</v>
      </c>
      <c r="Q6053" t="n">
        <v>0</v>
      </c>
      <c r="R6053" s="2" t="inlineStr"/>
    </row>
    <row r="6054" ht="15" customHeight="1">
      <c r="A6054" t="inlineStr">
        <is>
          <t>A 30291-2023</t>
        </is>
      </c>
      <c r="B6054" s="1" t="n">
        <v>45111</v>
      </c>
      <c r="C6054" s="1" t="n">
        <v>45798</v>
      </c>
      <c r="D6054" t="inlineStr">
        <is>
          <t>NORRBOTTENS LÄN</t>
        </is>
      </c>
      <c r="E6054" t="inlineStr">
        <is>
          <t>JOKKMOKK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30300-2023</t>
        </is>
      </c>
      <c r="B6055" s="1" t="n">
        <v>45110</v>
      </c>
      <c r="C6055" s="1" t="n">
        <v>45798</v>
      </c>
      <c r="D6055" t="inlineStr">
        <is>
          <t>NORRBOTTENS LÄN</t>
        </is>
      </c>
      <c r="E6055" t="inlineStr">
        <is>
          <t>BODEN</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32360-2023</t>
        </is>
      </c>
      <c r="B6056" s="1" t="n">
        <v>45110</v>
      </c>
      <c r="C6056" s="1" t="n">
        <v>45798</v>
      </c>
      <c r="D6056" t="inlineStr">
        <is>
          <t>NORRBOTTENS LÄN</t>
        </is>
      </c>
      <c r="E6056" t="inlineStr">
        <is>
          <t>ARVIDSJAUR</t>
        </is>
      </c>
      <c r="F6056" t="inlineStr">
        <is>
          <t>Allmännings- och besparingsskogar</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30288-2023</t>
        </is>
      </c>
      <c r="B6057" s="1" t="n">
        <v>45110</v>
      </c>
      <c r="C6057" s="1" t="n">
        <v>45798</v>
      </c>
      <c r="D6057" t="inlineStr">
        <is>
          <t>NORRBOTTENS LÄN</t>
        </is>
      </c>
      <c r="E6057" t="inlineStr">
        <is>
          <t>LULEÅ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30292-2023</t>
        </is>
      </c>
      <c r="B6058" s="1" t="n">
        <v>45110</v>
      </c>
      <c r="C6058" s="1" t="n">
        <v>45798</v>
      </c>
      <c r="D6058" t="inlineStr">
        <is>
          <t>NORRBOTTENS LÄN</t>
        </is>
      </c>
      <c r="E6058" t="inlineStr">
        <is>
          <t>JOKKMOKK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30299-2023</t>
        </is>
      </c>
      <c r="B6059" s="1" t="n">
        <v>45110</v>
      </c>
      <c r="C6059" s="1" t="n">
        <v>45798</v>
      </c>
      <c r="D6059" t="inlineStr">
        <is>
          <t>NORRBOTTENS LÄN</t>
        </is>
      </c>
      <c r="E6059" t="inlineStr">
        <is>
          <t>BODEN</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30301-2023</t>
        </is>
      </c>
      <c r="B6060" s="1" t="n">
        <v>45111</v>
      </c>
      <c r="C6060" s="1" t="n">
        <v>45798</v>
      </c>
      <c r="D6060" t="inlineStr">
        <is>
          <t>NORRBOTTENS LÄN</t>
        </is>
      </c>
      <c r="E6060" t="inlineStr">
        <is>
          <t>BODEN</t>
        </is>
      </c>
      <c r="F6060" t="inlineStr">
        <is>
          <t>SCA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30246-2023</t>
        </is>
      </c>
      <c r="B6061" s="1" t="n">
        <v>45110</v>
      </c>
      <c r="C6061" s="1" t="n">
        <v>45798</v>
      </c>
      <c r="D6061" t="inlineStr">
        <is>
          <t>NORRBOTTENS LÄN</t>
        </is>
      </c>
      <c r="E6061" t="inlineStr">
        <is>
          <t>PAJALA</t>
        </is>
      </c>
      <c r="F6061" t="inlineStr">
        <is>
          <t>Sveaskog</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30289-2023</t>
        </is>
      </c>
      <c r="B6062" s="1" t="n">
        <v>45110</v>
      </c>
      <c r="C6062" s="1" t="n">
        <v>45798</v>
      </c>
      <c r="D6062" t="inlineStr">
        <is>
          <t>NORRBOTTENS LÄN</t>
        </is>
      </c>
      <c r="E6062" t="inlineStr">
        <is>
          <t>LULEÅ</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30302-2023</t>
        </is>
      </c>
      <c r="B6063" s="1" t="n">
        <v>45111</v>
      </c>
      <c r="C6063" s="1" t="n">
        <v>45798</v>
      </c>
      <c r="D6063" t="inlineStr">
        <is>
          <t>NORRBOTTENS LÄN</t>
        </is>
      </c>
      <c r="E6063" t="inlineStr">
        <is>
          <t>BODEN</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32371-2023</t>
        </is>
      </c>
      <c r="B6064" s="1" t="n">
        <v>45110</v>
      </c>
      <c r="C6064" s="1" t="n">
        <v>45798</v>
      </c>
      <c r="D6064" t="inlineStr">
        <is>
          <t>NORRBOTTENS LÄN</t>
        </is>
      </c>
      <c r="E6064" t="inlineStr">
        <is>
          <t>PITEÅ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32381-2023</t>
        </is>
      </c>
      <c r="B6065" s="1" t="n">
        <v>45110</v>
      </c>
      <c r="C6065" s="1" t="n">
        <v>45798</v>
      </c>
      <c r="D6065" t="inlineStr">
        <is>
          <t>NORRBOTTENS LÄN</t>
        </is>
      </c>
      <c r="E6065" t="inlineStr">
        <is>
          <t>JOKKMOKK</t>
        </is>
      </c>
      <c r="G6065" t="n">
        <v>14.7</v>
      </c>
      <c r="H6065" t="n">
        <v>0</v>
      </c>
      <c r="I6065" t="n">
        <v>0</v>
      </c>
      <c r="J6065" t="n">
        <v>0</v>
      </c>
      <c r="K6065" t="n">
        <v>0</v>
      </c>
      <c r="L6065" t="n">
        <v>0</v>
      </c>
      <c r="M6065" t="n">
        <v>0</v>
      </c>
      <c r="N6065" t="n">
        <v>0</v>
      </c>
      <c r="O6065" t="n">
        <v>0</v>
      </c>
      <c r="P6065" t="n">
        <v>0</v>
      </c>
      <c r="Q6065" t="n">
        <v>0</v>
      </c>
      <c r="R6065" s="2" t="inlineStr"/>
    </row>
    <row r="6066" ht="15" customHeight="1">
      <c r="A6066" t="inlineStr">
        <is>
          <t>A 32377-2023</t>
        </is>
      </c>
      <c r="B6066" s="1" t="n">
        <v>45110</v>
      </c>
      <c r="C6066" s="1" t="n">
        <v>45798</v>
      </c>
      <c r="D6066" t="inlineStr">
        <is>
          <t>NORRBOTTENS LÄN</t>
        </is>
      </c>
      <c r="E6066" t="inlineStr">
        <is>
          <t>PITEÅ</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32363-2023</t>
        </is>
      </c>
      <c r="B6067" s="1" t="n">
        <v>45110</v>
      </c>
      <c r="C6067" s="1" t="n">
        <v>45798</v>
      </c>
      <c r="D6067" t="inlineStr">
        <is>
          <t>NORRBOTTENS LÄN</t>
        </is>
      </c>
      <c r="E6067" t="inlineStr">
        <is>
          <t>PITEÅ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32412-2023</t>
        </is>
      </c>
      <c r="B6068" s="1" t="n">
        <v>45110</v>
      </c>
      <c r="C6068" s="1" t="n">
        <v>45798</v>
      </c>
      <c r="D6068" t="inlineStr">
        <is>
          <t>NORRBOTTENS LÄN</t>
        </is>
      </c>
      <c r="E6068" t="inlineStr">
        <is>
          <t>BODEN</t>
        </is>
      </c>
      <c r="F6068" t="inlineStr">
        <is>
          <t>Sveaskog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30501-2023</t>
        </is>
      </c>
      <c r="B6069" s="1" t="n">
        <v>45111</v>
      </c>
      <c r="C6069" s="1" t="n">
        <v>45798</v>
      </c>
      <c r="D6069" t="inlineStr">
        <is>
          <t>NORRBOTTENS LÄN</t>
        </is>
      </c>
      <c r="E6069" t="inlineStr">
        <is>
          <t>ARVIDSJAUR</t>
        </is>
      </c>
      <c r="F6069" t="inlineStr">
        <is>
          <t>Sveaskog</t>
        </is>
      </c>
      <c r="G6069" t="n">
        <v>10.9</v>
      </c>
      <c r="H6069" t="n">
        <v>0</v>
      </c>
      <c r="I6069" t="n">
        <v>0</v>
      </c>
      <c r="J6069" t="n">
        <v>0</v>
      </c>
      <c r="K6069" t="n">
        <v>0</v>
      </c>
      <c r="L6069" t="n">
        <v>0</v>
      </c>
      <c r="M6069" t="n">
        <v>0</v>
      </c>
      <c r="N6069" t="n">
        <v>0</v>
      </c>
      <c r="O6069" t="n">
        <v>0</v>
      </c>
      <c r="P6069" t="n">
        <v>0</v>
      </c>
      <c r="Q6069" t="n">
        <v>0</v>
      </c>
      <c r="R6069" s="2" t="inlineStr"/>
    </row>
    <row r="6070" ht="15" customHeight="1">
      <c r="A6070" t="inlineStr">
        <is>
          <t>A 30511-2023</t>
        </is>
      </c>
      <c r="B6070" s="1" t="n">
        <v>45111</v>
      </c>
      <c r="C6070" s="1" t="n">
        <v>45798</v>
      </c>
      <c r="D6070" t="inlineStr">
        <is>
          <t>NORRBOTTENS LÄN</t>
        </is>
      </c>
      <c r="E6070" t="inlineStr">
        <is>
          <t>JOKKMOKK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30343-2023</t>
        </is>
      </c>
      <c r="B6071" s="1" t="n">
        <v>45111</v>
      </c>
      <c r="C6071" s="1" t="n">
        <v>45798</v>
      </c>
      <c r="D6071" t="inlineStr">
        <is>
          <t>NORRBOTTENS LÄN</t>
        </is>
      </c>
      <c r="E6071" t="inlineStr">
        <is>
          <t>ARVIDSJAUR</t>
        </is>
      </c>
      <c r="F6071" t="inlineStr">
        <is>
          <t>Sveaskog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30384-2023</t>
        </is>
      </c>
      <c r="B6072" s="1" t="n">
        <v>45111</v>
      </c>
      <c r="C6072" s="1" t="n">
        <v>45798</v>
      </c>
      <c r="D6072" t="inlineStr">
        <is>
          <t>NORRBOTTENS LÄN</t>
        </is>
      </c>
      <c r="E6072" t="inlineStr">
        <is>
          <t>GÄLLIVARE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30394-2023</t>
        </is>
      </c>
      <c r="B6073" s="1" t="n">
        <v>45111</v>
      </c>
      <c r="C6073" s="1" t="n">
        <v>45798</v>
      </c>
      <c r="D6073" t="inlineStr">
        <is>
          <t>NORRBOTTENS LÄN</t>
        </is>
      </c>
      <c r="E6073" t="inlineStr">
        <is>
          <t>ARVIDSJAUR</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30358-2023</t>
        </is>
      </c>
      <c r="B6074" s="1" t="n">
        <v>45111</v>
      </c>
      <c r="C6074" s="1" t="n">
        <v>45798</v>
      </c>
      <c r="D6074" t="inlineStr">
        <is>
          <t>NORRBOTTENS LÄN</t>
        </is>
      </c>
      <c r="E6074" t="inlineStr">
        <is>
          <t>LULEÅ</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30357-2023</t>
        </is>
      </c>
      <c r="B6075" s="1" t="n">
        <v>45111</v>
      </c>
      <c r="C6075" s="1" t="n">
        <v>45798</v>
      </c>
      <c r="D6075" t="inlineStr">
        <is>
          <t>NORRBOTTENS LÄN</t>
        </is>
      </c>
      <c r="E6075" t="inlineStr">
        <is>
          <t>LULEÅ</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30383-2023</t>
        </is>
      </c>
      <c r="B6076" s="1" t="n">
        <v>45111</v>
      </c>
      <c r="C6076" s="1" t="n">
        <v>45798</v>
      </c>
      <c r="D6076" t="inlineStr">
        <is>
          <t>NORRBOTTENS LÄN</t>
        </is>
      </c>
      <c r="E6076" t="inlineStr">
        <is>
          <t>GÄLLIVARE</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30419-2023</t>
        </is>
      </c>
      <c r="B6077" s="1" t="n">
        <v>45111</v>
      </c>
      <c r="C6077" s="1" t="n">
        <v>45798</v>
      </c>
      <c r="D6077" t="inlineStr">
        <is>
          <t>NORRBOTTENS LÄN</t>
        </is>
      </c>
      <c r="E6077" t="inlineStr">
        <is>
          <t>ARVIDSJAUR</t>
        </is>
      </c>
      <c r="F6077" t="inlineStr">
        <is>
          <t>Sveaskog</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30440-2023</t>
        </is>
      </c>
      <c r="B6078" s="1" t="n">
        <v>45111</v>
      </c>
      <c r="C6078" s="1" t="n">
        <v>45798</v>
      </c>
      <c r="D6078" t="inlineStr">
        <is>
          <t>NORRBOTTENS LÄN</t>
        </is>
      </c>
      <c r="E6078" t="inlineStr">
        <is>
          <t>PITEÅ</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32591-2023</t>
        </is>
      </c>
      <c r="B6079" s="1" t="n">
        <v>45111</v>
      </c>
      <c r="C6079" s="1" t="n">
        <v>45798</v>
      </c>
      <c r="D6079" t="inlineStr">
        <is>
          <t>NORRBOTTENS LÄN</t>
        </is>
      </c>
      <c r="E6079" t="inlineStr">
        <is>
          <t>PAJALA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30582-2023</t>
        </is>
      </c>
      <c r="B6080" s="1" t="n">
        <v>45112</v>
      </c>
      <c r="C6080" s="1" t="n">
        <v>45798</v>
      </c>
      <c r="D6080" t="inlineStr">
        <is>
          <t>NORRBOTTENS LÄN</t>
        </is>
      </c>
      <c r="E6080" t="inlineStr">
        <is>
          <t>KALIX</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30727-2023</t>
        </is>
      </c>
      <c r="B6081" s="1" t="n">
        <v>45112</v>
      </c>
      <c r="C6081" s="1" t="n">
        <v>45798</v>
      </c>
      <c r="D6081" t="inlineStr">
        <is>
          <t>NORRBOTTENS LÄN</t>
        </is>
      </c>
      <c r="E6081" t="inlineStr">
        <is>
          <t>LULEÅ</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30739-2023</t>
        </is>
      </c>
      <c r="B6082" s="1" t="n">
        <v>45112</v>
      </c>
      <c r="C6082" s="1" t="n">
        <v>45798</v>
      </c>
      <c r="D6082" t="inlineStr">
        <is>
          <t>NORRBOTTENS LÄN</t>
        </is>
      </c>
      <c r="E6082" t="inlineStr">
        <is>
          <t>PAJALA</t>
        </is>
      </c>
      <c r="F6082" t="inlineStr">
        <is>
          <t>Sveaskog</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30600-2023</t>
        </is>
      </c>
      <c r="B6083" s="1" t="n">
        <v>45112</v>
      </c>
      <c r="C6083" s="1" t="n">
        <v>45798</v>
      </c>
      <c r="D6083" t="inlineStr">
        <is>
          <t>NORRBOTTENS LÄN</t>
        </is>
      </c>
      <c r="E6083" t="inlineStr">
        <is>
          <t>ÖVERKALIX</t>
        </is>
      </c>
      <c r="F6083" t="inlineStr">
        <is>
          <t>Sveaskog</t>
        </is>
      </c>
      <c r="G6083" t="n">
        <v>23.2</v>
      </c>
      <c r="H6083" t="n">
        <v>0</v>
      </c>
      <c r="I6083" t="n">
        <v>0</v>
      </c>
      <c r="J6083" t="n">
        <v>0</v>
      </c>
      <c r="K6083" t="n">
        <v>0</v>
      </c>
      <c r="L6083" t="n">
        <v>0</v>
      </c>
      <c r="M6083" t="n">
        <v>0</v>
      </c>
      <c r="N6083" t="n">
        <v>0</v>
      </c>
      <c r="O6083" t="n">
        <v>0</v>
      </c>
      <c r="P6083" t="n">
        <v>0</v>
      </c>
      <c r="Q6083" t="n">
        <v>0</v>
      </c>
      <c r="R6083" s="2" t="inlineStr"/>
    </row>
    <row r="6084" ht="15" customHeight="1">
      <c r="A6084" t="inlineStr">
        <is>
          <t>A 30647-2023</t>
        </is>
      </c>
      <c r="B6084" s="1" t="n">
        <v>45112</v>
      </c>
      <c r="C6084" s="1" t="n">
        <v>45798</v>
      </c>
      <c r="D6084" t="inlineStr">
        <is>
          <t>NORRBOTTENS LÄN</t>
        </is>
      </c>
      <c r="E6084" t="inlineStr">
        <is>
          <t>ÖVERTORNEÅ</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30651-2023</t>
        </is>
      </c>
      <c r="B6085" s="1" t="n">
        <v>45112</v>
      </c>
      <c r="C6085" s="1" t="n">
        <v>45798</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30676-2023</t>
        </is>
      </c>
      <c r="B6086" s="1" t="n">
        <v>45112</v>
      </c>
      <c r="C6086" s="1" t="n">
        <v>45798</v>
      </c>
      <c r="D6086" t="inlineStr">
        <is>
          <t>NORRBOTTENS LÄN</t>
        </is>
      </c>
      <c r="E6086" t="inlineStr">
        <is>
          <t>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30814-2023</t>
        </is>
      </c>
      <c r="B6087" s="1" t="n">
        <v>45112</v>
      </c>
      <c r="C6087" s="1" t="n">
        <v>45798</v>
      </c>
      <c r="D6087" t="inlineStr">
        <is>
          <t>NORRBOTTENS LÄN</t>
        </is>
      </c>
      <c r="E6087" t="inlineStr">
        <is>
          <t>KALIX</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30681-2023</t>
        </is>
      </c>
      <c r="B6088" s="1" t="n">
        <v>45112</v>
      </c>
      <c r="C6088" s="1" t="n">
        <v>45798</v>
      </c>
      <c r="D6088" t="inlineStr">
        <is>
          <t>NORRBOTTENS LÄN</t>
        </is>
      </c>
      <c r="E6088" t="inlineStr">
        <is>
          <t>KALIX</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30726-2023</t>
        </is>
      </c>
      <c r="B6089" s="1" t="n">
        <v>45112</v>
      </c>
      <c r="C6089" s="1" t="n">
        <v>45798</v>
      </c>
      <c r="D6089" t="inlineStr">
        <is>
          <t>NORRBOTTENS LÄN</t>
        </is>
      </c>
      <c r="E6089" t="inlineStr">
        <is>
          <t>ARJEPLOG</t>
        </is>
      </c>
      <c r="F6089" t="inlineStr">
        <is>
          <t>Allmännings- och besparingsskogar</t>
        </is>
      </c>
      <c r="G6089" t="n">
        <v>17.3</v>
      </c>
      <c r="H6089" t="n">
        <v>0</v>
      </c>
      <c r="I6089" t="n">
        <v>0</v>
      </c>
      <c r="J6089" t="n">
        <v>0</v>
      </c>
      <c r="K6089" t="n">
        <v>0</v>
      </c>
      <c r="L6089" t="n">
        <v>0</v>
      </c>
      <c r="M6089" t="n">
        <v>0</v>
      </c>
      <c r="N6089" t="n">
        <v>0</v>
      </c>
      <c r="O6089" t="n">
        <v>0</v>
      </c>
      <c r="P6089" t="n">
        <v>0</v>
      </c>
      <c r="Q6089" t="n">
        <v>0</v>
      </c>
      <c r="R6089" s="2" t="inlineStr"/>
    </row>
    <row r="6090" ht="15" customHeight="1">
      <c r="A6090" t="inlineStr">
        <is>
          <t>A 30730-2023</t>
        </is>
      </c>
      <c r="B6090" s="1" t="n">
        <v>45112</v>
      </c>
      <c r="C6090" s="1" t="n">
        <v>45798</v>
      </c>
      <c r="D6090" t="inlineStr">
        <is>
          <t>NORRBOTTENS LÄN</t>
        </is>
      </c>
      <c r="E6090" t="inlineStr">
        <is>
          <t>ARJEPLOG</t>
        </is>
      </c>
      <c r="F6090" t="inlineStr">
        <is>
          <t>Allmännings- och besparingsskogar</t>
        </is>
      </c>
      <c r="G6090" t="n">
        <v>20.9</v>
      </c>
      <c r="H6090" t="n">
        <v>0</v>
      </c>
      <c r="I6090" t="n">
        <v>0</v>
      </c>
      <c r="J6090" t="n">
        <v>0</v>
      </c>
      <c r="K6090" t="n">
        <v>0</v>
      </c>
      <c r="L6090" t="n">
        <v>0</v>
      </c>
      <c r="M6090" t="n">
        <v>0</v>
      </c>
      <c r="N6090" t="n">
        <v>0</v>
      </c>
      <c r="O6090" t="n">
        <v>0</v>
      </c>
      <c r="P6090" t="n">
        <v>0</v>
      </c>
      <c r="Q6090" t="n">
        <v>0</v>
      </c>
      <c r="R6090" s="2" t="inlineStr"/>
    </row>
    <row r="6091" ht="15" customHeight="1">
      <c r="A6091" t="inlineStr">
        <is>
          <t>A 30734-2023</t>
        </is>
      </c>
      <c r="B6091" s="1" t="n">
        <v>45112</v>
      </c>
      <c r="C6091" s="1" t="n">
        <v>45798</v>
      </c>
      <c r="D6091" t="inlineStr">
        <is>
          <t>NORRBOTTENS LÄN</t>
        </is>
      </c>
      <c r="E6091" t="inlineStr">
        <is>
          <t>PAJALA</t>
        </is>
      </c>
      <c r="F6091" t="inlineStr">
        <is>
          <t>Sveaskog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30781-2023</t>
        </is>
      </c>
      <c r="B6092" s="1" t="n">
        <v>45112</v>
      </c>
      <c r="C6092" s="1" t="n">
        <v>45798</v>
      </c>
      <c r="D6092" t="inlineStr">
        <is>
          <t>NORRBOTTENS LÄN</t>
        </is>
      </c>
      <c r="E6092" t="inlineStr">
        <is>
          <t>GÄLLIVARE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30851-2023</t>
        </is>
      </c>
      <c r="B6093" s="1" t="n">
        <v>45112</v>
      </c>
      <c r="C6093" s="1" t="n">
        <v>45798</v>
      </c>
      <c r="D6093" t="inlineStr">
        <is>
          <t>NORRBOTTENS LÄN</t>
        </is>
      </c>
      <c r="E6093" t="inlineStr">
        <is>
          <t>GÄLLIVARE</t>
        </is>
      </c>
      <c r="F6093" t="inlineStr">
        <is>
          <t>SCA</t>
        </is>
      </c>
      <c r="G6093" t="n">
        <v>28.4</v>
      </c>
      <c r="H6093" t="n">
        <v>0</v>
      </c>
      <c r="I6093" t="n">
        <v>0</v>
      </c>
      <c r="J6093" t="n">
        <v>0</v>
      </c>
      <c r="K6093" t="n">
        <v>0</v>
      </c>
      <c r="L6093" t="n">
        <v>0</v>
      </c>
      <c r="M6093" t="n">
        <v>0</v>
      </c>
      <c r="N6093" t="n">
        <v>0</v>
      </c>
      <c r="O6093" t="n">
        <v>0</v>
      </c>
      <c r="P6093" t="n">
        <v>0</v>
      </c>
      <c r="Q6093" t="n">
        <v>0</v>
      </c>
      <c r="R6093" s="2" t="inlineStr"/>
    </row>
    <row r="6094" ht="15" customHeight="1">
      <c r="A6094" t="inlineStr">
        <is>
          <t>A 32687-2023</t>
        </is>
      </c>
      <c r="B6094" s="1" t="n">
        <v>45112</v>
      </c>
      <c r="C6094" s="1" t="n">
        <v>45798</v>
      </c>
      <c r="D6094" t="inlineStr">
        <is>
          <t>NORRBOTTENS LÄN</t>
        </is>
      </c>
      <c r="E6094" t="inlineStr">
        <is>
          <t>PAJALA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30870-2023</t>
        </is>
      </c>
      <c r="B6095" s="1" t="n">
        <v>45113</v>
      </c>
      <c r="C6095" s="1" t="n">
        <v>45798</v>
      </c>
      <c r="D6095" t="inlineStr">
        <is>
          <t>NORRBOTTENS LÄN</t>
        </is>
      </c>
      <c r="E6095" t="inlineStr">
        <is>
          <t>ARJEPLOG</t>
        </is>
      </c>
      <c r="F6095" t="inlineStr">
        <is>
          <t>Allmännings- och besparingsskogar</t>
        </is>
      </c>
      <c r="G6095" t="n">
        <v>25.5</v>
      </c>
      <c r="H6095" t="n">
        <v>0</v>
      </c>
      <c r="I6095" t="n">
        <v>0</v>
      </c>
      <c r="J6095" t="n">
        <v>0</v>
      </c>
      <c r="K6095" t="n">
        <v>0</v>
      </c>
      <c r="L6095" t="n">
        <v>0</v>
      </c>
      <c r="M6095" t="n">
        <v>0</v>
      </c>
      <c r="N6095" t="n">
        <v>0</v>
      </c>
      <c r="O6095" t="n">
        <v>0</v>
      </c>
      <c r="P6095" t="n">
        <v>0</v>
      </c>
      <c r="Q6095" t="n">
        <v>0</v>
      </c>
      <c r="R6095" s="2" t="inlineStr"/>
    </row>
    <row r="6096" ht="15" customHeight="1">
      <c r="A6096" t="inlineStr">
        <is>
          <t>A 31056-2023</t>
        </is>
      </c>
      <c r="B6096" s="1" t="n">
        <v>45113</v>
      </c>
      <c r="C6096" s="1" t="n">
        <v>45798</v>
      </c>
      <c r="D6096" t="inlineStr">
        <is>
          <t>NORRBOTTENS LÄN</t>
        </is>
      </c>
      <c r="E6096" t="inlineStr">
        <is>
          <t>ÄLVSBYN</t>
        </is>
      </c>
      <c r="F6096" t="inlineStr">
        <is>
          <t>Övriga Aktiebolag</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31066-2023</t>
        </is>
      </c>
      <c r="B6097" s="1" t="n">
        <v>45113</v>
      </c>
      <c r="C6097" s="1" t="n">
        <v>45798</v>
      </c>
      <c r="D6097" t="inlineStr">
        <is>
          <t>NORRBOTTENS LÄN</t>
        </is>
      </c>
      <c r="E6097" t="inlineStr">
        <is>
          <t>BODEN</t>
        </is>
      </c>
      <c r="G6097" t="n">
        <v>19.4</v>
      </c>
      <c r="H6097" t="n">
        <v>0</v>
      </c>
      <c r="I6097" t="n">
        <v>0</v>
      </c>
      <c r="J6097" t="n">
        <v>0</v>
      </c>
      <c r="K6097" t="n">
        <v>0</v>
      </c>
      <c r="L6097" t="n">
        <v>0</v>
      </c>
      <c r="M6097" t="n">
        <v>0</v>
      </c>
      <c r="N6097" t="n">
        <v>0</v>
      </c>
      <c r="O6097" t="n">
        <v>0</v>
      </c>
      <c r="P6097" t="n">
        <v>0</v>
      </c>
      <c r="Q6097" t="n">
        <v>0</v>
      </c>
      <c r="R6097" s="2" t="inlineStr"/>
    </row>
    <row r="6098" ht="15" customHeight="1">
      <c r="A6098" t="inlineStr">
        <is>
          <t>A 31102-2023</t>
        </is>
      </c>
      <c r="B6098" s="1" t="n">
        <v>45113</v>
      </c>
      <c r="C6098" s="1" t="n">
        <v>45798</v>
      </c>
      <c r="D6098" t="inlineStr">
        <is>
          <t>NORRBOTTENS LÄN</t>
        </is>
      </c>
      <c r="E6098" t="inlineStr">
        <is>
          <t>BODEN</t>
        </is>
      </c>
      <c r="F6098" t="inlineStr">
        <is>
          <t>Övriga Aktiebolag</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31051-2023</t>
        </is>
      </c>
      <c r="B6099" s="1" t="n">
        <v>45113</v>
      </c>
      <c r="C6099" s="1" t="n">
        <v>45798</v>
      </c>
      <c r="D6099" t="inlineStr">
        <is>
          <t>NORRBOTTENS LÄN</t>
        </is>
      </c>
      <c r="E6099" t="inlineStr">
        <is>
          <t>ÄLVSBYN</t>
        </is>
      </c>
      <c r="F6099" t="inlineStr">
        <is>
          <t>Övriga Aktiebolag</t>
        </is>
      </c>
      <c r="G6099" t="n">
        <v>24.7</v>
      </c>
      <c r="H6099" t="n">
        <v>0</v>
      </c>
      <c r="I6099" t="n">
        <v>0</v>
      </c>
      <c r="J6099" t="n">
        <v>0</v>
      </c>
      <c r="K6099" t="n">
        <v>0</v>
      </c>
      <c r="L6099" t="n">
        <v>0</v>
      </c>
      <c r="M6099" t="n">
        <v>0</v>
      </c>
      <c r="N6099" t="n">
        <v>0</v>
      </c>
      <c r="O6099" t="n">
        <v>0</v>
      </c>
      <c r="P6099" t="n">
        <v>0</v>
      </c>
      <c r="Q6099" t="n">
        <v>0</v>
      </c>
      <c r="R6099" s="2" t="inlineStr"/>
    </row>
    <row r="6100" ht="15" customHeight="1">
      <c r="A6100" t="inlineStr">
        <is>
          <t>A 31055-2023</t>
        </is>
      </c>
      <c r="B6100" s="1" t="n">
        <v>45113</v>
      </c>
      <c r="C6100" s="1" t="n">
        <v>45798</v>
      </c>
      <c r="D6100" t="inlineStr">
        <is>
          <t>NORRBOTTENS LÄN</t>
        </is>
      </c>
      <c r="E6100" t="inlineStr">
        <is>
          <t>PAJALA</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31067-2023</t>
        </is>
      </c>
      <c r="B6101" s="1" t="n">
        <v>45113</v>
      </c>
      <c r="C6101" s="1" t="n">
        <v>45798</v>
      </c>
      <c r="D6101" t="inlineStr">
        <is>
          <t>NORRBOTTENS LÄN</t>
        </is>
      </c>
      <c r="E6101" t="inlineStr">
        <is>
          <t>LULEÅ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31080-2023</t>
        </is>
      </c>
      <c r="B6102" s="1" t="n">
        <v>45113</v>
      </c>
      <c r="C6102" s="1" t="n">
        <v>45798</v>
      </c>
      <c r="D6102" t="inlineStr">
        <is>
          <t>NORRBOTTENS LÄN</t>
        </is>
      </c>
      <c r="E6102" t="inlineStr">
        <is>
          <t>PAJALA</t>
        </is>
      </c>
      <c r="F6102" t="inlineStr">
        <is>
          <t>Sveaskog</t>
        </is>
      </c>
      <c r="G6102" t="n">
        <v>17.4</v>
      </c>
      <c r="H6102" t="n">
        <v>0</v>
      </c>
      <c r="I6102" t="n">
        <v>0</v>
      </c>
      <c r="J6102" t="n">
        <v>0</v>
      </c>
      <c r="K6102" t="n">
        <v>0</v>
      </c>
      <c r="L6102" t="n">
        <v>0</v>
      </c>
      <c r="M6102" t="n">
        <v>0</v>
      </c>
      <c r="N6102" t="n">
        <v>0</v>
      </c>
      <c r="O6102" t="n">
        <v>0</v>
      </c>
      <c r="P6102" t="n">
        <v>0</v>
      </c>
      <c r="Q6102" t="n">
        <v>0</v>
      </c>
      <c r="R6102" s="2" t="inlineStr"/>
    </row>
    <row r="6103" ht="15" customHeight="1">
      <c r="A6103" t="inlineStr">
        <is>
          <t>A 31209-2023</t>
        </is>
      </c>
      <c r="B6103" s="1" t="n">
        <v>45114</v>
      </c>
      <c r="C6103" s="1" t="n">
        <v>45798</v>
      </c>
      <c r="D6103" t="inlineStr">
        <is>
          <t>NORRBOTTENS LÄN</t>
        </is>
      </c>
      <c r="E6103" t="inlineStr">
        <is>
          <t>JOKKMOKK</t>
        </is>
      </c>
      <c r="F6103" t="inlineStr">
        <is>
          <t>SCA</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31208-2023</t>
        </is>
      </c>
      <c r="B6104" s="1" t="n">
        <v>45114</v>
      </c>
      <c r="C6104" s="1" t="n">
        <v>45798</v>
      </c>
      <c r="D6104" t="inlineStr">
        <is>
          <t>NORRBOTTENS LÄN</t>
        </is>
      </c>
      <c r="E6104" t="inlineStr">
        <is>
          <t>JOKKMOKK</t>
        </is>
      </c>
      <c r="F6104" t="inlineStr">
        <is>
          <t>SCA</t>
        </is>
      </c>
      <c r="G6104" t="n">
        <v>10.3</v>
      </c>
      <c r="H6104" t="n">
        <v>0</v>
      </c>
      <c r="I6104" t="n">
        <v>0</v>
      </c>
      <c r="J6104" t="n">
        <v>0</v>
      </c>
      <c r="K6104" t="n">
        <v>0</v>
      </c>
      <c r="L6104" t="n">
        <v>0</v>
      </c>
      <c r="M6104" t="n">
        <v>0</v>
      </c>
      <c r="N6104" t="n">
        <v>0</v>
      </c>
      <c r="O6104" t="n">
        <v>0</v>
      </c>
      <c r="P6104" t="n">
        <v>0</v>
      </c>
      <c r="Q6104" t="n">
        <v>0</v>
      </c>
      <c r="R6104" s="2" t="inlineStr"/>
    </row>
    <row r="6105" ht="15" customHeight="1">
      <c r="A6105" t="inlineStr">
        <is>
          <t>A 32987-2023</t>
        </is>
      </c>
      <c r="B6105" s="1" t="n">
        <v>45113</v>
      </c>
      <c r="C6105" s="1" t="n">
        <v>45798</v>
      </c>
      <c r="D6105" t="inlineStr">
        <is>
          <t>NORRBOTTENS LÄN</t>
        </is>
      </c>
      <c r="E6105" t="inlineStr">
        <is>
          <t>JOKKMOKK</t>
        </is>
      </c>
      <c r="F6105" t="inlineStr">
        <is>
          <t>Övriga statliga verk och myndigheter</t>
        </is>
      </c>
      <c r="G6105" t="n">
        <v>15.1</v>
      </c>
      <c r="H6105" t="n">
        <v>0</v>
      </c>
      <c r="I6105" t="n">
        <v>0</v>
      </c>
      <c r="J6105" t="n">
        <v>0</v>
      </c>
      <c r="K6105" t="n">
        <v>0</v>
      </c>
      <c r="L6105" t="n">
        <v>0</v>
      </c>
      <c r="M6105" t="n">
        <v>0</v>
      </c>
      <c r="N6105" t="n">
        <v>0</v>
      </c>
      <c r="O6105" t="n">
        <v>0</v>
      </c>
      <c r="P6105" t="n">
        <v>0</v>
      </c>
      <c r="Q6105" t="n">
        <v>0</v>
      </c>
      <c r="R6105" s="2" t="inlineStr"/>
    </row>
    <row r="6106" ht="15" customHeight="1">
      <c r="A6106" t="inlineStr">
        <is>
          <t>A 33014-2023</t>
        </is>
      </c>
      <c r="B6106" s="1" t="n">
        <v>45113</v>
      </c>
      <c r="C6106" s="1" t="n">
        <v>45798</v>
      </c>
      <c r="D6106" t="inlineStr">
        <is>
          <t>NORRBOTTENS LÄN</t>
        </is>
      </c>
      <c r="E6106" t="inlineStr">
        <is>
          <t>JOKKMOKK</t>
        </is>
      </c>
      <c r="F6106" t="inlineStr">
        <is>
          <t>Övriga statliga verk och myndigheter</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33006-2023</t>
        </is>
      </c>
      <c r="B6107" s="1" t="n">
        <v>45113</v>
      </c>
      <c r="C6107" s="1" t="n">
        <v>45798</v>
      </c>
      <c r="D6107" t="inlineStr">
        <is>
          <t>NORRBOTTENS LÄN</t>
        </is>
      </c>
      <c r="E6107" t="inlineStr">
        <is>
          <t>JOKKMOKK</t>
        </is>
      </c>
      <c r="F6107" t="inlineStr">
        <is>
          <t>Övriga statliga verk och myndigheter</t>
        </is>
      </c>
      <c r="G6107" t="n">
        <v>19.1</v>
      </c>
      <c r="H6107" t="n">
        <v>0</v>
      </c>
      <c r="I6107" t="n">
        <v>0</v>
      </c>
      <c r="J6107" t="n">
        <v>0</v>
      </c>
      <c r="K6107" t="n">
        <v>0</v>
      </c>
      <c r="L6107" t="n">
        <v>0</v>
      </c>
      <c r="M6107" t="n">
        <v>0</v>
      </c>
      <c r="N6107" t="n">
        <v>0</v>
      </c>
      <c r="O6107" t="n">
        <v>0</v>
      </c>
      <c r="P6107" t="n">
        <v>0</v>
      </c>
      <c r="Q6107" t="n">
        <v>0</v>
      </c>
      <c r="R6107" s="2" t="inlineStr"/>
    </row>
    <row r="6108" ht="15" customHeight="1">
      <c r="A6108" t="inlineStr">
        <is>
          <t>A 31216-2023</t>
        </is>
      </c>
      <c r="B6108" s="1" t="n">
        <v>45114</v>
      </c>
      <c r="C6108" s="1" t="n">
        <v>45798</v>
      </c>
      <c r="D6108" t="inlineStr">
        <is>
          <t>NORRBOTTENS LÄN</t>
        </is>
      </c>
      <c r="E6108" t="inlineStr">
        <is>
          <t>ÄLVSBYN</t>
        </is>
      </c>
      <c r="F6108" t="inlineStr">
        <is>
          <t>Sveaskog</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31220-2023</t>
        </is>
      </c>
      <c r="B6109" s="1" t="n">
        <v>45114</v>
      </c>
      <c r="C6109" s="1" t="n">
        <v>45798</v>
      </c>
      <c r="D6109" t="inlineStr">
        <is>
          <t>NORRBOTTENS LÄN</t>
        </is>
      </c>
      <c r="E6109" t="inlineStr">
        <is>
          <t>ÄLVSBYN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31219-2023</t>
        </is>
      </c>
      <c r="B6110" s="1" t="n">
        <v>45114</v>
      </c>
      <c r="C6110" s="1" t="n">
        <v>45798</v>
      </c>
      <c r="D6110" t="inlineStr">
        <is>
          <t>NORRBOTTENS LÄN</t>
        </is>
      </c>
      <c r="E6110" t="inlineStr">
        <is>
          <t>ÄLVSBYN</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31226-2023</t>
        </is>
      </c>
      <c r="B6111" s="1" t="n">
        <v>45114</v>
      </c>
      <c r="C6111" s="1" t="n">
        <v>45798</v>
      </c>
      <c r="D6111" t="inlineStr">
        <is>
          <t>NORRBOTTENS LÄN</t>
        </is>
      </c>
      <c r="E6111" t="inlineStr">
        <is>
          <t>BODEN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31297-2023</t>
        </is>
      </c>
      <c r="B6112" s="1" t="n">
        <v>45114</v>
      </c>
      <c r="C6112" s="1" t="n">
        <v>45798</v>
      </c>
      <c r="D6112" t="inlineStr">
        <is>
          <t>NORRBOTTENS LÄN</t>
        </is>
      </c>
      <c r="E6112" t="inlineStr">
        <is>
          <t>BODEN</t>
        </is>
      </c>
      <c r="G6112" t="n">
        <v>7.8</v>
      </c>
      <c r="H6112" t="n">
        <v>0</v>
      </c>
      <c r="I6112" t="n">
        <v>0</v>
      </c>
      <c r="J6112" t="n">
        <v>0</v>
      </c>
      <c r="K6112" t="n">
        <v>0</v>
      </c>
      <c r="L6112" t="n">
        <v>0</v>
      </c>
      <c r="M6112" t="n">
        <v>0</v>
      </c>
      <c r="N6112" t="n">
        <v>0</v>
      </c>
      <c r="O6112" t="n">
        <v>0</v>
      </c>
      <c r="P6112" t="n">
        <v>0</v>
      </c>
      <c r="Q6112" t="n">
        <v>0</v>
      </c>
      <c r="R6112" s="2" t="inlineStr"/>
    </row>
    <row r="6113" ht="15" customHeight="1">
      <c r="A6113" t="inlineStr">
        <is>
          <t>A 31439-2023</t>
        </is>
      </c>
      <c r="B6113" s="1" t="n">
        <v>45114</v>
      </c>
      <c r="C6113" s="1" t="n">
        <v>45798</v>
      </c>
      <c r="D6113" t="inlineStr">
        <is>
          <t>NORRBOTTENS LÄN</t>
        </is>
      </c>
      <c r="E6113" t="inlineStr">
        <is>
          <t>PAJALA</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31488-2023</t>
        </is>
      </c>
      <c r="B6114" s="1" t="n">
        <v>45114</v>
      </c>
      <c r="C6114" s="1" t="n">
        <v>45798</v>
      </c>
      <c r="D6114" t="inlineStr">
        <is>
          <t>NORRBOTTENS LÄN</t>
        </is>
      </c>
      <c r="E6114" t="inlineStr">
        <is>
          <t>PITEÅ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31487-2023</t>
        </is>
      </c>
      <c r="B6115" s="1" t="n">
        <v>45114</v>
      </c>
      <c r="C6115" s="1" t="n">
        <v>45798</v>
      </c>
      <c r="D6115" t="inlineStr">
        <is>
          <t>NORRBOTTENS LÄN</t>
        </is>
      </c>
      <c r="E6115" t="inlineStr">
        <is>
          <t>PITEÅ</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33134-2023</t>
        </is>
      </c>
      <c r="B6116" s="1" t="n">
        <v>45114</v>
      </c>
      <c r="C6116" s="1" t="n">
        <v>45798</v>
      </c>
      <c r="D6116" t="inlineStr">
        <is>
          <t>NORRBOTTENS LÄN</t>
        </is>
      </c>
      <c r="E6116" t="inlineStr">
        <is>
          <t>ARVIDSJAUR</t>
        </is>
      </c>
      <c r="G6116" t="n">
        <v>16.3</v>
      </c>
      <c r="H6116" t="n">
        <v>0</v>
      </c>
      <c r="I6116" t="n">
        <v>0</v>
      </c>
      <c r="J6116" t="n">
        <v>0</v>
      </c>
      <c r="K6116" t="n">
        <v>0</v>
      </c>
      <c r="L6116" t="n">
        <v>0</v>
      </c>
      <c r="M6116" t="n">
        <v>0</v>
      </c>
      <c r="N6116" t="n">
        <v>0</v>
      </c>
      <c r="O6116" t="n">
        <v>0</v>
      </c>
      <c r="P6116" t="n">
        <v>0</v>
      </c>
      <c r="Q6116" t="n">
        <v>0</v>
      </c>
      <c r="R6116" s="2" t="inlineStr"/>
    </row>
    <row r="6117" ht="15" customHeight="1">
      <c r="A6117" t="inlineStr">
        <is>
          <t>A 31321-2023</t>
        </is>
      </c>
      <c r="B6117" s="1" t="n">
        <v>45114</v>
      </c>
      <c r="C6117" s="1" t="n">
        <v>45798</v>
      </c>
      <c r="D6117" t="inlineStr">
        <is>
          <t>NORRBOTTENS LÄN</t>
        </is>
      </c>
      <c r="E6117" t="inlineStr">
        <is>
          <t>LULEÅ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31326-2023</t>
        </is>
      </c>
      <c r="B6118" s="1" t="n">
        <v>45114</v>
      </c>
      <c r="C6118" s="1" t="n">
        <v>45798</v>
      </c>
      <c r="D6118" t="inlineStr">
        <is>
          <t>NORRBOTTENS LÄN</t>
        </is>
      </c>
      <c r="E6118" t="inlineStr">
        <is>
          <t>PAJALA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31590-2023</t>
        </is>
      </c>
      <c r="B6119" s="1" t="n">
        <v>45117</v>
      </c>
      <c r="C6119" s="1" t="n">
        <v>45798</v>
      </c>
      <c r="D6119" t="inlineStr">
        <is>
          <t>NORRBOTTENS LÄN</t>
        </is>
      </c>
      <c r="E6119" t="inlineStr">
        <is>
          <t>BODEN</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31699-2023</t>
        </is>
      </c>
      <c r="B6120" s="1" t="n">
        <v>45117</v>
      </c>
      <c r="C6120" s="1" t="n">
        <v>45798</v>
      </c>
      <c r="D6120" t="inlineStr">
        <is>
          <t>NORRBOTTENS LÄN</t>
        </is>
      </c>
      <c r="E6120" t="inlineStr">
        <is>
          <t>ÖVERTORNEÅ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31660-2023</t>
        </is>
      </c>
      <c r="B6121" s="1" t="n">
        <v>45117</v>
      </c>
      <c r="C6121" s="1" t="n">
        <v>45798</v>
      </c>
      <c r="D6121" t="inlineStr">
        <is>
          <t>NORRBOTTENS LÄN</t>
        </is>
      </c>
      <c r="E6121" t="inlineStr">
        <is>
          <t>PAJALA</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31729-2023</t>
        </is>
      </c>
      <c r="B6122" s="1" t="n">
        <v>45118</v>
      </c>
      <c r="C6122" s="1" t="n">
        <v>45798</v>
      </c>
      <c r="D6122" t="inlineStr">
        <is>
          <t>NORRBOTTENS LÄN</t>
        </is>
      </c>
      <c r="E6122" t="inlineStr">
        <is>
          <t>PITEÅ</t>
        </is>
      </c>
      <c r="F6122" t="inlineStr">
        <is>
          <t>SCA</t>
        </is>
      </c>
      <c r="G6122" t="n">
        <v>33.7</v>
      </c>
      <c r="H6122" t="n">
        <v>0</v>
      </c>
      <c r="I6122" t="n">
        <v>0</v>
      </c>
      <c r="J6122" t="n">
        <v>0</v>
      </c>
      <c r="K6122" t="n">
        <v>0</v>
      </c>
      <c r="L6122" t="n">
        <v>0</v>
      </c>
      <c r="M6122" t="n">
        <v>0</v>
      </c>
      <c r="N6122" t="n">
        <v>0</v>
      </c>
      <c r="O6122" t="n">
        <v>0</v>
      </c>
      <c r="P6122" t="n">
        <v>0</v>
      </c>
      <c r="Q6122" t="n">
        <v>0</v>
      </c>
      <c r="R6122" s="2" t="inlineStr"/>
    </row>
    <row r="6123" ht="15" customHeight="1">
      <c r="A6123" t="inlineStr">
        <is>
          <t>A 31733-2023</t>
        </is>
      </c>
      <c r="B6123" s="1" t="n">
        <v>45118</v>
      </c>
      <c r="C6123" s="1" t="n">
        <v>45798</v>
      </c>
      <c r="D6123" t="inlineStr">
        <is>
          <t>NORRBOTTENS LÄN</t>
        </is>
      </c>
      <c r="E6123" t="inlineStr">
        <is>
          <t>PITEÅ</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31732-2023</t>
        </is>
      </c>
      <c r="B6124" s="1" t="n">
        <v>45118</v>
      </c>
      <c r="C6124" s="1" t="n">
        <v>45798</v>
      </c>
      <c r="D6124" t="inlineStr">
        <is>
          <t>NORRBOTTENS LÄN</t>
        </is>
      </c>
      <c r="E6124" t="inlineStr">
        <is>
          <t>PITEÅ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33382-2023</t>
        </is>
      </c>
      <c r="B6125" s="1" t="n">
        <v>45117</v>
      </c>
      <c r="C6125" s="1" t="n">
        <v>45798</v>
      </c>
      <c r="D6125" t="inlineStr">
        <is>
          <t>NORRBOTTENS LÄN</t>
        </is>
      </c>
      <c r="E6125" t="inlineStr">
        <is>
          <t>GÄLLIVARE</t>
        </is>
      </c>
      <c r="F6125" t="inlineStr">
        <is>
          <t>Allmännings- och besparingsskogar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31731-2023</t>
        </is>
      </c>
      <c r="B6126" s="1" t="n">
        <v>45118</v>
      </c>
      <c r="C6126" s="1" t="n">
        <v>45798</v>
      </c>
      <c r="D6126" t="inlineStr">
        <is>
          <t>NORRBOTTENS LÄN</t>
        </is>
      </c>
      <c r="E6126" t="inlineStr">
        <is>
          <t>PITEÅ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31579-2023</t>
        </is>
      </c>
      <c r="B6127" s="1" t="n">
        <v>45117</v>
      </c>
      <c r="C6127" s="1" t="n">
        <v>45798</v>
      </c>
      <c r="D6127" t="inlineStr">
        <is>
          <t>NORRBOTTENS LÄN</t>
        </is>
      </c>
      <c r="E6127" t="inlineStr">
        <is>
          <t>KALIX</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31730-2023</t>
        </is>
      </c>
      <c r="B6128" s="1" t="n">
        <v>45118</v>
      </c>
      <c r="C6128" s="1" t="n">
        <v>45798</v>
      </c>
      <c r="D6128" t="inlineStr">
        <is>
          <t>NORRBOTTENS LÄN</t>
        </is>
      </c>
      <c r="E6128" t="inlineStr">
        <is>
          <t>PITEÅ</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31734-2023</t>
        </is>
      </c>
      <c r="B6129" s="1" t="n">
        <v>45118</v>
      </c>
      <c r="C6129" s="1" t="n">
        <v>45798</v>
      </c>
      <c r="D6129" t="inlineStr">
        <is>
          <t>NORRBOTTENS LÄN</t>
        </is>
      </c>
      <c r="E6129" t="inlineStr">
        <is>
          <t>PITEÅ</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33373-2023</t>
        </is>
      </c>
      <c r="B6130" s="1" t="n">
        <v>45117</v>
      </c>
      <c r="C6130" s="1" t="n">
        <v>45798</v>
      </c>
      <c r="D6130" t="inlineStr">
        <is>
          <t>NORRBOTTENS LÄN</t>
        </is>
      </c>
      <c r="E6130" t="inlineStr">
        <is>
          <t>GÄLLIVARE</t>
        </is>
      </c>
      <c r="F6130" t="inlineStr">
        <is>
          <t>Allmännings- och besparingsskogar</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33392-2023</t>
        </is>
      </c>
      <c r="B6131" s="1" t="n">
        <v>45117</v>
      </c>
      <c r="C6131" s="1" t="n">
        <v>45798</v>
      </c>
      <c r="D6131" t="inlineStr">
        <is>
          <t>NORRBOTTENS LÄN</t>
        </is>
      </c>
      <c r="E6131" t="inlineStr">
        <is>
          <t>GÄLLIVARE</t>
        </is>
      </c>
      <c r="F6131" t="inlineStr">
        <is>
          <t>Allmännings- och besparingsskogar</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33390-2023</t>
        </is>
      </c>
      <c r="B6132" s="1" t="n">
        <v>45117</v>
      </c>
      <c r="C6132" s="1" t="n">
        <v>45798</v>
      </c>
      <c r="D6132" t="inlineStr">
        <is>
          <t>NORRBOTTENS LÄN</t>
        </is>
      </c>
      <c r="E6132" t="inlineStr">
        <is>
          <t>GÄLLIVARE</t>
        </is>
      </c>
      <c r="F6132" t="inlineStr">
        <is>
          <t>Allmännings- och besparingsskogar</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33404-2023</t>
        </is>
      </c>
      <c r="B6133" s="1" t="n">
        <v>45117</v>
      </c>
      <c r="C6133" s="1" t="n">
        <v>45798</v>
      </c>
      <c r="D6133" t="inlineStr">
        <is>
          <t>NORRBOTTENS LÄN</t>
        </is>
      </c>
      <c r="E6133" t="inlineStr">
        <is>
          <t>LULEÅ</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31902-2023</t>
        </is>
      </c>
      <c r="B6134" s="1" t="n">
        <v>45118</v>
      </c>
      <c r="C6134" s="1" t="n">
        <v>45798</v>
      </c>
      <c r="D6134" t="inlineStr">
        <is>
          <t>NORRBOTTENS LÄN</t>
        </is>
      </c>
      <c r="E6134" t="inlineStr">
        <is>
          <t>PAJALA</t>
        </is>
      </c>
      <c r="G6134" t="n">
        <v>21.5</v>
      </c>
      <c r="H6134" t="n">
        <v>0</v>
      </c>
      <c r="I6134" t="n">
        <v>0</v>
      </c>
      <c r="J6134" t="n">
        <v>0</v>
      </c>
      <c r="K6134" t="n">
        <v>0</v>
      </c>
      <c r="L6134" t="n">
        <v>0</v>
      </c>
      <c r="M6134" t="n">
        <v>0</v>
      </c>
      <c r="N6134" t="n">
        <v>0</v>
      </c>
      <c r="O6134" t="n">
        <v>0</v>
      </c>
      <c r="P6134" t="n">
        <v>0</v>
      </c>
      <c r="Q6134" t="n">
        <v>0</v>
      </c>
      <c r="R6134" s="2" t="inlineStr"/>
    </row>
    <row r="6135" ht="15" customHeight="1">
      <c r="A6135" t="inlineStr">
        <is>
          <t>A 33518-2023</t>
        </is>
      </c>
      <c r="B6135" s="1" t="n">
        <v>45118</v>
      </c>
      <c r="C6135" s="1" t="n">
        <v>45798</v>
      </c>
      <c r="D6135" t="inlineStr">
        <is>
          <t>NORRBOTTENS LÄN</t>
        </is>
      </c>
      <c r="E6135" t="inlineStr">
        <is>
          <t>ÖVERTORNEÅ</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33523-2023</t>
        </is>
      </c>
      <c r="B6136" s="1" t="n">
        <v>45118</v>
      </c>
      <c r="C6136" s="1" t="n">
        <v>45798</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31941-2023</t>
        </is>
      </c>
      <c r="B6137" s="1" t="n">
        <v>45119</v>
      </c>
      <c r="C6137" s="1" t="n">
        <v>45798</v>
      </c>
      <c r="D6137" t="inlineStr">
        <is>
          <t>NORRBOTTENS LÄN</t>
        </is>
      </c>
      <c r="E6137" t="inlineStr">
        <is>
          <t>PAJALA</t>
        </is>
      </c>
      <c r="F6137" t="inlineStr">
        <is>
          <t>Sveaskog</t>
        </is>
      </c>
      <c r="G6137" t="n">
        <v>32.6</v>
      </c>
      <c r="H6137" t="n">
        <v>0</v>
      </c>
      <c r="I6137" t="n">
        <v>0</v>
      </c>
      <c r="J6137" t="n">
        <v>0</v>
      </c>
      <c r="K6137" t="n">
        <v>0</v>
      </c>
      <c r="L6137" t="n">
        <v>0</v>
      </c>
      <c r="M6137" t="n">
        <v>0</v>
      </c>
      <c r="N6137" t="n">
        <v>0</v>
      </c>
      <c r="O6137" t="n">
        <v>0</v>
      </c>
      <c r="P6137" t="n">
        <v>0</v>
      </c>
      <c r="Q6137" t="n">
        <v>0</v>
      </c>
      <c r="R6137" s="2" t="inlineStr"/>
    </row>
    <row r="6138" ht="15" customHeight="1">
      <c r="A6138" t="inlineStr">
        <is>
          <t>A 32153-2023</t>
        </is>
      </c>
      <c r="B6138" s="1" t="n">
        <v>45119</v>
      </c>
      <c r="C6138" s="1" t="n">
        <v>45798</v>
      </c>
      <c r="D6138" t="inlineStr">
        <is>
          <t>NORRBOTTENS LÄN</t>
        </is>
      </c>
      <c r="E6138" t="inlineStr">
        <is>
          <t>PITEÅ</t>
        </is>
      </c>
      <c r="F6138" t="inlineStr">
        <is>
          <t>Sveaskog</t>
        </is>
      </c>
      <c r="G6138" t="n">
        <v>18.5</v>
      </c>
      <c r="H6138" t="n">
        <v>0</v>
      </c>
      <c r="I6138" t="n">
        <v>0</v>
      </c>
      <c r="J6138" t="n">
        <v>0</v>
      </c>
      <c r="K6138" t="n">
        <v>0</v>
      </c>
      <c r="L6138" t="n">
        <v>0</v>
      </c>
      <c r="M6138" t="n">
        <v>0</v>
      </c>
      <c r="N6138" t="n">
        <v>0</v>
      </c>
      <c r="O6138" t="n">
        <v>0</v>
      </c>
      <c r="P6138" t="n">
        <v>0</v>
      </c>
      <c r="Q6138" t="n">
        <v>0</v>
      </c>
      <c r="R6138" s="2" t="inlineStr"/>
    </row>
    <row r="6139" ht="15" customHeight="1">
      <c r="A6139" t="inlineStr">
        <is>
          <t>A 33684-2023</t>
        </is>
      </c>
      <c r="B6139" s="1" t="n">
        <v>45119</v>
      </c>
      <c r="C6139" s="1" t="n">
        <v>45798</v>
      </c>
      <c r="D6139" t="inlineStr">
        <is>
          <t>NORRBOTTENS LÄN</t>
        </is>
      </c>
      <c r="E6139" t="inlineStr">
        <is>
          <t>PITEÅ</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32263-2023</t>
        </is>
      </c>
      <c r="B6140" s="1" t="n">
        <v>45120</v>
      </c>
      <c r="C6140" s="1" t="n">
        <v>45798</v>
      </c>
      <c r="D6140" t="inlineStr">
        <is>
          <t>NORRBOTTENS LÄN</t>
        </is>
      </c>
      <c r="E6140" t="inlineStr">
        <is>
          <t>ARVIDSJAUR</t>
        </is>
      </c>
      <c r="F6140" t="inlineStr">
        <is>
          <t>Sveaskog</t>
        </is>
      </c>
      <c r="G6140" t="n">
        <v>18.1</v>
      </c>
      <c r="H6140" t="n">
        <v>0</v>
      </c>
      <c r="I6140" t="n">
        <v>0</v>
      </c>
      <c r="J6140" t="n">
        <v>0</v>
      </c>
      <c r="K6140" t="n">
        <v>0</v>
      </c>
      <c r="L6140" t="n">
        <v>0</v>
      </c>
      <c r="M6140" t="n">
        <v>0</v>
      </c>
      <c r="N6140" t="n">
        <v>0</v>
      </c>
      <c r="O6140" t="n">
        <v>0</v>
      </c>
      <c r="P6140" t="n">
        <v>0</v>
      </c>
      <c r="Q6140" t="n">
        <v>0</v>
      </c>
      <c r="R6140" s="2" t="inlineStr"/>
    </row>
    <row r="6141" ht="15" customHeight="1">
      <c r="A6141" t="inlineStr">
        <is>
          <t>A 32268-2023</t>
        </is>
      </c>
      <c r="B6141" s="1" t="n">
        <v>45120</v>
      </c>
      <c r="C6141" s="1" t="n">
        <v>45798</v>
      </c>
      <c r="D6141" t="inlineStr">
        <is>
          <t>NORRBOTTENS LÄN</t>
        </is>
      </c>
      <c r="E6141" t="inlineStr">
        <is>
          <t>ARVIDSJAUR</t>
        </is>
      </c>
      <c r="F6141" t="inlineStr">
        <is>
          <t>Sveaskog</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32264-2023</t>
        </is>
      </c>
      <c r="B6142" s="1" t="n">
        <v>45120</v>
      </c>
      <c r="C6142" s="1" t="n">
        <v>45798</v>
      </c>
      <c r="D6142" t="inlineStr">
        <is>
          <t>NORRBOTTENS LÄN</t>
        </is>
      </c>
      <c r="E6142" t="inlineStr">
        <is>
          <t>ARVIDSJAUR</t>
        </is>
      </c>
      <c r="F6142" t="inlineStr">
        <is>
          <t>Sveaskog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32438-2023</t>
        </is>
      </c>
      <c r="B6143" s="1" t="n">
        <v>45120</v>
      </c>
      <c r="C6143" s="1" t="n">
        <v>45798</v>
      </c>
      <c r="D6143" t="inlineStr">
        <is>
          <t>NORRBOTTENS LÄN</t>
        </is>
      </c>
      <c r="E6143" t="inlineStr">
        <is>
          <t>PITEÅ</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32441-2023</t>
        </is>
      </c>
      <c r="B6144" s="1" t="n">
        <v>45120</v>
      </c>
      <c r="C6144" s="1" t="n">
        <v>45798</v>
      </c>
      <c r="D6144" t="inlineStr">
        <is>
          <t>NORRBOTTENS LÄN</t>
        </is>
      </c>
      <c r="E6144" t="inlineStr">
        <is>
          <t>PITEÅ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32445-2023</t>
        </is>
      </c>
      <c r="B6145" s="1" t="n">
        <v>45120</v>
      </c>
      <c r="C6145" s="1" t="n">
        <v>45798</v>
      </c>
      <c r="D6145" t="inlineStr">
        <is>
          <t>NORRBOTTENS LÄN</t>
        </is>
      </c>
      <c r="E6145" t="inlineStr">
        <is>
          <t>ÄLVSBYN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32432-2023</t>
        </is>
      </c>
      <c r="B6146" s="1" t="n">
        <v>45120</v>
      </c>
      <c r="C6146" s="1" t="n">
        <v>45798</v>
      </c>
      <c r="D6146" t="inlineStr">
        <is>
          <t>NORRBOTTENS LÄN</t>
        </is>
      </c>
      <c r="E6146" t="inlineStr">
        <is>
          <t>PITEÅ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32436-2023</t>
        </is>
      </c>
      <c r="B6147" s="1" t="n">
        <v>45120</v>
      </c>
      <c r="C6147" s="1" t="n">
        <v>45798</v>
      </c>
      <c r="D6147" t="inlineStr">
        <is>
          <t>NORRBOTTENS LÄN</t>
        </is>
      </c>
      <c r="E6147" t="inlineStr">
        <is>
          <t>PITEÅ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32457-2023</t>
        </is>
      </c>
      <c r="B6148" s="1" t="n">
        <v>45120</v>
      </c>
      <c r="C6148" s="1" t="n">
        <v>45798</v>
      </c>
      <c r="D6148" t="inlineStr">
        <is>
          <t>NORRBOTTENS LÄN</t>
        </is>
      </c>
      <c r="E6148" t="inlineStr">
        <is>
          <t>PAJALA</t>
        </is>
      </c>
      <c r="G6148" t="n">
        <v>17.2</v>
      </c>
      <c r="H6148" t="n">
        <v>0</v>
      </c>
      <c r="I6148" t="n">
        <v>0</v>
      </c>
      <c r="J6148" t="n">
        <v>0</v>
      </c>
      <c r="K6148" t="n">
        <v>0</v>
      </c>
      <c r="L6148" t="n">
        <v>0</v>
      </c>
      <c r="M6148" t="n">
        <v>0</v>
      </c>
      <c r="N6148" t="n">
        <v>0</v>
      </c>
      <c r="O6148" t="n">
        <v>0</v>
      </c>
      <c r="P6148" t="n">
        <v>0</v>
      </c>
      <c r="Q6148" t="n">
        <v>0</v>
      </c>
      <c r="R6148" s="2" t="inlineStr"/>
    </row>
    <row r="6149" ht="15" customHeight="1">
      <c r="A6149" t="inlineStr">
        <is>
          <t>A 33751-2023</t>
        </is>
      </c>
      <c r="B6149" s="1" t="n">
        <v>45120</v>
      </c>
      <c r="C6149" s="1" t="n">
        <v>45798</v>
      </c>
      <c r="D6149" t="inlineStr">
        <is>
          <t>NORRBOTTENS LÄN</t>
        </is>
      </c>
      <c r="E6149" t="inlineStr">
        <is>
          <t>BODEN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32480-2023</t>
        </is>
      </c>
      <c r="B6150" s="1" t="n">
        <v>45121</v>
      </c>
      <c r="C6150" s="1" t="n">
        <v>45798</v>
      </c>
      <c r="D6150" t="inlineStr">
        <is>
          <t>NORRBOTTENS LÄN</t>
        </is>
      </c>
      <c r="E6150" t="inlineStr">
        <is>
          <t>ÖVERKALIX</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32519-2023</t>
        </is>
      </c>
      <c r="B6151" s="1" t="n">
        <v>45121</v>
      </c>
      <c r="C6151" s="1" t="n">
        <v>45798</v>
      </c>
      <c r="D6151" t="inlineStr">
        <is>
          <t>NORRBOTTENS LÄN</t>
        </is>
      </c>
      <c r="E6151" t="inlineStr">
        <is>
          <t>PAJALA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32578-2023</t>
        </is>
      </c>
      <c r="B6152" s="1" t="n">
        <v>45121</v>
      </c>
      <c r="C6152" s="1" t="n">
        <v>45798</v>
      </c>
      <c r="D6152" t="inlineStr">
        <is>
          <t>NORRBOTTENS LÄN</t>
        </is>
      </c>
      <c r="E6152" t="inlineStr">
        <is>
          <t>PAJALA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32608-2023</t>
        </is>
      </c>
      <c r="B6153" s="1" t="n">
        <v>45121</v>
      </c>
      <c r="C6153" s="1" t="n">
        <v>45798</v>
      </c>
      <c r="D6153" t="inlineStr">
        <is>
          <t>NORRBOTTENS LÄN</t>
        </is>
      </c>
      <c r="E6153" t="inlineStr">
        <is>
          <t>PAJALA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33847-2023</t>
        </is>
      </c>
      <c r="B6154" s="1" t="n">
        <v>45121</v>
      </c>
      <c r="C6154" s="1" t="n">
        <v>45798</v>
      </c>
      <c r="D6154" t="inlineStr">
        <is>
          <t>NORRBOTTENS LÄN</t>
        </is>
      </c>
      <c r="E6154" t="inlineStr">
        <is>
          <t>GÄLLIVARE</t>
        </is>
      </c>
      <c r="F6154" t="inlineStr">
        <is>
          <t>Övriga statliga verk och myndigheter</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32767-2023</t>
        </is>
      </c>
      <c r="B6155" s="1" t="n">
        <v>45123</v>
      </c>
      <c r="C6155" s="1" t="n">
        <v>45798</v>
      </c>
      <c r="D6155" t="inlineStr">
        <is>
          <t>NORRBOTTENS LÄN</t>
        </is>
      </c>
      <c r="E6155" t="inlineStr">
        <is>
          <t>PAJALA</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32782-2023</t>
        </is>
      </c>
      <c r="B6156" s="1" t="n">
        <v>45124</v>
      </c>
      <c r="C6156" s="1" t="n">
        <v>45798</v>
      </c>
      <c r="D6156" t="inlineStr">
        <is>
          <t>NORRBOTTENS LÄN</t>
        </is>
      </c>
      <c r="E6156" t="inlineStr">
        <is>
          <t>BODEN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32899-2023</t>
        </is>
      </c>
      <c r="B6157" s="1" t="n">
        <v>45124</v>
      </c>
      <c r="C6157" s="1" t="n">
        <v>45798</v>
      </c>
      <c r="D6157" t="inlineStr">
        <is>
          <t>NORRBOTTENS LÄN</t>
        </is>
      </c>
      <c r="E6157" t="inlineStr">
        <is>
          <t>JOKKMOKK</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32781-2023</t>
        </is>
      </c>
      <c r="B6158" s="1" t="n">
        <v>45124</v>
      </c>
      <c r="C6158" s="1" t="n">
        <v>45798</v>
      </c>
      <c r="D6158" t="inlineStr">
        <is>
          <t>NORRBOTTENS LÄN</t>
        </is>
      </c>
      <c r="E6158" t="inlineStr">
        <is>
          <t>BODEN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32915-2023</t>
        </is>
      </c>
      <c r="B6159" s="1" t="n">
        <v>45125</v>
      </c>
      <c r="C6159" s="1" t="n">
        <v>45798</v>
      </c>
      <c r="D6159" t="inlineStr">
        <is>
          <t>NORRBOTTENS LÄN</t>
        </is>
      </c>
      <c r="E6159" t="inlineStr">
        <is>
          <t>JOKKMOKK</t>
        </is>
      </c>
      <c r="F6159" t="inlineStr">
        <is>
          <t>SCA</t>
        </is>
      </c>
      <c r="G6159" t="n">
        <v>15.1</v>
      </c>
      <c r="H6159" t="n">
        <v>0</v>
      </c>
      <c r="I6159" t="n">
        <v>0</v>
      </c>
      <c r="J6159" t="n">
        <v>0</v>
      </c>
      <c r="K6159" t="n">
        <v>0</v>
      </c>
      <c r="L6159" t="n">
        <v>0</v>
      </c>
      <c r="M6159" t="n">
        <v>0</v>
      </c>
      <c r="N6159" t="n">
        <v>0</v>
      </c>
      <c r="O6159" t="n">
        <v>0</v>
      </c>
      <c r="P6159" t="n">
        <v>0</v>
      </c>
      <c r="Q6159" t="n">
        <v>0</v>
      </c>
      <c r="R6159" s="2" t="inlineStr"/>
    </row>
    <row r="6160" ht="15" customHeight="1">
      <c r="A6160" t="inlineStr">
        <is>
          <t>A 32900-2023</t>
        </is>
      </c>
      <c r="B6160" s="1" t="n">
        <v>45124</v>
      </c>
      <c r="C6160" s="1" t="n">
        <v>45798</v>
      </c>
      <c r="D6160" t="inlineStr">
        <is>
          <t>NORRBOTTENS LÄN</t>
        </is>
      </c>
      <c r="E6160" t="inlineStr">
        <is>
          <t>JOKKMOKK</t>
        </is>
      </c>
      <c r="F6160" t="inlineStr">
        <is>
          <t>SCA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32912-2023</t>
        </is>
      </c>
      <c r="B6161" s="1" t="n">
        <v>45125</v>
      </c>
      <c r="C6161" s="1" t="n">
        <v>45798</v>
      </c>
      <c r="D6161" t="inlineStr">
        <is>
          <t>NORRBOTTENS LÄN</t>
        </is>
      </c>
      <c r="E6161" t="inlineStr">
        <is>
          <t>JOKKMOKK</t>
        </is>
      </c>
      <c r="F6161" t="inlineStr">
        <is>
          <t>SCA</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32784-2023</t>
        </is>
      </c>
      <c r="B6162" s="1" t="n">
        <v>45124</v>
      </c>
      <c r="C6162" s="1" t="n">
        <v>45798</v>
      </c>
      <c r="D6162" t="inlineStr">
        <is>
          <t>NORRBOTTENS LÄN</t>
        </is>
      </c>
      <c r="E6162" t="inlineStr">
        <is>
          <t>BODEN</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32902-2023</t>
        </is>
      </c>
      <c r="B6163" s="1" t="n">
        <v>45125</v>
      </c>
      <c r="C6163" s="1" t="n">
        <v>45798</v>
      </c>
      <c r="D6163" t="inlineStr">
        <is>
          <t>NORRBOTTENS LÄN</t>
        </is>
      </c>
      <c r="E6163" t="inlineStr">
        <is>
          <t>BODEN</t>
        </is>
      </c>
      <c r="F6163" t="inlineStr">
        <is>
          <t>SCA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32893-2023</t>
        </is>
      </c>
      <c r="B6164" s="1" t="n">
        <v>45124</v>
      </c>
      <c r="C6164" s="1" t="n">
        <v>45798</v>
      </c>
      <c r="D6164" t="inlineStr">
        <is>
          <t>NORRBOTTENS LÄN</t>
        </is>
      </c>
      <c r="E6164" t="inlineStr">
        <is>
          <t>KALIX</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32914-2023</t>
        </is>
      </c>
      <c r="B6165" s="1" t="n">
        <v>45124</v>
      </c>
      <c r="C6165" s="1" t="n">
        <v>45798</v>
      </c>
      <c r="D6165" t="inlineStr">
        <is>
          <t>NORRBOTTENS LÄN</t>
        </is>
      </c>
      <c r="E6165" t="inlineStr">
        <is>
          <t>JOKKMOKK</t>
        </is>
      </c>
      <c r="F6165" t="inlineStr">
        <is>
          <t>SCA</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33945-2023</t>
        </is>
      </c>
      <c r="B6166" s="1" t="n">
        <v>45124</v>
      </c>
      <c r="C6166" s="1" t="n">
        <v>45798</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32963-2023</t>
        </is>
      </c>
      <c r="B6167" s="1" t="n">
        <v>45125</v>
      </c>
      <c r="C6167" s="1" t="n">
        <v>45798</v>
      </c>
      <c r="D6167" t="inlineStr">
        <is>
          <t>NORRBOTTENS LÄN</t>
        </is>
      </c>
      <c r="E6167" t="inlineStr">
        <is>
          <t>ÄLVSBYN</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32939-2023</t>
        </is>
      </c>
      <c r="B6168" s="1" t="n">
        <v>45125</v>
      </c>
      <c r="C6168" s="1" t="n">
        <v>45798</v>
      </c>
      <c r="D6168" t="inlineStr">
        <is>
          <t>NORRBOTTENS LÄN</t>
        </is>
      </c>
      <c r="E6168" t="inlineStr">
        <is>
          <t>PITEÅ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32956-2023</t>
        </is>
      </c>
      <c r="B6169" s="1" t="n">
        <v>45125</v>
      </c>
      <c r="C6169" s="1" t="n">
        <v>45798</v>
      </c>
      <c r="D6169" t="inlineStr">
        <is>
          <t>NORRBOTTENS LÄN</t>
        </is>
      </c>
      <c r="E6169" t="inlineStr">
        <is>
          <t>ÄLVSBYN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32936-2023</t>
        </is>
      </c>
      <c r="B6170" s="1" t="n">
        <v>45125</v>
      </c>
      <c r="C6170" s="1" t="n">
        <v>45798</v>
      </c>
      <c r="D6170" t="inlineStr">
        <is>
          <t>NORRBOTTENS LÄN</t>
        </is>
      </c>
      <c r="E6170" t="inlineStr">
        <is>
          <t>PITEÅ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32966-2023</t>
        </is>
      </c>
      <c r="B6171" s="1" t="n">
        <v>45125</v>
      </c>
      <c r="C6171" s="1" t="n">
        <v>45798</v>
      </c>
      <c r="D6171" t="inlineStr">
        <is>
          <t>NORRBOTTENS LÄN</t>
        </is>
      </c>
      <c r="E6171" t="inlineStr">
        <is>
          <t>ÄLVSBYN</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33021-2023</t>
        </is>
      </c>
      <c r="B6172" s="1" t="n">
        <v>45125</v>
      </c>
      <c r="C6172" s="1" t="n">
        <v>45798</v>
      </c>
      <c r="D6172" t="inlineStr">
        <is>
          <t>NORRBOTTENS LÄN</t>
        </is>
      </c>
      <c r="E6172" t="inlineStr">
        <is>
          <t>PITEÅ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33034-2023</t>
        </is>
      </c>
      <c r="B6173" s="1" t="n">
        <v>45126</v>
      </c>
      <c r="C6173" s="1" t="n">
        <v>45798</v>
      </c>
      <c r="D6173" t="inlineStr">
        <is>
          <t>NORRBOTTENS LÄN</t>
        </is>
      </c>
      <c r="E6173" t="inlineStr">
        <is>
          <t>BODEN</t>
        </is>
      </c>
      <c r="F6173" t="inlineStr">
        <is>
          <t>SCA</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33168-2023</t>
        </is>
      </c>
      <c r="B6174" s="1" t="n">
        <v>45127</v>
      </c>
      <c r="C6174" s="1" t="n">
        <v>45798</v>
      </c>
      <c r="D6174" t="inlineStr">
        <is>
          <t>NORRBOTTENS LÄN</t>
        </is>
      </c>
      <c r="E6174" t="inlineStr">
        <is>
          <t>BODEN</t>
        </is>
      </c>
      <c r="G6174" t="n">
        <v>12.2</v>
      </c>
      <c r="H6174" t="n">
        <v>0</v>
      </c>
      <c r="I6174" t="n">
        <v>0</v>
      </c>
      <c r="J6174" t="n">
        <v>0</v>
      </c>
      <c r="K6174" t="n">
        <v>0</v>
      </c>
      <c r="L6174" t="n">
        <v>0</v>
      </c>
      <c r="M6174" t="n">
        <v>0</v>
      </c>
      <c r="N6174" t="n">
        <v>0</v>
      </c>
      <c r="O6174" t="n">
        <v>0</v>
      </c>
      <c r="P6174" t="n">
        <v>0</v>
      </c>
      <c r="Q6174" t="n">
        <v>0</v>
      </c>
      <c r="R6174" s="2" t="inlineStr"/>
    </row>
    <row r="6175" ht="15" customHeight="1">
      <c r="A6175" t="inlineStr">
        <is>
          <t>A 33182-2023</t>
        </is>
      </c>
      <c r="B6175" s="1" t="n">
        <v>45127</v>
      </c>
      <c r="C6175" s="1" t="n">
        <v>45798</v>
      </c>
      <c r="D6175" t="inlineStr">
        <is>
          <t>NORRBOTTENS LÄN</t>
        </is>
      </c>
      <c r="E6175" t="inlineStr">
        <is>
          <t>GÄLLIVARE</t>
        </is>
      </c>
      <c r="F6175" t="inlineStr">
        <is>
          <t>Sveaskog</t>
        </is>
      </c>
      <c r="G6175" t="n">
        <v>40.3</v>
      </c>
      <c r="H6175" t="n">
        <v>0</v>
      </c>
      <c r="I6175" t="n">
        <v>0</v>
      </c>
      <c r="J6175" t="n">
        <v>0</v>
      </c>
      <c r="K6175" t="n">
        <v>0</v>
      </c>
      <c r="L6175" t="n">
        <v>0</v>
      </c>
      <c r="M6175" t="n">
        <v>0</v>
      </c>
      <c r="N6175" t="n">
        <v>0</v>
      </c>
      <c r="O6175" t="n">
        <v>0</v>
      </c>
      <c r="P6175" t="n">
        <v>0</v>
      </c>
      <c r="Q6175" t="n">
        <v>0</v>
      </c>
      <c r="R6175" s="2" t="inlineStr"/>
    </row>
    <row r="6176" ht="15" customHeight="1">
      <c r="A6176" t="inlineStr">
        <is>
          <t>A 33323-2023</t>
        </is>
      </c>
      <c r="B6176" s="1" t="n">
        <v>45128</v>
      </c>
      <c r="C6176" s="1" t="n">
        <v>45798</v>
      </c>
      <c r="D6176" t="inlineStr">
        <is>
          <t>NORRBOTTENS LÄN</t>
        </is>
      </c>
      <c r="E6176" t="inlineStr">
        <is>
          <t>ÖVERTORNEÅ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33322-2023</t>
        </is>
      </c>
      <c r="B6177" s="1" t="n">
        <v>45128</v>
      </c>
      <c r="C6177" s="1" t="n">
        <v>45798</v>
      </c>
      <c r="D6177" t="inlineStr">
        <is>
          <t>NORRBOTTENS LÄN</t>
        </is>
      </c>
      <c r="E6177" t="inlineStr">
        <is>
          <t>ÖVERTORNEÅ</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33325-2023</t>
        </is>
      </c>
      <c r="B6178" s="1" t="n">
        <v>45128</v>
      </c>
      <c r="C6178" s="1" t="n">
        <v>45798</v>
      </c>
      <c r="D6178" t="inlineStr">
        <is>
          <t>NORRBOTTENS LÄN</t>
        </is>
      </c>
      <c r="E6178" t="inlineStr">
        <is>
          <t>ÖVERTORNEÅ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33333-2023</t>
        </is>
      </c>
      <c r="B6179" s="1" t="n">
        <v>45128</v>
      </c>
      <c r="C6179" s="1" t="n">
        <v>45798</v>
      </c>
      <c r="D6179" t="inlineStr">
        <is>
          <t>NORRBOTTENS LÄN</t>
        </is>
      </c>
      <c r="E6179" t="inlineStr">
        <is>
          <t>BODEN</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33386-2023</t>
        </is>
      </c>
      <c r="B6180" s="1" t="n">
        <v>45128</v>
      </c>
      <c r="C6180" s="1" t="n">
        <v>45798</v>
      </c>
      <c r="D6180" t="inlineStr">
        <is>
          <t>NORRBOTTENS LÄN</t>
        </is>
      </c>
      <c r="E6180" t="inlineStr">
        <is>
          <t>PAJALA</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33387-2023</t>
        </is>
      </c>
      <c r="B6181" s="1" t="n">
        <v>45128</v>
      </c>
      <c r="C6181" s="1" t="n">
        <v>45798</v>
      </c>
      <c r="D6181" t="inlineStr">
        <is>
          <t>NORRBOTTENS LÄN</t>
        </is>
      </c>
      <c r="E6181" t="inlineStr">
        <is>
          <t>PAJALA</t>
        </is>
      </c>
      <c r="F6181" t="inlineStr">
        <is>
          <t>Sveaskog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34276-2023</t>
        </is>
      </c>
      <c r="B6182" s="1" t="n">
        <v>45128</v>
      </c>
      <c r="C6182" s="1" t="n">
        <v>45798</v>
      </c>
      <c r="D6182" t="inlineStr">
        <is>
          <t>NORRBOTTENS LÄN</t>
        </is>
      </c>
      <c r="E6182" t="inlineStr">
        <is>
          <t>ÖVERTORNEÅ</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34277-2023</t>
        </is>
      </c>
      <c r="B6183" s="1" t="n">
        <v>45128</v>
      </c>
      <c r="C6183" s="1" t="n">
        <v>45798</v>
      </c>
      <c r="D6183" t="inlineStr">
        <is>
          <t>NORRBOTTENS LÄN</t>
        </is>
      </c>
      <c r="E6183" t="inlineStr">
        <is>
          <t>ARVIDSJAUR</t>
        </is>
      </c>
      <c r="F6183" t="inlineStr">
        <is>
          <t>Sveaskog</t>
        </is>
      </c>
      <c r="G6183" t="n">
        <v>31.7</v>
      </c>
      <c r="H6183" t="n">
        <v>0</v>
      </c>
      <c r="I6183" t="n">
        <v>0</v>
      </c>
      <c r="J6183" t="n">
        <v>0</v>
      </c>
      <c r="K6183" t="n">
        <v>0</v>
      </c>
      <c r="L6183" t="n">
        <v>0</v>
      </c>
      <c r="M6183" t="n">
        <v>0</v>
      </c>
      <c r="N6183" t="n">
        <v>0</v>
      </c>
      <c r="O6183" t="n">
        <v>0</v>
      </c>
      <c r="P6183" t="n">
        <v>0</v>
      </c>
      <c r="Q6183" t="n">
        <v>0</v>
      </c>
      <c r="R6183" s="2" t="inlineStr"/>
    </row>
    <row r="6184" ht="15" customHeight="1">
      <c r="A6184" t="inlineStr">
        <is>
          <t>A 33435-2023</t>
        </is>
      </c>
      <c r="B6184" s="1" t="n">
        <v>45129</v>
      </c>
      <c r="C6184" s="1" t="n">
        <v>45798</v>
      </c>
      <c r="D6184" t="inlineStr">
        <is>
          <t>NORRBOTTENS LÄN</t>
        </is>
      </c>
      <c r="E6184" t="inlineStr">
        <is>
          <t>PITEÅ</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33439-2023</t>
        </is>
      </c>
      <c r="B6185" s="1" t="n">
        <v>45129</v>
      </c>
      <c r="C6185" s="1" t="n">
        <v>45798</v>
      </c>
      <c r="D6185" t="inlineStr">
        <is>
          <t>NORRBOTTENS LÄN</t>
        </is>
      </c>
      <c r="E6185" t="inlineStr">
        <is>
          <t>HAPARANDA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33436-2023</t>
        </is>
      </c>
      <c r="B6186" s="1" t="n">
        <v>45129</v>
      </c>
      <c r="C6186" s="1" t="n">
        <v>45798</v>
      </c>
      <c r="D6186" t="inlineStr">
        <is>
          <t>NORRBOTTENS LÄN</t>
        </is>
      </c>
      <c r="E6186" t="inlineStr">
        <is>
          <t>PITEÅ</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33445-2023</t>
        </is>
      </c>
      <c r="B6187" s="1" t="n">
        <v>45130</v>
      </c>
      <c r="C6187" s="1" t="n">
        <v>45798</v>
      </c>
      <c r="D6187" t="inlineStr">
        <is>
          <t>NORRBOTTENS LÄN</t>
        </is>
      </c>
      <c r="E6187" t="inlineStr">
        <is>
          <t>BODEN</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34333-2023</t>
        </is>
      </c>
      <c r="B6188" s="1" t="n">
        <v>45131</v>
      </c>
      <c r="C6188" s="1" t="n">
        <v>45798</v>
      </c>
      <c r="D6188" t="inlineStr">
        <is>
          <t>NORRBOTTENS LÄN</t>
        </is>
      </c>
      <c r="E6188" t="inlineStr">
        <is>
          <t>PAJALA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33637-2023</t>
        </is>
      </c>
      <c r="B6189" s="1" t="n">
        <v>45132</v>
      </c>
      <c r="C6189" s="1" t="n">
        <v>45798</v>
      </c>
      <c r="D6189" t="inlineStr">
        <is>
          <t>NORRBOTTENS LÄN</t>
        </is>
      </c>
      <c r="E6189" t="inlineStr">
        <is>
          <t>ÖVERTORNEÅ</t>
        </is>
      </c>
      <c r="F6189" t="inlineStr">
        <is>
          <t>Sveaskog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33697-2023</t>
        </is>
      </c>
      <c r="B6190" s="1" t="n">
        <v>45132</v>
      </c>
      <c r="C6190" s="1" t="n">
        <v>45798</v>
      </c>
      <c r="D6190" t="inlineStr">
        <is>
          <t>NORRBOTTENS LÄN</t>
        </is>
      </c>
      <c r="E6190" t="inlineStr">
        <is>
          <t>BODEN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34390-2023</t>
        </is>
      </c>
      <c r="B6191" s="1" t="n">
        <v>45132</v>
      </c>
      <c r="C6191" s="1" t="n">
        <v>45798</v>
      </c>
      <c r="D6191" t="inlineStr">
        <is>
          <t>NORRBOTTENS LÄN</t>
        </is>
      </c>
      <c r="E6191" t="inlineStr">
        <is>
          <t>LULEÅ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33865-2023</t>
        </is>
      </c>
      <c r="B6192" s="1" t="n">
        <v>45134</v>
      </c>
      <c r="C6192" s="1" t="n">
        <v>45798</v>
      </c>
      <c r="D6192" t="inlineStr">
        <is>
          <t>NORRBOTTENS LÄN</t>
        </is>
      </c>
      <c r="E6192" t="inlineStr">
        <is>
          <t>ÖVERKALIX</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33995-2023</t>
        </is>
      </c>
      <c r="B6193" s="1" t="n">
        <v>45135</v>
      </c>
      <c r="C6193" s="1" t="n">
        <v>45798</v>
      </c>
      <c r="D6193" t="inlineStr">
        <is>
          <t>NORRBOTTENS LÄN</t>
        </is>
      </c>
      <c r="E6193" t="inlineStr">
        <is>
          <t>LULEÅ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34093-2023</t>
        </is>
      </c>
      <c r="B6194" s="1" t="n">
        <v>45135</v>
      </c>
      <c r="C6194" s="1" t="n">
        <v>45798</v>
      </c>
      <c r="D6194" t="inlineStr">
        <is>
          <t>NORRBOTTENS LÄN</t>
        </is>
      </c>
      <c r="E6194" t="inlineStr">
        <is>
          <t>ÖVERKALIX</t>
        </is>
      </c>
      <c r="F6194" t="inlineStr">
        <is>
          <t>Sveaskog</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34582-2023</t>
        </is>
      </c>
      <c r="B6195" s="1" t="n">
        <v>45135</v>
      </c>
      <c r="C6195" s="1" t="n">
        <v>45798</v>
      </c>
      <c r="D6195" t="inlineStr">
        <is>
          <t>NORRBOTTENS LÄN</t>
        </is>
      </c>
      <c r="E6195" t="inlineStr">
        <is>
          <t>PITEÅ</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34134-2023</t>
        </is>
      </c>
      <c r="B6196" s="1" t="n">
        <v>45136</v>
      </c>
      <c r="C6196" s="1" t="n">
        <v>45798</v>
      </c>
      <c r="D6196" t="inlineStr">
        <is>
          <t>NORRBOTTENS LÄN</t>
        </is>
      </c>
      <c r="E6196" t="inlineStr">
        <is>
          <t>BODEN</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34578-2023</t>
        </is>
      </c>
      <c r="B6197" s="1" t="n">
        <v>45135</v>
      </c>
      <c r="C6197" s="1" t="n">
        <v>45798</v>
      </c>
      <c r="D6197" t="inlineStr">
        <is>
          <t>NORRBOTTENS LÄN</t>
        </is>
      </c>
      <c r="E6197" t="inlineStr">
        <is>
          <t>PITEÅ</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34139-2023</t>
        </is>
      </c>
      <c r="B6198" s="1" t="n">
        <v>45136</v>
      </c>
      <c r="C6198" s="1" t="n">
        <v>45798</v>
      </c>
      <c r="D6198" t="inlineStr">
        <is>
          <t>NORRBOTTENS LÄN</t>
        </is>
      </c>
      <c r="E6198" t="inlineStr">
        <is>
          <t>GÄLLIVARE</t>
        </is>
      </c>
      <c r="F6198" t="inlineStr">
        <is>
          <t>SCA</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34144-2023</t>
        </is>
      </c>
      <c r="B6199" s="1" t="n">
        <v>45136</v>
      </c>
      <c r="C6199" s="1" t="n">
        <v>45798</v>
      </c>
      <c r="D6199" t="inlineStr">
        <is>
          <t>NORRBOTTENS LÄN</t>
        </is>
      </c>
      <c r="E6199" t="inlineStr">
        <is>
          <t>ÖVERTORNEÅ</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34152-2023</t>
        </is>
      </c>
      <c r="B6200" s="1" t="n">
        <v>45136</v>
      </c>
      <c r="C6200" s="1" t="n">
        <v>45798</v>
      </c>
      <c r="D6200" t="inlineStr">
        <is>
          <t>NORRBOTTENS LÄN</t>
        </is>
      </c>
      <c r="E6200" t="inlineStr">
        <is>
          <t>PAJALA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34142-2023</t>
        </is>
      </c>
      <c r="B6201" s="1" t="n">
        <v>45136</v>
      </c>
      <c r="C6201" s="1" t="n">
        <v>45798</v>
      </c>
      <c r="D6201" t="inlineStr">
        <is>
          <t>NORRBOTTENS LÄN</t>
        </is>
      </c>
      <c r="E6201" t="inlineStr">
        <is>
          <t>ÖVERTORNEÅ</t>
        </is>
      </c>
      <c r="G6201" t="n">
        <v>22.5</v>
      </c>
      <c r="H6201" t="n">
        <v>0</v>
      </c>
      <c r="I6201" t="n">
        <v>0</v>
      </c>
      <c r="J6201" t="n">
        <v>0</v>
      </c>
      <c r="K6201" t="n">
        <v>0</v>
      </c>
      <c r="L6201" t="n">
        <v>0</v>
      </c>
      <c r="M6201" t="n">
        <v>0</v>
      </c>
      <c r="N6201" t="n">
        <v>0</v>
      </c>
      <c r="O6201" t="n">
        <v>0</v>
      </c>
      <c r="P6201" t="n">
        <v>0</v>
      </c>
      <c r="Q6201" t="n">
        <v>0</v>
      </c>
      <c r="R6201" s="2" t="inlineStr"/>
    </row>
    <row r="6202" ht="15" customHeight="1">
      <c r="A6202" t="inlineStr">
        <is>
          <t>A 34150-2023</t>
        </is>
      </c>
      <c r="B6202" s="1" t="n">
        <v>45136</v>
      </c>
      <c r="C6202" s="1" t="n">
        <v>45798</v>
      </c>
      <c r="D6202" t="inlineStr">
        <is>
          <t>NORRBOTTENS LÄN</t>
        </is>
      </c>
      <c r="E6202" t="inlineStr">
        <is>
          <t>PAJALA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34143-2023</t>
        </is>
      </c>
      <c r="B6203" s="1" t="n">
        <v>45136</v>
      </c>
      <c r="C6203" s="1" t="n">
        <v>45798</v>
      </c>
      <c r="D6203" t="inlineStr">
        <is>
          <t>NORRBOTTENS LÄN</t>
        </is>
      </c>
      <c r="E6203" t="inlineStr">
        <is>
          <t>ÖVERTORNEÅ</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34151-2023</t>
        </is>
      </c>
      <c r="B6204" s="1" t="n">
        <v>45136</v>
      </c>
      <c r="C6204" s="1" t="n">
        <v>45798</v>
      </c>
      <c r="D6204" t="inlineStr">
        <is>
          <t>NORRBOTTENS LÄN</t>
        </is>
      </c>
      <c r="E6204" t="inlineStr">
        <is>
          <t>PAJALA</t>
        </is>
      </c>
      <c r="G6204" t="n">
        <v>21.7</v>
      </c>
      <c r="H6204" t="n">
        <v>0</v>
      </c>
      <c r="I6204" t="n">
        <v>0</v>
      </c>
      <c r="J6204" t="n">
        <v>0</v>
      </c>
      <c r="K6204" t="n">
        <v>0</v>
      </c>
      <c r="L6204" t="n">
        <v>0</v>
      </c>
      <c r="M6204" t="n">
        <v>0</v>
      </c>
      <c r="N6204" t="n">
        <v>0</v>
      </c>
      <c r="O6204" t="n">
        <v>0</v>
      </c>
      <c r="P6204" t="n">
        <v>0</v>
      </c>
      <c r="Q6204" t="n">
        <v>0</v>
      </c>
      <c r="R6204" s="2" t="inlineStr"/>
    </row>
    <row r="6205" ht="15" customHeight="1">
      <c r="A6205" t="inlineStr">
        <is>
          <t>A 34145-2023</t>
        </is>
      </c>
      <c r="B6205" s="1" t="n">
        <v>45136</v>
      </c>
      <c r="C6205" s="1" t="n">
        <v>45798</v>
      </c>
      <c r="D6205" t="inlineStr">
        <is>
          <t>NORRBOTTENS LÄN</t>
        </is>
      </c>
      <c r="E6205" t="inlineStr">
        <is>
          <t>ÖVERTORNEÅ</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34165-2023</t>
        </is>
      </c>
      <c r="B6206" s="1" t="n">
        <v>45138</v>
      </c>
      <c r="C6206" s="1" t="n">
        <v>45798</v>
      </c>
      <c r="D6206" t="inlineStr">
        <is>
          <t>NORRBOTTENS LÄN</t>
        </is>
      </c>
      <c r="E6206" t="inlineStr">
        <is>
          <t>BODEN</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34154-2023</t>
        </is>
      </c>
      <c r="B6207" s="1" t="n">
        <v>45137</v>
      </c>
      <c r="C6207" s="1" t="n">
        <v>45798</v>
      </c>
      <c r="D6207" t="inlineStr">
        <is>
          <t>NORRBOTTENS LÄN</t>
        </is>
      </c>
      <c r="E6207" t="inlineStr">
        <is>
          <t>ÖVERTORNEÅ</t>
        </is>
      </c>
      <c r="G6207" t="n">
        <v>37.1</v>
      </c>
      <c r="H6207" t="n">
        <v>0</v>
      </c>
      <c r="I6207" t="n">
        <v>0</v>
      </c>
      <c r="J6207" t="n">
        <v>0</v>
      </c>
      <c r="K6207" t="n">
        <v>0</v>
      </c>
      <c r="L6207" t="n">
        <v>0</v>
      </c>
      <c r="M6207" t="n">
        <v>0</v>
      </c>
      <c r="N6207" t="n">
        <v>0</v>
      </c>
      <c r="O6207" t="n">
        <v>0</v>
      </c>
      <c r="P6207" t="n">
        <v>0</v>
      </c>
      <c r="Q6207" t="n">
        <v>0</v>
      </c>
      <c r="R6207" s="2" t="inlineStr"/>
    </row>
    <row r="6208" ht="15" customHeight="1">
      <c r="A6208" t="inlineStr">
        <is>
          <t>A 34173-2023</t>
        </is>
      </c>
      <c r="B6208" s="1" t="n">
        <v>45138</v>
      </c>
      <c r="C6208" s="1" t="n">
        <v>45798</v>
      </c>
      <c r="D6208" t="inlineStr">
        <is>
          <t>NORRBOTTENS LÄN</t>
        </is>
      </c>
      <c r="E6208" t="inlineStr">
        <is>
          <t>GÄLLIVARE</t>
        </is>
      </c>
      <c r="F6208" t="inlineStr">
        <is>
          <t>Sveaskog</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34270-2023</t>
        </is>
      </c>
      <c r="B6209" s="1" t="n">
        <v>45138</v>
      </c>
      <c r="C6209" s="1" t="n">
        <v>45798</v>
      </c>
      <c r="D6209" t="inlineStr">
        <is>
          <t>NORRBOTTENS LÄN</t>
        </is>
      </c>
      <c r="E6209" t="inlineStr">
        <is>
          <t>BODEN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34614-2023</t>
        </is>
      </c>
      <c r="B6210" s="1" t="n">
        <v>45138</v>
      </c>
      <c r="C6210" s="1" t="n">
        <v>45798</v>
      </c>
      <c r="D6210" t="inlineStr">
        <is>
          <t>NORRBOTTENS LÄN</t>
        </is>
      </c>
      <c r="E6210" t="inlineStr">
        <is>
          <t>PITEÅ</t>
        </is>
      </c>
      <c r="G6210" t="n">
        <v>11.9</v>
      </c>
      <c r="H6210" t="n">
        <v>0</v>
      </c>
      <c r="I6210" t="n">
        <v>0</v>
      </c>
      <c r="J6210" t="n">
        <v>0</v>
      </c>
      <c r="K6210" t="n">
        <v>0</v>
      </c>
      <c r="L6210" t="n">
        <v>0</v>
      </c>
      <c r="M6210" t="n">
        <v>0</v>
      </c>
      <c r="N6210" t="n">
        <v>0</v>
      </c>
      <c r="O6210" t="n">
        <v>0</v>
      </c>
      <c r="P6210" t="n">
        <v>0</v>
      </c>
      <c r="Q6210" t="n">
        <v>0</v>
      </c>
      <c r="R6210" s="2" t="inlineStr"/>
    </row>
    <row r="6211" ht="15" customHeight="1">
      <c r="A6211" t="inlineStr">
        <is>
          <t>A 34295-2023</t>
        </is>
      </c>
      <c r="B6211" s="1" t="n">
        <v>45138</v>
      </c>
      <c r="C6211" s="1" t="n">
        <v>45798</v>
      </c>
      <c r="D6211" t="inlineStr">
        <is>
          <t>NORRBOTTENS LÄN</t>
        </is>
      </c>
      <c r="E6211" t="inlineStr">
        <is>
          <t>PAJALA</t>
        </is>
      </c>
      <c r="F6211" t="inlineStr">
        <is>
          <t>Sveaskog</t>
        </is>
      </c>
      <c r="G6211" t="n">
        <v>14.5</v>
      </c>
      <c r="H6211" t="n">
        <v>0</v>
      </c>
      <c r="I6211" t="n">
        <v>0</v>
      </c>
      <c r="J6211" t="n">
        <v>0</v>
      </c>
      <c r="K6211" t="n">
        <v>0</v>
      </c>
      <c r="L6211" t="n">
        <v>0</v>
      </c>
      <c r="M6211" t="n">
        <v>0</v>
      </c>
      <c r="N6211" t="n">
        <v>0</v>
      </c>
      <c r="O6211" t="n">
        <v>0</v>
      </c>
      <c r="P6211" t="n">
        <v>0</v>
      </c>
      <c r="Q6211" t="n">
        <v>0</v>
      </c>
      <c r="R6211" s="2" t="inlineStr"/>
    </row>
    <row r="6212" ht="15" customHeight="1">
      <c r="A6212" t="inlineStr">
        <is>
          <t>A 34617-2023</t>
        </is>
      </c>
      <c r="B6212" s="1" t="n">
        <v>45138</v>
      </c>
      <c r="C6212" s="1" t="n">
        <v>45798</v>
      </c>
      <c r="D6212" t="inlineStr">
        <is>
          <t>NORRBOTTENS LÄN</t>
        </is>
      </c>
      <c r="E6212" t="inlineStr">
        <is>
          <t>PITEÅ</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34424-2023</t>
        </is>
      </c>
      <c r="B6213" s="1" t="n">
        <v>45139</v>
      </c>
      <c r="C6213" s="1" t="n">
        <v>45798</v>
      </c>
      <c r="D6213" t="inlineStr">
        <is>
          <t>NORRBOTTENS LÄN</t>
        </is>
      </c>
      <c r="E6213" t="inlineStr">
        <is>
          <t>PITEÅ</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34398-2023</t>
        </is>
      </c>
      <c r="B6214" s="1" t="n">
        <v>45139</v>
      </c>
      <c r="C6214" s="1" t="n">
        <v>45798</v>
      </c>
      <c r="D6214" t="inlineStr">
        <is>
          <t>NORRBOTTENS LÄN</t>
        </is>
      </c>
      <c r="E6214" t="inlineStr">
        <is>
          <t>ÖVERTORNEÅ</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34403-2023</t>
        </is>
      </c>
      <c r="B6215" s="1" t="n">
        <v>45139</v>
      </c>
      <c r="C6215" s="1" t="n">
        <v>45798</v>
      </c>
      <c r="D6215" t="inlineStr">
        <is>
          <t>NORRBOTTENS LÄN</t>
        </is>
      </c>
      <c r="E6215" t="inlineStr">
        <is>
          <t>ÖVERTORNEÅ</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34353-2023</t>
        </is>
      </c>
      <c r="B6216" s="1" t="n">
        <v>45139</v>
      </c>
      <c r="C6216" s="1" t="n">
        <v>45798</v>
      </c>
      <c r="D6216" t="inlineStr">
        <is>
          <t>NORRBOTTENS LÄN</t>
        </is>
      </c>
      <c r="E6216" t="inlineStr">
        <is>
          <t>BODEN</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34402-2023</t>
        </is>
      </c>
      <c r="B6217" s="1" t="n">
        <v>45139</v>
      </c>
      <c r="C6217" s="1" t="n">
        <v>45798</v>
      </c>
      <c r="D6217" t="inlineStr">
        <is>
          <t>NORRBOTTENS LÄN</t>
        </is>
      </c>
      <c r="E6217" t="inlineStr">
        <is>
          <t>ÖVERTORNEÅ</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34477-2023</t>
        </is>
      </c>
      <c r="B6218" s="1" t="n">
        <v>45139</v>
      </c>
      <c r="C6218" s="1" t="n">
        <v>45798</v>
      </c>
      <c r="D6218" t="inlineStr">
        <is>
          <t>NORRBOTTENS LÄN</t>
        </is>
      </c>
      <c r="E6218" t="inlineStr">
        <is>
          <t>PITEÅ</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34753-2023</t>
        </is>
      </c>
      <c r="B6219" s="1" t="n">
        <v>45139</v>
      </c>
      <c r="C6219" s="1" t="n">
        <v>45798</v>
      </c>
      <c r="D6219" t="inlineStr">
        <is>
          <t>NORRBOTTENS LÄN</t>
        </is>
      </c>
      <c r="E6219" t="inlineStr">
        <is>
          <t>ÖVERTORNEÅ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34749-2023</t>
        </is>
      </c>
      <c r="B6220" s="1" t="n">
        <v>45139</v>
      </c>
      <c r="C6220" s="1" t="n">
        <v>45798</v>
      </c>
      <c r="D6220" t="inlineStr">
        <is>
          <t>NORRBOTTENS LÄN</t>
        </is>
      </c>
      <c r="E6220" t="inlineStr">
        <is>
          <t>BODEN</t>
        </is>
      </c>
      <c r="F6220" t="inlineStr">
        <is>
          <t>Kommuner</t>
        </is>
      </c>
      <c r="G6220" t="n">
        <v>11.9</v>
      </c>
      <c r="H6220" t="n">
        <v>0</v>
      </c>
      <c r="I6220" t="n">
        <v>0</v>
      </c>
      <c r="J6220" t="n">
        <v>0</v>
      </c>
      <c r="K6220" t="n">
        <v>0</v>
      </c>
      <c r="L6220" t="n">
        <v>0</v>
      </c>
      <c r="M6220" t="n">
        <v>0</v>
      </c>
      <c r="N6220" t="n">
        <v>0</v>
      </c>
      <c r="O6220" t="n">
        <v>0</v>
      </c>
      <c r="P6220" t="n">
        <v>0</v>
      </c>
      <c r="Q6220" t="n">
        <v>0</v>
      </c>
      <c r="R6220" s="2" t="inlineStr"/>
    </row>
    <row r="6221" ht="15" customHeight="1">
      <c r="A6221" t="inlineStr">
        <is>
          <t>A 34478-2023</t>
        </is>
      </c>
      <c r="B6221" s="1" t="n">
        <v>45139</v>
      </c>
      <c r="C6221" s="1" t="n">
        <v>45798</v>
      </c>
      <c r="D6221" t="inlineStr">
        <is>
          <t>NORRBOTTENS LÄN</t>
        </is>
      </c>
      <c r="E6221" t="inlineStr">
        <is>
          <t>PITEÅ</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34476-2023</t>
        </is>
      </c>
      <c r="B6222" s="1" t="n">
        <v>45140</v>
      </c>
      <c r="C6222" s="1" t="n">
        <v>45798</v>
      </c>
      <c r="D6222" t="inlineStr">
        <is>
          <t>NORRBOTTENS LÄN</t>
        </is>
      </c>
      <c r="E6222" t="inlineStr">
        <is>
          <t>BODEN</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34511-2023</t>
        </is>
      </c>
      <c r="B6223" s="1" t="n">
        <v>45140</v>
      </c>
      <c r="C6223" s="1" t="n">
        <v>45798</v>
      </c>
      <c r="D6223" t="inlineStr">
        <is>
          <t>NORRBOTTENS LÄN</t>
        </is>
      </c>
      <c r="E6223" t="inlineStr">
        <is>
          <t>ARVIDSJAUR</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34625-2023</t>
        </is>
      </c>
      <c r="B6224" s="1" t="n">
        <v>45140</v>
      </c>
      <c r="C6224" s="1" t="n">
        <v>45798</v>
      </c>
      <c r="D6224" t="inlineStr">
        <is>
          <t>NORRBOTTENS LÄN</t>
        </is>
      </c>
      <c r="E6224" t="inlineStr">
        <is>
          <t>GÄLLIVARE</t>
        </is>
      </c>
      <c r="F6224" t="inlineStr">
        <is>
          <t>Sveaskog</t>
        </is>
      </c>
      <c r="G6224" t="n">
        <v>22.6</v>
      </c>
      <c r="H6224" t="n">
        <v>0</v>
      </c>
      <c r="I6224" t="n">
        <v>0</v>
      </c>
      <c r="J6224" t="n">
        <v>0</v>
      </c>
      <c r="K6224" t="n">
        <v>0</v>
      </c>
      <c r="L6224" t="n">
        <v>0</v>
      </c>
      <c r="M6224" t="n">
        <v>0</v>
      </c>
      <c r="N6224" t="n">
        <v>0</v>
      </c>
      <c r="O6224" t="n">
        <v>0</v>
      </c>
      <c r="P6224" t="n">
        <v>0</v>
      </c>
      <c r="Q6224" t="n">
        <v>0</v>
      </c>
      <c r="R6224" s="2" t="inlineStr"/>
    </row>
    <row r="6225" ht="15" customHeight="1">
      <c r="A6225" t="inlineStr">
        <is>
          <t>A 34628-2023</t>
        </is>
      </c>
      <c r="B6225" s="1" t="n">
        <v>45140</v>
      </c>
      <c r="C6225" s="1" t="n">
        <v>45798</v>
      </c>
      <c r="D6225" t="inlineStr">
        <is>
          <t>NORRBOTTENS LÄN</t>
        </is>
      </c>
      <c r="E6225" t="inlineStr">
        <is>
          <t>PITEÅ</t>
        </is>
      </c>
      <c r="F6225" t="inlineStr">
        <is>
          <t>Sveaskog</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34679-2023</t>
        </is>
      </c>
      <c r="B6226" s="1" t="n">
        <v>45140</v>
      </c>
      <c r="C6226" s="1" t="n">
        <v>45798</v>
      </c>
      <c r="D6226" t="inlineStr">
        <is>
          <t>NORRBOTTENS LÄN</t>
        </is>
      </c>
      <c r="E6226" t="inlineStr">
        <is>
          <t>PITEÅ</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34678-2023</t>
        </is>
      </c>
      <c r="B6227" s="1" t="n">
        <v>45141</v>
      </c>
      <c r="C6227" s="1" t="n">
        <v>45798</v>
      </c>
      <c r="D6227" t="inlineStr">
        <is>
          <t>NORRBOTTENS LÄN</t>
        </is>
      </c>
      <c r="E6227" t="inlineStr">
        <is>
          <t>LULEÅ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34622-2023</t>
        </is>
      </c>
      <c r="B6228" s="1" t="n">
        <v>45140</v>
      </c>
      <c r="C6228" s="1" t="n">
        <v>45798</v>
      </c>
      <c r="D6228" t="inlineStr">
        <is>
          <t>NORRBOTTENS LÄN</t>
        </is>
      </c>
      <c r="E6228" t="inlineStr">
        <is>
          <t>GÄLLIVARE</t>
        </is>
      </c>
      <c r="F6228" t="inlineStr">
        <is>
          <t>Sveaskog</t>
        </is>
      </c>
      <c r="G6228" t="n">
        <v>31.4</v>
      </c>
      <c r="H6228" t="n">
        <v>0</v>
      </c>
      <c r="I6228" t="n">
        <v>0</v>
      </c>
      <c r="J6228" t="n">
        <v>0</v>
      </c>
      <c r="K6228" t="n">
        <v>0</v>
      </c>
      <c r="L6228" t="n">
        <v>0</v>
      </c>
      <c r="M6228" t="n">
        <v>0</v>
      </c>
      <c r="N6228" t="n">
        <v>0</v>
      </c>
      <c r="O6228" t="n">
        <v>0</v>
      </c>
      <c r="P6228" t="n">
        <v>0</v>
      </c>
      <c r="Q6228" t="n">
        <v>0</v>
      </c>
      <c r="R6228" s="2" t="inlineStr"/>
    </row>
    <row r="6229" ht="15" customHeight="1">
      <c r="A6229" t="inlineStr">
        <is>
          <t>A 34629-2023</t>
        </is>
      </c>
      <c r="B6229" s="1" t="n">
        <v>45140</v>
      </c>
      <c r="C6229" s="1" t="n">
        <v>45798</v>
      </c>
      <c r="D6229" t="inlineStr">
        <is>
          <t>NORRBOTTENS LÄN</t>
        </is>
      </c>
      <c r="E6229" t="inlineStr">
        <is>
          <t>PITEÅ</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34680-2023</t>
        </is>
      </c>
      <c r="B6230" s="1" t="n">
        <v>45140</v>
      </c>
      <c r="C6230" s="1" t="n">
        <v>45798</v>
      </c>
      <c r="D6230" t="inlineStr">
        <is>
          <t>NORRBOTTENS LÄN</t>
        </is>
      </c>
      <c r="E6230" t="inlineStr">
        <is>
          <t>LULEÅ</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34843-2023</t>
        </is>
      </c>
      <c r="B6231" s="1" t="n">
        <v>45142</v>
      </c>
      <c r="C6231" s="1" t="n">
        <v>45798</v>
      </c>
      <c r="D6231" t="inlineStr">
        <is>
          <t>NORRBOTTENS LÄN</t>
        </is>
      </c>
      <c r="E6231" t="inlineStr">
        <is>
          <t>ÖVERTORNEÅ</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34878-2023</t>
        </is>
      </c>
      <c r="B6232" s="1" t="n">
        <v>45141</v>
      </c>
      <c r="C6232" s="1" t="n">
        <v>45798</v>
      </c>
      <c r="D6232" t="inlineStr">
        <is>
          <t>NORRBOTTENS LÄN</t>
        </is>
      </c>
      <c r="E6232" t="inlineStr">
        <is>
          <t>PITEÅ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34911-2023</t>
        </is>
      </c>
      <c r="B6233" s="1" t="n">
        <v>45141</v>
      </c>
      <c r="C6233" s="1" t="n">
        <v>45798</v>
      </c>
      <c r="D6233" t="inlineStr">
        <is>
          <t>NORRBOTTENS LÄN</t>
        </is>
      </c>
      <c r="E6233" t="inlineStr">
        <is>
          <t>ÖVERKALIX</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34804-2023</t>
        </is>
      </c>
      <c r="B6234" s="1" t="n">
        <v>45141</v>
      </c>
      <c r="C6234" s="1" t="n">
        <v>45798</v>
      </c>
      <c r="D6234" t="inlineStr">
        <is>
          <t>NORRBOTTENS LÄN</t>
        </is>
      </c>
      <c r="E6234" t="inlineStr">
        <is>
          <t>KIRUNA</t>
        </is>
      </c>
      <c r="G6234" t="n">
        <v>25.8</v>
      </c>
      <c r="H6234" t="n">
        <v>0</v>
      </c>
      <c r="I6234" t="n">
        <v>0</v>
      </c>
      <c r="J6234" t="n">
        <v>0</v>
      </c>
      <c r="K6234" t="n">
        <v>0</v>
      </c>
      <c r="L6234" t="n">
        <v>0</v>
      </c>
      <c r="M6234" t="n">
        <v>0</v>
      </c>
      <c r="N6234" t="n">
        <v>0</v>
      </c>
      <c r="O6234" t="n">
        <v>0</v>
      </c>
      <c r="P6234" t="n">
        <v>0</v>
      </c>
      <c r="Q6234" t="n">
        <v>0</v>
      </c>
      <c r="R6234" s="2" t="inlineStr"/>
    </row>
    <row r="6235" ht="15" customHeight="1">
      <c r="A6235" t="inlineStr">
        <is>
          <t>A 34900-2023</t>
        </is>
      </c>
      <c r="B6235" s="1" t="n">
        <v>45142</v>
      </c>
      <c r="C6235" s="1" t="n">
        <v>45798</v>
      </c>
      <c r="D6235" t="inlineStr">
        <is>
          <t>NORRBOTTENS LÄN</t>
        </is>
      </c>
      <c r="E6235" t="inlineStr">
        <is>
          <t>GÄLLIVARE</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34910-2023</t>
        </is>
      </c>
      <c r="B6236" s="1" t="n">
        <v>45142</v>
      </c>
      <c r="C6236" s="1" t="n">
        <v>45798</v>
      </c>
      <c r="D6236" t="inlineStr">
        <is>
          <t>NORRBOTTENS LÄN</t>
        </is>
      </c>
      <c r="E6236" t="inlineStr">
        <is>
          <t>LULEÅ</t>
        </is>
      </c>
      <c r="G6236" t="n">
        <v>18.9</v>
      </c>
      <c r="H6236" t="n">
        <v>0</v>
      </c>
      <c r="I6236" t="n">
        <v>0</v>
      </c>
      <c r="J6236" t="n">
        <v>0</v>
      </c>
      <c r="K6236" t="n">
        <v>0</v>
      </c>
      <c r="L6236" t="n">
        <v>0</v>
      </c>
      <c r="M6236" t="n">
        <v>0</v>
      </c>
      <c r="N6236" t="n">
        <v>0</v>
      </c>
      <c r="O6236" t="n">
        <v>0</v>
      </c>
      <c r="P6236" t="n">
        <v>0</v>
      </c>
      <c r="Q6236" t="n">
        <v>0</v>
      </c>
      <c r="R6236" s="2" t="inlineStr"/>
    </row>
    <row r="6237" ht="15" customHeight="1">
      <c r="A6237" t="inlineStr">
        <is>
          <t>A 34937-2023</t>
        </is>
      </c>
      <c r="B6237" s="1" t="n">
        <v>45142</v>
      </c>
      <c r="C6237" s="1" t="n">
        <v>45798</v>
      </c>
      <c r="D6237" t="inlineStr">
        <is>
          <t>NORRBOTTENS LÄN</t>
        </is>
      </c>
      <c r="E6237" t="inlineStr">
        <is>
          <t>BODEN</t>
        </is>
      </c>
      <c r="G6237" t="n">
        <v>8.699999999999999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34946-2023</t>
        </is>
      </c>
      <c r="B6238" s="1" t="n">
        <v>45142</v>
      </c>
      <c r="C6238" s="1" t="n">
        <v>45798</v>
      </c>
      <c r="D6238" t="inlineStr">
        <is>
          <t>NORRBOTTENS LÄN</t>
        </is>
      </c>
      <c r="E6238" t="inlineStr">
        <is>
          <t>LULEÅ</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34938-2023</t>
        </is>
      </c>
      <c r="B6239" s="1" t="n">
        <v>45142</v>
      </c>
      <c r="C6239" s="1" t="n">
        <v>45798</v>
      </c>
      <c r="D6239" t="inlineStr">
        <is>
          <t>NORRBOTTENS LÄN</t>
        </is>
      </c>
      <c r="E6239" t="inlineStr">
        <is>
          <t>ÖVERKALIX</t>
        </is>
      </c>
      <c r="F6239" t="inlineStr">
        <is>
          <t>Sveaskog</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34943-2023</t>
        </is>
      </c>
      <c r="B6240" s="1" t="n">
        <v>45142</v>
      </c>
      <c r="C6240" s="1" t="n">
        <v>45798</v>
      </c>
      <c r="D6240" t="inlineStr">
        <is>
          <t>NORRBOTTENS LÄN</t>
        </is>
      </c>
      <c r="E6240" t="inlineStr">
        <is>
          <t>LULEÅ</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34980-2023</t>
        </is>
      </c>
      <c r="B6241" s="1" t="n">
        <v>45142</v>
      </c>
      <c r="C6241" s="1" t="n">
        <v>45798</v>
      </c>
      <c r="D6241" t="inlineStr">
        <is>
          <t>NORRBOTTENS LÄN</t>
        </is>
      </c>
      <c r="E6241" t="inlineStr">
        <is>
          <t>HAPARANDA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34993-2023</t>
        </is>
      </c>
      <c r="B6242" s="1" t="n">
        <v>45143</v>
      </c>
      <c r="C6242" s="1" t="n">
        <v>45798</v>
      </c>
      <c r="D6242" t="inlineStr">
        <is>
          <t>NORRBOTTENS LÄN</t>
        </is>
      </c>
      <c r="E6242" t="inlineStr">
        <is>
          <t>ÖVERTORNEÅ</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34997-2023</t>
        </is>
      </c>
      <c r="B6243" s="1" t="n">
        <v>45142</v>
      </c>
      <c r="C6243" s="1" t="n">
        <v>45798</v>
      </c>
      <c r="D6243" t="inlineStr">
        <is>
          <t>NORRBOTTENS LÄN</t>
        </is>
      </c>
      <c r="E6243" t="inlineStr">
        <is>
          <t>ARVIDSJAUR</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34992-2023</t>
        </is>
      </c>
      <c r="B6244" s="1" t="n">
        <v>45143</v>
      </c>
      <c r="C6244" s="1" t="n">
        <v>45798</v>
      </c>
      <c r="D6244" t="inlineStr">
        <is>
          <t>NORRBOTTENS LÄN</t>
        </is>
      </c>
      <c r="E6244" t="inlineStr">
        <is>
          <t>ÖVERTORNEÅ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34994-2023</t>
        </is>
      </c>
      <c r="B6245" s="1" t="n">
        <v>45143</v>
      </c>
      <c r="C6245" s="1" t="n">
        <v>45798</v>
      </c>
      <c r="D6245" t="inlineStr">
        <is>
          <t>NORRBOTTENS LÄN</t>
        </is>
      </c>
      <c r="E6245" t="inlineStr">
        <is>
          <t>ÖVERTORNEÅ</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34998-2023</t>
        </is>
      </c>
      <c r="B6246" s="1" t="n">
        <v>45142</v>
      </c>
      <c r="C6246" s="1" t="n">
        <v>45798</v>
      </c>
      <c r="D6246" t="inlineStr">
        <is>
          <t>NORRBOTTENS LÄN</t>
        </is>
      </c>
      <c r="E6246" t="inlineStr">
        <is>
          <t>ARVIDSJAUR</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34999-2023</t>
        </is>
      </c>
      <c r="B6247" s="1" t="n">
        <v>45142</v>
      </c>
      <c r="C6247" s="1" t="n">
        <v>45798</v>
      </c>
      <c r="D6247" t="inlineStr">
        <is>
          <t>NORRBOTTENS LÄN</t>
        </is>
      </c>
      <c r="E6247" t="inlineStr">
        <is>
          <t>ARVIDSJAUR</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35077-2023</t>
        </is>
      </c>
      <c r="B6248" s="1" t="n">
        <v>45142</v>
      </c>
      <c r="C6248" s="1" t="n">
        <v>45798</v>
      </c>
      <c r="D6248" t="inlineStr">
        <is>
          <t>NORRBOTTENS LÄN</t>
        </is>
      </c>
      <c r="E6248" t="inlineStr">
        <is>
          <t>ÖVERTORNEÅ</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35051-2023</t>
        </is>
      </c>
      <c r="B6249" s="1" t="n">
        <v>45145</v>
      </c>
      <c r="C6249" s="1" t="n">
        <v>45798</v>
      </c>
      <c r="D6249" t="inlineStr">
        <is>
          <t>NORRBOTTENS LÄN</t>
        </is>
      </c>
      <c r="E6249" t="inlineStr">
        <is>
          <t>KALIX</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35090-2023</t>
        </is>
      </c>
      <c r="B6250" s="1" t="n">
        <v>45145</v>
      </c>
      <c r="C6250" s="1" t="n">
        <v>45798</v>
      </c>
      <c r="D6250" t="inlineStr">
        <is>
          <t>NORRBOTTENS LÄN</t>
        </is>
      </c>
      <c r="E6250" t="inlineStr">
        <is>
          <t>LULEÅ</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35323-2023</t>
        </is>
      </c>
      <c r="B6251" s="1" t="n">
        <v>45145</v>
      </c>
      <c r="C6251" s="1" t="n">
        <v>45798</v>
      </c>
      <c r="D6251" t="inlineStr">
        <is>
          <t>NORRBOTTENS LÄN</t>
        </is>
      </c>
      <c r="E6251" t="inlineStr">
        <is>
          <t>BODEN</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35153-2023</t>
        </is>
      </c>
      <c r="B6252" s="1" t="n">
        <v>45145</v>
      </c>
      <c r="C6252" s="1" t="n">
        <v>45798</v>
      </c>
      <c r="D6252" t="inlineStr">
        <is>
          <t>NORRBOTTENS LÄN</t>
        </is>
      </c>
      <c r="E6252" t="inlineStr">
        <is>
          <t>JOKKMOKK</t>
        </is>
      </c>
      <c r="F6252" t="inlineStr">
        <is>
          <t>Sveaskog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35197-2023</t>
        </is>
      </c>
      <c r="B6253" s="1" t="n">
        <v>45145</v>
      </c>
      <c r="C6253" s="1" t="n">
        <v>45798</v>
      </c>
      <c r="D6253" t="inlineStr">
        <is>
          <t>NORRBOTTENS LÄN</t>
        </is>
      </c>
      <c r="E6253" t="inlineStr">
        <is>
          <t>PITEÅ</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35362-2023</t>
        </is>
      </c>
      <c r="B6254" s="1" t="n">
        <v>45146</v>
      </c>
      <c r="C6254" s="1" t="n">
        <v>45798</v>
      </c>
      <c r="D6254" t="inlineStr">
        <is>
          <t>NORRBOTTENS LÄN</t>
        </is>
      </c>
      <c r="E6254" t="inlineStr">
        <is>
          <t>GÄLLIVARE</t>
        </is>
      </c>
      <c r="F6254" t="inlineStr">
        <is>
          <t>Sveaskog</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35508-2023</t>
        </is>
      </c>
      <c r="B6255" s="1" t="n">
        <v>45147</v>
      </c>
      <c r="C6255" s="1" t="n">
        <v>45798</v>
      </c>
      <c r="D6255" t="inlineStr">
        <is>
          <t>NORRBOTTENS LÄN</t>
        </is>
      </c>
      <c r="E6255" t="inlineStr">
        <is>
          <t>ÄLVSBYN</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37431-2023</t>
        </is>
      </c>
      <c r="B6256" s="1" t="n">
        <v>45146</v>
      </c>
      <c r="C6256" s="1" t="n">
        <v>45798</v>
      </c>
      <c r="D6256" t="inlineStr">
        <is>
          <t>NORRBOTTENS LÄN</t>
        </is>
      </c>
      <c r="E6256" t="inlineStr">
        <is>
          <t>BODEN</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37439-2023</t>
        </is>
      </c>
      <c r="B6257" s="1" t="n">
        <v>45146</v>
      </c>
      <c r="C6257" s="1" t="n">
        <v>45798</v>
      </c>
      <c r="D6257" t="inlineStr">
        <is>
          <t>NORRBOTTENS LÄN</t>
        </is>
      </c>
      <c r="E6257" t="inlineStr">
        <is>
          <t>BODEN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37436-2023</t>
        </is>
      </c>
      <c r="B6258" s="1" t="n">
        <v>45146</v>
      </c>
      <c r="C6258" s="1" t="n">
        <v>45798</v>
      </c>
      <c r="D6258" t="inlineStr">
        <is>
          <t>NORRBOTTENS LÄN</t>
        </is>
      </c>
      <c r="E6258" t="inlineStr">
        <is>
          <t>BODEN</t>
        </is>
      </c>
      <c r="G6258" t="n">
        <v>18.3</v>
      </c>
      <c r="H6258" t="n">
        <v>0</v>
      </c>
      <c r="I6258" t="n">
        <v>0</v>
      </c>
      <c r="J6258" t="n">
        <v>0</v>
      </c>
      <c r="K6258" t="n">
        <v>0</v>
      </c>
      <c r="L6258" t="n">
        <v>0</v>
      </c>
      <c r="M6258" t="n">
        <v>0</v>
      </c>
      <c r="N6258" t="n">
        <v>0</v>
      </c>
      <c r="O6258" t="n">
        <v>0</v>
      </c>
      <c r="P6258" t="n">
        <v>0</v>
      </c>
      <c r="Q6258" t="n">
        <v>0</v>
      </c>
      <c r="R6258" s="2" t="inlineStr"/>
    </row>
    <row r="6259" ht="15" customHeight="1">
      <c r="A6259" t="inlineStr">
        <is>
          <t>A 35730-2023</t>
        </is>
      </c>
      <c r="B6259" s="1" t="n">
        <v>45147</v>
      </c>
      <c r="C6259" s="1" t="n">
        <v>45798</v>
      </c>
      <c r="D6259" t="inlineStr">
        <is>
          <t>NORRBOTTENS LÄN</t>
        </is>
      </c>
      <c r="E6259" t="inlineStr">
        <is>
          <t>GÄLLIVARE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35806-2023</t>
        </is>
      </c>
      <c r="B6260" s="1" t="n">
        <v>45147</v>
      </c>
      <c r="C6260" s="1" t="n">
        <v>45798</v>
      </c>
      <c r="D6260" t="inlineStr">
        <is>
          <t>NORRBOTTENS LÄN</t>
        </is>
      </c>
      <c r="E6260" t="inlineStr">
        <is>
          <t>ARJEPLOG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35687-2023</t>
        </is>
      </c>
      <c r="B6261" s="1" t="n">
        <v>45147</v>
      </c>
      <c r="C6261" s="1" t="n">
        <v>45798</v>
      </c>
      <c r="D6261" t="inlineStr">
        <is>
          <t>NORRBOTTENS LÄN</t>
        </is>
      </c>
      <c r="E6261" t="inlineStr">
        <is>
          <t>PAJALA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35767-2023</t>
        </is>
      </c>
      <c r="B6262" s="1" t="n">
        <v>45148</v>
      </c>
      <c r="C6262" s="1" t="n">
        <v>45798</v>
      </c>
      <c r="D6262" t="inlineStr">
        <is>
          <t>NORRBOTTENS LÄN</t>
        </is>
      </c>
      <c r="E6262" t="inlineStr">
        <is>
          <t>BODEN</t>
        </is>
      </c>
      <c r="F6262" t="inlineStr">
        <is>
          <t>SCA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35768-2023</t>
        </is>
      </c>
      <c r="B6263" s="1" t="n">
        <v>45148</v>
      </c>
      <c r="C6263" s="1" t="n">
        <v>45798</v>
      </c>
      <c r="D6263" t="inlineStr">
        <is>
          <t>NORRBOTTENS LÄN</t>
        </is>
      </c>
      <c r="E6263" t="inlineStr">
        <is>
          <t>BODEN</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35840-2023</t>
        </is>
      </c>
      <c r="B6264" s="1" t="n">
        <v>45147</v>
      </c>
      <c r="C6264" s="1" t="n">
        <v>45798</v>
      </c>
      <c r="D6264" t="inlineStr">
        <is>
          <t>NORRBOTTENS LÄN</t>
        </is>
      </c>
      <c r="E6264" t="inlineStr">
        <is>
          <t>KALIX</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35627-2023</t>
        </is>
      </c>
      <c r="B6265" s="1" t="n">
        <v>45147</v>
      </c>
      <c r="C6265" s="1" t="n">
        <v>45798</v>
      </c>
      <c r="D6265" t="inlineStr">
        <is>
          <t>NORRBOTTENS LÄN</t>
        </is>
      </c>
      <c r="E6265" t="inlineStr">
        <is>
          <t>PAJALA</t>
        </is>
      </c>
      <c r="G6265" t="n">
        <v>11.2</v>
      </c>
      <c r="H6265" t="n">
        <v>0</v>
      </c>
      <c r="I6265" t="n">
        <v>0</v>
      </c>
      <c r="J6265" t="n">
        <v>0</v>
      </c>
      <c r="K6265" t="n">
        <v>0</v>
      </c>
      <c r="L6265" t="n">
        <v>0</v>
      </c>
      <c r="M6265" t="n">
        <v>0</v>
      </c>
      <c r="N6265" t="n">
        <v>0</v>
      </c>
      <c r="O6265" t="n">
        <v>0</v>
      </c>
      <c r="P6265" t="n">
        <v>0</v>
      </c>
      <c r="Q6265" t="n">
        <v>0</v>
      </c>
      <c r="R6265" s="2" t="inlineStr"/>
    </row>
    <row r="6266" ht="15" customHeight="1">
      <c r="A6266" t="inlineStr">
        <is>
          <t>A 35769-2023</t>
        </is>
      </c>
      <c r="B6266" s="1" t="n">
        <v>45147</v>
      </c>
      <c r="C6266" s="1" t="n">
        <v>45798</v>
      </c>
      <c r="D6266" t="inlineStr">
        <is>
          <t>NORRBOTTENS LÄN</t>
        </is>
      </c>
      <c r="E6266" t="inlineStr">
        <is>
          <t>BODEN</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35858-2023</t>
        </is>
      </c>
      <c r="B6267" s="1" t="n">
        <v>45147</v>
      </c>
      <c r="C6267" s="1" t="n">
        <v>45798</v>
      </c>
      <c r="D6267" t="inlineStr">
        <is>
          <t>NORRBOTTENS LÄN</t>
        </is>
      </c>
      <c r="E6267" t="inlineStr">
        <is>
          <t>KALIX</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35827-2023</t>
        </is>
      </c>
      <c r="B6268" s="1" t="n">
        <v>45148</v>
      </c>
      <c r="C6268" s="1" t="n">
        <v>45798</v>
      </c>
      <c r="D6268" t="inlineStr">
        <is>
          <t>NORRBOTTENS LÄN</t>
        </is>
      </c>
      <c r="E6268" t="inlineStr">
        <is>
          <t>BODEN</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35866-2023</t>
        </is>
      </c>
      <c r="B6269" s="1" t="n">
        <v>45148</v>
      </c>
      <c r="C6269" s="1" t="n">
        <v>45798</v>
      </c>
      <c r="D6269" t="inlineStr">
        <is>
          <t>NORRBOTTENS LÄN</t>
        </is>
      </c>
      <c r="E6269" t="inlineStr">
        <is>
          <t>ÖVERTORNEÅ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36014-2023</t>
        </is>
      </c>
      <c r="B6270" s="1" t="n">
        <v>45148</v>
      </c>
      <c r="C6270" s="1" t="n">
        <v>45798</v>
      </c>
      <c r="D6270" t="inlineStr">
        <is>
          <t>NORRBOTTENS LÄN</t>
        </is>
      </c>
      <c r="E6270" t="inlineStr">
        <is>
          <t>GÄLLIVARE</t>
        </is>
      </c>
      <c r="F6270" t="inlineStr">
        <is>
          <t>Allmännings- och besparingsskogar</t>
        </is>
      </c>
      <c r="G6270" t="n">
        <v>9.9</v>
      </c>
      <c r="H6270" t="n">
        <v>0</v>
      </c>
      <c r="I6270" t="n">
        <v>0</v>
      </c>
      <c r="J6270" t="n">
        <v>0</v>
      </c>
      <c r="K6270" t="n">
        <v>0</v>
      </c>
      <c r="L6270" t="n">
        <v>0</v>
      </c>
      <c r="M6270" t="n">
        <v>0</v>
      </c>
      <c r="N6270" t="n">
        <v>0</v>
      </c>
      <c r="O6270" t="n">
        <v>0</v>
      </c>
      <c r="P6270" t="n">
        <v>0</v>
      </c>
      <c r="Q6270" t="n">
        <v>0</v>
      </c>
      <c r="R6270" s="2" t="inlineStr"/>
    </row>
    <row r="6271" ht="15" customHeight="1">
      <c r="A6271" t="inlineStr">
        <is>
          <t>A 36039-2023</t>
        </is>
      </c>
      <c r="B6271" s="1" t="n">
        <v>45148</v>
      </c>
      <c r="C6271" s="1" t="n">
        <v>45798</v>
      </c>
      <c r="D6271" t="inlineStr">
        <is>
          <t>NORRBOTTENS LÄN</t>
        </is>
      </c>
      <c r="E6271" t="inlineStr">
        <is>
          <t>GÄLLIVARE</t>
        </is>
      </c>
      <c r="F6271" t="inlineStr">
        <is>
          <t>Allmännings- och besparingsskogar</t>
        </is>
      </c>
      <c r="G6271" t="n">
        <v>24.3</v>
      </c>
      <c r="H6271" t="n">
        <v>0</v>
      </c>
      <c r="I6271" t="n">
        <v>0</v>
      </c>
      <c r="J6271" t="n">
        <v>0</v>
      </c>
      <c r="K6271" t="n">
        <v>0</v>
      </c>
      <c r="L6271" t="n">
        <v>0</v>
      </c>
      <c r="M6271" t="n">
        <v>0</v>
      </c>
      <c r="N6271" t="n">
        <v>0</v>
      </c>
      <c r="O6271" t="n">
        <v>0</v>
      </c>
      <c r="P6271" t="n">
        <v>0</v>
      </c>
      <c r="Q6271" t="n">
        <v>0</v>
      </c>
      <c r="R6271" s="2" t="inlineStr"/>
    </row>
    <row r="6272" ht="15" customHeight="1">
      <c r="A6272" t="inlineStr">
        <is>
          <t>A 36112-2023</t>
        </is>
      </c>
      <c r="B6272" s="1" t="n">
        <v>45149</v>
      </c>
      <c r="C6272" s="1" t="n">
        <v>45798</v>
      </c>
      <c r="D6272" t="inlineStr">
        <is>
          <t>NORRBOTTENS LÄN</t>
        </is>
      </c>
      <c r="E6272" t="inlineStr">
        <is>
          <t>BODEN</t>
        </is>
      </c>
      <c r="G6272" t="n">
        <v>16.1</v>
      </c>
      <c r="H6272" t="n">
        <v>0</v>
      </c>
      <c r="I6272" t="n">
        <v>0</v>
      </c>
      <c r="J6272" t="n">
        <v>0</v>
      </c>
      <c r="K6272" t="n">
        <v>0</v>
      </c>
      <c r="L6272" t="n">
        <v>0</v>
      </c>
      <c r="M6272" t="n">
        <v>0</v>
      </c>
      <c r="N6272" t="n">
        <v>0</v>
      </c>
      <c r="O6272" t="n">
        <v>0</v>
      </c>
      <c r="P6272" t="n">
        <v>0</v>
      </c>
      <c r="Q6272" t="n">
        <v>0</v>
      </c>
      <c r="R6272" s="2" t="inlineStr"/>
    </row>
    <row r="6273" ht="15" customHeight="1">
      <c r="A6273" t="inlineStr">
        <is>
          <t>A 36129-2023</t>
        </is>
      </c>
      <c r="B6273" s="1" t="n">
        <v>45149</v>
      </c>
      <c r="C6273" s="1" t="n">
        <v>45798</v>
      </c>
      <c r="D6273" t="inlineStr">
        <is>
          <t>NORRBOTTENS LÄN</t>
        </is>
      </c>
      <c r="E6273" t="inlineStr">
        <is>
          <t>ARVIDSJAUR</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35995-2023</t>
        </is>
      </c>
      <c r="B6274" s="1" t="n">
        <v>45149</v>
      </c>
      <c r="C6274" s="1" t="n">
        <v>45798</v>
      </c>
      <c r="D6274" t="inlineStr">
        <is>
          <t>NORRBOTTENS LÄN</t>
        </is>
      </c>
      <c r="E6274" t="inlineStr">
        <is>
          <t>ÖVERTORNEÅ</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36076-2023</t>
        </is>
      </c>
      <c r="B6275" s="1" t="n">
        <v>45149</v>
      </c>
      <c r="C6275" s="1" t="n">
        <v>45798</v>
      </c>
      <c r="D6275" t="inlineStr">
        <is>
          <t>NORRBOTTENS LÄN</t>
        </is>
      </c>
      <c r="E6275" t="inlineStr">
        <is>
          <t>ARVIDSJAUR</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36109-2023</t>
        </is>
      </c>
      <c r="B6276" s="1" t="n">
        <v>45149</v>
      </c>
      <c r="C6276" s="1" t="n">
        <v>45798</v>
      </c>
      <c r="D6276" t="inlineStr">
        <is>
          <t>NORRBOTTENS LÄN</t>
        </is>
      </c>
      <c r="E6276" t="inlineStr">
        <is>
          <t>ARVIDSJAUR</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36115-2023</t>
        </is>
      </c>
      <c r="B6277" s="1" t="n">
        <v>45149</v>
      </c>
      <c r="C6277" s="1" t="n">
        <v>45798</v>
      </c>
      <c r="D6277" t="inlineStr">
        <is>
          <t>NORRBOTTENS LÄN</t>
        </is>
      </c>
      <c r="E6277" t="inlineStr">
        <is>
          <t>BODEN</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36154-2023</t>
        </is>
      </c>
      <c r="B6278" s="1" t="n">
        <v>45149</v>
      </c>
      <c r="C6278" s="1" t="n">
        <v>45798</v>
      </c>
      <c r="D6278" t="inlineStr">
        <is>
          <t>NORRBOTTENS LÄN</t>
        </is>
      </c>
      <c r="E6278" t="inlineStr">
        <is>
          <t>ARVIDSJAUR</t>
        </is>
      </c>
      <c r="F6278" t="inlineStr">
        <is>
          <t>Sveaskog</t>
        </is>
      </c>
      <c r="G6278" t="n">
        <v>38.8</v>
      </c>
      <c r="H6278" t="n">
        <v>0</v>
      </c>
      <c r="I6278" t="n">
        <v>0</v>
      </c>
      <c r="J6278" t="n">
        <v>0</v>
      </c>
      <c r="K6278" t="n">
        <v>0</v>
      </c>
      <c r="L6278" t="n">
        <v>0</v>
      </c>
      <c r="M6278" t="n">
        <v>0</v>
      </c>
      <c r="N6278" t="n">
        <v>0</v>
      </c>
      <c r="O6278" t="n">
        <v>0</v>
      </c>
      <c r="P6278" t="n">
        <v>0</v>
      </c>
      <c r="Q6278" t="n">
        <v>0</v>
      </c>
      <c r="R6278" s="2" t="inlineStr"/>
    </row>
    <row r="6279" ht="15" customHeight="1">
      <c r="A6279" t="inlineStr">
        <is>
          <t>A 36057-2023</t>
        </is>
      </c>
      <c r="B6279" s="1" t="n">
        <v>45149</v>
      </c>
      <c r="C6279" s="1" t="n">
        <v>45798</v>
      </c>
      <c r="D6279" t="inlineStr">
        <is>
          <t>NORRBOTTENS LÄN</t>
        </is>
      </c>
      <c r="E6279" t="inlineStr">
        <is>
          <t>ÖVERTORNEÅ</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36090-2023</t>
        </is>
      </c>
      <c r="B6280" s="1" t="n">
        <v>45149</v>
      </c>
      <c r="C6280" s="1" t="n">
        <v>45798</v>
      </c>
      <c r="D6280" t="inlineStr">
        <is>
          <t>NORRBOTTENS LÄN</t>
        </is>
      </c>
      <c r="E6280" t="inlineStr">
        <is>
          <t>ARVIDSJAUR</t>
        </is>
      </c>
      <c r="F6280" t="inlineStr">
        <is>
          <t>Sveaskog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36094-2023</t>
        </is>
      </c>
      <c r="B6281" s="1" t="n">
        <v>45149</v>
      </c>
      <c r="C6281" s="1" t="n">
        <v>45798</v>
      </c>
      <c r="D6281" t="inlineStr">
        <is>
          <t>NORRBOTTENS LÄN</t>
        </is>
      </c>
      <c r="E6281" t="inlineStr">
        <is>
          <t>ARVIDSJAUR</t>
        </is>
      </c>
      <c r="F6281" t="inlineStr">
        <is>
          <t>Sveaskog</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36245-2023</t>
        </is>
      </c>
      <c r="B6282" s="1" t="n">
        <v>45150</v>
      </c>
      <c r="C6282" s="1" t="n">
        <v>45798</v>
      </c>
      <c r="D6282" t="inlineStr">
        <is>
          <t>NORRBOTTENS LÄN</t>
        </is>
      </c>
      <c r="E6282" t="inlineStr">
        <is>
          <t>GÄLLIVARE</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36249-2023</t>
        </is>
      </c>
      <c r="B6283" s="1" t="n">
        <v>45151</v>
      </c>
      <c r="C6283" s="1" t="n">
        <v>45798</v>
      </c>
      <c r="D6283" t="inlineStr">
        <is>
          <t>NORRBOTTENS LÄN</t>
        </is>
      </c>
      <c r="E6283" t="inlineStr">
        <is>
          <t>GÄLLIVARE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36242-2023</t>
        </is>
      </c>
      <c r="B6284" s="1" t="n">
        <v>45150</v>
      </c>
      <c r="C6284" s="1" t="n">
        <v>45798</v>
      </c>
      <c r="D6284" t="inlineStr">
        <is>
          <t>NORRBOTTENS LÄN</t>
        </is>
      </c>
      <c r="E6284" t="inlineStr">
        <is>
          <t>GÄLLIVARE</t>
        </is>
      </c>
      <c r="F6284" t="inlineStr">
        <is>
          <t>SCA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36247-2023</t>
        </is>
      </c>
      <c r="B6285" s="1" t="n">
        <v>45151</v>
      </c>
      <c r="C6285" s="1" t="n">
        <v>45798</v>
      </c>
      <c r="D6285" t="inlineStr">
        <is>
          <t>NORRBOTTENS LÄN</t>
        </is>
      </c>
      <c r="E6285" t="inlineStr">
        <is>
          <t>GÄLLIVARE</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36251-2023</t>
        </is>
      </c>
      <c r="B6286" s="1" t="n">
        <v>45151</v>
      </c>
      <c r="C6286" s="1" t="n">
        <v>45798</v>
      </c>
      <c r="D6286" t="inlineStr">
        <is>
          <t>NORRBOTTENS LÄN</t>
        </is>
      </c>
      <c r="E6286" t="inlineStr">
        <is>
          <t>GÄLLIVARE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36244-2023</t>
        </is>
      </c>
      <c r="B6287" s="1" t="n">
        <v>45150</v>
      </c>
      <c r="C6287" s="1" t="n">
        <v>45798</v>
      </c>
      <c r="D6287" t="inlineStr">
        <is>
          <t>NORRBOTTENS LÄN</t>
        </is>
      </c>
      <c r="E6287" t="inlineStr">
        <is>
          <t>GÄLLIVARE</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36246-2023</t>
        </is>
      </c>
      <c r="B6288" s="1" t="n">
        <v>45150</v>
      </c>
      <c r="C6288" s="1" t="n">
        <v>45798</v>
      </c>
      <c r="D6288" t="inlineStr">
        <is>
          <t>NORRBOTTENS LÄN</t>
        </is>
      </c>
      <c r="E6288" t="inlineStr">
        <is>
          <t>GÄLLIVARE</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36250-2023</t>
        </is>
      </c>
      <c r="B6289" s="1" t="n">
        <v>45151</v>
      </c>
      <c r="C6289" s="1" t="n">
        <v>45798</v>
      </c>
      <c r="D6289" t="inlineStr">
        <is>
          <t>NORRBOTTENS LÄN</t>
        </is>
      </c>
      <c r="E6289" t="inlineStr">
        <is>
          <t>GÄLLIVARE</t>
        </is>
      </c>
      <c r="F6289" t="inlineStr">
        <is>
          <t>SCA</t>
        </is>
      </c>
      <c r="G6289" t="n">
        <v>14.6</v>
      </c>
      <c r="H6289" t="n">
        <v>0</v>
      </c>
      <c r="I6289" t="n">
        <v>0</v>
      </c>
      <c r="J6289" t="n">
        <v>0</v>
      </c>
      <c r="K6289" t="n">
        <v>0</v>
      </c>
      <c r="L6289" t="n">
        <v>0</v>
      </c>
      <c r="M6289" t="n">
        <v>0</v>
      </c>
      <c r="N6289" t="n">
        <v>0</v>
      </c>
      <c r="O6289" t="n">
        <v>0</v>
      </c>
      <c r="P6289" t="n">
        <v>0</v>
      </c>
      <c r="Q6289" t="n">
        <v>0</v>
      </c>
      <c r="R6289" s="2" t="inlineStr"/>
    </row>
    <row r="6290" ht="15" customHeight="1">
      <c r="A6290" t="inlineStr">
        <is>
          <t>A 36398-2023</t>
        </is>
      </c>
      <c r="B6290" s="1" t="n">
        <v>45152</v>
      </c>
      <c r="C6290" s="1" t="n">
        <v>45798</v>
      </c>
      <c r="D6290" t="inlineStr">
        <is>
          <t>NORRBOTTENS LÄN</t>
        </is>
      </c>
      <c r="E6290" t="inlineStr">
        <is>
          <t>ARVIDSJAUR</t>
        </is>
      </c>
      <c r="F6290" t="inlineStr">
        <is>
          <t>Sveaskog</t>
        </is>
      </c>
      <c r="G6290" t="n">
        <v>21.4</v>
      </c>
      <c r="H6290" t="n">
        <v>0</v>
      </c>
      <c r="I6290" t="n">
        <v>0</v>
      </c>
      <c r="J6290" t="n">
        <v>0</v>
      </c>
      <c r="K6290" t="n">
        <v>0</v>
      </c>
      <c r="L6290" t="n">
        <v>0</v>
      </c>
      <c r="M6290" t="n">
        <v>0</v>
      </c>
      <c r="N6290" t="n">
        <v>0</v>
      </c>
      <c r="O6290" t="n">
        <v>0</v>
      </c>
      <c r="P6290" t="n">
        <v>0</v>
      </c>
      <c r="Q6290" t="n">
        <v>0</v>
      </c>
      <c r="R6290" s="2" t="inlineStr"/>
    </row>
    <row r="6291" ht="15" customHeight="1">
      <c r="A6291" t="inlineStr">
        <is>
          <t>A 36403-2023</t>
        </is>
      </c>
      <c r="B6291" s="1" t="n">
        <v>45152</v>
      </c>
      <c r="C6291" s="1" t="n">
        <v>45798</v>
      </c>
      <c r="D6291" t="inlineStr">
        <is>
          <t>NORRBOTTENS LÄN</t>
        </is>
      </c>
      <c r="E6291" t="inlineStr">
        <is>
          <t>ARVIDSJAUR</t>
        </is>
      </c>
      <c r="F6291" t="inlineStr">
        <is>
          <t>Sveaskog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36433-2023</t>
        </is>
      </c>
      <c r="B6292" s="1" t="n">
        <v>45152</v>
      </c>
      <c r="C6292" s="1" t="n">
        <v>45798</v>
      </c>
      <c r="D6292" t="inlineStr">
        <is>
          <t>NORRBOTTENS LÄN</t>
        </is>
      </c>
      <c r="E6292" t="inlineStr">
        <is>
          <t>BODEN</t>
        </is>
      </c>
      <c r="F6292" t="inlineStr">
        <is>
          <t>Sveaskog</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36303-2023</t>
        </is>
      </c>
      <c r="B6293" s="1" t="n">
        <v>45152</v>
      </c>
      <c r="C6293" s="1" t="n">
        <v>45798</v>
      </c>
      <c r="D6293" t="inlineStr">
        <is>
          <t>NORRBOTTENS LÄN</t>
        </is>
      </c>
      <c r="E6293" t="inlineStr">
        <is>
          <t>PITEÅ</t>
        </is>
      </c>
      <c r="F6293" t="inlineStr">
        <is>
          <t>Sveaskog</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36357-2023</t>
        </is>
      </c>
      <c r="B6294" s="1" t="n">
        <v>45152</v>
      </c>
      <c r="C6294" s="1" t="n">
        <v>45798</v>
      </c>
      <c r="D6294" t="inlineStr">
        <is>
          <t>NORRBOTTENS LÄN</t>
        </is>
      </c>
      <c r="E6294" t="inlineStr">
        <is>
          <t>KALIX</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36370-2023</t>
        </is>
      </c>
      <c r="B6295" s="1" t="n">
        <v>45152</v>
      </c>
      <c r="C6295" s="1" t="n">
        <v>45798</v>
      </c>
      <c r="D6295" t="inlineStr">
        <is>
          <t>NORRBOTTENS LÄN</t>
        </is>
      </c>
      <c r="E6295" t="inlineStr">
        <is>
          <t>KALIX</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36391-2023</t>
        </is>
      </c>
      <c r="B6296" s="1" t="n">
        <v>45152</v>
      </c>
      <c r="C6296" s="1" t="n">
        <v>45798</v>
      </c>
      <c r="D6296" t="inlineStr">
        <is>
          <t>NORRBOTTENS LÄN</t>
        </is>
      </c>
      <c r="E6296" t="inlineStr">
        <is>
          <t>PAJALA</t>
        </is>
      </c>
      <c r="G6296" t="n">
        <v>10.5</v>
      </c>
      <c r="H6296" t="n">
        <v>0</v>
      </c>
      <c r="I6296" t="n">
        <v>0</v>
      </c>
      <c r="J6296" t="n">
        <v>0</v>
      </c>
      <c r="K6296" t="n">
        <v>0</v>
      </c>
      <c r="L6296" t="n">
        <v>0</v>
      </c>
      <c r="M6296" t="n">
        <v>0</v>
      </c>
      <c r="N6296" t="n">
        <v>0</v>
      </c>
      <c r="O6296" t="n">
        <v>0</v>
      </c>
      <c r="P6296" t="n">
        <v>0</v>
      </c>
      <c r="Q6296" t="n">
        <v>0</v>
      </c>
      <c r="R6296" s="2" t="inlineStr"/>
    </row>
    <row r="6297" ht="15" customHeight="1">
      <c r="A6297" t="inlineStr">
        <is>
          <t>A 36322-2023</t>
        </is>
      </c>
      <c r="B6297" s="1" t="n">
        <v>45152</v>
      </c>
      <c r="C6297" s="1" t="n">
        <v>45798</v>
      </c>
      <c r="D6297" t="inlineStr">
        <is>
          <t>NORRBOTTENS LÄN</t>
        </is>
      </c>
      <c r="E6297" t="inlineStr">
        <is>
          <t>GÄLLIVARE</t>
        </is>
      </c>
      <c r="F6297" t="inlineStr">
        <is>
          <t>Allmännings- och besparingsskogar</t>
        </is>
      </c>
      <c r="G6297" t="n">
        <v>36.8</v>
      </c>
      <c r="H6297" t="n">
        <v>0</v>
      </c>
      <c r="I6297" t="n">
        <v>0</v>
      </c>
      <c r="J6297" t="n">
        <v>0</v>
      </c>
      <c r="K6297" t="n">
        <v>0</v>
      </c>
      <c r="L6297" t="n">
        <v>0</v>
      </c>
      <c r="M6297" t="n">
        <v>0</v>
      </c>
      <c r="N6297" t="n">
        <v>0</v>
      </c>
      <c r="O6297" t="n">
        <v>0</v>
      </c>
      <c r="P6297" t="n">
        <v>0</v>
      </c>
      <c r="Q6297" t="n">
        <v>0</v>
      </c>
      <c r="R6297" s="2" t="inlineStr"/>
    </row>
    <row r="6298" ht="15" customHeight="1">
      <c r="A6298" t="inlineStr">
        <is>
          <t>A 36499-2023</t>
        </is>
      </c>
      <c r="B6298" s="1" t="n">
        <v>45153</v>
      </c>
      <c r="C6298" s="1" t="n">
        <v>45798</v>
      </c>
      <c r="D6298" t="inlineStr">
        <is>
          <t>NORRBOTTENS LÄN</t>
        </is>
      </c>
      <c r="E6298" t="inlineStr">
        <is>
          <t>ÄLVSBYN</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36498-2023</t>
        </is>
      </c>
      <c r="B6299" s="1" t="n">
        <v>45153</v>
      </c>
      <c r="C6299" s="1" t="n">
        <v>45798</v>
      </c>
      <c r="D6299" t="inlineStr">
        <is>
          <t>NORRBOTTENS LÄN</t>
        </is>
      </c>
      <c r="E6299" t="inlineStr">
        <is>
          <t>PAJALA</t>
        </is>
      </c>
      <c r="F6299" t="inlineStr">
        <is>
          <t>SCA</t>
        </is>
      </c>
      <c r="G6299" t="n">
        <v>13.3</v>
      </c>
      <c r="H6299" t="n">
        <v>0</v>
      </c>
      <c r="I6299" t="n">
        <v>0</v>
      </c>
      <c r="J6299" t="n">
        <v>0</v>
      </c>
      <c r="K6299" t="n">
        <v>0</v>
      </c>
      <c r="L6299" t="n">
        <v>0</v>
      </c>
      <c r="M6299" t="n">
        <v>0</v>
      </c>
      <c r="N6299" t="n">
        <v>0</v>
      </c>
      <c r="O6299" t="n">
        <v>0</v>
      </c>
      <c r="P6299" t="n">
        <v>0</v>
      </c>
      <c r="Q6299" t="n">
        <v>0</v>
      </c>
      <c r="R6299" s="2" t="inlineStr"/>
    </row>
    <row r="6300" ht="15" customHeight="1">
      <c r="A6300" t="inlineStr">
        <is>
          <t>A 36459-2023</t>
        </is>
      </c>
      <c r="B6300" s="1" t="n">
        <v>45152</v>
      </c>
      <c r="C6300" s="1" t="n">
        <v>45798</v>
      </c>
      <c r="D6300" t="inlineStr">
        <is>
          <t>NORRBOTTENS LÄN</t>
        </is>
      </c>
      <c r="E6300" t="inlineStr">
        <is>
          <t>PAJALA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36443-2023</t>
        </is>
      </c>
      <c r="B6301" s="1" t="n">
        <v>45152</v>
      </c>
      <c r="C6301" s="1" t="n">
        <v>45798</v>
      </c>
      <c r="D6301" t="inlineStr">
        <is>
          <t>NORRBOTTENS LÄN</t>
        </is>
      </c>
      <c r="E6301" t="inlineStr">
        <is>
          <t>ARVIDSJAUR</t>
        </is>
      </c>
      <c r="F6301" t="inlineStr">
        <is>
          <t>Sveaskog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36500-2023</t>
        </is>
      </c>
      <c r="B6302" s="1" t="n">
        <v>45153</v>
      </c>
      <c r="C6302" s="1" t="n">
        <v>45798</v>
      </c>
      <c r="D6302" t="inlineStr">
        <is>
          <t>NORRBOTTENS LÄN</t>
        </is>
      </c>
      <c r="E6302" t="inlineStr">
        <is>
          <t>ÄLVSBYN</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36599-2023</t>
        </is>
      </c>
      <c r="B6303" s="1" t="n">
        <v>45152</v>
      </c>
      <c r="C6303" s="1" t="n">
        <v>45798</v>
      </c>
      <c r="D6303" t="inlineStr">
        <is>
          <t>NORRBOTTENS LÄN</t>
        </is>
      </c>
      <c r="E6303" t="inlineStr">
        <is>
          <t>BODEN</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36610-2023</t>
        </is>
      </c>
      <c r="B6304" s="1" t="n">
        <v>45152</v>
      </c>
      <c r="C6304" s="1" t="n">
        <v>45798</v>
      </c>
      <c r="D6304" t="inlineStr">
        <is>
          <t>NORRBOTTENS LÄN</t>
        </is>
      </c>
      <c r="E6304" t="inlineStr">
        <is>
          <t>BODEN</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36485-2023</t>
        </is>
      </c>
      <c r="B6305" s="1" t="n">
        <v>45152</v>
      </c>
      <c r="C6305" s="1" t="n">
        <v>45798</v>
      </c>
      <c r="D6305" t="inlineStr">
        <is>
          <t>NORRBOTTENS LÄN</t>
        </is>
      </c>
      <c r="E6305" t="inlineStr">
        <is>
          <t>ÄLVSBYN</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36501-2023</t>
        </is>
      </c>
      <c r="B6306" s="1" t="n">
        <v>45153</v>
      </c>
      <c r="C6306" s="1" t="n">
        <v>45798</v>
      </c>
      <c r="D6306" t="inlineStr">
        <is>
          <t>NORRBOTTENS LÄN</t>
        </is>
      </c>
      <c r="E6306" t="inlineStr">
        <is>
          <t>ÄLVSBYN</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36589-2023</t>
        </is>
      </c>
      <c r="B6307" s="1" t="n">
        <v>45152</v>
      </c>
      <c r="C6307" s="1" t="n">
        <v>45798</v>
      </c>
      <c r="D6307" t="inlineStr">
        <is>
          <t>NORRBOTTENS LÄN</t>
        </is>
      </c>
      <c r="E6307" t="inlineStr">
        <is>
          <t>BODEN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36618-2023</t>
        </is>
      </c>
      <c r="B6308" s="1" t="n">
        <v>45152</v>
      </c>
      <c r="C6308" s="1" t="n">
        <v>45798</v>
      </c>
      <c r="D6308" t="inlineStr">
        <is>
          <t>NORRBOTTENS LÄN</t>
        </is>
      </c>
      <c r="E6308" t="inlineStr">
        <is>
          <t>BODEN</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36587-2023</t>
        </is>
      </c>
      <c r="B6309" s="1" t="n">
        <v>45153</v>
      </c>
      <c r="C6309" s="1" t="n">
        <v>45798</v>
      </c>
      <c r="D6309" t="inlineStr">
        <is>
          <t>NORRBOTTENS LÄN</t>
        </is>
      </c>
      <c r="E6309" t="inlineStr">
        <is>
          <t>GÄLLIVARE</t>
        </is>
      </c>
      <c r="F6309" t="inlineStr">
        <is>
          <t>Sveaskog</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36612-2023</t>
        </is>
      </c>
      <c r="B6310" s="1" t="n">
        <v>45153</v>
      </c>
      <c r="C6310" s="1" t="n">
        <v>45798</v>
      </c>
      <c r="D6310" t="inlineStr">
        <is>
          <t>NORRBOTTENS LÄN</t>
        </is>
      </c>
      <c r="E6310" t="inlineStr">
        <is>
          <t>GÄLLIVARE</t>
        </is>
      </c>
      <c r="F6310" t="inlineStr">
        <is>
          <t>Sveaskog</t>
        </is>
      </c>
      <c r="G6310" t="n">
        <v>27.5</v>
      </c>
      <c r="H6310" t="n">
        <v>0</v>
      </c>
      <c r="I6310" t="n">
        <v>0</v>
      </c>
      <c r="J6310" t="n">
        <v>0</v>
      </c>
      <c r="K6310" t="n">
        <v>0</v>
      </c>
      <c r="L6310" t="n">
        <v>0</v>
      </c>
      <c r="M6310" t="n">
        <v>0</v>
      </c>
      <c r="N6310" t="n">
        <v>0</v>
      </c>
      <c r="O6310" t="n">
        <v>0</v>
      </c>
      <c r="P6310" t="n">
        <v>0</v>
      </c>
      <c r="Q6310" t="n">
        <v>0</v>
      </c>
      <c r="R6310" s="2" t="inlineStr"/>
    </row>
    <row r="6311" ht="15" customHeight="1">
      <c r="A6311" t="inlineStr">
        <is>
          <t>A 36525-2023</t>
        </is>
      </c>
      <c r="B6311" s="1" t="n">
        <v>45153</v>
      </c>
      <c r="C6311" s="1" t="n">
        <v>45798</v>
      </c>
      <c r="D6311" t="inlineStr">
        <is>
          <t>NORRBOTTENS LÄN</t>
        </is>
      </c>
      <c r="E6311" t="inlineStr">
        <is>
          <t>LULEÅ</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36591-2023</t>
        </is>
      </c>
      <c r="B6312" s="1" t="n">
        <v>45153</v>
      </c>
      <c r="C6312" s="1" t="n">
        <v>45798</v>
      </c>
      <c r="D6312" t="inlineStr">
        <is>
          <t>NORRBOTTENS LÄN</t>
        </is>
      </c>
      <c r="E6312" t="inlineStr">
        <is>
          <t>GÄLLIVARE</t>
        </is>
      </c>
      <c r="F6312" t="inlineStr">
        <is>
          <t>Sveaskog</t>
        </is>
      </c>
      <c r="G6312" t="n">
        <v>8.5</v>
      </c>
      <c r="H6312" t="n">
        <v>0</v>
      </c>
      <c r="I6312" t="n">
        <v>0</v>
      </c>
      <c r="J6312" t="n">
        <v>0</v>
      </c>
      <c r="K6312" t="n">
        <v>0</v>
      </c>
      <c r="L6312" t="n">
        <v>0</v>
      </c>
      <c r="M6312" t="n">
        <v>0</v>
      </c>
      <c r="N6312" t="n">
        <v>0</v>
      </c>
      <c r="O6312" t="n">
        <v>0</v>
      </c>
      <c r="P6312" t="n">
        <v>0</v>
      </c>
      <c r="Q6312" t="n">
        <v>0</v>
      </c>
      <c r="R6312" s="2" t="inlineStr"/>
    </row>
    <row r="6313" ht="15" customHeight="1">
      <c r="A6313" t="inlineStr">
        <is>
          <t>A 36602-2023</t>
        </is>
      </c>
      <c r="B6313" s="1" t="n">
        <v>45153</v>
      </c>
      <c r="C6313" s="1" t="n">
        <v>45798</v>
      </c>
      <c r="D6313" t="inlineStr">
        <is>
          <t>NORRBOTTENS LÄN</t>
        </is>
      </c>
      <c r="E6313" t="inlineStr">
        <is>
          <t>GÄLLIVARE</t>
        </is>
      </c>
      <c r="F6313" t="inlineStr">
        <is>
          <t>Sveaskog</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36623-2023</t>
        </is>
      </c>
      <c r="B6314" s="1" t="n">
        <v>45153</v>
      </c>
      <c r="C6314" s="1" t="n">
        <v>45798</v>
      </c>
      <c r="D6314" t="inlineStr">
        <is>
          <t>NORRBOTTENS LÄN</t>
        </is>
      </c>
      <c r="E6314" t="inlineStr">
        <is>
          <t>ARJEPLOG</t>
        </is>
      </c>
      <c r="F6314" t="inlineStr">
        <is>
          <t>Sveaskog</t>
        </is>
      </c>
      <c r="G6314" t="n">
        <v>16.9</v>
      </c>
      <c r="H6314" t="n">
        <v>0</v>
      </c>
      <c r="I6314" t="n">
        <v>0</v>
      </c>
      <c r="J6314" t="n">
        <v>0</v>
      </c>
      <c r="K6314" t="n">
        <v>0</v>
      </c>
      <c r="L6314" t="n">
        <v>0</v>
      </c>
      <c r="M6314" t="n">
        <v>0</v>
      </c>
      <c r="N6314" t="n">
        <v>0</v>
      </c>
      <c r="O6314" t="n">
        <v>0</v>
      </c>
      <c r="P6314" t="n">
        <v>0</v>
      </c>
      <c r="Q6314" t="n">
        <v>0</v>
      </c>
      <c r="R6314" s="2" t="inlineStr"/>
    </row>
    <row r="6315" ht="15" customHeight="1">
      <c r="A6315" t="inlineStr">
        <is>
          <t>A 36784-2023</t>
        </is>
      </c>
      <c r="B6315" s="1" t="n">
        <v>45153</v>
      </c>
      <c r="C6315" s="1" t="n">
        <v>45798</v>
      </c>
      <c r="D6315" t="inlineStr">
        <is>
          <t>NORRBOTTENS LÄN</t>
        </is>
      </c>
      <c r="E6315" t="inlineStr">
        <is>
          <t>LULEÅ</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36664-2023</t>
        </is>
      </c>
      <c r="B6316" s="1" t="n">
        <v>45153</v>
      </c>
      <c r="C6316" s="1" t="n">
        <v>45798</v>
      </c>
      <c r="D6316" t="inlineStr">
        <is>
          <t>NORRBOTTENS LÄN</t>
        </is>
      </c>
      <c r="E6316" t="inlineStr">
        <is>
          <t>ARVIDSJAUR</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36737-2023</t>
        </is>
      </c>
      <c r="B6317" s="1" t="n">
        <v>45153</v>
      </c>
      <c r="C6317" s="1" t="n">
        <v>45798</v>
      </c>
      <c r="D6317" t="inlineStr">
        <is>
          <t>NORRBOTTENS LÄN</t>
        </is>
      </c>
      <c r="E6317" t="inlineStr">
        <is>
          <t>ÖVERTORNEÅ</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36895-2023</t>
        </is>
      </c>
      <c r="B6318" s="1" t="n">
        <v>45153</v>
      </c>
      <c r="C6318" s="1" t="n">
        <v>45798</v>
      </c>
      <c r="D6318" t="inlineStr">
        <is>
          <t>NORRBOTTENS LÄN</t>
        </is>
      </c>
      <c r="E6318" t="inlineStr">
        <is>
          <t>BODEN</t>
        </is>
      </c>
      <c r="G6318" t="n">
        <v>18.9</v>
      </c>
      <c r="H6318" t="n">
        <v>0</v>
      </c>
      <c r="I6318" t="n">
        <v>0</v>
      </c>
      <c r="J6318" t="n">
        <v>0</v>
      </c>
      <c r="K6318" t="n">
        <v>0</v>
      </c>
      <c r="L6318" t="n">
        <v>0</v>
      </c>
      <c r="M6318" t="n">
        <v>0</v>
      </c>
      <c r="N6318" t="n">
        <v>0</v>
      </c>
      <c r="O6318" t="n">
        <v>0</v>
      </c>
      <c r="P6318" t="n">
        <v>0</v>
      </c>
      <c r="Q6318" t="n">
        <v>0</v>
      </c>
      <c r="R6318" s="2" t="inlineStr"/>
    </row>
    <row r="6319" ht="15" customHeight="1">
      <c r="A6319" t="inlineStr">
        <is>
          <t>A 36915-2023</t>
        </is>
      </c>
      <c r="B6319" s="1" t="n">
        <v>45153</v>
      </c>
      <c r="C6319" s="1" t="n">
        <v>45798</v>
      </c>
      <c r="D6319" t="inlineStr">
        <is>
          <t>NORRBOTTENS LÄN</t>
        </is>
      </c>
      <c r="E6319" t="inlineStr">
        <is>
          <t>BODEN</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36928-2023</t>
        </is>
      </c>
      <c r="B6320" s="1" t="n">
        <v>45153</v>
      </c>
      <c r="C6320" s="1" t="n">
        <v>45798</v>
      </c>
      <c r="D6320" t="inlineStr">
        <is>
          <t>NORRBOTTENS LÄN</t>
        </is>
      </c>
      <c r="E6320" t="inlineStr">
        <is>
          <t>PAJALA</t>
        </is>
      </c>
      <c r="G6320" t="n">
        <v>9.1</v>
      </c>
      <c r="H6320" t="n">
        <v>0</v>
      </c>
      <c r="I6320" t="n">
        <v>0</v>
      </c>
      <c r="J6320" t="n">
        <v>0</v>
      </c>
      <c r="K6320" t="n">
        <v>0</v>
      </c>
      <c r="L6320" t="n">
        <v>0</v>
      </c>
      <c r="M6320" t="n">
        <v>0</v>
      </c>
      <c r="N6320" t="n">
        <v>0</v>
      </c>
      <c r="O6320" t="n">
        <v>0</v>
      </c>
      <c r="P6320" t="n">
        <v>0</v>
      </c>
      <c r="Q6320" t="n">
        <v>0</v>
      </c>
      <c r="R6320" s="2" t="inlineStr"/>
    </row>
    <row r="6321" ht="15" customHeight="1">
      <c r="A6321" t="inlineStr">
        <is>
          <t>A 36791-2023</t>
        </is>
      </c>
      <c r="B6321" s="1" t="n">
        <v>45153</v>
      </c>
      <c r="C6321" s="1" t="n">
        <v>45798</v>
      </c>
      <c r="D6321" t="inlineStr">
        <is>
          <t>NORRBOTTENS LÄN</t>
        </is>
      </c>
      <c r="E6321" t="inlineStr">
        <is>
          <t>LULEÅ</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36839-2023</t>
        </is>
      </c>
      <c r="B6322" s="1" t="n">
        <v>45153</v>
      </c>
      <c r="C6322" s="1" t="n">
        <v>45798</v>
      </c>
      <c r="D6322" t="inlineStr">
        <is>
          <t>NORRBOTTENS LÄN</t>
        </is>
      </c>
      <c r="E6322" t="inlineStr">
        <is>
          <t>ÖVERKALIX</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36889-2023</t>
        </is>
      </c>
      <c r="B6323" s="1" t="n">
        <v>45153</v>
      </c>
      <c r="C6323" s="1" t="n">
        <v>45798</v>
      </c>
      <c r="D6323" t="inlineStr">
        <is>
          <t>NORRBOTTENS LÄN</t>
        </is>
      </c>
      <c r="E6323" t="inlineStr">
        <is>
          <t>JOKKMOKK</t>
        </is>
      </c>
      <c r="F6323" t="inlineStr">
        <is>
          <t>Övriga statliga verk och myndigheter</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36800-2023</t>
        </is>
      </c>
      <c r="B6324" s="1" t="n">
        <v>45154</v>
      </c>
      <c r="C6324" s="1" t="n">
        <v>45798</v>
      </c>
      <c r="D6324" t="inlineStr">
        <is>
          <t>NORRBOTTENS LÄN</t>
        </is>
      </c>
      <c r="E6324" t="inlineStr">
        <is>
          <t>ÖVERKALIX</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36797-2023</t>
        </is>
      </c>
      <c r="B6325" s="1" t="n">
        <v>45154</v>
      </c>
      <c r="C6325" s="1" t="n">
        <v>45798</v>
      </c>
      <c r="D6325" t="inlineStr">
        <is>
          <t>NORRBOTTENS LÄN</t>
        </is>
      </c>
      <c r="E6325" t="inlineStr">
        <is>
          <t>ÖVERKALIX</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36803-2023</t>
        </is>
      </c>
      <c r="B6326" s="1" t="n">
        <v>45154</v>
      </c>
      <c r="C6326" s="1" t="n">
        <v>45798</v>
      </c>
      <c r="D6326" t="inlineStr">
        <is>
          <t>NORRBOTTENS LÄN</t>
        </is>
      </c>
      <c r="E6326" t="inlineStr">
        <is>
          <t>ÖVERKALIX</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36881-2023</t>
        </is>
      </c>
      <c r="B6327" s="1" t="n">
        <v>45154</v>
      </c>
      <c r="C6327" s="1" t="n">
        <v>45798</v>
      </c>
      <c r="D6327" t="inlineStr">
        <is>
          <t>NORRBOTTENS LÄN</t>
        </is>
      </c>
      <c r="E6327" t="inlineStr">
        <is>
          <t>GÄLLIVARE</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36894-2023</t>
        </is>
      </c>
      <c r="B6328" s="1" t="n">
        <v>45154</v>
      </c>
      <c r="C6328" s="1" t="n">
        <v>45798</v>
      </c>
      <c r="D6328" t="inlineStr">
        <is>
          <t>NORRBOTTENS LÄN</t>
        </is>
      </c>
      <c r="E6328" t="inlineStr">
        <is>
          <t>PAJALA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36820-2023</t>
        </is>
      </c>
      <c r="B6329" s="1" t="n">
        <v>45154</v>
      </c>
      <c r="C6329" s="1" t="n">
        <v>45798</v>
      </c>
      <c r="D6329" t="inlineStr">
        <is>
          <t>NORRBOTTENS LÄN</t>
        </is>
      </c>
      <c r="E6329" t="inlineStr">
        <is>
          <t>ÄLVSBYN</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36933-2023</t>
        </is>
      </c>
      <c r="B6330" s="1" t="n">
        <v>45154</v>
      </c>
      <c r="C6330" s="1" t="n">
        <v>45798</v>
      </c>
      <c r="D6330" t="inlineStr">
        <is>
          <t>NORRBOTTENS LÄN</t>
        </is>
      </c>
      <c r="E6330" t="inlineStr">
        <is>
          <t>PAJALA</t>
        </is>
      </c>
      <c r="F6330" t="inlineStr">
        <is>
          <t>Sveaskog</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36856-2023</t>
        </is>
      </c>
      <c r="B6331" s="1" t="n">
        <v>45154</v>
      </c>
      <c r="C6331" s="1" t="n">
        <v>45798</v>
      </c>
      <c r="D6331" t="inlineStr">
        <is>
          <t>NORRBOTTENS LÄN</t>
        </is>
      </c>
      <c r="E6331" t="inlineStr">
        <is>
          <t>PAJALA</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36961-2023</t>
        </is>
      </c>
      <c r="B6332" s="1" t="n">
        <v>45154</v>
      </c>
      <c r="C6332" s="1" t="n">
        <v>45798</v>
      </c>
      <c r="D6332" t="inlineStr">
        <is>
          <t>NORRBOTTENS LÄN</t>
        </is>
      </c>
      <c r="E6332" t="inlineStr">
        <is>
          <t>PAJALA</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36969-2023</t>
        </is>
      </c>
      <c r="B6333" s="1" t="n">
        <v>45155</v>
      </c>
      <c r="C6333" s="1" t="n">
        <v>45798</v>
      </c>
      <c r="D6333" t="inlineStr">
        <is>
          <t>NORRBOTTENS LÄN</t>
        </is>
      </c>
      <c r="E6333" t="inlineStr">
        <is>
          <t>GÄLLIVARE</t>
        </is>
      </c>
      <c r="F6333" t="inlineStr">
        <is>
          <t>SCA</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36980-2023</t>
        </is>
      </c>
      <c r="B6334" s="1" t="n">
        <v>45155</v>
      </c>
      <c r="C6334" s="1" t="n">
        <v>45798</v>
      </c>
      <c r="D6334" t="inlineStr">
        <is>
          <t>NORRBOTTENS LÄN</t>
        </is>
      </c>
      <c r="E6334" t="inlineStr">
        <is>
          <t>GÄLLIVARE</t>
        </is>
      </c>
      <c r="F6334" t="inlineStr">
        <is>
          <t>SCA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36984-2023</t>
        </is>
      </c>
      <c r="B6335" s="1" t="n">
        <v>45155</v>
      </c>
      <c r="C6335" s="1" t="n">
        <v>45798</v>
      </c>
      <c r="D6335" t="inlineStr">
        <is>
          <t>NORRBOTTENS LÄN</t>
        </is>
      </c>
      <c r="E6335" t="inlineStr">
        <is>
          <t>GÄLLIVARE</t>
        </is>
      </c>
      <c r="F6335" t="inlineStr">
        <is>
          <t>SCA</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36954-2023</t>
        </is>
      </c>
      <c r="B6336" s="1" t="n">
        <v>45154</v>
      </c>
      <c r="C6336" s="1" t="n">
        <v>45798</v>
      </c>
      <c r="D6336" t="inlineStr">
        <is>
          <t>NORRBOTTENS LÄN</t>
        </is>
      </c>
      <c r="E6336" t="inlineStr">
        <is>
          <t>ARVIDSJAUR</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36962-2023</t>
        </is>
      </c>
      <c r="B6337" s="1" t="n">
        <v>45155</v>
      </c>
      <c r="C6337" s="1" t="n">
        <v>45798</v>
      </c>
      <c r="D6337" t="inlineStr">
        <is>
          <t>NORRBOTTENS LÄN</t>
        </is>
      </c>
      <c r="E6337" t="inlineStr">
        <is>
          <t>PAJALA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36978-2023</t>
        </is>
      </c>
      <c r="B6338" s="1" t="n">
        <v>45155</v>
      </c>
      <c r="C6338" s="1" t="n">
        <v>45798</v>
      </c>
      <c r="D6338" t="inlineStr">
        <is>
          <t>NORRBOTTENS LÄN</t>
        </is>
      </c>
      <c r="E6338" t="inlineStr">
        <is>
          <t>GÄLLIVARE</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36963-2023</t>
        </is>
      </c>
      <c r="B6339" s="1" t="n">
        <v>45155</v>
      </c>
      <c r="C6339" s="1" t="n">
        <v>45798</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36979-2023</t>
        </is>
      </c>
      <c r="B6340" s="1" t="n">
        <v>45155</v>
      </c>
      <c r="C6340" s="1" t="n">
        <v>45798</v>
      </c>
      <c r="D6340" t="inlineStr">
        <is>
          <t>NORRBOTTENS LÄN</t>
        </is>
      </c>
      <c r="E6340" t="inlineStr">
        <is>
          <t>GÄLLIVARE</t>
        </is>
      </c>
      <c r="F6340" t="inlineStr">
        <is>
          <t>SCA</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36983-2023</t>
        </is>
      </c>
      <c r="B6341" s="1" t="n">
        <v>45155</v>
      </c>
      <c r="C6341" s="1" t="n">
        <v>45798</v>
      </c>
      <c r="D6341" t="inlineStr">
        <is>
          <t>NORRBOTTENS LÄN</t>
        </is>
      </c>
      <c r="E6341" t="inlineStr">
        <is>
          <t>GÄLLIVARE</t>
        </is>
      </c>
      <c r="F6341" t="inlineStr">
        <is>
          <t>SCA</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37072-2023</t>
        </is>
      </c>
      <c r="B6342" s="1" t="n">
        <v>45155</v>
      </c>
      <c r="C6342" s="1" t="n">
        <v>45798</v>
      </c>
      <c r="D6342" t="inlineStr">
        <is>
          <t>NORRBOTTENS LÄN</t>
        </is>
      </c>
      <c r="E6342" t="inlineStr">
        <is>
          <t>BODEN</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37041-2023</t>
        </is>
      </c>
      <c r="B6343" s="1" t="n">
        <v>45155</v>
      </c>
      <c r="C6343" s="1" t="n">
        <v>45798</v>
      </c>
      <c r="D6343" t="inlineStr">
        <is>
          <t>NORRBOTTENS LÄN</t>
        </is>
      </c>
      <c r="E6343" t="inlineStr">
        <is>
          <t>ARVIDSJAUR</t>
        </is>
      </c>
      <c r="F6343" t="inlineStr">
        <is>
          <t>Sveaskog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37070-2023</t>
        </is>
      </c>
      <c r="B6344" s="1" t="n">
        <v>45155</v>
      </c>
      <c r="C6344" s="1" t="n">
        <v>45798</v>
      </c>
      <c r="D6344" t="inlineStr">
        <is>
          <t>NORRBOTTENS LÄN</t>
        </is>
      </c>
      <c r="E6344" t="inlineStr">
        <is>
          <t>LULEÅ</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37014-2023</t>
        </is>
      </c>
      <c r="B6345" s="1" t="n">
        <v>45155</v>
      </c>
      <c r="C6345" s="1" t="n">
        <v>45798</v>
      </c>
      <c r="D6345" t="inlineStr">
        <is>
          <t>NORRBOTTENS LÄN</t>
        </is>
      </c>
      <c r="E6345" t="inlineStr">
        <is>
          <t>BODEN</t>
        </is>
      </c>
      <c r="F6345" t="inlineStr">
        <is>
          <t>Sveaskog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37039-2023</t>
        </is>
      </c>
      <c r="B6346" s="1" t="n">
        <v>45155</v>
      </c>
      <c r="C6346" s="1" t="n">
        <v>45798</v>
      </c>
      <c r="D6346" t="inlineStr">
        <is>
          <t>NORRBOTTENS LÄN</t>
        </is>
      </c>
      <c r="E6346" t="inlineStr">
        <is>
          <t>ARVIDSJAUR</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37062-2023</t>
        </is>
      </c>
      <c r="B6347" s="1" t="n">
        <v>45155</v>
      </c>
      <c r="C6347" s="1" t="n">
        <v>45798</v>
      </c>
      <c r="D6347" t="inlineStr">
        <is>
          <t>NORRBOTTENS LÄN</t>
        </is>
      </c>
      <c r="E6347" t="inlineStr">
        <is>
          <t>KALIX</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37245-2023</t>
        </is>
      </c>
      <c r="B6348" s="1" t="n">
        <v>45156</v>
      </c>
      <c r="C6348" s="1" t="n">
        <v>45798</v>
      </c>
      <c r="D6348" t="inlineStr">
        <is>
          <t>NORRBOTTENS LÄN</t>
        </is>
      </c>
      <c r="E6348" t="inlineStr">
        <is>
          <t>PAJALA</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37162-2023</t>
        </is>
      </c>
      <c r="B6349" s="1" t="n">
        <v>45155</v>
      </c>
      <c r="C6349" s="1" t="n">
        <v>45798</v>
      </c>
      <c r="D6349" t="inlineStr">
        <is>
          <t>NORRBOTTENS LÄN</t>
        </is>
      </c>
      <c r="E6349" t="inlineStr">
        <is>
          <t>JOKKMOKK</t>
        </is>
      </c>
      <c r="F6349" t="inlineStr">
        <is>
          <t>Sveaskog</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37244-2023</t>
        </is>
      </c>
      <c r="B6350" s="1" t="n">
        <v>45156</v>
      </c>
      <c r="C6350" s="1" t="n">
        <v>45798</v>
      </c>
      <c r="D6350" t="inlineStr">
        <is>
          <t>NORRBOTTENS LÄN</t>
        </is>
      </c>
      <c r="E6350" t="inlineStr">
        <is>
          <t>PAJALA</t>
        </is>
      </c>
      <c r="F6350" t="inlineStr">
        <is>
          <t>SCA</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37424-2023</t>
        </is>
      </c>
      <c r="B6351" s="1" t="n">
        <v>45155</v>
      </c>
      <c r="C6351" s="1" t="n">
        <v>45798</v>
      </c>
      <c r="D6351" t="inlineStr">
        <is>
          <t>NORRBOTTENS LÄN</t>
        </is>
      </c>
      <c r="E6351" t="inlineStr">
        <is>
          <t>KALIX</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37384-2023</t>
        </is>
      </c>
      <c r="B6352" s="1" t="n">
        <v>45156</v>
      </c>
      <c r="C6352" s="1" t="n">
        <v>45798</v>
      </c>
      <c r="D6352" t="inlineStr">
        <is>
          <t>NORRBOTTENS LÄN</t>
        </is>
      </c>
      <c r="E6352" t="inlineStr">
        <is>
          <t>BODEN</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37309-2023</t>
        </is>
      </c>
      <c r="B6353" s="1" t="n">
        <v>45156</v>
      </c>
      <c r="C6353" s="1" t="n">
        <v>45798</v>
      </c>
      <c r="D6353" t="inlineStr">
        <is>
          <t>NORRBOTTENS LÄN</t>
        </is>
      </c>
      <c r="E6353" t="inlineStr">
        <is>
          <t>PITEÅ</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37575-2023</t>
        </is>
      </c>
      <c r="B6354" s="1" t="n">
        <v>45159</v>
      </c>
      <c r="C6354" s="1" t="n">
        <v>45798</v>
      </c>
      <c r="D6354" t="inlineStr">
        <is>
          <t>NORRBOTTENS LÄN</t>
        </is>
      </c>
      <c r="E6354" t="inlineStr">
        <is>
          <t>PITEÅ</t>
        </is>
      </c>
      <c r="G6354" t="n">
        <v>12.8</v>
      </c>
      <c r="H6354" t="n">
        <v>0</v>
      </c>
      <c r="I6354" t="n">
        <v>0</v>
      </c>
      <c r="J6354" t="n">
        <v>0</v>
      </c>
      <c r="K6354" t="n">
        <v>0</v>
      </c>
      <c r="L6354" t="n">
        <v>0</v>
      </c>
      <c r="M6354" t="n">
        <v>0</v>
      </c>
      <c r="N6354" t="n">
        <v>0</v>
      </c>
      <c r="O6354" t="n">
        <v>0</v>
      </c>
      <c r="P6354" t="n">
        <v>0</v>
      </c>
      <c r="Q6354" t="n">
        <v>0</v>
      </c>
      <c r="R6354" s="2" t="inlineStr"/>
    </row>
    <row r="6355" ht="15" customHeight="1">
      <c r="A6355" t="inlineStr">
        <is>
          <t>A 37609-2023</t>
        </is>
      </c>
      <c r="B6355" s="1" t="n">
        <v>45159</v>
      </c>
      <c r="C6355" s="1" t="n">
        <v>45798</v>
      </c>
      <c r="D6355" t="inlineStr">
        <is>
          <t>NORRBOTTENS LÄN</t>
        </is>
      </c>
      <c r="E6355" t="inlineStr">
        <is>
          <t>PITEÅ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37792-2023</t>
        </is>
      </c>
      <c r="B6356" s="1" t="n">
        <v>45160</v>
      </c>
      <c r="C6356" s="1" t="n">
        <v>45798</v>
      </c>
      <c r="D6356" t="inlineStr">
        <is>
          <t>NORRBOTTENS LÄN</t>
        </is>
      </c>
      <c r="E6356" t="inlineStr">
        <is>
          <t>PAJALA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37657-2023</t>
        </is>
      </c>
      <c r="B6357" s="1" t="n">
        <v>45159</v>
      </c>
      <c r="C6357" s="1" t="n">
        <v>45798</v>
      </c>
      <c r="D6357" t="inlineStr">
        <is>
          <t>NORRBOTTENS LÄN</t>
        </is>
      </c>
      <c r="E6357" t="inlineStr">
        <is>
          <t>KALIX</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37720-2023</t>
        </is>
      </c>
      <c r="B6358" s="1" t="n">
        <v>45159</v>
      </c>
      <c r="C6358" s="1" t="n">
        <v>45798</v>
      </c>
      <c r="D6358" t="inlineStr">
        <is>
          <t>NORRBOTTENS LÄN</t>
        </is>
      </c>
      <c r="E6358" t="inlineStr">
        <is>
          <t>ÄLVSBYN</t>
        </is>
      </c>
      <c r="F6358" t="inlineStr">
        <is>
          <t>Sveaskog</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37793-2023</t>
        </is>
      </c>
      <c r="B6359" s="1" t="n">
        <v>45160</v>
      </c>
      <c r="C6359" s="1" t="n">
        <v>45798</v>
      </c>
      <c r="D6359" t="inlineStr">
        <is>
          <t>NORRBOTTENS LÄN</t>
        </is>
      </c>
      <c r="E6359" t="inlineStr">
        <is>
          <t>PAJALA</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38003-2023</t>
        </is>
      </c>
      <c r="B6360" s="1" t="n">
        <v>45159</v>
      </c>
      <c r="C6360" s="1" t="n">
        <v>45798</v>
      </c>
      <c r="D6360" t="inlineStr">
        <is>
          <t>NORRBOTTENS LÄN</t>
        </is>
      </c>
      <c r="E6360" t="inlineStr">
        <is>
          <t>ÄLVSBYN</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38033-2023</t>
        </is>
      </c>
      <c r="B6361" s="1" t="n">
        <v>45159</v>
      </c>
      <c r="C6361" s="1" t="n">
        <v>45798</v>
      </c>
      <c r="D6361" t="inlineStr">
        <is>
          <t>NORRBOTTENS LÄN</t>
        </is>
      </c>
      <c r="E6361" t="inlineStr">
        <is>
          <t>PAJALA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37961-2023</t>
        </is>
      </c>
      <c r="B6362" s="1" t="n">
        <v>45159</v>
      </c>
      <c r="C6362" s="1" t="n">
        <v>45798</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37984-2023</t>
        </is>
      </c>
      <c r="B6363" s="1" t="n">
        <v>45159</v>
      </c>
      <c r="C6363" s="1" t="n">
        <v>45798</v>
      </c>
      <c r="D6363" t="inlineStr">
        <is>
          <t>NORRBOTTENS LÄN</t>
        </is>
      </c>
      <c r="E6363" t="inlineStr">
        <is>
          <t>ÄLVSBYN</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37817-2023</t>
        </is>
      </c>
      <c r="B6364" s="1" t="n">
        <v>45160</v>
      </c>
      <c r="C6364" s="1" t="n">
        <v>45798</v>
      </c>
      <c r="D6364" t="inlineStr">
        <is>
          <t>NORRBOTTENS LÄN</t>
        </is>
      </c>
      <c r="E6364" t="inlineStr">
        <is>
          <t>BODEN</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37977-2023</t>
        </is>
      </c>
      <c r="B6365" s="1" t="n">
        <v>45159</v>
      </c>
      <c r="C6365" s="1" t="n">
        <v>45798</v>
      </c>
      <c r="D6365" t="inlineStr">
        <is>
          <t>NORRBOTTENS LÄN</t>
        </is>
      </c>
      <c r="E6365" t="inlineStr">
        <is>
          <t>ÄLVSBYN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37820-2023</t>
        </is>
      </c>
      <c r="B6366" s="1" t="n">
        <v>45160</v>
      </c>
      <c r="C6366" s="1" t="n">
        <v>45798</v>
      </c>
      <c r="D6366" t="inlineStr">
        <is>
          <t>NORRBOTTENS LÄN</t>
        </is>
      </c>
      <c r="E6366" t="inlineStr">
        <is>
          <t>PITEÅ</t>
        </is>
      </c>
      <c r="F6366" t="inlineStr">
        <is>
          <t>Sveaskog</t>
        </is>
      </c>
      <c r="G6366" t="n">
        <v>25.3</v>
      </c>
      <c r="H6366" t="n">
        <v>0</v>
      </c>
      <c r="I6366" t="n">
        <v>0</v>
      </c>
      <c r="J6366" t="n">
        <v>0</v>
      </c>
      <c r="K6366" t="n">
        <v>0</v>
      </c>
      <c r="L6366" t="n">
        <v>0</v>
      </c>
      <c r="M6366" t="n">
        <v>0</v>
      </c>
      <c r="N6366" t="n">
        <v>0</v>
      </c>
      <c r="O6366" t="n">
        <v>0</v>
      </c>
      <c r="P6366" t="n">
        <v>0</v>
      </c>
      <c r="Q6366" t="n">
        <v>0</v>
      </c>
      <c r="R6366" s="2" t="inlineStr"/>
    </row>
    <row r="6367" ht="15" customHeight="1">
      <c r="A6367" t="inlineStr">
        <is>
          <t>A 37821-2023</t>
        </is>
      </c>
      <c r="B6367" s="1" t="n">
        <v>45160</v>
      </c>
      <c r="C6367" s="1" t="n">
        <v>45798</v>
      </c>
      <c r="D6367" t="inlineStr">
        <is>
          <t>NORRBOTTENS LÄN</t>
        </is>
      </c>
      <c r="E6367" t="inlineStr">
        <is>
          <t>PITEÅ</t>
        </is>
      </c>
      <c r="F6367" t="inlineStr">
        <is>
          <t>Sveaskog</t>
        </is>
      </c>
      <c r="G6367" t="n">
        <v>15.7</v>
      </c>
      <c r="H6367" t="n">
        <v>0</v>
      </c>
      <c r="I6367" t="n">
        <v>0</v>
      </c>
      <c r="J6367" t="n">
        <v>0</v>
      </c>
      <c r="K6367" t="n">
        <v>0</v>
      </c>
      <c r="L6367" t="n">
        <v>0</v>
      </c>
      <c r="M6367" t="n">
        <v>0</v>
      </c>
      <c r="N6367" t="n">
        <v>0</v>
      </c>
      <c r="O6367" t="n">
        <v>0</v>
      </c>
      <c r="P6367" t="n">
        <v>0</v>
      </c>
      <c r="Q6367" t="n">
        <v>0</v>
      </c>
      <c r="R6367" s="2" t="inlineStr"/>
    </row>
    <row r="6368" ht="15" customHeight="1">
      <c r="A6368" t="inlineStr">
        <is>
          <t>A 37819-2023</t>
        </is>
      </c>
      <c r="B6368" s="1" t="n">
        <v>45160</v>
      </c>
      <c r="C6368" s="1" t="n">
        <v>45798</v>
      </c>
      <c r="D6368" t="inlineStr">
        <is>
          <t>NORRBOTTENS LÄN</t>
        </is>
      </c>
      <c r="E6368" t="inlineStr">
        <is>
          <t>GÄLLIVARE</t>
        </is>
      </c>
      <c r="F6368" t="inlineStr">
        <is>
          <t>Sveaskog</t>
        </is>
      </c>
      <c r="G6368" t="n">
        <v>30.4</v>
      </c>
      <c r="H6368" t="n">
        <v>0</v>
      </c>
      <c r="I6368" t="n">
        <v>0</v>
      </c>
      <c r="J6368" t="n">
        <v>0</v>
      </c>
      <c r="K6368" t="n">
        <v>0</v>
      </c>
      <c r="L6368" t="n">
        <v>0</v>
      </c>
      <c r="M6368" t="n">
        <v>0</v>
      </c>
      <c r="N6368" t="n">
        <v>0</v>
      </c>
      <c r="O6368" t="n">
        <v>0</v>
      </c>
      <c r="P6368" t="n">
        <v>0</v>
      </c>
      <c r="Q6368" t="n">
        <v>0</v>
      </c>
      <c r="R6368" s="2" t="inlineStr"/>
    </row>
    <row r="6369" ht="15" customHeight="1">
      <c r="A6369" t="inlineStr">
        <is>
          <t>A 37873-2023</t>
        </is>
      </c>
      <c r="B6369" s="1" t="n">
        <v>45160</v>
      </c>
      <c r="C6369" s="1" t="n">
        <v>45798</v>
      </c>
      <c r="D6369" t="inlineStr">
        <is>
          <t>NORRBOTTENS LÄN</t>
        </is>
      </c>
      <c r="E6369" t="inlineStr">
        <is>
          <t>BODEN</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37898-2023</t>
        </is>
      </c>
      <c r="B6370" s="1" t="n">
        <v>45160</v>
      </c>
      <c r="C6370" s="1" t="n">
        <v>45798</v>
      </c>
      <c r="D6370" t="inlineStr">
        <is>
          <t>NORRBOTTENS LÄN</t>
        </is>
      </c>
      <c r="E6370" t="inlineStr">
        <is>
          <t>PITEÅ</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37971-2023</t>
        </is>
      </c>
      <c r="B6371" s="1" t="n">
        <v>45160</v>
      </c>
      <c r="C6371" s="1" t="n">
        <v>45798</v>
      </c>
      <c r="D6371" t="inlineStr">
        <is>
          <t>NORRBOTTENS LÄN</t>
        </is>
      </c>
      <c r="E6371" t="inlineStr">
        <is>
          <t>ÖVERTORNEÅ</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37818-2023</t>
        </is>
      </c>
      <c r="B6372" s="1" t="n">
        <v>45160</v>
      </c>
      <c r="C6372" s="1" t="n">
        <v>45798</v>
      </c>
      <c r="D6372" t="inlineStr">
        <is>
          <t>NORRBOTTENS LÄN</t>
        </is>
      </c>
      <c r="E6372" t="inlineStr">
        <is>
          <t>GÄLLIVARE</t>
        </is>
      </c>
      <c r="F6372" t="inlineStr">
        <is>
          <t>Sveaskog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37864-2023</t>
        </is>
      </c>
      <c r="B6373" s="1" t="n">
        <v>45160</v>
      </c>
      <c r="C6373" s="1" t="n">
        <v>45798</v>
      </c>
      <c r="D6373" t="inlineStr">
        <is>
          <t>NORRBOTTENS LÄN</t>
        </is>
      </c>
      <c r="E6373" t="inlineStr">
        <is>
          <t>BODEN</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37868-2023</t>
        </is>
      </c>
      <c r="B6374" s="1" t="n">
        <v>45160</v>
      </c>
      <c r="C6374" s="1" t="n">
        <v>45798</v>
      </c>
      <c r="D6374" t="inlineStr">
        <is>
          <t>NORRBOTTENS LÄN</t>
        </is>
      </c>
      <c r="E6374" t="inlineStr">
        <is>
          <t>BODEN</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38005-2023</t>
        </is>
      </c>
      <c r="B6375" s="1" t="n">
        <v>45160</v>
      </c>
      <c r="C6375" s="1" t="n">
        <v>45798</v>
      </c>
      <c r="D6375" t="inlineStr">
        <is>
          <t>NORRBOTTENS LÄN</t>
        </is>
      </c>
      <c r="E6375" t="inlineStr">
        <is>
          <t>ÖVERTORNEÅ</t>
        </is>
      </c>
      <c r="F6375" t="inlineStr">
        <is>
          <t>Sveaskog</t>
        </is>
      </c>
      <c r="G6375" t="n">
        <v>33.9</v>
      </c>
      <c r="H6375" t="n">
        <v>0</v>
      </c>
      <c r="I6375" t="n">
        <v>0</v>
      </c>
      <c r="J6375" t="n">
        <v>0</v>
      </c>
      <c r="K6375" t="n">
        <v>0</v>
      </c>
      <c r="L6375" t="n">
        <v>0</v>
      </c>
      <c r="M6375" t="n">
        <v>0</v>
      </c>
      <c r="N6375" t="n">
        <v>0</v>
      </c>
      <c r="O6375" t="n">
        <v>0</v>
      </c>
      <c r="P6375" t="n">
        <v>0</v>
      </c>
      <c r="Q6375" t="n">
        <v>0</v>
      </c>
      <c r="R6375" s="2" t="inlineStr"/>
    </row>
    <row r="6376" ht="15" customHeight="1">
      <c r="A6376" t="inlineStr">
        <is>
          <t>A 38547-2023</t>
        </is>
      </c>
      <c r="B6376" s="1" t="n">
        <v>45160</v>
      </c>
      <c r="C6376" s="1" t="n">
        <v>45798</v>
      </c>
      <c r="D6376" t="inlineStr">
        <is>
          <t>NORRBOTTENS LÄN</t>
        </is>
      </c>
      <c r="E6376" t="inlineStr">
        <is>
          <t>LULEÅ</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38540-2023</t>
        </is>
      </c>
      <c r="B6377" s="1" t="n">
        <v>45160</v>
      </c>
      <c r="C6377" s="1" t="n">
        <v>45798</v>
      </c>
      <c r="D6377" t="inlineStr">
        <is>
          <t>NORRBOTTENS LÄN</t>
        </is>
      </c>
      <c r="E6377" t="inlineStr">
        <is>
          <t>PAJALA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38551-2023</t>
        </is>
      </c>
      <c r="B6378" s="1" t="n">
        <v>45160</v>
      </c>
      <c r="C6378" s="1" t="n">
        <v>45798</v>
      </c>
      <c r="D6378" t="inlineStr">
        <is>
          <t>NORRBOTTENS LÄN</t>
        </is>
      </c>
      <c r="E6378" t="inlineStr">
        <is>
          <t>LULEÅ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38088-2023</t>
        </is>
      </c>
      <c r="B6379" s="1" t="n">
        <v>45161</v>
      </c>
      <c r="C6379" s="1" t="n">
        <v>45798</v>
      </c>
      <c r="D6379" t="inlineStr">
        <is>
          <t>NORRBOTTENS LÄN</t>
        </is>
      </c>
      <c r="E6379" t="inlineStr">
        <is>
          <t>ÖVERKALIX</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38545-2023</t>
        </is>
      </c>
      <c r="B6380" s="1" t="n">
        <v>45160</v>
      </c>
      <c r="C6380" s="1" t="n">
        <v>45798</v>
      </c>
      <c r="D6380" t="inlineStr">
        <is>
          <t>NORRBOTTENS LÄN</t>
        </is>
      </c>
      <c r="E6380" t="inlineStr">
        <is>
          <t>PAJALA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38556-2023</t>
        </is>
      </c>
      <c r="B6381" s="1" t="n">
        <v>45160</v>
      </c>
      <c r="C6381" s="1" t="n">
        <v>45798</v>
      </c>
      <c r="D6381" t="inlineStr">
        <is>
          <t>NORRBOTTENS LÄN</t>
        </is>
      </c>
      <c r="E6381" t="inlineStr">
        <is>
          <t>PAJALA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38529-2023</t>
        </is>
      </c>
      <c r="B6382" s="1" t="n">
        <v>45160</v>
      </c>
      <c r="C6382" s="1" t="n">
        <v>45798</v>
      </c>
      <c r="D6382" t="inlineStr">
        <is>
          <t>NORRBOTTENS LÄN</t>
        </is>
      </c>
      <c r="E6382" t="inlineStr">
        <is>
          <t>PAJALA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38550-2023</t>
        </is>
      </c>
      <c r="B6383" s="1" t="n">
        <v>45160</v>
      </c>
      <c r="C6383" s="1" t="n">
        <v>45798</v>
      </c>
      <c r="D6383" t="inlineStr">
        <is>
          <t>NORRBOTTENS LÄN</t>
        </is>
      </c>
      <c r="E6383" t="inlineStr">
        <is>
          <t>PAJALA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38137-2023</t>
        </is>
      </c>
      <c r="B6384" s="1" t="n">
        <v>45161</v>
      </c>
      <c r="C6384" s="1" t="n">
        <v>45798</v>
      </c>
      <c r="D6384" t="inlineStr">
        <is>
          <t>NORRBOTTENS LÄN</t>
        </is>
      </c>
      <c r="E6384" t="inlineStr">
        <is>
          <t>ÖVERTORNEÅ</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38874-2023</t>
        </is>
      </c>
      <c r="B6385" s="1" t="n">
        <v>45161</v>
      </c>
      <c r="C6385" s="1" t="n">
        <v>45798</v>
      </c>
      <c r="D6385" t="inlineStr">
        <is>
          <t>NORRBOTTENS LÄN</t>
        </is>
      </c>
      <c r="E6385" t="inlineStr">
        <is>
          <t>BODEN</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38882-2023</t>
        </is>
      </c>
      <c r="B6386" s="1" t="n">
        <v>45161</v>
      </c>
      <c r="C6386" s="1" t="n">
        <v>45798</v>
      </c>
      <c r="D6386" t="inlineStr">
        <is>
          <t>NORRBOTTENS LÄN</t>
        </is>
      </c>
      <c r="E6386" t="inlineStr">
        <is>
          <t>LULEÅ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38204-2023</t>
        </is>
      </c>
      <c r="B6387" s="1" t="n">
        <v>45161</v>
      </c>
      <c r="C6387" s="1" t="n">
        <v>45798</v>
      </c>
      <c r="D6387" t="inlineStr">
        <is>
          <t>NORRBOTTENS LÄN</t>
        </is>
      </c>
      <c r="E6387" t="inlineStr">
        <is>
          <t>ÖVERTORNEÅ</t>
        </is>
      </c>
      <c r="G6387" t="n">
        <v>15.6</v>
      </c>
      <c r="H6387" t="n">
        <v>0</v>
      </c>
      <c r="I6387" t="n">
        <v>0</v>
      </c>
      <c r="J6387" t="n">
        <v>0</v>
      </c>
      <c r="K6387" t="n">
        <v>0</v>
      </c>
      <c r="L6387" t="n">
        <v>0</v>
      </c>
      <c r="M6387" t="n">
        <v>0</v>
      </c>
      <c r="N6387" t="n">
        <v>0</v>
      </c>
      <c r="O6387" t="n">
        <v>0</v>
      </c>
      <c r="P6387" t="n">
        <v>0</v>
      </c>
      <c r="Q6387" t="n">
        <v>0</v>
      </c>
      <c r="R6387" s="2" t="inlineStr"/>
    </row>
    <row r="6388" ht="15" customHeight="1">
      <c r="A6388" t="inlineStr">
        <is>
          <t>A 38216-2023</t>
        </is>
      </c>
      <c r="B6388" s="1" t="n">
        <v>45161</v>
      </c>
      <c r="C6388" s="1" t="n">
        <v>45798</v>
      </c>
      <c r="D6388" t="inlineStr">
        <is>
          <t>NORRBOTTENS LÄN</t>
        </is>
      </c>
      <c r="E6388" t="inlineStr">
        <is>
          <t>BODEN</t>
        </is>
      </c>
      <c r="G6388" t="n">
        <v>7.6</v>
      </c>
      <c r="H6388" t="n">
        <v>0</v>
      </c>
      <c r="I6388" t="n">
        <v>0</v>
      </c>
      <c r="J6388" t="n">
        <v>0</v>
      </c>
      <c r="K6388" t="n">
        <v>0</v>
      </c>
      <c r="L6388" t="n">
        <v>0</v>
      </c>
      <c r="M6388" t="n">
        <v>0</v>
      </c>
      <c r="N6388" t="n">
        <v>0</v>
      </c>
      <c r="O6388" t="n">
        <v>0</v>
      </c>
      <c r="P6388" t="n">
        <v>0</v>
      </c>
      <c r="Q6388" t="n">
        <v>0</v>
      </c>
      <c r="R6388" s="2" t="inlineStr"/>
    </row>
    <row r="6389" ht="15" customHeight="1">
      <c r="A6389" t="inlineStr">
        <is>
          <t>A 38220-2023</t>
        </is>
      </c>
      <c r="B6389" s="1" t="n">
        <v>45161</v>
      </c>
      <c r="C6389" s="1" t="n">
        <v>45798</v>
      </c>
      <c r="D6389" t="inlineStr">
        <is>
          <t>NORRBOTTENS LÄN</t>
        </is>
      </c>
      <c r="E6389" t="inlineStr">
        <is>
          <t>LULEÅ</t>
        </is>
      </c>
      <c r="G6389" t="n">
        <v>20.2</v>
      </c>
      <c r="H6389" t="n">
        <v>0</v>
      </c>
      <c r="I6389" t="n">
        <v>0</v>
      </c>
      <c r="J6389" t="n">
        <v>0</v>
      </c>
      <c r="K6389" t="n">
        <v>0</v>
      </c>
      <c r="L6389" t="n">
        <v>0</v>
      </c>
      <c r="M6389" t="n">
        <v>0</v>
      </c>
      <c r="N6389" t="n">
        <v>0</v>
      </c>
      <c r="O6389" t="n">
        <v>0</v>
      </c>
      <c r="P6389" t="n">
        <v>0</v>
      </c>
      <c r="Q6389" t="n">
        <v>0</v>
      </c>
      <c r="R6389" s="2" t="inlineStr"/>
    </row>
    <row r="6390" ht="15" customHeight="1">
      <c r="A6390" t="inlineStr">
        <is>
          <t>A 38219-2023</t>
        </is>
      </c>
      <c r="B6390" s="1" t="n">
        <v>45161</v>
      </c>
      <c r="C6390" s="1" t="n">
        <v>45798</v>
      </c>
      <c r="D6390" t="inlineStr">
        <is>
          <t>NORRBOTTENS LÄN</t>
        </is>
      </c>
      <c r="E6390" t="inlineStr">
        <is>
          <t>BODEN</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38358-2023</t>
        </is>
      </c>
      <c r="B6391" s="1" t="n">
        <v>45162</v>
      </c>
      <c r="C6391" s="1" t="n">
        <v>45798</v>
      </c>
      <c r="D6391" t="inlineStr">
        <is>
          <t>NORRBOTTENS LÄN</t>
        </is>
      </c>
      <c r="E6391" t="inlineStr">
        <is>
          <t>LULEÅ</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38372-2023</t>
        </is>
      </c>
      <c r="B6392" s="1" t="n">
        <v>45161</v>
      </c>
      <c r="C6392" s="1" t="n">
        <v>45798</v>
      </c>
      <c r="D6392" t="inlineStr">
        <is>
          <t>NORRBOTTENS LÄN</t>
        </is>
      </c>
      <c r="E6392" t="inlineStr">
        <is>
          <t>BODEN</t>
        </is>
      </c>
      <c r="F6392" t="inlineStr">
        <is>
          <t>SCA</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38370-2023</t>
        </is>
      </c>
      <c r="B6393" s="1" t="n">
        <v>45161</v>
      </c>
      <c r="C6393" s="1" t="n">
        <v>45798</v>
      </c>
      <c r="D6393" t="inlineStr">
        <is>
          <t>NORRBOTTENS LÄN</t>
        </is>
      </c>
      <c r="E6393" t="inlineStr">
        <is>
          <t>BODEN</t>
        </is>
      </c>
      <c r="F6393" t="inlineStr">
        <is>
          <t>SCA</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38885-2023</t>
        </is>
      </c>
      <c r="B6394" s="1" t="n">
        <v>45161</v>
      </c>
      <c r="C6394" s="1" t="n">
        <v>45798</v>
      </c>
      <c r="D6394" t="inlineStr">
        <is>
          <t>NORRBOTTENS LÄN</t>
        </is>
      </c>
      <c r="E6394" t="inlineStr">
        <is>
          <t>LULEÅ</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38369-2023</t>
        </is>
      </c>
      <c r="B6395" s="1" t="n">
        <v>45162</v>
      </c>
      <c r="C6395" s="1" t="n">
        <v>45798</v>
      </c>
      <c r="D6395" t="inlineStr">
        <is>
          <t>NORRBOTTENS LÄN</t>
        </is>
      </c>
      <c r="E6395" t="inlineStr">
        <is>
          <t>JOKKMOKK</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38373-2023</t>
        </is>
      </c>
      <c r="B6396" s="1" t="n">
        <v>45161</v>
      </c>
      <c r="C6396" s="1" t="n">
        <v>45798</v>
      </c>
      <c r="D6396" t="inlineStr">
        <is>
          <t>NORRBOTTENS LÄN</t>
        </is>
      </c>
      <c r="E6396" t="inlineStr">
        <is>
          <t>JOKKMOKK</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38371-2023</t>
        </is>
      </c>
      <c r="B6397" s="1" t="n">
        <v>45161</v>
      </c>
      <c r="C6397" s="1" t="n">
        <v>45798</v>
      </c>
      <c r="D6397" t="inlineStr">
        <is>
          <t>NORRBOTTENS LÄN</t>
        </is>
      </c>
      <c r="E6397" t="inlineStr">
        <is>
          <t>BODEN</t>
        </is>
      </c>
      <c r="F6397" t="inlineStr">
        <is>
          <t>SCA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38426-2023</t>
        </is>
      </c>
      <c r="B6398" s="1" t="n">
        <v>45162</v>
      </c>
      <c r="C6398" s="1" t="n">
        <v>45798</v>
      </c>
      <c r="D6398" t="inlineStr">
        <is>
          <t>NORRBOTTENS LÄN</t>
        </is>
      </c>
      <c r="E6398" t="inlineStr">
        <is>
          <t>GÄLLIVARE</t>
        </is>
      </c>
      <c r="F6398" t="inlineStr">
        <is>
          <t>Sveaskog</t>
        </is>
      </c>
      <c r="G6398" t="n">
        <v>13.9</v>
      </c>
      <c r="H6398" t="n">
        <v>0</v>
      </c>
      <c r="I6398" t="n">
        <v>0</v>
      </c>
      <c r="J6398" t="n">
        <v>0</v>
      </c>
      <c r="K6398" t="n">
        <v>0</v>
      </c>
      <c r="L6398" t="n">
        <v>0</v>
      </c>
      <c r="M6398" t="n">
        <v>0</v>
      </c>
      <c r="N6398" t="n">
        <v>0</v>
      </c>
      <c r="O6398" t="n">
        <v>0</v>
      </c>
      <c r="P6398" t="n">
        <v>0</v>
      </c>
      <c r="Q6398" t="n">
        <v>0</v>
      </c>
      <c r="R6398" s="2" t="inlineStr"/>
    </row>
    <row r="6399" ht="15" customHeight="1">
      <c r="A6399" t="inlineStr">
        <is>
          <t>A 38528-2023</t>
        </is>
      </c>
      <c r="B6399" s="1" t="n">
        <v>45162</v>
      </c>
      <c r="C6399" s="1" t="n">
        <v>45798</v>
      </c>
      <c r="D6399" t="inlineStr">
        <is>
          <t>NORRBOTTENS LÄN</t>
        </is>
      </c>
      <c r="E6399" t="inlineStr">
        <is>
          <t>JOKKMOKK</t>
        </is>
      </c>
      <c r="F6399" t="inlineStr">
        <is>
          <t>Sveaskog</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38406-2023</t>
        </is>
      </c>
      <c r="B6400" s="1" t="n">
        <v>45162</v>
      </c>
      <c r="C6400" s="1" t="n">
        <v>45798</v>
      </c>
      <c r="D6400" t="inlineStr">
        <is>
          <t>NORRBOTTENS LÄN</t>
        </is>
      </c>
      <c r="E6400" t="inlineStr">
        <is>
          <t>GÄLLIVARE</t>
        </is>
      </c>
      <c r="F6400" t="inlineStr">
        <is>
          <t>Sveaskog</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38970-2023</t>
        </is>
      </c>
      <c r="B6401" s="1" t="n">
        <v>45162</v>
      </c>
      <c r="C6401" s="1" t="n">
        <v>45798</v>
      </c>
      <c r="D6401" t="inlineStr">
        <is>
          <t>NORRBOTTENS LÄN</t>
        </is>
      </c>
      <c r="E6401" t="inlineStr">
        <is>
          <t>BODEN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39264-2023</t>
        </is>
      </c>
      <c r="B6402" s="1" t="n">
        <v>45162</v>
      </c>
      <c r="C6402" s="1" t="n">
        <v>45798</v>
      </c>
      <c r="D6402" t="inlineStr">
        <is>
          <t>NORRBOTTENS LÄN</t>
        </is>
      </c>
      <c r="E6402" t="inlineStr">
        <is>
          <t>PITEÅ</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39006-2023</t>
        </is>
      </c>
      <c r="B6403" s="1" t="n">
        <v>45162</v>
      </c>
      <c r="C6403" s="1" t="n">
        <v>45798</v>
      </c>
      <c r="D6403" t="inlineStr">
        <is>
          <t>NORRBOTTENS LÄN</t>
        </is>
      </c>
      <c r="E6403" t="inlineStr">
        <is>
          <t>KIRUNA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38981-2023</t>
        </is>
      </c>
      <c r="B6404" s="1" t="n">
        <v>45162</v>
      </c>
      <c r="C6404" s="1" t="n">
        <v>45798</v>
      </c>
      <c r="D6404" t="inlineStr">
        <is>
          <t>NORRBOTTENS LÄN</t>
        </is>
      </c>
      <c r="E6404" t="inlineStr">
        <is>
          <t>BODEN</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39005-2023</t>
        </is>
      </c>
      <c r="B6405" s="1" t="n">
        <v>45162</v>
      </c>
      <c r="C6405" s="1" t="n">
        <v>45798</v>
      </c>
      <c r="D6405" t="inlineStr">
        <is>
          <t>NORRBOTTENS LÄN</t>
        </is>
      </c>
      <c r="E6405" t="inlineStr">
        <is>
          <t>ÄLVSBYN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39305-2023</t>
        </is>
      </c>
      <c r="B6406" s="1" t="n">
        <v>45162</v>
      </c>
      <c r="C6406" s="1" t="n">
        <v>45798</v>
      </c>
      <c r="D6406" t="inlineStr">
        <is>
          <t>NORRBOTTENS LÄN</t>
        </is>
      </c>
      <c r="E6406" t="inlineStr">
        <is>
          <t>PITEÅ</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39315-2023</t>
        </is>
      </c>
      <c r="B6407" s="1" t="n">
        <v>45162</v>
      </c>
      <c r="C6407" s="1" t="n">
        <v>45798</v>
      </c>
      <c r="D6407" t="inlineStr">
        <is>
          <t>NORRBOTTENS LÄN</t>
        </is>
      </c>
      <c r="E6407" t="inlineStr">
        <is>
          <t>LULEÅ</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38603-2023</t>
        </is>
      </c>
      <c r="B6408" s="1" t="n">
        <v>45162</v>
      </c>
      <c r="C6408" s="1" t="n">
        <v>45798</v>
      </c>
      <c r="D6408" t="inlineStr">
        <is>
          <t>NORRBOTTENS LÄN</t>
        </is>
      </c>
      <c r="E6408" t="inlineStr">
        <is>
          <t>KALIX</t>
        </is>
      </c>
      <c r="F6408" t="inlineStr">
        <is>
          <t>Sveaskog</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38660-2023</t>
        </is>
      </c>
      <c r="B6409" s="1" t="n">
        <v>45162</v>
      </c>
      <c r="C6409" s="1" t="n">
        <v>45798</v>
      </c>
      <c r="D6409" t="inlineStr">
        <is>
          <t>NORRBOTTENS LÄN</t>
        </is>
      </c>
      <c r="E6409" t="inlineStr">
        <is>
          <t>PAJALA</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38680-2023</t>
        </is>
      </c>
      <c r="B6410" s="1" t="n">
        <v>45163</v>
      </c>
      <c r="C6410" s="1" t="n">
        <v>45798</v>
      </c>
      <c r="D6410" t="inlineStr">
        <is>
          <t>NORRBOTTENS LÄN</t>
        </is>
      </c>
      <c r="E6410" t="inlineStr">
        <is>
          <t>JOKKMOKK</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38576-2023</t>
        </is>
      </c>
      <c r="B6411" s="1" t="n">
        <v>45162</v>
      </c>
      <c r="C6411" s="1" t="n">
        <v>45798</v>
      </c>
      <c r="D6411" t="inlineStr">
        <is>
          <t>NORRBOTTENS LÄN</t>
        </is>
      </c>
      <c r="E6411" t="inlineStr">
        <is>
          <t>PAJALA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38590-2023</t>
        </is>
      </c>
      <c r="B6412" s="1" t="n">
        <v>45162</v>
      </c>
      <c r="C6412" s="1" t="n">
        <v>45798</v>
      </c>
      <c r="D6412" t="inlineStr">
        <is>
          <t>NORRBOTTENS LÄN</t>
        </is>
      </c>
      <c r="E6412" t="inlineStr">
        <is>
          <t>PAJALA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38598-2023</t>
        </is>
      </c>
      <c r="B6413" s="1" t="n">
        <v>45162</v>
      </c>
      <c r="C6413" s="1" t="n">
        <v>45798</v>
      </c>
      <c r="D6413" t="inlineStr">
        <is>
          <t>NORRBOTTENS LÄN</t>
        </is>
      </c>
      <c r="E6413" t="inlineStr">
        <is>
          <t>GÄLLIVARE</t>
        </is>
      </c>
      <c r="F6413" t="inlineStr">
        <is>
          <t>Sveaskog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38681-2023</t>
        </is>
      </c>
      <c r="B6414" s="1" t="n">
        <v>45162</v>
      </c>
      <c r="C6414" s="1" t="n">
        <v>45798</v>
      </c>
      <c r="D6414" t="inlineStr">
        <is>
          <t>NORRBOTTENS LÄN</t>
        </is>
      </c>
      <c r="E6414" t="inlineStr">
        <is>
          <t>JOKKMOKK</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39017-2023</t>
        </is>
      </c>
      <c r="B6415" s="1" t="n">
        <v>45163</v>
      </c>
      <c r="C6415" s="1" t="n">
        <v>45798</v>
      </c>
      <c r="D6415" t="inlineStr">
        <is>
          <t>NORRBOTTENS LÄN</t>
        </is>
      </c>
      <c r="E6415" t="inlineStr">
        <is>
          <t>BODEN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39057-2023</t>
        </is>
      </c>
      <c r="B6416" s="1" t="n">
        <v>45163</v>
      </c>
      <c r="C6416" s="1" t="n">
        <v>45798</v>
      </c>
      <c r="D6416" t="inlineStr">
        <is>
          <t>NORRBOTTENS LÄN</t>
        </is>
      </c>
      <c r="E6416" t="inlineStr">
        <is>
          <t>GÄLLIVARE</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39061-2023</t>
        </is>
      </c>
      <c r="B6417" s="1" t="n">
        <v>45164</v>
      </c>
      <c r="C6417" s="1" t="n">
        <v>45798</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38865-2023</t>
        </is>
      </c>
      <c r="B6418" s="1" t="n">
        <v>45163</v>
      </c>
      <c r="C6418" s="1" t="n">
        <v>45798</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38860-2023</t>
        </is>
      </c>
      <c r="B6419" s="1" t="n">
        <v>45163</v>
      </c>
      <c r="C6419" s="1" t="n">
        <v>45798</v>
      </c>
      <c r="D6419" t="inlineStr">
        <is>
          <t>NORRBOTTENS LÄN</t>
        </is>
      </c>
      <c r="E6419" t="inlineStr">
        <is>
          <t>PAJALA</t>
        </is>
      </c>
      <c r="F6419" t="inlineStr">
        <is>
          <t>Sveaskog</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39062-2023</t>
        </is>
      </c>
      <c r="B6420" s="1" t="n">
        <v>45164</v>
      </c>
      <c r="C6420" s="1" t="n">
        <v>45798</v>
      </c>
      <c r="D6420" t="inlineStr">
        <is>
          <t>NORRBOTTENS LÄN</t>
        </is>
      </c>
      <c r="E6420" t="inlineStr">
        <is>
          <t>JOKKMOKK</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39440-2023</t>
        </is>
      </c>
      <c r="B6421" s="1" t="n">
        <v>45163</v>
      </c>
      <c r="C6421" s="1" t="n">
        <v>45798</v>
      </c>
      <c r="D6421" t="inlineStr">
        <is>
          <t>NORRBOTTENS LÄN</t>
        </is>
      </c>
      <c r="E6421" t="inlineStr">
        <is>
          <t>BODEN</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38879-2023</t>
        </is>
      </c>
      <c r="B6422" s="1" t="n">
        <v>45163</v>
      </c>
      <c r="C6422" s="1" t="n">
        <v>45798</v>
      </c>
      <c r="D6422" t="inlineStr">
        <is>
          <t>NORRBOTTENS LÄN</t>
        </is>
      </c>
      <c r="E6422" t="inlineStr">
        <is>
          <t>KALIX</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38939-2023</t>
        </is>
      </c>
      <c r="B6423" s="1" t="n">
        <v>45163</v>
      </c>
      <c r="C6423" s="1" t="n">
        <v>45798</v>
      </c>
      <c r="D6423" t="inlineStr">
        <is>
          <t>NORRBOTTENS LÄN</t>
        </is>
      </c>
      <c r="E6423" t="inlineStr">
        <is>
          <t>PAJALA</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39003-2023</t>
        </is>
      </c>
      <c r="B6424" s="1" t="n">
        <v>45163</v>
      </c>
      <c r="C6424" s="1" t="n">
        <v>45798</v>
      </c>
      <c r="D6424" t="inlineStr">
        <is>
          <t>NORRBOTTENS LÄN</t>
        </is>
      </c>
      <c r="E6424" t="inlineStr">
        <is>
          <t>KALIX</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39056-2023</t>
        </is>
      </c>
      <c r="B6425" s="1" t="n">
        <v>45163</v>
      </c>
      <c r="C6425" s="1" t="n">
        <v>45798</v>
      </c>
      <c r="D6425" t="inlineStr">
        <is>
          <t>NORRBOTTENS LÄN</t>
        </is>
      </c>
      <c r="E6425" t="inlineStr">
        <is>
          <t>GÄLLIVARE</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39060-2023</t>
        </is>
      </c>
      <c r="B6426" s="1" t="n">
        <v>45163</v>
      </c>
      <c r="C6426" s="1" t="n">
        <v>45798</v>
      </c>
      <c r="D6426" t="inlineStr">
        <is>
          <t>NORRBOTTENS LÄN</t>
        </is>
      </c>
      <c r="E6426" t="inlineStr">
        <is>
          <t>GÄLLIVARE</t>
        </is>
      </c>
      <c r="F6426" t="inlineStr">
        <is>
          <t>SCA</t>
        </is>
      </c>
      <c r="G6426" t="n">
        <v>11.6</v>
      </c>
      <c r="H6426" t="n">
        <v>0</v>
      </c>
      <c r="I6426" t="n">
        <v>0</v>
      </c>
      <c r="J6426" t="n">
        <v>0</v>
      </c>
      <c r="K6426" t="n">
        <v>0</v>
      </c>
      <c r="L6426" t="n">
        <v>0</v>
      </c>
      <c r="M6426" t="n">
        <v>0</v>
      </c>
      <c r="N6426" t="n">
        <v>0</v>
      </c>
      <c r="O6426" t="n">
        <v>0</v>
      </c>
      <c r="P6426" t="n">
        <v>0</v>
      </c>
      <c r="Q6426" t="n">
        <v>0</v>
      </c>
      <c r="R6426" s="2" t="inlineStr"/>
    </row>
    <row r="6427" ht="15" customHeight="1">
      <c r="A6427" t="inlineStr">
        <is>
          <t>A 38783-2023</t>
        </is>
      </c>
      <c r="B6427" s="1" t="n">
        <v>45163</v>
      </c>
      <c r="C6427" s="1" t="n">
        <v>45798</v>
      </c>
      <c r="D6427" t="inlineStr">
        <is>
          <t>NORRBOTTENS LÄN</t>
        </is>
      </c>
      <c r="E6427" t="inlineStr">
        <is>
          <t>PITEÅ</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39572-2023</t>
        </is>
      </c>
      <c r="B6428" s="1" t="n">
        <v>45163</v>
      </c>
      <c r="C6428" s="1" t="n">
        <v>45798</v>
      </c>
      <c r="D6428" t="inlineStr">
        <is>
          <t>NORRBOTTENS LÄN</t>
        </is>
      </c>
      <c r="E6428" t="inlineStr">
        <is>
          <t>BODEN</t>
        </is>
      </c>
      <c r="G6428" t="n">
        <v>13.1</v>
      </c>
      <c r="H6428" t="n">
        <v>0</v>
      </c>
      <c r="I6428" t="n">
        <v>0</v>
      </c>
      <c r="J6428" t="n">
        <v>0</v>
      </c>
      <c r="K6428" t="n">
        <v>0</v>
      </c>
      <c r="L6428" t="n">
        <v>0</v>
      </c>
      <c r="M6428" t="n">
        <v>0</v>
      </c>
      <c r="N6428" t="n">
        <v>0</v>
      </c>
      <c r="O6428" t="n">
        <v>0</v>
      </c>
      <c r="P6428" t="n">
        <v>0</v>
      </c>
      <c r="Q6428" t="n">
        <v>0</v>
      </c>
      <c r="R6428" s="2" t="inlineStr"/>
    </row>
    <row r="6429" ht="15" customHeight="1">
      <c r="A6429" t="inlineStr">
        <is>
          <t>A 39275-2023</t>
        </is>
      </c>
      <c r="B6429" s="1" t="n">
        <v>45166</v>
      </c>
      <c r="C6429" s="1" t="n">
        <v>45798</v>
      </c>
      <c r="D6429" t="inlineStr">
        <is>
          <t>NORRBOTTENS LÄN</t>
        </is>
      </c>
      <c r="E6429" t="inlineStr">
        <is>
          <t>PAJALA</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39196-2023</t>
        </is>
      </c>
      <c r="B6430" s="1" t="n">
        <v>45166</v>
      </c>
      <c r="C6430" s="1" t="n">
        <v>45798</v>
      </c>
      <c r="D6430" t="inlineStr">
        <is>
          <t>NORRBOTTENS LÄN</t>
        </is>
      </c>
      <c r="E6430" t="inlineStr">
        <is>
          <t>LULEÅ</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39378-2023</t>
        </is>
      </c>
      <c r="B6431" s="1" t="n">
        <v>45166</v>
      </c>
      <c r="C6431" s="1" t="n">
        <v>45798</v>
      </c>
      <c r="D6431" t="inlineStr">
        <is>
          <t>NORRBOTTENS LÄN</t>
        </is>
      </c>
      <c r="E6431" t="inlineStr">
        <is>
          <t>ÄLVSBYN</t>
        </is>
      </c>
      <c r="G6431" t="n">
        <v>10.8</v>
      </c>
      <c r="H6431" t="n">
        <v>0</v>
      </c>
      <c r="I6431" t="n">
        <v>0</v>
      </c>
      <c r="J6431" t="n">
        <v>0</v>
      </c>
      <c r="K6431" t="n">
        <v>0</v>
      </c>
      <c r="L6431" t="n">
        <v>0</v>
      </c>
      <c r="M6431" t="n">
        <v>0</v>
      </c>
      <c r="N6431" t="n">
        <v>0</v>
      </c>
      <c r="O6431" t="n">
        <v>0</v>
      </c>
      <c r="P6431" t="n">
        <v>0</v>
      </c>
      <c r="Q6431" t="n">
        <v>0</v>
      </c>
      <c r="R6431" s="2" t="inlineStr"/>
    </row>
    <row r="6432" ht="15" customHeight="1">
      <c r="A6432" t="inlineStr">
        <is>
          <t>A 39328-2023</t>
        </is>
      </c>
      <c r="B6432" s="1" t="n">
        <v>45166</v>
      </c>
      <c r="C6432" s="1" t="n">
        <v>45798</v>
      </c>
      <c r="D6432" t="inlineStr">
        <is>
          <t>NORRBOTTENS LÄN</t>
        </is>
      </c>
      <c r="E6432" t="inlineStr">
        <is>
          <t>ARVIDSJAUR</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39463-2023</t>
        </is>
      </c>
      <c r="B6433" s="1" t="n">
        <v>45166</v>
      </c>
      <c r="C6433" s="1" t="n">
        <v>45798</v>
      </c>
      <c r="D6433" t="inlineStr">
        <is>
          <t>NORRBOTTENS LÄN</t>
        </is>
      </c>
      <c r="E6433" t="inlineStr">
        <is>
          <t>BODEN</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39504-2023</t>
        </is>
      </c>
      <c r="B6434" s="1" t="n">
        <v>45166</v>
      </c>
      <c r="C6434" s="1" t="n">
        <v>45798</v>
      </c>
      <c r="D6434" t="inlineStr">
        <is>
          <t>NORRBOTTENS LÄN</t>
        </is>
      </c>
      <c r="E6434" t="inlineStr">
        <is>
          <t>JOKKMOKK</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39501-2023</t>
        </is>
      </c>
      <c r="B6435" s="1" t="n">
        <v>45166</v>
      </c>
      <c r="C6435" s="1" t="n">
        <v>45798</v>
      </c>
      <c r="D6435" t="inlineStr">
        <is>
          <t>NORRBOTTENS LÄN</t>
        </is>
      </c>
      <c r="E6435" t="inlineStr">
        <is>
          <t>BODEN</t>
        </is>
      </c>
      <c r="F6435" t="inlineStr">
        <is>
          <t>SCA</t>
        </is>
      </c>
      <c r="G6435" t="n">
        <v>16.7</v>
      </c>
      <c r="H6435" t="n">
        <v>0</v>
      </c>
      <c r="I6435" t="n">
        <v>0</v>
      </c>
      <c r="J6435" t="n">
        <v>0</v>
      </c>
      <c r="K6435" t="n">
        <v>0</v>
      </c>
      <c r="L6435" t="n">
        <v>0</v>
      </c>
      <c r="M6435" t="n">
        <v>0</v>
      </c>
      <c r="N6435" t="n">
        <v>0</v>
      </c>
      <c r="O6435" t="n">
        <v>0</v>
      </c>
      <c r="P6435" t="n">
        <v>0</v>
      </c>
      <c r="Q6435" t="n">
        <v>0</v>
      </c>
      <c r="R6435" s="2" t="inlineStr"/>
    </row>
    <row r="6436" ht="15" customHeight="1">
      <c r="A6436" t="inlineStr">
        <is>
          <t>A 39502-2023</t>
        </is>
      </c>
      <c r="B6436" s="1" t="n">
        <v>45167</v>
      </c>
      <c r="C6436" s="1" t="n">
        <v>45798</v>
      </c>
      <c r="D6436" t="inlineStr">
        <is>
          <t>NORRBOTTENS LÄN</t>
        </is>
      </c>
      <c r="E6436" t="inlineStr">
        <is>
          <t>JOKKMOKK</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39684-2023</t>
        </is>
      </c>
      <c r="B6437" s="1" t="n">
        <v>45166</v>
      </c>
      <c r="C6437" s="1" t="n">
        <v>45798</v>
      </c>
      <c r="D6437" t="inlineStr">
        <is>
          <t>NORRBOTTENS LÄN</t>
        </is>
      </c>
      <c r="E6437" t="inlineStr">
        <is>
          <t>JOKKMOKK</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39505-2023</t>
        </is>
      </c>
      <c r="B6438" s="1" t="n">
        <v>45167</v>
      </c>
      <c r="C6438" s="1" t="n">
        <v>45798</v>
      </c>
      <c r="D6438" t="inlineStr">
        <is>
          <t>NORRBOTTENS LÄN</t>
        </is>
      </c>
      <c r="E6438" t="inlineStr">
        <is>
          <t>JOKKMOKK</t>
        </is>
      </c>
      <c r="F6438" t="inlineStr">
        <is>
          <t>SCA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39503-2023</t>
        </is>
      </c>
      <c r="B6439" s="1" t="n">
        <v>45167</v>
      </c>
      <c r="C6439" s="1" t="n">
        <v>45798</v>
      </c>
      <c r="D6439" t="inlineStr">
        <is>
          <t>NORRBOTTENS LÄN</t>
        </is>
      </c>
      <c r="E6439" t="inlineStr">
        <is>
          <t>JOKKMOKK</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39845-2023</t>
        </is>
      </c>
      <c r="B6440" s="1" t="n">
        <v>45166</v>
      </c>
      <c r="C6440" s="1" t="n">
        <v>45798</v>
      </c>
      <c r="D6440" t="inlineStr">
        <is>
          <t>NORRBOTTENS LÄN</t>
        </is>
      </c>
      <c r="E6440" t="inlineStr">
        <is>
          <t>ARVIDSJAUR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39556-2023</t>
        </is>
      </c>
      <c r="B6441" s="1" t="n">
        <v>45167</v>
      </c>
      <c r="C6441" s="1" t="n">
        <v>45798</v>
      </c>
      <c r="D6441" t="inlineStr">
        <is>
          <t>NORRBOTTENS LÄN</t>
        </is>
      </c>
      <c r="E6441" t="inlineStr">
        <is>
          <t>PITEÅ</t>
        </is>
      </c>
      <c r="F6441" t="inlineStr">
        <is>
          <t>Sveaskog</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39560-2023</t>
        </is>
      </c>
      <c r="B6442" s="1" t="n">
        <v>45167</v>
      </c>
      <c r="C6442" s="1" t="n">
        <v>45798</v>
      </c>
      <c r="D6442" t="inlineStr">
        <is>
          <t>NORRBOTTENS LÄN</t>
        </is>
      </c>
      <c r="E6442" t="inlineStr">
        <is>
          <t>PITEÅ</t>
        </is>
      </c>
      <c r="F6442" t="inlineStr">
        <is>
          <t>Sveaskog</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39579-2023</t>
        </is>
      </c>
      <c r="B6443" s="1" t="n">
        <v>45167</v>
      </c>
      <c r="C6443" s="1" t="n">
        <v>45798</v>
      </c>
      <c r="D6443" t="inlineStr">
        <is>
          <t>NORRBOTTENS LÄN</t>
        </is>
      </c>
      <c r="E6443" t="inlineStr">
        <is>
          <t>PITEÅ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39775-2023</t>
        </is>
      </c>
      <c r="B6444" s="1" t="n">
        <v>45167</v>
      </c>
      <c r="C6444" s="1" t="n">
        <v>45798</v>
      </c>
      <c r="D6444" t="inlineStr">
        <is>
          <t>NORRBOTTENS LÄN</t>
        </is>
      </c>
      <c r="E6444" t="inlineStr">
        <is>
          <t>ÖVERTORNEÅ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39551-2023</t>
        </is>
      </c>
      <c r="B6445" s="1" t="n">
        <v>45167</v>
      </c>
      <c r="C6445" s="1" t="n">
        <v>45798</v>
      </c>
      <c r="D6445" t="inlineStr">
        <is>
          <t>NORRBOTTENS LÄN</t>
        </is>
      </c>
      <c r="E6445" t="inlineStr">
        <is>
          <t>ÄLVSBYN</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39561-2023</t>
        </is>
      </c>
      <c r="B6446" s="1" t="n">
        <v>45167</v>
      </c>
      <c r="C6446" s="1" t="n">
        <v>45798</v>
      </c>
      <c r="D6446" t="inlineStr">
        <is>
          <t>NORRBOTTENS LÄN</t>
        </is>
      </c>
      <c r="E6446" t="inlineStr">
        <is>
          <t>KALIX</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39562-2023</t>
        </is>
      </c>
      <c r="B6447" s="1" t="n">
        <v>45167</v>
      </c>
      <c r="C6447" s="1" t="n">
        <v>45798</v>
      </c>
      <c r="D6447" t="inlineStr">
        <is>
          <t>NORRBOTTENS LÄN</t>
        </is>
      </c>
      <c r="E6447" t="inlineStr">
        <is>
          <t>PITEÅ</t>
        </is>
      </c>
      <c r="F6447" t="inlineStr">
        <is>
          <t>Sveaskog</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39591-2023</t>
        </is>
      </c>
      <c r="B6448" s="1" t="n">
        <v>45167</v>
      </c>
      <c r="C6448" s="1" t="n">
        <v>45798</v>
      </c>
      <c r="D6448" t="inlineStr">
        <is>
          <t>NORRBOTTENS LÄN</t>
        </is>
      </c>
      <c r="E6448" t="inlineStr">
        <is>
          <t>ARVIDSJAUR</t>
        </is>
      </c>
      <c r="F6448" t="inlineStr">
        <is>
          <t>Sveaskog</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39653-2023</t>
        </is>
      </c>
      <c r="B6449" s="1" t="n">
        <v>45167</v>
      </c>
      <c r="C6449" s="1" t="n">
        <v>45798</v>
      </c>
      <c r="D6449" t="inlineStr">
        <is>
          <t>NORRBOTTENS LÄN</t>
        </is>
      </c>
      <c r="E6449" t="inlineStr">
        <is>
          <t>PAJALA</t>
        </is>
      </c>
      <c r="F6449" t="inlineStr">
        <is>
          <t>Sveaskog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39823-2023</t>
        </is>
      </c>
      <c r="B6450" s="1" t="n">
        <v>45168</v>
      </c>
      <c r="C6450" s="1" t="n">
        <v>45798</v>
      </c>
      <c r="D6450" t="inlineStr">
        <is>
          <t>NORRBOTTENS LÄN</t>
        </is>
      </c>
      <c r="E6450" t="inlineStr">
        <is>
          <t>PITEÅ</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39764-2023</t>
        </is>
      </c>
      <c r="B6451" s="1" t="n">
        <v>45167</v>
      </c>
      <c r="C6451" s="1" t="n">
        <v>45798</v>
      </c>
      <c r="D6451" t="inlineStr">
        <is>
          <t>NORRBOTTENS LÄN</t>
        </is>
      </c>
      <c r="E6451" t="inlineStr">
        <is>
          <t>PITEÅ</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39824-2023</t>
        </is>
      </c>
      <c r="B6452" s="1" t="n">
        <v>45168</v>
      </c>
      <c r="C6452" s="1" t="n">
        <v>45798</v>
      </c>
      <c r="D6452" t="inlineStr">
        <is>
          <t>NORRBOTTENS LÄN</t>
        </is>
      </c>
      <c r="E6452" t="inlineStr">
        <is>
          <t>PITEÅ</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39822-2023</t>
        </is>
      </c>
      <c r="B6453" s="1" t="n">
        <v>45168</v>
      </c>
      <c r="C6453" s="1" t="n">
        <v>45798</v>
      </c>
      <c r="D6453" t="inlineStr">
        <is>
          <t>NORRBOTTENS LÄN</t>
        </is>
      </c>
      <c r="E6453" t="inlineStr">
        <is>
          <t>PITEÅ</t>
        </is>
      </c>
      <c r="F6453" t="inlineStr">
        <is>
          <t>SCA</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39966-2023</t>
        </is>
      </c>
      <c r="B6454" s="1" t="n">
        <v>45168</v>
      </c>
      <c r="C6454" s="1" t="n">
        <v>45798</v>
      </c>
      <c r="D6454" t="inlineStr">
        <is>
          <t>NORRBOTTENS LÄN</t>
        </is>
      </c>
      <c r="E6454" t="inlineStr">
        <is>
          <t>BODEN</t>
        </is>
      </c>
      <c r="F6454" t="inlineStr">
        <is>
          <t>Sveaskog</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39970-2023</t>
        </is>
      </c>
      <c r="B6455" s="1" t="n">
        <v>45168</v>
      </c>
      <c r="C6455" s="1" t="n">
        <v>45798</v>
      </c>
      <c r="D6455" t="inlineStr">
        <is>
          <t>NORRBOTTENS LÄN</t>
        </is>
      </c>
      <c r="E6455" t="inlineStr">
        <is>
          <t>BODEN</t>
        </is>
      </c>
      <c r="F6455" t="inlineStr">
        <is>
          <t>Sveaskog</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40010-2023</t>
        </is>
      </c>
      <c r="B6456" s="1" t="n">
        <v>45168</v>
      </c>
      <c r="C6456" s="1" t="n">
        <v>45798</v>
      </c>
      <c r="D6456" t="inlineStr">
        <is>
          <t>NORRBOTTENS LÄN</t>
        </is>
      </c>
      <c r="E6456" t="inlineStr">
        <is>
          <t>BODEN</t>
        </is>
      </c>
      <c r="F6456" t="inlineStr">
        <is>
          <t>Sveaskog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40093-2023</t>
        </is>
      </c>
      <c r="B6457" s="1" t="n">
        <v>45168</v>
      </c>
      <c r="C6457" s="1" t="n">
        <v>45798</v>
      </c>
      <c r="D6457" t="inlineStr">
        <is>
          <t>NORRBOTTENS LÄN</t>
        </is>
      </c>
      <c r="E6457" t="inlineStr">
        <is>
          <t>JOKKMOKK</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39972-2023</t>
        </is>
      </c>
      <c r="B6458" s="1" t="n">
        <v>45168</v>
      </c>
      <c r="C6458" s="1" t="n">
        <v>45798</v>
      </c>
      <c r="D6458" t="inlineStr">
        <is>
          <t>NORRBOTTENS LÄN</t>
        </is>
      </c>
      <c r="E6458" t="inlineStr">
        <is>
          <t>BODEN</t>
        </is>
      </c>
      <c r="F6458" t="inlineStr">
        <is>
          <t>Sveaskog</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40106-2023</t>
        </is>
      </c>
      <c r="B6459" s="1" t="n">
        <v>45169</v>
      </c>
      <c r="C6459" s="1" t="n">
        <v>45798</v>
      </c>
      <c r="D6459" t="inlineStr">
        <is>
          <t>NORRBOTTENS LÄN</t>
        </is>
      </c>
      <c r="E6459" t="inlineStr">
        <is>
          <t>JOKKMOKK</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40252-2023</t>
        </is>
      </c>
      <c r="B6460" s="1" t="n">
        <v>45169</v>
      </c>
      <c r="C6460" s="1" t="n">
        <v>45798</v>
      </c>
      <c r="D6460" t="inlineStr">
        <is>
          <t>NORRBOTTENS LÄN</t>
        </is>
      </c>
      <c r="E6460" t="inlineStr">
        <is>
          <t>PAJALA</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40240-2023</t>
        </is>
      </c>
      <c r="B6461" s="1" t="n">
        <v>45169</v>
      </c>
      <c r="C6461" s="1" t="n">
        <v>45798</v>
      </c>
      <c r="D6461" t="inlineStr">
        <is>
          <t>NORRBOTTENS LÄN</t>
        </is>
      </c>
      <c r="E6461" t="inlineStr">
        <is>
          <t>PAJALA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40411-2023</t>
        </is>
      </c>
      <c r="B6462" s="1" t="n">
        <v>45169</v>
      </c>
      <c r="C6462" s="1" t="n">
        <v>45798</v>
      </c>
      <c r="D6462" t="inlineStr">
        <is>
          <t>NORRBOTTENS LÄN</t>
        </is>
      </c>
      <c r="E6462" t="inlineStr">
        <is>
          <t>PAJALA</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40934-2023</t>
        </is>
      </c>
      <c r="B6463" s="1" t="n">
        <v>45169</v>
      </c>
      <c r="C6463" s="1" t="n">
        <v>45798</v>
      </c>
      <c r="D6463" t="inlineStr">
        <is>
          <t>NORRBOTTENS LÄN</t>
        </is>
      </c>
      <c r="E6463" t="inlineStr">
        <is>
          <t>BODEN</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40392-2023</t>
        </is>
      </c>
      <c r="B6464" s="1" t="n">
        <v>45170</v>
      </c>
      <c r="C6464" s="1" t="n">
        <v>45798</v>
      </c>
      <c r="D6464" t="inlineStr">
        <is>
          <t>NORRBOTTENS LÄN</t>
        </is>
      </c>
      <c r="E6464" t="inlineStr">
        <is>
          <t>PITEÅ</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40412-2023</t>
        </is>
      </c>
      <c r="B6465" s="1" t="n">
        <v>45170</v>
      </c>
      <c r="C6465" s="1" t="n">
        <v>45798</v>
      </c>
      <c r="D6465" t="inlineStr">
        <is>
          <t>NORRBOTTENS LÄN</t>
        </is>
      </c>
      <c r="E6465" t="inlineStr">
        <is>
          <t>PAJALA</t>
        </is>
      </c>
      <c r="F6465" t="inlineStr">
        <is>
          <t>SCA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40329-2023</t>
        </is>
      </c>
      <c r="B6466" s="1" t="n">
        <v>45169</v>
      </c>
      <c r="C6466" s="1" t="n">
        <v>45798</v>
      </c>
      <c r="D6466" t="inlineStr">
        <is>
          <t>NORRBOTTENS LÄN</t>
        </is>
      </c>
      <c r="E6466" t="inlineStr">
        <is>
          <t>ÖVERKALIX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40673-2023</t>
        </is>
      </c>
      <c r="B6467" s="1" t="n">
        <v>45169</v>
      </c>
      <c r="C6467" s="1" t="n">
        <v>45798</v>
      </c>
      <c r="D6467" t="inlineStr">
        <is>
          <t>NORRBOTTENS LÄN</t>
        </is>
      </c>
      <c r="E6467" t="inlineStr">
        <is>
          <t>LULEÅ</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40911-2023</t>
        </is>
      </c>
      <c r="B6468" s="1" t="n">
        <v>45169</v>
      </c>
      <c r="C6468" s="1" t="n">
        <v>45798</v>
      </c>
      <c r="D6468" t="inlineStr">
        <is>
          <t>NORRBOTTENS LÄN</t>
        </is>
      </c>
      <c r="E6468" t="inlineStr">
        <is>
          <t>BODEN</t>
        </is>
      </c>
      <c r="G6468" t="n">
        <v>21.3</v>
      </c>
      <c r="H6468" t="n">
        <v>0</v>
      </c>
      <c r="I6468" t="n">
        <v>0</v>
      </c>
      <c r="J6468" t="n">
        <v>0</v>
      </c>
      <c r="K6468" t="n">
        <v>0</v>
      </c>
      <c r="L6468" t="n">
        <v>0</v>
      </c>
      <c r="M6468" t="n">
        <v>0</v>
      </c>
      <c r="N6468" t="n">
        <v>0</v>
      </c>
      <c r="O6468" t="n">
        <v>0</v>
      </c>
      <c r="P6468" t="n">
        <v>0</v>
      </c>
      <c r="Q6468" t="n">
        <v>0</v>
      </c>
      <c r="R6468" s="2" t="inlineStr"/>
    </row>
    <row r="6469" ht="15" customHeight="1">
      <c r="A6469" t="inlineStr">
        <is>
          <t>A 41011-2023</t>
        </is>
      </c>
      <c r="B6469" s="1" t="n">
        <v>45169</v>
      </c>
      <c r="C6469" s="1" t="n">
        <v>45798</v>
      </c>
      <c r="D6469" t="inlineStr">
        <is>
          <t>NORRBOTTENS LÄN</t>
        </is>
      </c>
      <c r="E6469" t="inlineStr">
        <is>
          <t>JOKKMOKK</t>
        </is>
      </c>
      <c r="F6469" t="inlineStr">
        <is>
          <t>Allmännings- och besparingsskogar</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40460-2023</t>
        </is>
      </c>
      <c r="B6470" s="1" t="n">
        <v>45170</v>
      </c>
      <c r="C6470" s="1" t="n">
        <v>45798</v>
      </c>
      <c r="D6470" t="inlineStr">
        <is>
          <t>NORRBOTTENS LÄN</t>
        </is>
      </c>
      <c r="E6470" t="inlineStr">
        <is>
          <t>PITEÅ</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40496-2023</t>
        </is>
      </c>
      <c r="B6471" s="1" t="n">
        <v>45170</v>
      </c>
      <c r="C6471" s="1" t="n">
        <v>45798</v>
      </c>
      <c r="D6471" t="inlineStr">
        <is>
          <t>NORRBOTTENS LÄN</t>
        </is>
      </c>
      <c r="E6471" t="inlineStr">
        <is>
          <t>LULEÅ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40504-2023</t>
        </is>
      </c>
      <c r="B6472" s="1" t="n">
        <v>45170</v>
      </c>
      <c r="C6472" s="1" t="n">
        <v>45798</v>
      </c>
      <c r="D6472" t="inlineStr">
        <is>
          <t>NORRBOTTENS LÄN</t>
        </is>
      </c>
      <c r="E6472" t="inlineStr">
        <is>
          <t>LULEÅ</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40565-2023</t>
        </is>
      </c>
      <c r="B6473" s="1" t="n">
        <v>45170</v>
      </c>
      <c r="C6473" s="1" t="n">
        <v>45798</v>
      </c>
      <c r="D6473" t="inlineStr">
        <is>
          <t>NORRBOTTENS LÄN</t>
        </is>
      </c>
      <c r="E6473" t="inlineStr">
        <is>
          <t>KALIX</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40498-2023</t>
        </is>
      </c>
      <c r="B6474" s="1" t="n">
        <v>45170</v>
      </c>
      <c r="C6474" s="1" t="n">
        <v>45798</v>
      </c>
      <c r="D6474" t="inlineStr">
        <is>
          <t>NORRBOTTENS LÄN</t>
        </is>
      </c>
      <c r="E6474" t="inlineStr">
        <is>
          <t>GÄLLIVARE</t>
        </is>
      </c>
      <c r="F6474" t="inlineStr">
        <is>
          <t>Sveaskog</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40503-2023</t>
        </is>
      </c>
      <c r="B6475" s="1" t="n">
        <v>45170</v>
      </c>
      <c r="C6475" s="1" t="n">
        <v>45798</v>
      </c>
      <c r="D6475" t="inlineStr">
        <is>
          <t>NORRBOTTENS LÄN</t>
        </is>
      </c>
      <c r="E6475" t="inlineStr">
        <is>
          <t>LULEÅ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40515-2023</t>
        </is>
      </c>
      <c r="B6476" s="1" t="n">
        <v>45170</v>
      </c>
      <c r="C6476" s="1" t="n">
        <v>45798</v>
      </c>
      <c r="D6476" t="inlineStr">
        <is>
          <t>NORRBOTTENS LÄN</t>
        </is>
      </c>
      <c r="E6476" t="inlineStr">
        <is>
          <t>KALIX</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40614-2023</t>
        </is>
      </c>
      <c r="B6477" s="1" t="n">
        <v>45170</v>
      </c>
      <c r="C6477" s="1" t="n">
        <v>45798</v>
      </c>
      <c r="D6477" t="inlineStr">
        <is>
          <t>NORRBOTTENS LÄN</t>
        </is>
      </c>
      <c r="E6477" t="inlineStr">
        <is>
          <t>BODEN</t>
        </is>
      </c>
      <c r="F6477" t="inlineStr">
        <is>
          <t>Sveaskog</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40492-2023</t>
        </is>
      </c>
      <c r="B6478" s="1" t="n">
        <v>45170</v>
      </c>
      <c r="C6478" s="1" t="n">
        <v>45798</v>
      </c>
      <c r="D6478" t="inlineStr">
        <is>
          <t>NORRBOTTENS LÄN</t>
        </is>
      </c>
      <c r="E6478" t="inlineStr">
        <is>
          <t>GÄLLIVARE</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40501-2023</t>
        </is>
      </c>
      <c r="B6479" s="1" t="n">
        <v>45170</v>
      </c>
      <c r="C6479" s="1" t="n">
        <v>45798</v>
      </c>
      <c r="D6479" t="inlineStr">
        <is>
          <t>NORRBOTTENS LÄN</t>
        </is>
      </c>
      <c r="E6479" t="inlineStr">
        <is>
          <t>LULEÅ</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40750-2023</t>
        </is>
      </c>
      <c r="B6480" s="1" t="n">
        <v>45171</v>
      </c>
      <c r="C6480" s="1" t="n">
        <v>45798</v>
      </c>
      <c r="D6480" t="inlineStr">
        <is>
          <t>NORRBOTTENS LÄN</t>
        </is>
      </c>
      <c r="E6480" t="inlineStr">
        <is>
          <t>JOKKMOKK</t>
        </is>
      </c>
      <c r="F6480" t="inlineStr">
        <is>
          <t>Allmännings- och besparingsskogar</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40770-2023</t>
        </is>
      </c>
      <c r="B6481" s="1" t="n">
        <v>45170</v>
      </c>
      <c r="C6481" s="1" t="n">
        <v>45798</v>
      </c>
      <c r="D6481" t="inlineStr">
        <is>
          <t>NORRBOTTENS LÄN</t>
        </is>
      </c>
      <c r="E6481" t="inlineStr">
        <is>
          <t>JOKKMOKK</t>
        </is>
      </c>
      <c r="F6481" t="inlineStr">
        <is>
          <t>SCA</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40771-2023</t>
        </is>
      </c>
      <c r="B6482" s="1" t="n">
        <v>45171</v>
      </c>
      <c r="C6482" s="1" t="n">
        <v>45798</v>
      </c>
      <c r="D6482" t="inlineStr">
        <is>
          <t>NORRBOTTENS LÄN</t>
        </is>
      </c>
      <c r="E6482" t="inlineStr">
        <is>
          <t>JOKKMOKK</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40816-2023</t>
        </is>
      </c>
      <c r="B6483" s="1" t="n">
        <v>45171</v>
      </c>
      <c r="C6483" s="1" t="n">
        <v>45798</v>
      </c>
      <c r="D6483" t="inlineStr">
        <is>
          <t>NORRBOTTENS LÄN</t>
        </is>
      </c>
      <c r="E6483" t="inlineStr">
        <is>
          <t>GÄLLIVARE</t>
        </is>
      </c>
      <c r="F6483" t="inlineStr">
        <is>
          <t>Sveaskog</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40819-2023</t>
        </is>
      </c>
      <c r="B6484" s="1" t="n">
        <v>45171</v>
      </c>
      <c r="C6484" s="1" t="n">
        <v>45798</v>
      </c>
      <c r="D6484" t="inlineStr">
        <is>
          <t>NORRBOTTENS LÄN</t>
        </is>
      </c>
      <c r="E6484" t="inlineStr">
        <is>
          <t>GÄLLIVARE</t>
        </is>
      </c>
      <c r="F6484" t="inlineStr">
        <is>
          <t>Sveaskog</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40818-2023</t>
        </is>
      </c>
      <c r="B6485" s="1" t="n">
        <v>45171</v>
      </c>
      <c r="C6485" s="1" t="n">
        <v>45798</v>
      </c>
      <c r="D6485" t="inlineStr">
        <is>
          <t>NORRBOTTENS LÄN</t>
        </is>
      </c>
      <c r="E6485" t="inlineStr">
        <is>
          <t>GÄLLIVARE</t>
        </is>
      </c>
      <c r="F6485" t="inlineStr">
        <is>
          <t>Sveaskog</t>
        </is>
      </c>
      <c r="G6485" t="n">
        <v>9.1</v>
      </c>
      <c r="H6485" t="n">
        <v>0</v>
      </c>
      <c r="I6485" t="n">
        <v>0</v>
      </c>
      <c r="J6485" t="n">
        <v>0</v>
      </c>
      <c r="K6485" t="n">
        <v>0</v>
      </c>
      <c r="L6485" t="n">
        <v>0</v>
      </c>
      <c r="M6485" t="n">
        <v>0</v>
      </c>
      <c r="N6485" t="n">
        <v>0</v>
      </c>
      <c r="O6485" t="n">
        <v>0</v>
      </c>
      <c r="P6485" t="n">
        <v>0</v>
      </c>
      <c r="Q6485" t="n">
        <v>0</v>
      </c>
      <c r="R6485" s="2" t="inlineStr"/>
    </row>
    <row r="6486" ht="15" customHeight="1">
      <c r="A6486" t="inlineStr">
        <is>
          <t>A 40817-2023</t>
        </is>
      </c>
      <c r="B6486" s="1" t="n">
        <v>45171</v>
      </c>
      <c r="C6486" s="1" t="n">
        <v>45798</v>
      </c>
      <c r="D6486" t="inlineStr">
        <is>
          <t>NORRBOTTENS LÄN</t>
        </is>
      </c>
      <c r="E6486" t="inlineStr">
        <is>
          <t>GÄLLIVARE</t>
        </is>
      </c>
      <c r="F6486" t="inlineStr">
        <is>
          <t>Sveaskog</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40839-2023</t>
        </is>
      </c>
      <c r="B6487" s="1" t="n">
        <v>45172</v>
      </c>
      <c r="C6487" s="1" t="n">
        <v>45798</v>
      </c>
      <c r="D6487" t="inlineStr">
        <is>
          <t>NORRBOTTENS LÄN</t>
        </is>
      </c>
      <c r="E6487" t="inlineStr">
        <is>
          <t>BODEN</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40937-2023</t>
        </is>
      </c>
      <c r="B6488" s="1" t="n">
        <v>45173</v>
      </c>
      <c r="C6488" s="1" t="n">
        <v>45798</v>
      </c>
      <c r="D6488" t="inlineStr">
        <is>
          <t>NORRBOTTENS LÄN</t>
        </is>
      </c>
      <c r="E6488" t="inlineStr">
        <is>
          <t>ARVIDSJAUR</t>
        </is>
      </c>
      <c r="F6488" t="inlineStr">
        <is>
          <t>Övriga Aktiebolag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40974-2023</t>
        </is>
      </c>
      <c r="B6489" s="1" t="n">
        <v>45173</v>
      </c>
      <c r="C6489" s="1" t="n">
        <v>45798</v>
      </c>
      <c r="D6489" t="inlineStr">
        <is>
          <t>NORRBOTTENS LÄN</t>
        </is>
      </c>
      <c r="E6489" t="inlineStr">
        <is>
          <t>GÄLLIVARE</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41061-2023</t>
        </is>
      </c>
      <c r="B6490" s="1" t="n">
        <v>45173</v>
      </c>
      <c r="C6490" s="1" t="n">
        <v>45798</v>
      </c>
      <c r="D6490" t="inlineStr">
        <is>
          <t>NORRBOTTENS LÄN</t>
        </is>
      </c>
      <c r="E6490" t="inlineStr">
        <is>
          <t>JOKKMOKK</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40885-2023</t>
        </is>
      </c>
      <c r="B6491" s="1" t="n">
        <v>45173</v>
      </c>
      <c r="C6491" s="1" t="n">
        <v>45798</v>
      </c>
      <c r="D6491" t="inlineStr">
        <is>
          <t>NORRBOTTENS LÄN</t>
        </is>
      </c>
      <c r="E6491" t="inlineStr">
        <is>
          <t>BODEN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41127-2023</t>
        </is>
      </c>
      <c r="B6492" s="1" t="n">
        <v>45173</v>
      </c>
      <c r="C6492" s="1" t="n">
        <v>45798</v>
      </c>
      <c r="D6492" t="inlineStr">
        <is>
          <t>NORRBOTTENS LÄN</t>
        </is>
      </c>
      <c r="E6492" t="inlineStr">
        <is>
          <t>KIRUNA</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41129-2023</t>
        </is>
      </c>
      <c r="B6493" s="1" t="n">
        <v>45174</v>
      </c>
      <c r="C6493" s="1" t="n">
        <v>45798</v>
      </c>
      <c r="D6493" t="inlineStr">
        <is>
          <t>NORRBOTTENS LÄN</t>
        </is>
      </c>
      <c r="E6493" t="inlineStr">
        <is>
          <t>LULEÅ</t>
        </is>
      </c>
      <c r="G6493" t="n">
        <v>14.1</v>
      </c>
      <c r="H6493" t="n">
        <v>0</v>
      </c>
      <c r="I6493" t="n">
        <v>0</v>
      </c>
      <c r="J6493" t="n">
        <v>0</v>
      </c>
      <c r="K6493" t="n">
        <v>0</v>
      </c>
      <c r="L6493" t="n">
        <v>0</v>
      </c>
      <c r="M6493" t="n">
        <v>0</v>
      </c>
      <c r="N6493" t="n">
        <v>0</v>
      </c>
      <c r="O6493" t="n">
        <v>0</v>
      </c>
      <c r="P6493" t="n">
        <v>0</v>
      </c>
      <c r="Q6493" t="n">
        <v>0</v>
      </c>
      <c r="R6493" s="2" t="inlineStr"/>
    </row>
    <row r="6494" ht="15" customHeight="1">
      <c r="A6494" t="inlineStr">
        <is>
          <t>A 41128-2023</t>
        </is>
      </c>
      <c r="B6494" s="1" t="n">
        <v>45174</v>
      </c>
      <c r="C6494" s="1" t="n">
        <v>45798</v>
      </c>
      <c r="D6494" t="inlineStr">
        <is>
          <t>NORRBOTTENS LÄN</t>
        </is>
      </c>
      <c r="E6494" t="inlineStr">
        <is>
          <t>LULEÅ</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41132-2023</t>
        </is>
      </c>
      <c r="B6495" s="1" t="n">
        <v>45173</v>
      </c>
      <c r="C6495" s="1" t="n">
        <v>45798</v>
      </c>
      <c r="D6495" t="inlineStr">
        <is>
          <t>NORRBOTTENS LÄN</t>
        </is>
      </c>
      <c r="E6495" t="inlineStr">
        <is>
          <t>KALIX</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41134-2023</t>
        </is>
      </c>
      <c r="B6496" s="1" t="n">
        <v>45174</v>
      </c>
      <c r="C6496" s="1" t="n">
        <v>45798</v>
      </c>
      <c r="D6496" t="inlineStr">
        <is>
          <t>NORRBOTTENS LÄN</t>
        </is>
      </c>
      <c r="E6496" t="inlineStr">
        <is>
          <t>HAPARANDA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41131-2023</t>
        </is>
      </c>
      <c r="B6497" s="1" t="n">
        <v>45173</v>
      </c>
      <c r="C6497" s="1" t="n">
        <v>45798</v>
      </c>
      <c r="D6497" t="inlineStr">
        <is>
          <t>NORRBOTTENS LÄN</t>
        </is>
      </c>
      <c r="E6497" t="inlineStr">
        <is>
          <t>KALIX</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41136-2023</t>
        </is>
      </c>
      <c r="B6498" s="1" t="n">
        <v>45173</v>
      </c>
      <c r="C6498" s="1" t="n">
        <v>45798</v>
      </c>
      <c r="D6498" t="inlineStr">
        <is>
          <t>NORRBOTTENS LÄN</t>
        </is>
      </c>
      <c r="E6498" t="inlineStr">
        <is>
          <t>HAPARANDA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41140-2023</t>
        </is>
      </c>
      <c r="B6499" s="1" t="n">
        <v>45173</v>
      </c>
      <c r="C6499" s="1" t="n">
        <v>45798</v>
      </c>
      <c r="D6499" t="inlineStr">
        <is>
          <t>NORRBOTTENS LÄN</t>
        </is>
      </c>
      <c r="E6499" t="inlineStr">
        <is>
          <t>LULEÅ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41547-2023</t>
        </is>
      </c>
      <c r="B6500" s="1" t="n">
        <v>45173</v>
      </c>
      <c r="C6500" s="1" t="n">
        <v>45798</v>
      </c>
      <c r="D6500" t="inlineStr">
        <is>
          <t>NORRBOTTENS LÄN</t>
        </is>
      </c>
      <c r="E6500" t="inlineStr">
        <is>
          <t>GÄLLIVARE</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41130-2023</t>
        </is>
      </c>
      <c r="B6501" s="1" t="n">
        <v>45173</v>
      </c>
      <c r="C6501" s="1" t="n">
        <v>45798</v>
      </c>
      <c r="D6501" t="inlineStr">
        <is>
          <t>NORRBOTTENS LÄN</t>
        </is>
      </c>
      <c r="E6501" t="inlineStr">
        <is>
          <t>KALIX</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41135-2023</t>
        </is>
      </c>
      <c r="B6502" s="1" t="n">
        <v>45173</v>
      </c>
      <c r="C6502" s="1" t="n">
        <v>45798</v>
      </c>
      <c r="D6502" t="inlineStr">
        <is>
          <t>NORRBOTTENS LÄN</t>
        </is>
      </c>
      <c r="E6502" t="inlineStr">
        <is>
          <t>HAPARANDA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41151-2023</t>
        </is>
      </c>
      <c r="B6503" s="1" t="n">
        <v>45174</v>
      </c>
      <c r="C6503" s="1" t="n">
        <v>45798</v>
      </c>
      <c r="D6503" t="inlineStr">
        <is>
          <t>NORRBOTTENS LÄN</t>
        </is>
      </c>
      <c r="E6503" t="inlineStr">
        <is>
          <t>PAJALA</t>
        </is>
      </c>
      <c r="F6503" t="inlineStr">
        <is>
          <t>SCA</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41560-2023</t>
        </is>
      </c>
      <c r="B6504" s="1" t="n">
        <v>45173</v>
      </c>
      <c r="C6504" s="1" t="n">
        <v>45798</v>
      </c>
      <c r="D6504" t="inlineStr">
        <is>
          <t>NORRBOTTENS LÄN</t>
        </is>
      </c>
      <c r="E6504" t="inlineStr">
        <is>
          <t>GÄLLIVARE</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41212-2023</t>
        </is>
      </c>
      <c r="B6505" s="1" t="n">
        <v>45174</v>
      </c>
      <c r="C6505" s="1" t="n">
        <v>45798</v>
      </c>
      <c r="D6505" t="inlineStr">
        <is>
          <t>NORRBOTTENS LÄN</t>
        </is>
      </c>
      <c r="E6505" t="inlineStr">
        <is>
          <t>BODEN</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41464-2023</t>
        </is>
      </c>
      <c r="B6506" s="1" t="n">
        <v>45175</v>
      </c>
      <c r="C6506" s="1" t="n">
        <v>45798</v>
      </c>
      <c r="D6506" t="inlineStr">
        <is>
          <t>NORRBOTTENS LÄN</t>
        </is>
      </c>
      <c r="E6506" t="inlineStr">
        <is>
          <t>PITEÅ</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41662-2023</t>
        </is>
      </c>
      <c r="B6507" s="1" t="n">
        <v>45176</v>
      </c>
      <c r="C6507" s="1" t="n">
        <v>45798</v>
      </c>
      <c r="D6507" t="inlineStr">
        <is>
          <t>NORRBOTTENS LÄN</t>
        </is>
      </c>
      <c r="E6507" t="inlineStr">
        <is>
          <t>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41467-2023</t>
        </is>
      </c>
      <c r="B6508" s="1" t="n">
        <v>45175</v>
      </c>
      <c r="C6508" s="1" t="n">
        <v>45798</v>
      </c>
      <c r="D6508" t="inlineStr">
        <is>
          <t>NORRBOTTENS LÄN</t>
        </is>
      </c>
      <c r="E6508" t="inlineStr">
        <is>
          <t>ÄLVSBYN</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41666-2023</t>
        </is>
      </c>
      <c r="B6509" s="1" t="n">
        <v>45176</v>
      </c>
      <c r="C6509" s="1" t="n">
        <v>45798</v>
      </c>
      <c r="D6509" t="inlineStr">
        <is>
          <t>NORRBOTTENS LÄN</t>
        </is>
      </c>
      <c r="E6509" t="inlineStr">
        <is>
          <t>PITEÅ</t>
        </is>
      </c>
      <c r="F6509" t="inlineStr">
        <is>
          <t>SCA</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41653-2023</t>
        </is>
      </c>
      <c r="B6510" s="1" t="n">
        <v>45176</v>
      </c>
      <c r="C6510" s="1" t="n">
        <v>45798</v>
      </c>
      <c r="D6510" t="inlineStr">
        <is>
          <t>NORRBOTTENS LÄN</t>
        </is>
      </c>
      <c r="E6510" t="inlineStr">
        <is>
          <t>GÄLLIVARE</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41661-2023</t>
        </is>
      </c>
      <c r="B6511" s="1" t="n">
        <v>45176</v>
      </c>
      <c r="C6511" s="1" t="n">
        <v>45798</v>
      </c>
      <c r="D6511" t="inlineStr">
        <is>
          <t>NORRBOTTENS LÄN</t>
        </is>
      </c>
      <c r="E6511" t="inlineStr">
        <is>
          <t>KALIX</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41665-2023</t>
        </is>
      </c>
      <c r="B6512" s="1" t="n">
        <v>45176</v>
      </c>
      <c r="C6512" s="1" t="n">
        <v>45798</v>
      </c>
      <c r="D6512" t="inlineStr">
        <is>
          <t>NORRBOTTENS LÄN</t>
        </is>
      </c>
      <c r="E6512" t="inlineStr">
        <is>
          <t>PITEÅ</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41813-2023</t>
        </is>
      </c>
      <c r="B6513" s="1" t="n">
        <v>45176</v>
      </c>
      <c r="C6513" s="1" t="n">
        <v>45798</v>
      </c>
      <c r="D6513" t="inlineStr">
        <is>
          <t>NORRBOTTENS LÄN</t>
        </is>
      </c>
      <c r="E6513" t="inlineStr">
        <is>
          <t>ÄLVSBYN</t>
        </is>
      </c>
      <c r="F6513" t="inlineStr">
        <is>
          <t>Övriga Aktiebolag</t>
        </is>
      </c>
      <c r="G6513" t="n">
        <v>9.699999999999999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41713-2023</t>
        </is>
      </c>
      <c r="B6514" s="1" t="n">
        <v>45176</v>
      </c>
      <c r="C6514" s="1" t="n">
        <v>45798</v>
      </c>
      <c r="D6514" t="inlineStr">
        <is>
          <t>NORRBOTTENS LÄN</t>
        </is>
      </c>
      <c r="E6514" t="inlineStr">
        <is>
          <t>KALIX</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41760-2023</t>
        </is>
      </c>
      <c r="B6515" s="1" t="n">
        <v>45176</v>
      </c>
      <c r="C6515" s="1" t="n">
        <v>45798</v>
      </c>
      <c r="D6515" t="inlineStr">
        <is>
          <t>NORRBOTTENS LÄN</t>
        </is>
      </c>
      <c r="E6515" t="inlineStr">
        <is>
          <t>PITEÅ</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43048-2023</t>
        </is>
      </c>
      <c r="B6516" s="1" t="n">
        <v>45176</v>
      </c>
      <c r="C6516" s="1" t="n">
        <v>45798</v>
      </c>
      <c r="D6516" t="inlineStr">
        <is>
          <t>NORRBOTTENS LÄN</t>
        </is>
      </c>
      <c r="E6516" t="inlineStr">
        <is>
          <t>LULEÅ</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41937-2023</t>
        </is>
      </c>
      <c r="B6517" s="1" t="n">
        <v>45177</v>
      </c>
      <c r="C6517" s="1" t="n">
        <v>45798</v>
      </c>
      <c r="D6517" t="inlineStr">
        <is>
          <t>NORRBOTTENS LÄN</t>
        </is>
      </c>
      <c r="E6517" t="inlineStr">
        <is>
          <t>BODEN</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41938-2023</t>
        </is>
      </c>
      <c r="B6518" s="1" t="n">
        <v>45176</v>
      </c>
      <c r="C6518" s="1" t="n">
        <v>45798</v>
      </c>
      <c r="D6518" t="inlineStr">
        <is>
          <t>NORRBOTTENS LÄN</t>
        </is>
      </c>
      <c r="E6518" t="inlineStr">
        <is>
          <t>BODEN</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42687-2023</t>
        </is>
      </c>
      <c r="B6519" s="1" t="n">
        <v>45176</v>
      </c>
      <c r="C6519" s="1" t="n">
        <v>45798</v>
      </c>
      <c r="D6519" t="inlineStr">
        <is>
          <t>NORRBOTTENS LÄN</t>
        </is>
      </c>
      <c r="E6519" t="inlineStr">
        <is>
          <t>ARVIDSJAUR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42701-2023</t>
        </is>
      </c>
      <c r="B6520" s="1" t="n">
        <v>45176</v>
      </c>
      <c r="C6520" s="1" t="n">
        <v>45798</v>
      </c>
      <c r="D6520" t="inlineStr">
        <is>
          <t>NORRBOTTENS LÄN</t>
        </is>
      </c>
      <c r="E6520" t="inlineStr">
        <is>
          <t>BODEN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42612-2023</t>
        </is>
      </c>
      <c r="B6521" s="1" t="n">
        <v>45176</v>
      </c>
      <c r="C6521" s="1" t="n">
        <v>45798</v>
      </c>
      <c r="D6521" t="inlineStr">
        <is>
          <t>NORRBOTTENS LÄN</t>
        </is>
      </c>
      <c r="E6521" t="inlineStr">
        <is>
          <t>GÄLLIVARE</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42633-2023</t>
        </is>
      </c>
      <c r="B6522" s="1" t="n">
        <v>45176</v>
      </c>
      <c r="C6522" s="1" t="n">
        <v>45798</v>
      </c>
      <c r="D6522" t="inlineStr">
        <is>
          <t>NORRBOTTENS LÄN</t>
        </is>
      </c>
      <c r="E6522" t="inlineStr">
        <is>
          <t>ARVIDSJAUR</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42683-2023</t>
        </is>
      </c>
      <c r="B6523" s="1" t="n">
        <v>45176</v>
      </c>
      <c r="C6523" s="1" t="n">
        <v>45798</v>
      </c>
      <c r="D6523" t="inlineStr">
        <is>
          <t>NORRBOTTENS LÄN</t>
        </is>
      </c>
      <c r="E6523" t="inlineStr">
        <is>
          <t>ARVIDSJAUR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42604-2023</t>
        </is>
      </c>
      <c r="B6524" s="1" t="n">
        <v>45176</v>
      </c>
      <c r="C6524" s="1" t="n">
        <v>45798</v>
      </c>
      <c r="D6524" t="inlineStr">
        <is>
          <t>NORRBOTTENS LÄN</t>
        </is>
      </c>
      <c r="E6524" t="inlineStr">
        <is>
          <t>PAJALA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42695-2023</t>
        </is>
      </c>
      <c r="B6525" s="1" t="n">
        <v>45176</v>
      </c>
      <c r="C6525" s="1" t="n">
        <v>45798</v>
      </c>
      <c r="D6525" t="inlineStr">
        <is>
          <t>NORRBOTTENS LÄN</t>
        </is>
      </c>
      <c r="E6525" t="inlineStr">
        <is>
          <t>ARVIDSJAUR</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42041-2023</t>
        </is>
      </c>
      <c r="B6526" s="1" t="n">
        <v>45177</v>
      </c>
      <c r="C6526" s="1" t="n">
        <v>45798</v>
      </c>
      <c r="D6526" t="inlineStr">
        <is>
          <t>NORRBOTTENS LÄN</t>
        </is>
      </c>
      <c r="E6526" t="inlineStr">
        <is>
          <t>KALIX</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42001-2023</t>
        </is>
      </c>
      <c r="B6527" s="1" t="n">
        <v>45177</v>
      </c>
      <c r="C6527" s="1" t="n">
        <v>45798</v>
      </c>
      <c r="D6527" t="inlineStr">
        <is>
          <t>NORRBOTTENS LÄN</t>
        </is>
      </c>
      <c r="E6527" t="inlineStr">
        <is>
          <t>KALIX</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42142-2023</t>
        </is>
      </c>
      <c r="B6528" s="1" t="n">
        <v>45177</v>
      </c>
      <c r="C6528" s="1" t="n">
        <v>45798</v>
      </c>
      <c r="D6528" t="inlineStr">
        <is>
          <t>NORRBOTTENS LÄN</t>
        </is>
      </c>
      <c r="E6528" t="inlineStr">
        <is>
          <t>PITEÅ</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42158-2023</t>
        </is>
      </c>
      <c r="B6529" s="1" t="n">
        <v>45178</v>
      </c>
      <c r="C6529" s="1" t="n">
        <v>45798</v>
      </c>
      <c r="D6529" t="inlineStr">
        <is>
          <t>NORRBOTTENS LÄN</t>
        </is>
      </c>
      <c r="E6529" t="inlineStr">
        <is>
          <t>GÄLLIVARE</t>
        </is>
      </c>
      <c r="F6529" t="inlineStr">
        <is>
          <t>SCA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41982-2023</t>
        </is>
      </c>
      <c r="B6530" s="1" t="n">
        <v>45177</v>
      </c>
      <c r="C6530" s="1" t="n">
        <v>45798</v>
      </c>
      <c r="D6530" t="inlineStr">
        <is>
          <t>NORRBOTTENS LÄN</t>
        </is>
      </c>
      <c r="E6530" t="inlineStr">
        <is>
          <t>PITEÅ</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42152-2023</t>
        </is>
      </c>
      <c r="B6531" s="1" t="n">
        <v>45177</v>
      </c>
      <c r="C6531" s="1" t="n">
        <v>45798</v>
      </c>
      <c r="D6531" t="inlineStr">
        <is>
          <t>NORRBOTTENS LÄN</t>
        </is>
      </c>
      <c r="E6531" t="inlineStr">
        <is>
          <t>BODEN</t>
        </is>
      </c>
      <c r="F6531" t="inlineStr">
        <is>
          <t>SCA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42835-2023</t>
        </is>
      </c>
      <c r="B6532" s="1" t="n">
        <v>45177</v>
      </c>
      <c r="C6532" s="1" t="n">
        <v>45798</v>
      </c>
      <c r="D6532" t="inlineStr">
        <is>
          <t>NORRBOTTENS LÄN</t>
        </is>
      </c>
      <c r="E6532" t="inlineStr">
        <is>
          <t>PAJALA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42849-2023</t>
        </is>
      </c>
      <c r="B6533" s="1" t="n">
        <v>45177</v>
      </c>
      <c r="C6533" s="1" t="n">
        <v>45798</v>
      </c>
      <c r="D6533" t="inlineStr">
        <is>
          <t>NORRBOTTENS LÄN</t>
        </is>
      </c>
      <c r="E6533" t="inlineStr">
        <is>
          <t>PAJALA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42112-2023</t>
        </is>
      </c>
      <c r="B6534" s="1" t="n">
        <v>45177</v>
      </c>
      <c r="C6534" s="1" t="n">
        <v>45798</v>
      </c>
      <c r="D6534" t="inlineStr">
        <is>
          <t>NORRBOTTENS LÄN</t>
        </is>
      </c>
      <c r="E6534" t="inlineStr">
        <is>
          <t>PITEÅ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42157-2023</t>
        </is>
      </c>
      <c r="B6535" s="1" t="n">
        <v>45178</v>
      </c>
      <c r="C6535" s="1" t="n">
        <v>45798</v>
      </c>
      <c r="D6535" t="inlineStr">
        <is>
          <t>NORRBOTTENS LÄN</t>
        </is>
      </c>
      <c r="E6535" t="inlineStr">
        <is>
          <t>GÄLLIVARE</t>
        </is>
      </c>
      <c r="F6535" t="inlineStr">
        <is>
          <t>SCA</t>
        </is>
      </c>
      <c r="G6535" t="n">
        <v>7.9</v>
      </c>
      <c r="H6535" t="n">
        <v>0</v>
      </c>
      <c r="I6535" t="n">
        <v>0</v>
      </c>
      <c r="J6535" t="n">
        <v>0</v>
      </c>
      <c r="K6535" t="n">
        <v>0</v>
      </c>
      <c r="L6535" t="n">
        <v>0</v>
      </c>
      <c r="M6535" t="n">
        <v>0</v>
      </c>
      <c r="N6535" t="n">
        <v>0</v>
      </c>
      <c r="O6535" t="n">
        <v>0</v>
      </c>
      <c r="P6535" t="n">
        <v>0</v>
      </c>
      <c r="Q6535" t="n">
        <v>0</v>
      </c>
      <c r="R6535" s="2" t="inlineStr"/>
    </row>
    <row r="6536" ht="15" customHeight="1">
      <c r="A6536" t="inlineStr">
        <is>
          <t>A 42845-2023</t>
        </is>
      </c>
      <c r="B6536" s="1" t="n">
        <v>45177</v>
      </c>
      <c r="C6536" s="1" t="n">
        <v>45798</v>
      </c>
      <c r="D6536" t="inlineStr">
        <is>
          <t>NORRBOTTENS LÄN</t>
        </is>
      </c>
      <c r="E6536" t="inlineStr">
        <is>
          <t>PAJALA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42946-2023</t>
        </is>
      </c>
      <c r="B6537" s="1" t="n">
        <v>45177</v>
      </c>
      <c r="C6537" s="1" t="n">
        <v>45798</v>
      </c>
      <c r="D6537" t="inlineStr">
        <is>
          <t>NORRBOTTENS LÄN</t>
        </is>
      </c>
      <c r="E6537" t="inlineStr">
        <is>
          <t>LULEÅ</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42249-2023</t>
        </is>
      </c>
      <c r="B6538" s="1" t="n">
        <v>45180</v>
      </c>
      <c r="C6538" s="1" t="n">
        <v>45798</v>
      </c>
      <c r="D6538" t="inlineStr">
        <is>
          <t>NORRBOTTENS LÄN</t>
        </is>
      </c>
      <c r="E6538" t="inlineStr">
        <is>
          <t>PAJALA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42450-2023</t>
        </is>
      </c>
      <c r="B6539" s="1" t="n">
        <v>45180</v>
      </c>
      <c r="C6539" s="1" t="n">
        <v>45798</v>
      </c>
      <c r="D6539" t="inlineStr">
        <is>
          <t>NORRBOTTENS LÄN</t>
        </is>
      </c>
      <c r="E6539" t="inlineStr">
        <is>
          <t>PITEÅ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42470-2023</t>
        </is>
      </c>
      <c r="B6540" s="1" t="n">
        <v>45180</v>
      </c>
      <c r="C6540" s="1" t="n">
        <v>45798</v>
      </c>
      <c r="D6540" t="inlineStr">
        <is>
          <t>NORRBOTTENS LÄN</t>
        </is>
      </c>
      <c r="E6540" t="inlineStr">
        <is>
          <t>PAJALA</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42479-2023</t>
        </is>
      </c>
      <c r="B6541" s="1" t="n">
        <v>45180</v>
      </c>
      <c r="C6541" s="1" t="n">
        <v>45798</v>
      </c>
      <c r="D6541" t="inlineStr">
        <is>
          <t>NORRBOTTENS LÄN</t>
        </is>
      </c>
      <c r="E6541" t="inlineStr">
        <is>
          <t>PAJALA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42499-2023</t>
        </is>
      </c>
      <c r="B6542" s="1" t="n">
        <v>45181</v>
      </c>
      <c r="C6542" s="1" t="n">
        <v>45798</v>
      </c>
      <c r="D6542" t="inlineStr">
        <is>
          <t>NORRBOTTENS LÄN</t>
        </is>
      </c>
      <c r="E6542" t="inlineStr">
        <is>
          <t>PAJALA</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42497-2023</t>
        </is>
      </c>
      <c r="B6543" s="1" t="n">
        <v>45181</v>
      </c>
      <c r="C6543" s="1" t="n">
        <v>45798</v>
      </c>
      <c r="D6543" t="inlineStr">
        <is>
          <t>NORRBOTTENS LÄN</t>
        </is>
      </c>
      <c r="E6543" t="inlineStr">
        <is>
          <t>KALIX</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42519-2023</t>
        </is>
      </c>
      <c r="B6544" s="1" t="n">
        <v>45181</v>
      </c>
      <c r="C6544" s="1" t="n">
        <v>45798</v>
      </c>
      <c r="D6544" t="inlineStr">
        <is>
          <t>NORRBOTTENS LÄN</t>
        </is>
      </c>
      <c r="E6544" t="inlineStr">
        <is>
          <t>PITEÅ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43003-2023</t>
        </is>
      </c>
      <c r="B6545" s="1" t="n">
        <v>45180</v>
      </c>
      <c r="C6545" s="1" t="n">
        <v>45798</v>
      </c>
      <c r="D6545" t="inlineStr">
        <is>
          <t>NORRBOTTENS LÄN</t>
        </is>
      </c>
      <c r="E6545" t="inlineStr">
        <is>
          <t>HAPARANDA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42505-2023</t>
        </is>
      </c>
      <c r="B6546" s="1" t="n">
        <v>45180</v>
      </c>
      <c r="C6546" s="1" t="n">
        <v>45798</v>
      </c>
      <c r="D6546" t="inlineStr">
        <is>
          <t>NORRBOTTENS LÄN</t>
        </is>
      </c>
      <c r="E6546" t="inlineStr">
        <is>
          <t>BODEN</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43173-2023</t>
        </is>
      </c>
      <c r="B6547" s="1" t="n">
        <v>45180</v>
      </c>
      <c r="C6547" s="1" t="n">
        <v>45798</v>
      </c>
      <c r="D6547" t="inlineStr">
        <is>
          <t>NORRBOTTENS LÄN</t>
        </is>
      </c>
      <c r="E6547" t="inlineStr">
        <is>
          <t>ÖVERKALIX</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42496-2023</t>
        </is>
      </c>
      <c r="B6548" s="1" t="n">
        <v>45180</v>
      </c>
      <c r="C6548" s="1" t="n">
        <v>45798</v>
      </c>
      <c r="D6548" t="inlineStr">
        <is>
          <t>NORRBOTTENS LÄN</t>
        </is>
      </c>
      <c r="E6548" t="inlineStr">
        <is>
          <t>KIRUNA</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42520-2023</t>
        </is>
      </c>
      <c r="B6549" s="1" t="n">
        <v>45181</v>
      </c>
      <c r="C6549" s="1" t="n">
        <v>45798</v>
      </c>
      <c r="D6549" t="inlineStr">
        <is>
          <t>NORRBOTTENS LÄN</t>
        </is>
      </c>
      <c r="E6549" t="inlineStr">
        <is>
          <t>PITEÅ</t>
        </is>
      </c>
      <c r="F6549" t="inlineStr">
        <is>
          <t>Naturvårdsverket</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43493-2023</t>
        </is>
      </c>
      <c r="B6550" s="1" t="n">
        <v>45181</v>
      </c>
      <c r="C6550" s="1" t="n">
        <v>45798</v>
      </c>
      <c r="D6550" t="inlineStr">
        <is>
          <t>NORRBOTTENS LÄN</t>
        </is>
      </c>
      <c r="E6550" t="inlineStr">
        <is>
          <t>PITEÅ</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42546-2023</t>
        </is>
      </c>
      <c r="B6551" s="1" t="n">
        <v>45181</v>
      </c>
      <c r="C6551" s="1" t="n">
        <v>45798</v>
      </c>
      <c r="D6551" t="inlineStr">
        <is>
          <t>NORRBOTTENS LÄN</t>
        </is>
      </c>
      <c r="E6551" t="inlineStr">
        <is>
          <t>GÄLLIVARE</t>
        </is>
      </c>
      <c r="F6551" t="inlineStr">
        <is>
          <t>Sveaskog</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42542-2023</t>
        </is>
      </c>
      <c r="B6552" s="1" t="n">
        <v>45181</v>
      </c>
      <c r="C6552" s="1" t="n">
        <v>45798</v>
      </c>
      <c r="D6552" t="inlineStr">
        <is>
          <t>NORRBOTTENS LÄN</t>
        </is>
      </c>
      <c r="E6552" t="inlineStr">
        <is>
          <t>ÄLVSBYN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42553-2023</t>
        </is>
      </c>
      <c r="B6553" s="1" t="n">
        <v>45181</v>
      </c>
      <c r="C6553" s="1" t="n">
        <v>45798</v>
      </c>
      <c r="D6553" t="inlineStr">
        <is>
          <t>NORRBOTTENS LÄN</t>
        </is>
      </c>
      <c r="E6553" t="inlineStr">
        <is>
          <t>ÄLVSBYN</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42562-2023</t>
        </is>
      </c>
      <c r="B6554" s="1" t="n">
        <v>45181</v>
      </c>
      <c r="C6554" s="1" t="n">
        <v>45798</v>
      </c>
      <c r="D6554" t="inlineStr">
        <is>
          <t>NORRBOTTENS LÄN</t>
        </is>
      </c>
      <c r="E6554" t="inlineStr">
        <is>
          <t>GÄLLIVARE</t>
        </is>
      </c>
      <c r="F6554" t="inlineStr">
        <is>
          <t>Sveaskog</t>
        </is>
      </c>
      <c r="G6554" t="n">
        <v>32.4</v>
      </c>
      <c r="H6554" t="n">
        <v>0</v>
      </c>
      <c r="I6554" t="n">
        <v>0</v>
      </c>
      <c r="J6554" t="n">
        <v>0</v>
      </c>
      <c r="K6554" t="n">
        <v>0</v>
      </c>
      <c r="L6554" t="n">
        <v>0</v>
      </c>
      <c r="M6554" t="n">
        <v>0</v>
      </c>
      <c r="N6554" t="n">
        <v>0</v>
      </c>
      <c r="O6554" t="n">
        <v>0</v>
      </c>
      <c r="P6554" t="n">
        <v>0</v>
      </c>
      <c r="Q6554" t="n">
        <v>0</v>
      </c>
      <c r="R6554" s="2" t="inlineStr"/>
    </row>
    <row r="6555" ht="15" customHeight="1">
      <c r="A6555" t="inlineStr">
        <is>
          <t>A 42571-2023</t>
        </is>
      </c>
      <c r="B6555" s="1" t="n">
        <v>45181</v>
      </c>
      <c r="C6555" s="1" t="n">
        <v>45798</v>
      </c>
      <c r="D6555" t="inlineStr">
        <is>
          <t>NORRBOTTENS LÄN</t>
        </is>
      </c>
      <c r="E6555" t="inlineStr">
        <is>
          <t>LULEÅ</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42591-2023</t>
        </is>
      </c>
      <c r="B6556" s="1" t="n">
        <v>45181</v>
      </c>
      <c r="C6556" s="1" t="n">
        <v>45798</v>
      </c>
      <c r="D6556" t="inlineStr">
        <is>
          <t>NORRBOTTENS LÄN</t>
        </is>
      </c>
      <c r="E6556" t="inlineStr">
        <is>
          <t>HAPARANDA</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42602-2023</t>
        </is>
      </c>
      <c r="B6557" s="1" t="n">
        <v>45181</v>
      </c>
      <c r="C6557" s="1" t="n">
        <v>45798</v>
      </c>
      <c r="D6557" t="inlineStr">
        <is>
          <t>NORRBOTTENS LÄN</t>
        </is>
      </c>
      <c r="E6557" t="inlineStr">
        <is>
          <t>HAPARANDA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42662-2023</t>
        </is>
      </c>
      <c r="B6558" s="1" t="n">
        <v>45181</v>
      </c>
      <c r="C6558" s="1" t="n">
        <v>45798</v>
      </c>
      <c r="D6558" t="inlineStr">
        <is>
          <t>NORRBOTTENS LÄN</t>
        </is>
      </c>
      <c r="E6558" t="inlineStr">
        <is>
          <t>HAPARANDA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42666-2023</t>
        </is>
      </c>
      <c r="B6559" s="1" t="n">
        <v>45181</v>
      </c>
      <c r="C6559" s="1" t="n">
        <v>45798</v>
      </c>
      <c r="D6559" t="inlineStr">
        <is>
          <t>NORRBOTTENS LÄN</t>
        </is>
      </c>
      <c r="E6559" t="inlineStr">
        <is>
          <t>HAPARANDA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42554-2023</t>
        </is>
      </c>
      <c r="B6560" s="1" t="n">
        <v>45181</v>
      </c>
      <c r="C6560" s="1" t="n">
        <v>45798</v>
      </c>
      <c r="D6560" t="inlineStr">
        <is>
          <t>NORRBOTTENS LÄN</t>
        </is>
      </c>
      <c r="E6560" t="inlineStr">
        <is>
          <t>HAPARANDA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42568-2023</t>
        </is>
      </c>
      <c r="B6561" s="1" t="n">
        <v>45181</v>
      </c>
      <c r="C6561" s="1" t="n">
        <v>45798</v>
      </c>
      <c r="D6561" t="inlineStr">
        <is>
          <t>NORRBOTTENS LÄN</t>
        </is>
      </c>
      <c r="E6561" t="inlineStr">
        <is>
          <t>GÄLLIVARE</t>
        </is>
      </c>
      <c r="F6561" t="inlineStr">
        <is>
          <t>Sveaskog</t>
        </is>
      </c>
      <c r="G6561" t="n">
        <v>24.6</v>
      </c>
      <c r="H6561" t="n">
        <v>0</v>
      </c>
      <c r="I6561" t="n">
        <v>0</v>
      </c>
      <c r="J6561" t="n">
        <v>0</v>
      </c>
      <c r="K6561" t="n">
        <v>0</v>
      </c>
      <c r="L6561" t="n">
        <v>0</v>
      </c>
      <c r="M6561" t="n">
        <v>0</v>
      </c>
      <c r="N6561" t="n">
        <v>0</v>
      </c>
      <c r="O6561" t="n">
        <v>0</v>
      </c>
      <c r="P6561" t="n">
        <v>0</v>
      </c>
      <c r="Q6561" t="n">
        <v>0</v>
      </c>
      <c r="R6561" s="2" t="inlineStr"/>
    </row>
    <row r="6562" ht="15" customHeight="1">
      <c r="A6562" t="inlineStr">
        <is>
          <t>A 42541-2023</t>
        </is>
      </c>
      <c r="B6562" s="1" t="n">
        <v>45181</v>
      </c>
      <c r="C6562" s="1" t="n">
        <v>45798</v>
      </c>
      <c r="D6562" t="inlineStr">
        <is>
          <t>NORRBOTTENS LÄN</t>
        </is>
      </c>
      <c r="E6562" t="inlineStr">
        <is>
          <t>HAPARANDA</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42547-2023</t>
        </is>
      </c>
      <c r="B6563" s="1" t="n">
        <v>45181</v>
      </c>
      <c r="C6563" s="1" t="n">
        <v>45798</v>
      </c>
      <c r="D6563" t="inlineStr">
        <is>
          <t>NORRBOTTENS LÄN</t>
        </is>
      </c>
      <c r="E6563" t="inlineStr">
        <is>
          <t>HAPARANDA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42721-2023</t>
        </is>
      </c>
      <c r="B6564" s="1" t="n">
        <v>45181</v>
      </c>
      <c r="C6564" s="1" t="n">
        <v>45798</v>
      </c>
      <c r="D6564" t="inlineStr">
        <is>
          <t>NORRBOTTENS LÄN</t>
        </is>
      </c>
      <c r="E6564" t="inlineStr">
        <is>
          <t>ÖVERKALIX</t>
        </is>
      </c>
      <c r="G6564" t="n">
        <v>13.1</v>
      </c>
      <c r="H6564" t="n">
        <v>0</v>
      </c>
      <c r="I6564" t="n">
        <v>0</v>
      </c>
      <c r="J6564" t="n">
        <v>0</v>
      </c>
      <c r="K6564" t="n">
        <v>0</v>
      </c>
      <c r="L6564" t="n">
        <v>0</v>
      </c>
      <c r="M6564" t="n">
        <v>0</v>
      </c>
      <c r="N6564" t="n">
        <v>0</v>
      </c>
      <c r="O6564" t="n">
        <v>0</v>
      </c>
      <c r="P6564" t="n">
        <v>0</v>
      </c>
      <c r="Q6564" t="n">
        <v>0</v>
      </c>
      <c r="R6564" s="2" t="inlineStr"/>
    </row>
    <row r="6565" ht="15" customHeight="1">
      <c r="A6565" t="inlineStr">
        <is>
          <t>A 42598-2023</t>
        </is>
      </c>
      <c r="B6565" s="1" t="n">
        <v>45181</v>
      </c>
      <c r="C6565" s="1" t="n">
        <v>45798</v>
      </c>
      <c r="D6565" t="inlineStr">
        <is>
          <t>NORRBOTTENS LÄN</t>
        </is>
      </c>
      <c r="E6565" t="inlineStr">
        <is>
          <t>HAPARANDA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42663-2023</t>
        </is>
      </c>
      <c r="B6566" s="1" t="n">
        <v>45181</v>
      </c>
      <c r="C6566" s="1" t="n">
        <v>45798</v>
      </c>
      <c r="D6566" t="inlineStr">
        <is>
          <t>NORRBOTTENS LÄN</t>
        </is>
      </c>
      <c r="E6566" t="inlineStr">
        <is>
          <t>PITEÅ</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42788-2023</t>
        </is>
      </c>
      <c r="B6567" s="1" t="n">
        <v>45181</v>
      </c>
      <c r="C6567" s="1" t="n">
        <v>45798</v>
      </c>
      <c r="D6567" t="inlineStr">
        <is>
          <t>NORRBOTTENS LÄN</t>
        </is>
      </c>
      <c r="E6567" t="inlineStr">
        <is>
          <t>KIRUNA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42575-2023</t>
        </is>
      </c>
      <c r="B6568" s="1" t="n">
        <v>45181</v>
      </c>
      <c r="C6568" s="1" t="n">
        <v>45798</v>
      </c>
      <c r="D6568" t="inlineStr">
        <is>
          <t>NORRBOTTENS LÄN</t>
        </is>
      </c>
      <c r="E6568" t="inlineStr">
        <is>
          <t>LULEÅ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42773-2023</t>
        </is>
      </c>
      <c r="B6569" s="1" t="n">
        <v>45181</v>
      </c>
      <c r="C6569" s="1" t="n">
        <v>45798</v>
      </c>
      <c r="D6569" t="inlineStr">
        <is>
          <t>NORRBOTTENS LÄN</t>
        </is>
      </c>
      <c r="E6569" t="inlineStr">
        <is>
          <t>PAJALA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42785-2023</t>
        </is>
      </c>
      <c r="B6570" s="1" t="n">
        <v>45181</v>
      </c>
      <c r="C6570" s="1" t="n">
        <v>45798</v>
      </c>
      <c r="D6570" t="inlineStr">
        <is>
          <t>NORRBOTTENS LÄN</t>
        </is>
      </c>
      <c r="E6570" t="inlineStr">
        <is>
          <t>KIRUNA</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42794-2023</t>
        </is>
      </c>
      <c r="B6571" s="1" t="n">
        <v>45182</v>
      </c>
      <c r="C6571" s="1" t="n">
        <v>45798</v>
      </c>
      <c r="D6571" t="inlineStr">
        <is>
          <t>NORRBOTTENS LÄN</t>
        </is>
      </c>
      <c r="E6571" t="inlineStr">
        <is>
          <t>BODEN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42798-2023</t>
        </is>
      </c>
      <c r="B6572" s="1" t="n">
        <v>45182</v>
      </c>
      <c r="C6572" s="1" t="n">
        <v>45798</v>
      </c>
      <c r="D6572" t="inlineStr">
        <is>
          <t>NORRBOTTENS LÄN</t>
        </is>
      </c>
      <c r="E6572" t="inlineStr">
        <is>
          <t>ARVIDSJAUR</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43099-2023</t>
        </is>
      </c>
      <c r="B6573" s="1" t="n">
        <v>45182</v>
      </c>
      <c r="C6573" s="1" t="n">
        <v>45798</v>
      </c>
      <c r="D6573" t="inlineStr">
        <is>
          <t>NORRBOTTENS LÄN</t>
        </is>
      </c>
      <c r="E6573" t="inlineStr">
        <is>
          <t>ÖVERKALIX</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43110-2023</t>
        </is>
      </c>
      <c r="B6574" s="1" t="n">
        <v>45183</v>
      </c>
      <c r="C6574" s="1" t="n">
        <v>45798</v>
      </c>
      <c r="D6574" t="inlineStr">
        <is>
          <t>NORRBOTTENS LÄN</t>
        </is>
      </c>
      <c r="E6574" t="inlineStr">
        <is>
          <t>ÖVERKALIX</t>
        </is>
      </c>
      <c r="F6574" t="inlineStr">
        <is>
          <t>SCA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43114-2023</t>
        </is>
      </c>
      <c r="B6575" s="1" t="n">
        <v>45182</v>
      </c>
      <c r="C6575" s="1" t="n">
        <v>45798</v>
      </c>
      <c r="D6575" t="inlineStr">
        <is>
          <t>NORRBOTTENS LÄN</t>
        </is>
      </c>
      <c r="E6575" t="inlineStr">
        <is>
          <t>ÄLVSBYN</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43118-2023</t>
        </is>
      </c>
      <c r="B6576" s="1" t="n">
        <v>45183</v>
      </c>
      <c r="C6576" s="1" t="n">
        <v>45798</v>
      </c>
      <c r="D6576" t="inlineStr">
        <is>
          <t>NORRBOTTENS LÄN</t>
        </is>
      </c>
      <c r="E6576" t="inlineStr">
        <is>
          <t>ÄLVSBYN</t>
        </is>
      </c>
      <c r="F6576" t="inlineStr">
        <is>
          <t>SCA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43111-2023</t>
        </is>
      </c>
      <c r="B6577" s="1" t="n">
        <v>45183</v>
      </c>
      <c r="C6577" s="1" t="n">
        <v>45798</v>
      </c>
      <c r="D6577" t="inlineStr">
        <is>
          <t>NORRBOTTENS LÄN</t>
        </is>
      </c>
      <c r="E6577" t="inlineStr">
        <is>
          <t>ÖVERKALIX</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43115-2023</t>
        </is>
      </c>
      <c r="B6578" s="1" t="n">
        <v>45182</v>
      </c>
      <c r="C6578" s="1" t="n">
        <v>45798</v>
      </c>
      <c r="D6578" t="inlineStr">
        <is>
          <t>NORRBOTTENS LÄN</t>
        </is>
      </c>
      <c r="E6578" t="inlineStr">
        <is>
          <t>ÄLVSBYN</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43119-2023</t>
        </is>
      </c>
      <c r="B6579" s="1" t="n">
        <v>45183</v>
      </c>
      <c r="C6579" s="1" t="n">
        <v>45798</v>
      </c>
      <c r="D6579" t="inlineStr">
        <is>
          <t>NORRBOTTENS LÄN</t>
        </is>
      </c>
      <c r="E6579" t="inlineStr">
        <is>
          <t>BODEN</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42839-2023</t>
        </is>
      </c>
      <c r="B6580" s="1" t="n">
        <v>45182</v>
      </c>
      <c r="C6580" s="1" t="n">
        <v>45798</v>
      </c>
      <c r="D6580" t="inlineStr">
        <is>
          <t>NORRBOTTENS LÄN</t>
        </is>
      </c>
      <c r="E6580" t="inlineStr">
        <is>
          <t>PAJALA</t>
        </is>
      </c>
      <c r="G6580" t="n">
        <v>14.7</v>
      </c>
      <c r="H6580" t="n">
        <v>0</v>
      </c>
      <c r="I6580" t="n">
        <v>0</v>
      </c>
      <c r="J6580" t="n">
        <v>0</v>
      </c>
      <c r="K6580" t="n">
        <v>0</v>
      </c>
      <c r="L6580" t="n">
        <v>0</v>
      </c>
      <c r="M6580" t="n">
        <v>0</v>
      </c>
      <c r="N6580" t="n">
        <v>0</v>
      </c>
      <c r="O6580" t="n">
        <v>0</v>
      </c>
      <c r="P6580" t="n">
        <v>0</v>
      </c>
      <c r="Q6580" t="n">
        <v>0</v>
      </c>
      <c r="R6580" s="2" t="inlineStr"/>
    </row>
    <row r="6581" ht="15" customHeight="1">
      <c r="A6581" t="inlineStr">
        <is>
          <t>A 43116-2023</t>
        </is>
      </c>
      <c r="B6581" s="1" t="n">
        <v>45183</v>
      </c>
      <c r="C6581" s="1" t="n">
        <v>45798</v>
      </c>
      <c r="D6581" t="inlineStr">
        <is>
          <t>NORRBOTTENS LÄN</t>
        </is>
      </c>
      <c r="E6581" t="inlineStr">
        <is>
          <t>ÄLVSBYN</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43120-2023</t>
        </is>
      </c>
      <c r="B6582" s="1" t="n">
        <v>45182</v>
      </c>
      <c r="C6582" s="1" t="n">
        <v>45798</v>
      </c>
      <c r="D6582" t="inlineStr">
        <is>
          <t>NORRBOTTENS LÄN</t>
        </is>
      </c>
      <c r="E6582" t="inlineStr">
        <is>
          <t>KALIX</t>
        </is>
      </c>
      <c r="F6582" t="inlineStr">
        <is>
          <t>SCA</t>
        </is>
      </c>
      <c r="G6582" t="n">
        <v>17.7</v>
      </c>
      <c r="H6582" t="n">
        <v>0</v>
      </c>
      <c r="I6582" t="n">
        <v>0</v>
      </c>
      <c r="J6582" t="n">
        <v>0</v>
      </c>
      <c r="K6582" t="n">
        <v>0</v>
      </c>
      <c r="L6582" t="n">
        <v>0</v>
      </c>
      <c r="M6582" t="n">
        <v>0</v>
      </c>
      <c r="N6582" t="n">
        <v>0</v>
      </c>
      <c r="O6582" t="n">
        <v>0</v>
      </c>
      <c r="P6582" t="n">
        <v>0</v>
      </c>
      <c r="Q6582" t="n">
        <v>0</v>
      </c>
      <c r="R6582" s="2" t="inlineStr"/>
    </row>
    <row r="6583" ht="15" customHeight="1">
      <c r="A6583" t="inlineStr">
        <is>
          <t>A 43001-2023</t>
        </is>
      </c>
      <c r="B6583" s="1" t="n">
        <v>45182</v>
      </c>
      <c r="C6583" s="1" t="n">
        <v>45798</v>
      </c>
      <c r="D6583" t="inlineStr">
        <is>
          <t>NORRBOTTENS LÄN</t>
        </is>
      </c>
      <c r="E6583" t="inlineStr">
        <is>
          <t>PITEÅ</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43010-2023</t>
        </is>
      </c>
      <c r="B6584" s="1" t="n">
        <v>45182</v>
      </c>
      <c r="C6584" s="1" t="n">
        <v>45798</v>
      </c>
      <c r="D6584" t="inlineStr">
        <is>
          <t>NORRBOTTENS LÄN</t>
        </is>
      </c>
      <c r="E6584" t="inlineStr">
        <is>
          <t>PAJALA</t>
        </is>
      </c>
      <c r="F6584" t="inlineStr">
        <is>
          <t>Sveaskog</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43847-2023</t>
        </is>
      </c>
      <c r="B6585" s="1" t="n">
        <v>45182</v>
      </c>
      <c r="C6585" s="1" t="n">
        <v>45798</v>
      </c>
      <c r="D6585" t="inlineStr">
        <is>
          <t>NORRBOTTENS LÄN</t>
        </is>
      </c>
      <c r="E6585" t="inlineStr">
        <is>
          <t>ARVIDSJAUR</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43850-2023</t>
        </is>
      </c>
      <c r="B6586" s="1" t="n">
        <v>45182</v>
      </c>
      <c r="C6586" s="1" t="n">
        <v>45798</v>
      </c>
      <c r="D6586" t="inlineStr">
        <is>
          <t>NORRBOTTENS LÄN</t>
        </is>
      </c>
      <c r="E6586" t="inlineStr">
        <is>
          <t>ARVIDSJAUR</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43085-2023</t>
        </is>
      </c>
      <c r="B6587" s="1" t="n">
        <v>45182</v>
      </c>
      <c r="C6587" s="1" t="n">
        <v>45798</v>
      </c>
      <c r="D6587" t="inlineStr">
        <is>
          <t>NORRBOTTENS LÄN</t>
        </is>
      </c>
      <c r="E6587" t="inlineStr">
        <is>
          <t>BODEN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43109-2023</t>
        </is>
      </c>
      <c r="B6588" s="1" t="n">
        <v>45183</v>
      </c>
      <c r="C6588" s="1" t="n">
        <v>45798</v>
      </c>
      <c r="D6588" t="inlineStr">
        <is>
          <t>NORRBOTTENS LÄN</t>
        </is>
      </c>
      <c r="E6588" t="inlineStr">
        <is>
          <t>GÄLLIVARE</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43117-2023</t>
        </is>
      </c>
      <c r="B6589" s="1" t="n">
        <v>45183</v>
      </c>
      <c r="C6589" s="1" t="n">
        <v>45798</v>
      </c>
      <c r="D6589" t="inlineStr">
        <is>
          <t>NORRBOTTENS LÄN</t>
        </is>
      </c>
      <c r="E6589" t="inlineStr">
        <is>
          <t>ÄLVSBYN</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43842-2023</t>
        </is>
      </c>
      <c r="B6590" s="1" t="n">
        <v>45182</v>
      </c>
      <c r="C6590" s="1" t="n">
        <v>45798</v>
      </c>
      <c r="D6590" t="inlineStr">
        <is>
          <t>NORRBOTTENS LÄN</t>
        </is>
      </c>
      <c r="E6590" t="inlineStr">
        <is>
          <t>ARVIDSJAUR</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44092-2023</t>
        </is>
      </c>
      <c r="B6591" s="1" t="n">
        <v>45182</v>
      </c>
      <c r="C6591" s="1" t="n">
        <v>45798</v>
      </c>
      <c r="D6591" t="inlineStr">
        <is>
          <t>NORRBOTTENS LÄN</t>
        </is>
      </c>
      <c r="E6591" t="inlineStr">
        <is>
          <t>BODEN</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44061-2023</t>
        </is>
      </c>
      <c r="B6592" s="1" t="n">
        <v>45182</v>
      </c>
      <c r="C6592" s="1" t="n">
        <v>45798</v>
      </c>
      <c r="D6592" t="inlineStr">
        <is>
          <t>NORRBOTTENS LÄN</t>
        </is>
      </c>
      <c r="E6592" t="inlineStr">
        <is>
          <t>BODEN</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43407-2023</t>
        </is>
      </c>
      <c r="B6593" s="1" t="n">
        <v>45184</v>
      </c>
      <c r="C6593" s="1" t="n">
        <v>45798</v>
      </c>
      <c r="D6593" t="inlineStr">
        <is>
          <t>NORRBOTTENS LÄN</t>
        </is>
      </c>
      <c r="E6593" t="inlineStr">
        <is>
          <t>GÄLLIVARE</t>
        </is>
      </c>
      <c r="F6593" t="inlineStr">
        <is>
          <t>SCA</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43408-2023</t>
        </is>
      </c>
      <c r="B6594" s="1" t="n">
        <v>45183</v>
      </c>
      <c r="C6594" s="1" t="n">
        <v>45798</v>
      </c>
      <c r="D6594" t="inlineStr">
        <is>
          <t>NORRBOTTENS LÄN</t>
        </is>
      </c>
      <c r="E6594" t="inlineStr">
        <is>
          <t>GÄLLIVARE</t>
        </is>
      </c>
      <c r="F6594" t="inlineStr">
        <is>
          <t>SCA</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43416-2023</t>
        </is>
      </c>
      <c r="B6595" s="1" t="n">
        <v>45184</v>
      </c>
      <c r="C6595" s="1" t="n">
        <v>45798</v>
      </c>
      <c r="D6595" t="inlineStr">
        <is>
          <t>NORRBOTTENS LÄN</t>
        </is>
      </c>
      <c r="E6595" t="inlineStr">
        <is>
          <t>BODEN</t>
        </is>
      </c>
      <c r="F6595" t="inlineStr">
        <is>
          <t>SCA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43270-2023</t>
        </is>
      </c>
      <c r="B6596" s="1" t="n">
        <v>45183</v>
      </c>
      <c r="C6596" s="1" t="n">
        <v>45798</v>
      </c>
      <c r="D6596" t="inlineStr">
        <is>
          <t>NORRBOTTENS LÄN</t>
        </is>
      </c>
      <c r="E6596" t="inlineStr">
        <is>
          <t>LULEÅ</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44218-2023</t>
        </is>
      </c>
      <c r="B6597" s="1" t="n">
        <v>45183</v>
      </c>
      <c r="C6597" s="1" t="n">
        <v>45798</v>
      </c>
      <c r="D6597" t="inlineStr">
        <is>
          <t>NORRBOTTENS LÄN</t>
        </is>
      </c>
      <c r="E6597" t="inlineStr">
        <is>
          <t>ARJEPLOG</t>
        </is>
      </c>
      <c r="F6597" t="inlineStr">
        <is>
          <t>Allmännings- och besparingsskogar</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44526-2023</t>
        </is>
      </c>
      <c r="B6598" s="1" t="n">
        <v>45183</v>
      </c>
      <c r="C6598" s="1" t="n">
        <v>45798</v>
      </c>
      <c r="D6598" t="inlineStr">
        <is>
          <t>NORRBOTTENS LÄN</t>
        </is>
      </c>
      <c r="E6598" t="inlineStr">
        <is>
          <t>LULEÅ</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44461-2023</t>
        </is>
      </c>
      <c r="B6599" s="1" t="n">
        <v>45183</v>
      </c>
      <c r="C6599" s="1" t="n">
        <v>45798</v>
      </c>
      <c r="D6599" t="inlineStr">
        <is>
          <t>NORRBOTTENS LÄN</t>
        </is>
      </c>
      <c r="E6599" t="inlineStr">
        <is>
          <t>PITEÅ</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44531-2023</t>
        </is>
      </c>
      <c r="B6600" s="1" t="n">
        <v>45183</v>
      </c>
      <c r="C6600" s="1" t="n">
        <v>45798</v>
      </c>
      <c r="D6600" t="inlineStr">
        <is>
          <t>NORRBOTTENS LÄN</t>
        </is>
      </c>
      <c r="E6600" t="inlineStr">
        <is>
          <t>LULEÅ</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44516-2023</t>
        </is>
      </c>
      <c r="B6601" s="1" t="n">
        <v>45183</v>
      </c>
      <c r="C6601" s="1" t="n">
        <v>45798</v>
      </c>
      <c r="D6601" t="inlineStr">
        <is>
          <t>NORRBOTTENS LÄN</t>
        </is>
      </c>
      <c r="E6601" t="inlineStr">
        <is>
          <t>LULEÅ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43443-2023</t>
        </is>
      </c>
      <c r="B6602" s="1" t="n">
        <v>45184</v>
      </c>
      <c r="C6602" s="1" t="n">
        <v>45798</v>
      </c>
      <c r="D6602" t="inlineStr">
        <is>
          <t>NORRBOTTENS LÄN</t>
        </is>
      </c>
      <c r="E6602" t="inlineStr">
        <is>
          <t>BODEN</t>
        </is>
      </c>
      <c r="F6602" t="inlineStr">
        <is>
          <t>Sveaskog</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43477-2023</t>
        </is>
      </c>
      <c r="B6603" s="1" t="n">
        <v>45184</v>
      </c>
      <c r="C6603" s="1" t="n">
        <v>45798</v>
      </c>
      <c r="D6603" t="inlineStr">
        <is>
          <t>NORRBOTTENS LÄN</t>
        </is>
      </c>
      <c r="E6603" t="inlineStr">
        <is>
          <t>GÄLLIVARE</t>
        </is>
      </c>
      <c r="F6603" t="inlineStr">
        <is>
          <t>Sveaskog</t>
        </is>
      </c>
      <c r="G6603" t="n">
        <v>29.1</v>
      </c>
      <c r="H6603" t="n">
        <v>0</v>
      </c>
      <c r="I6603" t="n">
        <v>0</v>
      </c>
      <c r="J6603" t="n">
        <v>0</v>
      </c>
      <c r="K6603" t="n">
        <v>0</v>
      </c>
      <c r="L6603" t="n">
        <v>0</v>
      </c>
      <c r="M6603" t="n">
        <v>0</v>
      </c>
      <c r="N6603" t="n">
        <v>0</v>
      </c>
      <c r="O6603" t="n">
        <v>0</v>
      </c>
      <c r="P6603" t="n">
        <v>0</v>
      </c>
      <c r="Q6603" t="n">
        <v>0</v>
      </c>
      <c r="R6603" s="2" t="inlineStr"/>
    </row>
    <row r="6604" ht="15" customHeight="1">
      <c r="A6604" t="inlineStr">
        <is>
          <t>A 43608-2023</t>
        </is>
      </c>
      <c r="B6604" s="1" t="n">
        <v>45184</v>
      </c>
      <c r="C6604" s="1" t="n">
        <v>45798</v>
      </c>
      <c r="D6604" t="inlineStr">
        <is>
          <t>NORRBOTTENS LÄN</t>
        </is>
      </c>
      <c r="E6604" t="inlineStr">
        <is>
          <t>PITEÅ</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43639-2023</t>
        </is>
      </c>
      <c r="B6605" s="1" t="n">
        <v>45186</v>
      </c>
      <c r="C6605" s="1" t="n">
        <v>45798</v>
      </c>
      <c r="D6605" t="inlineStr">
        <is>
          <t>NORRBOTTENS LÄN</t>
        </is>
      </c>
      <c r="E6605" t="inlineStr">
        <is>
          <t>BODEN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43640-2023</t>
        </is>
      </c>
      <c r="B6606" s="1" t="n">
        <v>45186</v>
      </c>
      <c r="C6606" s="1" t="n">
        <v>45798</v>
      </c>
      <c r="D6606" t="inlineStr">
        <is>
          <t>NORRBOTTENS LÄN</t>
        </is>
      </c>
      <c r="E6606" t="inlineStr">
        <is>
          <t>BODEN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43648-2023</t>
        </is>
      </c>
      <c r="B6607" s="1" t="n">
        <v>45187</v>
      </c>
      <c r="C6607" s="1" t="n">
        <v>45798</v>
      </c>
      <c r="D6607" t="inlineStr">
        <is>
          <t>NORRBOTTENS LÄN</t>
        </is>
      </c>
      <c r="E6607" t="inlineStr">
        <is>
          <t>BODEN</t>
        </is>
      </c>
      <c r="F6607" t="inlineStr">
        <is>
          <t>Sveaskog</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43765-2023</t>
        </is>
      </c>
      <c r="B6608" s="1" t="n">
        <v>45187</v>
      </c>
      <c r="C6608" s="1" t="n">
        <v>45798</v>
      </c>
      <c r="D6608" t="inlineStr">
        <is>
          <t>NORRBOTTENS LÄN</t>
        </is>
      </c>
      <c r="E6608" t="inlineStr">
        <is>
          <t>LULEÅ</t>
        </is>
      </c>
      <c r="G6608" t="n">
        <v>13.7</v>
      </c>
      <c r="H6608" t="n">
        <v>0</v>
      </c>
      <c r="I6608" t="n">
        <v>0</v>
      </c>
      <c r="J6608" t="n">
        <v>0</v>
      </c>
      <c r="K6608" t="n">
        <v>0</v>
      </c>
      <c r="L6608" t="n">
        <v>0</v>
      </c>
      <c r="M6608" t="n">
        <v>0</v>
      </c>
      <c r="N6608" t="n">
        <v>0</v>
      </c>
      <c r="O6608" t="n">
        <v>0</v>
      </c>
      <c r="P6608" t="n">
        <v>0</v>
      </c>
      <c r="Q6608" t="n">
        <v>0</v>
      </c>
      <c r="R6608" s="2" t="inlineStr"/>
    </row>
    <row r="6609" ht="15" customHeight="1">
      <c r="A6609" t="inlineStr">
        <is>
          <t>A 43646-2023</t>
        </is>
      </c>
      <c r="B6609" s="1" t="n">
        <v>45187</v>
      </c>
      <c r="C6609" s="1" t="n">
        <v>45798</v>
      </c>
      <c r="D6609" t="inlineStr">
        <is>
          <t>NORRBOTTENS LÄN</t>
        </is>
      </c>
      <c r="E6609" t="inlineStr">
        <is>
          <t>PAJALA</t>
        </is>
      </c>
      <c r="F6609" t="inlineStr">
        <is>
          <t>Sveaskog</t>
        </is>
      </c>
      <c r="G6609" t="n">
        <v>18.3</v>
      </c>
      <c r="H6609" t="n">
        <v>0</v>
      </c>
      <c r="I6609" t="n">
        <v>0</v>
      </c>
      <c r="J6609" t="n">
        <v>0</v>
      </c>
      <c r="K6609" t="n">
        <v>0</v>
      </c>
      <c r="L6609" t="n">
        <v>0</v>
      </c>
      <c r="M6609" t="n">
        <v>0</v>
      </c>
      <c r="N6609" t="n">
        <v>0</v>
      </c>
      <c r="O6609" t="n">
        <v>0</v>
      </c>
      <c r="P6609" t="n">
        <v>0</v>
      </c>
      <c r="Q6609" t="n">
        <v>0</v>
      </c>
      <c r="R6609" s="2" t="inlineStr"/>
    </row>
    <row r="6610" ht="15" customHeight="1">
      <c r="A6610" t="inlineStr">
        <is>
          <t>A 43819-2023</t>
        </is>
      </c>
      <c r="B6610" s="1" t="n">
        <v>45187</v>
      </c>
      <c r="C6610" s="1" t="n">
        <v>45798</v>
      </c>
      <c r="D6610" t="inlineStr">
        <is>
          <t>NORRBOTTENS LÄN</t>
        </is>
      </c>
      <c r="E6610" t="inlineStr">
        <is>
          <t>PAJALA</t>
        </is>
      </c>
      <c r="G6610" t="n">
        <v>25.8</v>
      </c>
      <c r="H6610" t="n">
        <v>0</v>
      </c>
      <c r="I6610" t="n">
        <v>0</v>
      </c>
      <c r="J6610" t="n">
        <v>0</v>
      </c>
      <c r="K6610" t="n">
        <v>0</v>
      </c>
      <c r="L6610" t="n">
        <v>0</v>
      </c>
      <c r="M6610" t="n">
        <v>0</v>
      </c>
      <c r="N6610" t="n">
        <v>0</v>
      </c>
      <c r="O6610" t="n">
        <v>0</v>
      </c>
      <c r="P6610" t="n">
        <v>0</v>
      </c>
      <c r="Q6610" t="n">
        <v>0</v>
      </c>
      <c r="R6610" s="2" t="inlineStr"/>
    </row>
    <row r="6611" ht="15" customHeight="1">
      <c r="A6611" t="inlineStr">
        <is>
          <t>A 43861-2023</t>
        </is>
      </c>
      <c r="B6611" s="1" t="n">
        <v>45187</v>
      </c>
      <c r="C6611" s="1" t="n">
        <v>45798</v>
      </c>
      <c r="D6611" t="inlineStr">
        <is>
          <t>NORRBOTTENS LÄN</t>
        </is>
      </c>
      <c r="E6611" t="inlineStr">
        <is>
          <t>LULEÅ</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43886-2023</t>
        </is>
      </c>
      <c r="B6612" s="1" t="n">
        <v>45187</v>
      </c>
      <c r="C6612" s="1" t="n">
        <v>45798</v>
      </c>
      <c r="D6612" t="inlineStr">
        <is>
          <t>NORRBOTTENS LÄN</t>
        </is>
      </c>
      <c r="E6612" t="inlineStr">
        <is>
          <t>PITEÅ</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43902-2023</t>
        </is>
      </c>
      <c r="B6613" s="1" t="n">
        <v>45187</v>
      </c>
      <c r="C6613" s="1" t="n">
        <v>45798</v>
      </c>
      <c r="D6613" t="inlineStr">
        <is>
          <t>NORRBOTTENS LÄN</t>
        </is>
      </c>
      <c r="E6613" t="inlineStr">
        <is>
          <t>PITEÅ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43907-2023</t>
        </is>
      </c>
      <c r="B6614" s="1" t="n">
        <v>45187</v>
      </c>
      <c r="C6614" s="1" t="n">
        <v>45798</v>
      </c>
      <c r="D6614" t="inlineStr">
        <is>
          <t>NORRBOTTENS LÄN</t>
        </is>
      </c>
      <c r="E6614" t="inlineStr">
        <is>
          <t>PITEÅ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43912-2023</t>
        </is>
      </c>
      <c r="B6615" s="1" t="n">
        <v>45187</v>
      </c>
      <c r="C6615" s="1" t="n">
        <v>45798</v>
      </c>
      <c r="D6615" t="inlineStr">
        <is>
          <t>NORRBOTTENS LÄN</t>
        </is>
      </c>
      <c r="E6615" t="inlineStr">
        <is>
          <t>PITEÅ</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43936-2023</t>
        </is>
      </c>
      <c r="B6616" s="1" t="n">
        <v>45187</v>
      </c>
      <c r="C6616" s="1" t="n">
        <v>45798</v>
      </c>
      <c r="D6616" t="inlineStr">
        <is>
          <t>NORRBOTTENS LÄN</t>
        </is>
      </c>
      <c r="E6616" t="inlineStr">
        <is>
          <t>PAJALA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43860-2023</t>
        </is>
      </c>
      <c r="B6617" s="1" t="n">
        <v>45187</v>
      </c>
      <c r="C6617" s="1" t="n">
        <v>45798</v>
      </c>
      <c r="D6617" t="inlineStr">
        <is>
          <t>NORRBOTTENS LÄN</t>
        </is>
      </c>
      <c r="E6617" t="inlineStr">
        <is>
          <t>PAJALA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43885-2023</t>
        </is>
      </c>
      <c r="B6618" s="1" t="n">
        <v>45187</v>
      </c>
      <c r="C6618" s="1" t="n">
        <v>45798</v>
      </c>
      <c r="D6618" t="inlineStr">
        <is>
          <t>NORRBOTTENS LÄN</t>
        </is>
      </c>
      <c r="E6618" t="inlineStr">
        <is>
          <t>PITEÅ</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43911-2023</t>
        </is>
      </c>
      <c r="B6619" s="1" t="n">
        <v>45187</v>
      </c>
      <c r="C6619" s="1" t="n">
        <v>45798</v>
      </c>
      <c r="D6619" t="inlineStr">
        <is>
          <t>NORRBOTTENS LÄN</t>
        </is>
      </c>
      <c r="E6619" t="inlineStr">
        <is>
          <t>PITEÅ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43895-2023</t>
        </is>
      </c>
      <c r="B6620" s="1" t="n">
        <v>45187</v>
      </c>
      <c r="C6620" s="1" t="n">
        <v>45798</v>
      </c>
      <c r="D6620" t="inlineStr">
        <is>
          <t>NORRBOTTENS LÄN</t>
        </is>
      </c>
      <c r="E6620" t="inlineStr">
        <is>
          <t>PITEÅ</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43899-2023</t>
        </is>
      </c>
      <c r="B6621" s="1" t="n">
        <v>45187</v>
      </c>
      <c r="C6621" s="1" t="n">
        <v>45798</v>
      </c>
      <c r="D6621" t="inlineStr">
        <is>
          <t>NORRBOTTENS LÄN</t>
        </is>
      </c>
      <c r="E6621" t="inlineStr">
        <is>
          <t>ÖVERKALIX</t>
        </is>
      </c>
      <c r="F6621" t="inlineStr">
        <is>
          <t>Sveaskog</t>
        </is>
      </c>
      <c r="G6621" t="n">
        <v>31.9</v>
      </c>
      <c r="H6621" t="n">
        <v>0</v>
      </c>
      <c r="I6621" t="n">
        <v>0</v>
      </c>
      <c r="J6621" t="n">
        <v>0</v>
      </c>
      <c r="K6621" t="n">
        <v>0</v>
      </c>
      <c r="L6621" t="n">
        <v>0</v>
      </c>
      <c r="M6621" t="n">
        <v>0</v>
      </c>
      <c r="N6621" t="n">
        <v>0</v>
      </c>
      <c r="O6621" t="n">
        <v>0</v>
      </c>
      <c r="P6621" t="n">
        <v>0</v>
      </c>
      <c r="Q6621" t="n">
        <v>0</v>
      </c>
      <c r="R6621" s="2" t="inlineStr"/>
    </row>
    <row r="6622" ht="15" customHeight="1">
      <c r="A6622" t="inlineStr">
        <is>
          <t>A 43933-2023</t>
        </is>
      </c>
      <c r="B6622" s="1" t="n">
        <v>45187</v>
      </c>
      <c r="C6622" s="1" t="n">
        <v>45798</v>
      </c>
      <c r="D6622" t="inlineStr">
        <is>
          <t>NORRBOTTENS LÄN</t>
        </is>
      </c>
      <c r="E6622" t="inlineStr">
        <is>
          <t>PAJALA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43988-2023</t>
        </is>
      </c>
      <c r="B6623" s="1" t="n">
        <v>45187</v>
      </c>
      <c r="C6623" s="1" t="n">
        <v>45798</v>
      </c>
      <c r="D6623" t="inlineStr">
        <is>
          <t>NORRBOTTENS LÄN</t>
        </is>
      </c>
      <c r="E6623" t="inlineStr">
        <is>
          <t>GÄLLIVARE</t>
        </is>
      </c>
      <c r="F6623" t="inlineStr">
        <is>
          <t>SCA</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45072-2023</t>
        </is>
      </c>
      <c r="B6624" s="1" t="n">
        <v>45187</v>
      </c>
      <c r="C6624" s="1" t="n">
        <v>45798</v>
      </c>
      <c r="D6624" t="inlineStr">
        <is>
          <t>NORRBOTTENS LÄN</t>
        </is>
      </c>
      <c r="E6624" t="inlineStr">
        <is>
          <t>ARJEPLOG</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45185-2023</t>
        </is>
      </c>
      <c r="B6625" s="1" t="n">
        <v>45187</v>
      </c>
      <c r="C6625" s="1" t="n">
        <v>45798</v>
      </c>
      <c r="D6625" t="inlineStr">
        <is>
          <t>NORRBOTTENS LÄN</t>
        </is>
      </c>
      <c r="E6625" t="inlineStr">
        <is>
          <t>PAJALA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45064-2023</t>
        </is>
      </c>
      <c r="B6626" s="1" t="n">
        <v>45187</v>
      </c>
      <c r="C6626" s="1" t="n">
        <v>45798</v>
      </c>
      <c r="D6626" t="inlineStr">
        <is>
          <t>NORRBOTTENS LÄN</t>
        </is>
      </c>
      <c r="E6626" t="inlineStr">
        <is>
          <t>ARJEPLOG</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44076-2023</t>
        </is>
      </c>
      <c r="B6627" s="1" t="n">
        <v>45188</v>
      </c>
      <c r="C6627" s="1" t="n">
        <v>45798</v>
      </c>
      <c r="D6627" t="inlineStr">
        <is>
          <t>NORRBOTTENS LÄN</t>
        </is>
      </c>
      <c r="E6627" t="inlineStr">
        <is>
          <t>PITEÅ</t>
        </is>
      </c>
      <c r="F6627" t="inlineStr">
        <is>
          <t>Sveaskog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44096-2023</t>
        </is>
      </c>
      <c r="B6628" s="1" t="n">
        <v>45188</v>
      </c>
      <c r="C6628" s="1" t="n">
        <v>45798</v>
      </c>
      <c r="D6628" t="inlineStr">
        <is>
          <t>NORRBOTTENS LÄN</t>
        </is>
      </c>
      <c r="E6628" t="inlineStr">
        <is>
          <t>ÖVERTORNEÅ</t>
        </is>
      </c>
      <c r="G6628" t="n">
        <v>16.2</v>
      </c>
      <c r="H6628" t="n">
        <v>0</v>
      </c>
      <c r="I6628" t="n">
        <v>0</v>
      </c>
      <c r="J6628" t="n">
        <v>0</v>
      </c>
      <c r="K6628" t="n">
        <v>0</v>
      </c>
      <c r="L6628" t="n">
        <v>0</v>
      </c>
      <c r="M6628" t="n">
        <v>0</v>
      </c>
      <c r="N6628" t="n">
        <v>0</v>
      </c>
      <c r="O6628" t="n">
        <v>0</v>
      </c>
      <c r="P6628" t="n">
        <v>0</v>
      </c>
      <c r="Q6628" t="n">
        <v>0</v>
      </c>
      <c r="R6628" s="2" t="inlineStr"/>
    </row>
    <row r="6629" ht="15" customHeight="1">
      <c r="A6629" t="inlineStr">
        <is>
          <t>A 44121-2023</t>
        </is>
      </c>
      <c r="B6629" s="1" t="n">
        <v>45188</v>
      </c>
      <c r="C6629" s="1" t="n">
        <v>45798</v>
      </c>
      <c r="D6629" t="inlineStr">
        <is>
          <t>NORRBOTTENS LÄN</t>
        </is>
      </c>
      <c r="E6629" t="inlineStr">
        <is>
          <t>PITEÅ</t>
        </is>
      </c>
      <c r="F6629" t="inlineStr">
        <is>
          <t>Sveaskog</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44079-2023</t>
        </is>
      </c>
      <c r="B6630" s="1" t="n">
        <v>45188</v>
      </c>
      <c r="C6630" s="1" t="n">
        <v>45798</v>
      </c>
      <c r="D6630" t="inlineStr">
        <is>
          <t>NORRBOTTENS LÄN</t>
        </is>
      </c>
      <c r="E6630" t="inlineStr">
        <is>
          <t>ÖVERTORNEÅ</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44186-2023</t>
        </is>
      </c>
      <c r="B6631" s="1" t="n">
        <v>45188</v>
      </c>
      <c r="C6631" s="1" t="n">
        <v>45798</v>
      </c>
      <c r="D6631" t="inlineStr">
        <is>
          <t>NORRBOTTENS LÄN</t>
        </is>
      </c>
      <c r="E6631" t="inlineStr">
        <is>
          <t>BODEN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44206-2023</t>
        </is>
      </c>
      <c r="B6632" s="1" t="n">
        <v>45188</v>
      </c>
      <c r="C6632" s="1" t="n">
        <v>45798</v>
      </c>
      <c r="D6632" t="inlineStr">
        <is>
          <t>NORRBOTTENS LÄN</t>
        </is>
      </c>
      <c r="E6632" t="inlineStr">
        <is>
          <t>PITEÅ</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44265-2023</t>
        </is>
      </c>
      <c r="B6633" s="1" t="n">
        <v>45188</v>
      </c>
      <c r="C6633" s="1" t="n">
        <v>45798</v>
      </c>
      <c r="D6633" t="inlineStr">
        <is>
          <t>NORRBOTTENS LÄN</t>
        </is>
      </c>
      <c r="E6633" t="inlineStr">
        <is>
          <t>ÖVERKALIX</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44273-2023</t>
        </is>
      </c>
      <c r="B6634" s="1" t="n">
        <v>45188</v>
      </c>
      <c r="C6634" s="1" t="n">
        <v>45798</v>
      </c>
      <c r="D6634" t="inlineStr">
        <is>
          <t>NORRBOTTENS LÄN</t>
        </is>
      </c>
      <c r="E6634" t="inlineStr">
        <is>
          <t>ÖVERKALIX</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44277-2023</t>
        </is>
      </c>
      <c r="B6635" s="1" t="n">
        <v>45188</v>
      </c>
      <c r="C6635" s="1" t="n">
        <v>45798</v>
      </c>
      <c r="D6635" t="inlineStr">
        <is>
          <t>NORRBOTTENS LÄN</t>
        </is>
      </c>
      <c r="E6635" t="inlineStr">
        <is>
          <t>KALIX</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44082-2023</t>
        </is>
      </c>
      <c r="B6636" s="1" t="n">
        <v>45188</v>
      </c>
      <c r="C6636" s="1" t="n">
        <v>45798</v>
      </c>
      <c r="D6636" t="inlineStr">
        <is>
          <t>NORRBOTTENS LÄN</t>
        </is>
      </c>
      <c r="E6636" t="inlineStr">
        <is>
          <t>PITEÅ</t>
        </is>
      </c>
      <c r="F6636" t="inlineStr">
        <is>
          <t>Sveaskog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44245-2023</t>
        </is>
      </c>
      <c r="B6637" s="1" t="n">
        <v>45188</v>
      </c>
      <c r="C6637" s="1" t="n">
        <v>45798</v>
      </c>
      <c r="D6637" t="inlineStr">
        <is>
          <t>NORRBOTTENS LÄN</t>
        </is>
      </c>
      <c r="E6637" t="inlineStr">
        <is>
          <t>PITEÅ</t>
        </is>
      </c>
      <c r="F6637" t="inlineStr">
        <is>
          <t>Sveaskog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44179-2023</t>
        </is>
      </c>
      <c r="B6638" s="1" t="n">
        <v>45188</v>
      </c>
      <c r="C6638" s="1" t="n">
        <v>45798</v>
      </c>
      <c r="D6638" t="inlineStr">
        <is>
          <t>NORRBOTTENS LÄN</t>
        </is>
      </c>
      <c r="E6638" t="inlineStr">
        <is>
          <t>ARVIDSJAUR</t>
        </is>
      </c>
      <c r="F6638" t="inlineStr">
        <is>
          <t>Sveaskog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44199-2023</t>
        </is>
      </c>
      <c r="B6639" s="1" t="n">
        <v>45188</v>
      </c>
      <c r="C6639" s="1" t="n">
        <v>45798</v>
      </c>
      <c r="D6639" t="inlineStr">
        <is>
          <t>NORRBOTTENS LÄN</t>
        </is>
      </c>
      <c r="E6639" t="inlineStr">
        <is>
          <t>PITEÅ</t>
        </is>
      </c>
      <c r="F6639" t="inlineStr">
        <is>
          <t>Sveaskog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44283-2023</t>
        </is>
      </c>
      <c r="B6640" s="1" t="n">
        <v>45188</v>
      </c>
      <c r="C6640" s="1" t="n">
        <v>45798</v>
      </c>
      <c r="D6640" t="inlineStr">
        <is>
          <t>NORRBOTTENS LÄN</t>
        </is>
      </c>
      <c r="E6640" t="inlineStr">
        <is>
          <t>KALIX</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44183-2023</t>
        </is>
      </c>
      <c r="B6641" s="1" t="n">
        <v>45188</v>
      </c>
      <c r="C6641" s="1" t="n">
        <v>45798</v>
      </c>
      <c r="D6641" t="inlineStr">
        <is>
          <t>NORRBOTTENS LÄN</t>
        </is>
      </c>
      <c r="E6641" t="inlineStr">
        <is>
          <t>BODEN</t>
        </is>
      </c>
      <c r="F6641" t="inlineStr">
        <is>
          <t>Sveaskog</t>
        </is>
      </c>
      <c r="G6641" t="n">
        <v>20.6</v>
      </c>
      <c r="H6641" t="n">
        <v>0</v>
      </c>
      <c r="I6641" t="n">
        <v>0</v>
      </c>
      <c r="J6641" t="n">
        <v>0</v>
      </c>
      <c r="K6641" t="n">
        <v>0</v>
      </c>
      <c r="L6641" t="n">
        <v>0</v>
      </c>
      <c r="M6641" t="n">
        <v>0</v>
      </c>
      <c r="N6641" t="n">
        <v>0</v>
      </c>
      <c r="O6641" t="n">
        <v>0</v>
      </c>
      <c r="P6641" t="n">
        <v>0</v>
      </c>
      <c r="Q6641" t="n">
        <v>0</v>
      </c>
      <c r="R6641" s="2" t="inlineStr"/>
    </row>
    <row r="6642" ht="15" customHeight="1">
      <c r="A6642" t="inlineStr">
        <is>
          <t>A 44377-2023</t>
        </is>
      </c>
      <c r="B6642" s="1" t="n">
        <v>45188</v>
      </c>
      <c r="C6642" s="1" t="n">
        <v>45798</v>
      </c>
      <c r="D6642" t="inlineStr">
        <is>
          <t>NORRBOTTENS LÄN</t>
        </is>
      </c>
      <c r="E6642" t="inlineStr">
        <is>
          <t>LULEÅ</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44412-2023</t>
        </is>
      </c>
      <c r="B6643" s="1" t="n">
        <v>45188</v>
      </c>
      <c r="C6643" s="1" t="n">
        <v>45798</v>
      </c>
      <c r="D6643" t="inlineStr">
        <is>
          <t>NORRBOTTENS LÄN</t>
        </is>
      </c>
      <c r="E6643" t="inlineStr">
        <is>
          <t>PITEÅ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44294-2023</t>
        </is>
      </c>
      <c r="B6644" s="1" t="n">
        <v>45188</v>
      </c>
      <c r="C6644" s="1" t="n">
        <v>45798</v>
      </c>
      <c r="D6644" t="inlineStr">
        <is>
          <t>NORRBOTTENS LÄN</t>
        </is>
      </c>
      <c r="E6644" t="inlineStr">
        <is>
          <t>PITEÅ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45630-2023</t>
        </is>
      </c>
      <c r="B6645" s="1" t="n">
        <v>45188</v>
      </c>
      <c r="C6645" s="1" t="n">
        <v>45798</v>
      </c>
      <c r="D6645" t="inlineStr">
        <is>
          <t>NORRBOTTENS LÄN</t>
        </is>
      </c>
      <c r="E6645" t="inlineStr">
        <is>
          <t>PAJALA</t>
        </is>
      </c>
      <c r="F6645" t="inlineStr">
        <is>
          <t>Allmännings- och besparingsskogar</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44398-2023</t>
        </is>
      </c>
      <c r="B6646" s="1" t="n">
        <v>45188</v>
      </c>
      <c r="C6646" s="1" t="n">
        <v>45798</v>
      </c>
      <c r="D6646" t="inlineStr">
        <is>
          <t>NORRBOTTENS LÄN</t>
        </is>
      </c>
      <c r="E6646" t="inlineStr">
        <is>
          <t>GÄLLIVARE</t>
        </is>
      </c>
      <c r="F6646" t="inlineStr">
        <is>
          <t>SCA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44557-2023</t>
        </is>
      </c>
      <c r="B6647" s="1" t="n">
        <v>45189</v>
      </c>
      <c r="C6647" s="1" t="n">
        <v>45798</v>
      </c>
      <c r="D6647" t="inlineStr">
        <is>
          <t>NORRBOTTENS LÄN</t>
        </is>
      </c>
      <c r="E6647" t="inlineStr">
        <is>
          <t>ARVIDSJAUR</t>
        </is>
      </c>
      <c r="F6647" t="inlineStr">
        <is>
          <t>Sveaskog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44554-2023</t>
        </is>
      </c>
      <c r="B6648" s="1" t="n">
        <v>45189</v>
      </c>
      <c r="C6648" s="1" t="n">
        <v>45798</v>
      </c>
      <c r="D6648" t="inlineStr">
        <is>
          <t>NORRBOTTENS LÄN</t>
        </is>
      </c>
      <c r="E6648" t="inlineStr">
        <is>
          <t>ÖVERKALIX</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44634-2023</t>
        </is>
      </c>
      <c r="B6649" s="1" t="n">
        <v>45189</v>
      </c>
      <c r="C6649" s="1" t="n">
        <v>45798</v>
      </c>
      <c r="D6649" t="inlineStr">
        <is>
          <t>NORRBOTTENS LÄN</t>
        </is>
      </c>
      <c r="E6649" t="inlineStr">
        <is>
          <t>PITEÅ</t>
        </is>
      </c>
      <c r="F6649" t="inlineStr">
        <is>
          <t>Sveaskog</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44689-2023</t>
        </is>
      </c>
      <c r="B6650" s="1" t="n">
        <v>45189</v>
      </c>
      <c r="C6650" s="1" t="n">
        <v>45798</v>
      </c>
      <c r="D6650" t="inlineStr">
        <is>
          <t>NORRBOTTENS LÄN</t>
        </is>
      </c>
      <c r="E6650" t="inlineStr">
        <is>
          <t>GÄLLIVARE</t>
        </is>
      </c>
      <c r="G6650" t="n">
        <v>26.1</v>
      </c>
      <c r="H6650" t="n">
        <v>0</v>
      </c>
      <c r="I6650" t="n">
        <v>0</v>
      </c>
      <c r="J6650" t="n">
        <v>0</v>
      </c>
      <c r="K6650" t="n">
        <v>0</v>
      </c>
      <c r="L6650" t="n">
        <v>0</v>
      </c>
      <c r="M6650" t="n">
        <v>0</v>
      </c>
      <c r="N6650" t="n">
        <v>0</v>
      </c>
      <c r="O6650" t="n">
        <v>0</v>
      </c>
      <c r="P6650" t="n">
        <v>0</v>
      </c>
      <c r="Q6650" t="n">
        <v>0</v>
      </c>
      <c r="R6650" s="2" t="inlineStr"/>
    </row>
    <row r="6651" ht="15" customHeight="1">
      <c r="A6651" t="inlineStr">
        <is>
          <t>A 45778-2023</t>
        </is>
      </c>
      <c r="B6651" s="1" t="n">
        <v>45189</v>
      </c>
      <c r="C6651" s="1" t="n">
        <v>45798</v>
      </c>
      <c r="D6651" t="inlineStr">
        <is>
          <t>NORRBOTTENS LÄN</t>
        </is>
      </c>
      <c r="E6651" t="inlineStr">
        <is>
          <t>ARVIDSJAUR</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44686-2023</t>
        </is>
      </c>
      <c r="B6652" s="1" t="n">
        <v>45189</v>
      </c>
      <c r="C6652" s="1" t="n">
        <v>45798</v>
      </c>
      <c r="D6652" t="inlineStr">
        <is>
          <t>NORRBOTTENS LÄN</t>
        </is>
      </c>
      <c r="E6652" t="inlineStr">
        <is>
          <t>GÄLLIVARE</t>
        </is>
      </c>
      <c r="G6652" t="n">
        <v>19.4</v>
      </c>
      <c r="H6652" t="n">
        <v>0</v>
      </c>
      <c r="I6652" t="n">
        <v>0</v>
      </c>
      <c r="J6652" t="n">
        <v>0</v>
      </c>
      <c r="K6652" t="n">
        <v>0</v>
      </c>
      <c r="L6652" t="n">
        <v>0</v>
      </c>
      <c r="M6652" t="n">
        <v>0</v>
      </c>
      <c r="N6652" t="n">
        <v>0</v>
      </c>
      <c r="O6652" t="n">
        <v>0</v>
      </c>
      <c r="P6652" t="n">
        <v>0</v>
      </c>
      <c r="Q6652" t="n">
        <v>0</v>
      </c>
      <c r="R6652" s="2" t="inlineStr"/>
    </row>
    <row r="6653" ht="15" customHeight="1">
      <c r="A6653" t="inlineStr">
        <is>
          <t>A 44690-2023</t>
        </is>
      </c>
      <c r="B6653" s="1" t="n">
        <v>45189</v>
      </c>
      <c r="C6653" s="1" t="n">
        <v>45798</v>
      </c>
      <c r="D6653" t="inlineStr">
        <is>
          <t>NORRBOTTENS LÄN</t>
        </is>
      </c>
      <c r="E6653" t="inlineStr">
        <is>
          <t>GÄLLIVARE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45767-2023</t>
        </is>
      </c>
      <c r="B6654" s="1" t="n">
        <v>45189</v>
      </c>
      <c r="C6654" s="1" t="n">
        <v>45798</v>
      </c>
      <c r="D6654" t="inlineStr">
        <is>
          <t>NORRBOTTENS LÄN</t>
        </is>
      </c>
      <c r="E6654" t="inlineStr">
        <is>
          <t>ÖVERKALIX</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44568-2023</t>
        </is>
      </c>
      <c r="B6655" s="1" t="n">
        <v>45189</v>
      </c>
      <c r="C6655" s="1" t="n">
        <v>45798</v>
      </c>
      <c r="D6655" t="inlineStr">
        <is>
          <t>NORRBOTTENS LÄN</t>
        </is>
      </c>
      <c r="E6655" t="inlineStr">
        <is>
          <t>BODEN</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44572-2023</t>
        </is>
      </c>
      <c r="B6656" s="1" t="n">
        <v>45189</v>
      </c>
      <c r="C6656" s="1" t="n">
        <v>45798</v>
      </c>
      <c r="D6656" t="inlineStr">
        <is>
          <t>NORRBOTTENS LÄN</t>
        </is>
      </c>
      <c r="E6656" t="inlineStr">
        <is>
          <t>PAJALA</t>
        </is>
      </c>
      <c r="F6656" t="inlineStr">
        <is>
          <t>Sveaskog</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45757-2023</t>
        </is>
      </c>
      <c r="B6657" s="1" t="n">
        <v>45189</v>
      </c>
      <c r="C6657" s="1" t="n">
        <v>45798</v>
      </c>
      <c r="D6657" t="inlineStr">
        <is>
          <t>NORRBOTTENS LÄN</t>
        </is>
      </c>
      <c r="E6657" t="inlineStr">
        <is>
          <t>ARVIDSJAUR</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44691-2023</t>
        </is>
      </c>
      <c r="B6658" s="1" t="n">
        <v>45189</v>
      </c>
      <c r="C6658" s="1" t="n">
        <v>45798</v>
      </c>
      <c r="D6658" t="inlineStr">
        <is>
          <t>NORRBOTTENS LÄN</t>
        </is>
      </c>
      <c r="E6658" t="inlineStr">
        <is>
          <t>GÄLLIVARE</t>
        </is>
      </c>
      <c r="G6658" t="n">
        <v>18.8</v>
      </c>
      <c r="H6658" t="n">
        <v>0</v>
      </c>
      <c r="I6658" t="n">
        <v>0</v>
      </c>
      <c r="J6658" t="n">
        <v>0</v>
      </c>
      <c r="K6658" t="n">
        <v>0</v>
      </c>
      <c r="L6658" t="n">
        <v>0</v>
      </c>
      <c r="M6658" t="n">
        <v>0</v>
      </c>
      <c r="N6658" t="n">
        <v>0</v>
      </c>
      <c r="O6658" t="n">
        <v>0</v>
      </c>
      <c r="P6658" t="n">
        <v>0</v>
      </c>
      <c r="Q6658" t="n">
        <v>0</v>
      </c>
      <c r="R6658" s="2" t="inlineStr"/>
    </row>
    <row r="6659" ht="15" customHeight="1">
      <c r="A6659" t="inlineStr">
        <is>
          <t>A 45748-2023</t>
        </is>
      </c>
      <c r="B6659" s="1" t="n">
        <v>45189</v>
      </c>
      <c r="C6659" s="1" t="n">
        <v>45798</v>
      </c>
      <c r="D6659" t="inlineStr">
        <is>
          <t>NORRBOTTENS LÄN</t>
        </is>
      </c>
      <c r="E6659" t="inlineStr">
        <is>
          <t>ÖVERKALIX</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46009-2023</t>
        </is>
      </c>
      <c r="B6660" s="1" t="n">
        <v>45189</v>
      </c>
      <c r="C6660" s="1" t="n">
        <v>45798</v>
      </c>
      <c r="D6660" t="inlineStr">
        <is>
          <t>NORRBOTTENS LÄN</t>
        </is>
      </c>
      <c r="E6660" t="inlineStr">
        <is>
          <t>KALIX</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45924-2023</t>
        </is>
      </c>
      <c r="B6661" s="1" t="n">
        <v>45189</v>
      </c>
      <c r="C6661" s="1" t="n">
        <v>45798</v>
      </c>
      <c r="D6661" t="inlineStr">
        <is>
          <t>NORRBOTTENS LÄN</t>
        </is>
      </c>
      <c r="E6661" t="inlineStr">
        <is>
          <t>ARJEPLOG</t>
        </is>
      </c>
      <c r="G6661" t="n">
        <v>11.2</v>
      </c>
      <c r="H6661" t="n">
        <v>0</v>
      </c>
      <c r="I6661" t="n">
        <v>0</v>
      </c>
      <c r="J6661" t="n">
        <v>0</v>
      </c>
      <c r="K6661" t="n">
        <v>0</v>
      </c>
      <c r="L6661" t="n">
        <v>0</v>
      </c>
      <c r="M6661" t="n">
        <v>0</v>
      </c>
      <c r="N6661" t="n">
        <v>0</v>
      </c>
      <c r="O6661" t="n">
        <v>0</v>
      </c>
      <c r="P6661" t="n">
        <v>0</v>
      </c>
      <c r="Q6661" t="n">
        <v>0</v>
      </c>
      <c r="R6661" s="2" t="inlineStr"/>
    </row>
    <row r="6662" ht="15" customHeight="1">
      <c r="A6662" t="inlineStr">
        <is>
          <t>A 44758-2023</t>
        </is>
      </c>
      <c r="B6662" s="1" t="n">
        <v>45190</v>
      </c>
      <c r="C6662" s="1" t="n">
        <v>45798</v>
      </c>
      <c r="D6662" t="inlineStr">
        <is>
          <t>NORRBOTTENS LÄN</t>
        </is>
      </c>
      <c r="E6662" t="inlineStr">
        <is>
          <t>LULEÅ</t>
        </is>
      </c>
      <c r="G6662" t="n">
        <v>10.9</v>
      </c>
      <c r="H6662" t="n">
        <v>0</v>
      </c>
      <c r="I6662" t="n">
        <v>0</v>
      </c>
      <c r="J6662" t="n">
        <v>0</v>
      </c>
      <c r="K6662" t="n">
        <v>0</v>
      </c>
      <c r="L6662" t="n">
        <v>0</v>
      </c>
      <c r="M6662" t="n">
        <v>0</v>
      </c>
      <c r="N6662" t="n">
        <v>0</v>
      </c>
      <c r="O6662" t="n">
        <v>0</v>
      </c>
      <c r="P6662" t="n">
        <v>0</v>
      </c>
      <c r="Q6662" t="n">
        <v>0</v>
      </c>
      <c r="R6662" s="2" t="inlineStr"/>
    </row>
    <row r="6663" ht="15" customHeight="1">
      <c r="A6663" t="inlineStr">
        <is>
          <t>A 44983-2023</t>
        </is>
      </c>
      <c r="B6663" s="1" t="n">
        <v>45190</v>
      </c>
      <c r="C6663" s="1" t="n">
        <v>45798</v>
      </c>
      <c r="D6663" t="inlineStr">
        <is>
          <t>NORRBOTTENS LÄN</t>
        </is>
      </c>
      <c r="E6663" t="inlineStr">
        <is>
          <t>GÄLLIVARE</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45003-2023</t>
        </is>
      </c>
      <c r="B6664" s="1" t="n">
        <v>45191</v>
      </c>
      <c r="C6664" s="1" t="n">
        <v>45798</v>
      </c>
      <c r="D6664" t="inlineStr">
        <is>
          <t>NORRBOTTENS LÄN</t>
        </is>
      </c>
      <c r="E6664" t="inlineStr">
        <is>
          <t>BODEN</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44982-2023</t>
        </is>
      </c>
      <c r="B6665" s="1" t="n">
        <v>45191</v>
      </c>
      <c r="C6665" s="1" t="n">
        <v>45798</v>
      </c>
      <c r="D6665" t="inlineStr">
        <is>
          <t>NORRBOTTENS LÄN</t>
        </is>
      </c>
      <c r="E6665" t="inlineStr">
        <is>
          <t>GÄLLIVARE</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45026-2023</t>
        </is>
      </c>
      <c r="B6666" s="1" t="n">
        <v>45191</v>
      </c>
      <c r="C6666" s="1" t="n">
        <v>45798</v>
      </c>
      <c r="D6666" t="inlineStr">
        <is>
          <t>NORRBOTTENS LÄN</t>
        </is>
      </c>
      <c r="E6666" t="inlineStr">
        <is>
          <t>GÄLLIVARE</t>
        </is>
      </c>
      <c r="F6666" t="inlineStr">
        <is>
          <t>SCA</t>
        </is>
      </c>
      <c r="G6666" t="n">
        <v>12.6</v>
      </c>
      <c r="H6666" t="n">
        <v>0</v>
      </c>
      <c r="I6666" t="n">
        <v>0</v>
      </c>
      <c r="J6666" t="n">
        <v>0</v>
      </c>
      <c r="K6666" t="n">
        <v>0</v>
      </c>
      <c r="L6666" t="n">
        <v>0</v>
      </c>
      <c r="M6666" t="n">
        <v>0</v>
      </c>
      <c r="N6666" t="n">
        <v>0</v>
      </c>
      <c r="O6666" t="n">
        <v>0</v>
      </c>
      <c r="P6666" t="n">
        <v>0</v>
      </c>
      <c r="Q6666" t="n">
        <v>0</v>
      </c>
      <c r="R6666" s="2" t="inlineStr"/>
    </row>
    <row r="6667" ht="15" customHeight="1">
      <c r="A6667" t="inlineStr">
        <is>
          <t>A 44964-2023</t>
        </is>
      </c>
      <c r="B6667" s="1" t="n">
        <v>45190</v>
      </c>
      <c r="C6667" s="1" t="n">
        <v>45798</v>
      </c>
      <c r="D6667" t="inlineStr">
        <is>
          <t>NORRBOTTENS LÄN</t>
        </is>
      </c>
      <c r="E6667" t="inlineStr">
        <is>
          <t>ÄLVSBYN</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44981-2023</t>
        </is>
      </c>
      <c r="B6668" s="1" t="n">
        <v>45191</v>
      </c>
      <c r="C6668" s="1" t="n">
        <v>45798</v>
      </c>
      <c r="D6668" t="inlineStr">
        <is>
          <t>NORRBOTTENS LÄN</t>
        </is>
      </c>
      <c r="E6668" t="inlineStr">
        <is>
          <t>GÄLLIVARE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44985-2023</t>
        </is>
      </c>
      <c r="B6669" s="1" t="n">
        <v>45191</v>
      </c>
      <c r="C6669" s="1" t="n">
        <v>45798</v>
      </c>
      <c r="D6669" t="inlineStr">
        <is>
          <t>NORRBOTTENS LÄN</t>
        </is>
      </c>
      <c r="E6669" t="inlineStr">
        <is>
          <t>GÄLLIVARE</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46085-2023</t>
        </is>
      </c>
      <c r="B6670" s="1" t="n">
        <v>45190</v>
      </c>
      <c r="C6670" s="1" t="n">
        <v>45798</v>
      </c>
      <c r="D6670" t="inlineStr">
        <is>
          <t>NORRBOTTENS LÄN</t>
        </is>
      </c>
      <c r="E6670" t="inlineStr">
        <is>
          <t>PITEÅ</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46196-2023</t>
        </is>
      </c>
      <c r="B6671" s="1" t="n">
        <v>45190</v>
      </c>
      <c r="C6671" s="1" t="n">
        <v>45798</v>
      </c>
      <c r="D6671" t="inlineStr">
        <is>
          <t>NORRBOTTENS LÄN</t>
        </is>
      </c>
      <c r="E6671" t="inlineStr">
        <is>
          <t>KALIX</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46123-2023</t>
        </is>
      </c>
      <c r="B6672" s="1" t="n">
        <v>45190</v>
      </c>
      <c r="C6672" s="1" t="n">
        <v>45798</v>
      </c>
      <c r="D6672" t="inlineStr">
        <is>
          <t>NORRBOTTENS LÄN</t>
        </is>
      </c>
      <c r="E6672" t="inlineStr">
        <is>
          <t>PITEÅ</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46086-2023</t>
        </is>
      </c>
      <c r="B6673" s="1" t="n">
        <v>45190</v>
      </c>
      <c r="C6673" s="1" t="n">
        <v>45798</v>
      </c>
      <c r="D6673" t="inlineStr">
        <is>
          <t>NORRBOTTENS LÄN</t>
        </is>
      </c>
      <c r="E6673" t="inlineStr">
        <is>
          <t>PITEÅ</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46117-2023</t>
        </is>
      </c>
      <c r="B6674" s="1" t="n">
        <v>45190</v>
      </c>
      <c r="C6674" s="1" t="n">
        <v>45798</v>
      </c>
      <c r="D6674" t="inlineStr">
        <is>
          <t>NORRBOTTENS LÄN</t>
        </is>
      </c>
      <c r="E6674" t="inlineStr">
        <is>
          <t>PITEÅ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46128-2023</t>
        </is>
      </c>
      <c r="B6675" s="1" t="n">
        <v>45190</v>
      </c>
      <c r="C6675" s="1" t="n">
        <v>45798</v>
      </c>
      <c r="D6675" t="inlineStr">
        <is>
          <t>NORRBOTTENS LÄN</t>
        </is>
      </c>
      <c r="E6675" t="inlineStr">
        <is>
          <t>ÖVERTORNEÅ</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45100-2023</t>
        </is>
      </c>
      <c r="B6676" s="1" t="n">
        <v>45191</v>
      </c>
      <c r="C6676" s="1" t="n">
        <v>45798</v>
      </c>
      <c r="D6676" t="inlineStr">
        <is>
          <t>NORRBOTTENS LÄN</t>
        </is>
      </c>
      <c r="E6676" t="inlineStr">
        <is>
          <t>ARVIDSJAUR</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45034-2023</t>
        </is>
      </c>
      <c r="B6677" s="1" t="n">
        <v>45191</v>
      </c>
      <c r="C6677" s="1" t="n">
        <v>45798</v>
      </c>
      <c r="D6677" t="inlineStr">
        <is>
          <t>NORRBOTTENS LÄN</t>
        </is>
      </c>
      <c r="E6677" t="inlineStr">
        <is>
          <t>ARVIDSJAUR</t>
        </is>
      </c>
      <c r="F6677" t="inlineStr">
        <is>
          <t>Sveaskog</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45136-2023</t>
        </is>
      </c>
      <c r="B6678" s="1" t="n">
        <v>45191</v>
      </c>
      <c r="C6678" s="1" t="n">
        <v>45798</v>
      </c>
      <c r="D6678" t="inlineStr">
        <is>
          <t>NORRBOTTENS LÄN</t>
        </is>
      </c>
      <c r="E6678" t="inlineStr">
        <is>
          <t>ÄLVSBYN</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45135-2023</t>
        </is>
      </c>
      <c r="B6679" s="1" t="n">
        <v>45191</v>
      </c>
      <c r="C6679" s="1" t="n">
        <v>45798</v>
      </c>
      <c r="D6679" t="inlineStr">
        <is>
          <t>NORRBOTTENS LÄN</t>
        </is>
      </c>
      <c r="E6679" t="inlineStr">
        <is>
          <t>ÄLVSBYN</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45156-2023</t>
        </is>
      </c>
      <c r="B6680" s="1" t="n">
        <v>45191</v>
      </c>
      <c r="C6680" s="1" t="n">
        <v>45798</v>
      </c>
      <c r="D6680" t="inlineStr">
        <is>
          <t>NORRBOTTENS LÄN</t>
        </is>
      </c>
      <c r="E6680" t="inlineStr">
        <is>
          <t>PAJALA</t>
        </is>
      </c>
      <c r="F6680" t="inlineStr">
        <is>
          <t>Sveaskog</t>
        </is>
      </c>
      <c r="G6680" t="n">
        <v>12.3</v>
      </c>
      <c r="H6680" t="n">
        <v>0</v>
      </c>
      <c r="I6680" t="n">
        <v>0</v>
      </c>
      <c r="J6680" t="n">
        <v>0</v>
      </c>
      <c r="K6680" t="n">
        <v>0</v>
      </c>
      <c r="L6680" t="n">
        <v>0</v>
      </c>
      <c r="M6680" t="n">
        <v>0</v>
      </c>
      <c r="N6680" t="n">
        <v>0</v>
      </c>
      <c r="O6680" t="n">
        <v>0</v>
      </c>
      <c r="P6680" t="n">
        <v>0</v>
      </c>
      <c r="Q6680" t="n">
        <v>0</v>
      </c>
      <c r="R6680" s="2" t="inlineStr"/>
    </row>
    <row r="6681" ht="15" customHeight="1">
      <c r="A6681" t="inlineStr">
        <is>
          <t>A 45276-2023</t>
        </is>
      </c>
      <c r="B6681" s="1" t="n">
        <v>45191</v>
      </c>
      <c r="C6681" s="1" t="n">
        <v>45798</v>
      </c>
      <c r="D6681" t="inlineStr">
        <is>
          <t>NORRBOTTENS LÄN</t>
        </is>
      </c>
      <c r="E6681" t="inlineStr">
        <is>
          <t>PAJALA</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45290-2023</t>
        </is>
      </c>
      <c r="B6682" s="1" t="n">
        <v>45191</v>
      </c>
      <c r="C6682" s="1" t="n">
        <v>45798</v>
      </c>
      <c r="D6682" t="inlineStr">
        <is>
          <t>NORRBOTTENS LÄN</t>
        </is>
      </c>
      <c r="E6682" t="inlineStr">
        <is>
          <t>PAJALA</t>
        </is>
      </c>
      <c r="G6682" t="n">
        <v>9.699999999999999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45238-2023</t>
        </is>
      </c>
      <c r="B6683" s="1" t="n">
        <v>45191</v>
      </c>
      <c r="C6683" s="1" t="n">
        <v>45798</v>
      </c>
      <c r="D6683" t="inlineStr">
        <is>
          <t>NORRBOTTENS LÄN</t>
        </is>
      </c>
      <c r="E6683" t="inlineStr">
        <is>
          <t>PAJALA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46232-2023</t>
        </is>
      </c>
      <c r="B6684" s="1" t="n">
        <v>45191</v>
      </c>
      <c r="C6684" s="1" t="n">
        <v>45798</v>
      </c>
      <c r="D6684" t="inlineStr">
        <is>
          <t>NORRBOTTENS LÄN</t>
        </is>
      </c>
      <c r="E6684" t="inlineStr">
        <is>
          <t>BODEN</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46305-2023</t>
        </is>
      </c>
      <c r="B6685" s="1" t="n">
        <v>45191</v>
      </c>
      <c r="C6685" s="1" t="n">
        <v>45798</v>
      </c>
      <c r="D6685" t="inlineStr">
        <is>
          <t>NORRBOTTENS LÄN</t>
        </is>
      </c>
      <c r="E6685" t="inlineStr">
        <is>
          <t>HAPARANDA</t>
        </is>
      </c>
      <c r="G6685" t="n">
        <v>14.9</v>
      </c>
      <c r="H6685" t="n">
        <v>0</v>
      </c>
      <c r="I6685" t="n">
        <v>0</v>
      </c>
      <c r="J6685" t="n">
        <v>0</v>
      </c>
      <c r="K6685" t="n">
        <v>0</v>
      </c>
      <c r="L6685" t="n">
        <v>0</v>
      </c>
      <c r="M6685" t="n">
        <v>0</v>
      </c>
      <c r="N6685" t="n">
        <v>0</v>
      </c>
      <c r="O6685" t="n">
        <v>0</v>
      </c>
      <c r="P6685" t="n">
        <v>0</v>
      </c>
      <c r="Q6685" t="n">
        <v>0</v>
      </c>
      <c r="R6685" s="2" t="inlineStr"/>
    </row>
    <row r="6686" ht="15" customHeight="1">
      <c r="A6686" t="inlineStr">
        <is>
          <t>A 45218-2023</t>
        </is>
      </c>
      <c r="B6686" s="1" t="n">
        <v>45191</v>
      </c>
      <c r="C6686" s="1" t="n">
        <v>45798</v>
      </c>
      <c r="D6686" t="inlineStr">
        <is>
          <t>NORRBOTTENS LÄN</t>
        </is>
      </c>
      <c r="E6686" t="inlineStr">
        <is>
          <t>KALIX</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45283-2023</t>
        </is>
      </c>
      <c r="B6687" s="1" t="n">
        <v>45191</v>
      </c>
      <c r="C6687" s="1" t="n">
        <v>45798</v>
      </c>
      <c r="D6687" t="inlineStr">
        <is>
          <t>NORRBOTTENS LÄN</t>
        </is>
      </c>
      <c r="E6687" t="inlineStr">
        <is>
          <t>PAJALA</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45424-2023</t>
        </is>
      </c>
      <c r="B6688" s="1" t="n">
        <v>45194</v>
      </c>
      <c r="C6688" s="1" t="n">
        <v>45798</v>
      </c>
      <c r="D6688" t="inlineStr">
        <is>
          <t>NORRBOTTENS LÄN</t>
        </is>
      </c>
      <c r="E6688" t="inlineStr">
        <is>
          <t>ÄLVSBYN</t>
        </is>
      </c>
      <c r="F6688" t="inlineStr">
        <is>
          <t>Övriga Aktiebolag</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46404-2023</t>
        </is>
      </c>
      <c r="B6689" s="1" t="n">
        <v>45194</v>
      </c>
      <c r="C6689" s="1" t="n">
        <v>45798</v>
      </c>
      <c r="D6689" t="inlineStr">
        <is>
          <t>NORRBOTTENS LÄN</t>
        </is>
      </c>
      <c r="E6689" t="inlineStr">
        <is>
          <t>ÄLVSBYN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45417-2023</t>
        </is>
      </c>
      <c r="B6690" s="1" t="n">
        <v>45194</v>
      </c>
      <c r="C6690" s="1" t="n">
        <v>45798</v>
      </c>
      <c r="D6690" t="inlineStr">
        <is>
          <t>NORRBOTTENS LÄN</t>
        </is>
      </c>
      <c r="E6690" t="inlineStr">
        <is>
          <t>ÄLVSBYN</t>
        </is>
      </c>
      <c r="F6690" t="inlineStr">
        <is>
          <t>Övriga Aktiebolag</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45446-2023</t>
        </is>
      </c>
      <c r="B6691" s="1" t="n">
        <v>45194</v>
      </c>
      <c r="C6691" s="1" t="n">
        <v>45798</v>
      </c>
      <c r="D6691" t="inlineStr">
        <is>
          <t>NORRBOTTENS LÄN</t>
        </is>
      </c>
      <c r="E6691" t="inlineStr">
        <is>
          <t>BODEN</t>
        </is>
      </c>
      <c r="F6691" t="inlineStr">
        <is>
          <t>Sveaskog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45454-2023</t>
        </is>
      </c>
      <c r="B6692" s="1" t="n">
        <v>45194</v>
      </c>
      <c r="C6692" s="1" t="n">
        <v>45798</v>
      </c>
      <c r="D6692" t="inlineStr">
        <is>
          <t>NORRBOTTENS LÄN</t>
        </is>
      </c>
      <c r="E6692" t="inlineStr">
        <is>
          <t>BODEN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45543-2023</t>
        </is>
      </c>
      <c r="B6693" s="1" t="n">
        <v>45194</v>
      </c>
      <c r="C6693" s="1" t="n">
        <v>45798</v>
      </c>
      <c r="D6693" t="inlineStr">
        <is>
          <t>NORRBOTTENS LÄN</t>
        </is>
      </c>
      <c r="E6693" t="inlineStr">
        <is>
          <t>KIRUNA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46406-2023</t>
        </is>
      </c>
      <c r="B6694" s="1" t="n">
        <v>45194</v>
      </c>
      <c r="C6694" s="1" t="n">
        <v>45798</v>
      </c>
      <c r="D6694" t="inlineStr">
        <is>
          <t>NORRBOTTENS LÄN</t>
        </is>
      </c>
      <c r="E6694" t="inlineStr">
        <is>
          <t>ÄLVSBYN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45448-2023</t>
        </is>
      </c>
      <c r="B6695" s="1" t="n">
        <v>45194</v>
      </c>
      <c r="C6695" s="1" t="n">
        <v>45798</v>
      </c>
      <c r="D6695" t="inlineStr">
        <is>
          <t>NORRBOTTENS LÄN</t>
        </is>
      </c>
      <c r="E6695" t="inlineStr">
        <is>
          <t>BODEN</t>
        </is>
      </c>
      <c r="F6695" t="inlineStr">
        <is>
          <t>Sveaskog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46651-2023</t>
        </is>
      </c>
      <c r="B6696" s="1" t="n">
        <v>45194</v>
      </c>
      <c r="C6696" s="1" t="n">
        <v>45798</v>
      </c>
      <c r="D6696" t="inlineStr">
        <is>
          <t>NORRBOTTENS LÄN</t>
        </is>
      </c>
      <c r="E6696" t="inlineStr">
        <is>
          <t>ÖVERTORNEÅ</t>
        </is>
      </c>
      <c r="G6696" t="n">
        <v>10.1</v>
      </c>
      <c r="H6696" t="n">
        <v>0</v>
      </c>
      <c r="I6696" t="n">
        <v>0</v>
      </c>
      <c r="J6696" t="n">
        <v>0</v>
      </c>
      <c r="K6696" t="n">
        <v>0</v>
      </c>
      <c r="L6696" t="n">
        <v>0</v>
      </c>
      <c r="M6696" t="n">
        <v>0</v>
      </c>
      <c r="N6696" t="n">
        <v>0</v>
      </c>
      <c r="O6696" t="n">
        <v>0</v>
      </c>
      <c r="P6696" t="n">
        <v>0</v>
      </c>
      <c r="Q6696" t="n">
        <v>0</v>
      </c>
      <c r="R6696" s="2" t="inlineStr"/>
    </row>
    <row r="6697" ht="15" customHeight="1">
      <c r="A6697" t="inlineStr">
        <is>
          <t>A 45537-2023</t>
        </is>
      </c>
      <c r="B6697" s="1" t="n">
        <v>45194</v>
      </c>
      <c r="C6697" s="1" t="n">
        <v>45798</v>
      </c>
      <c r="D6697" t="inlineStr">
        <is>
          <t>NORRBOTTENS LÄN</t>
        </is>
      </c>
      <c r="E6697" t="inlineStr">
        <is>
          <t>KIRUNA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46711-2023</t>
        </is>
      </c>
      <c r="B6698" s="1" t="n">
        <v>45194</v>
      </c>
      <c r="C6698" s="1" t="n">
        <v>45798</v>
      </c>
      <c r="D6698" t="inlineStr">
        <is>
          <t>NORRBOTTENS LÄN</t>
        </is>
      </c>
      <c r="E6698" t="inlineStr">
        <is>
          <t>LULEÅ</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46587-2023</t>
        </is>
      </c>
      <c r="B6699" s="1" t="n">
        <v>45194</v>
      </c>
      <c r="C6699" s="1" t="n">
        <v>45798</v>
      </c>
      <c r="D6699" t="inlineStr">
        <is>
          <t>NORRBOTTENS LÄN</t>
        </is>
      </c>
      <c r="E6699" t="inlineStr">
        <is>
          <t>LULEÅ</t>
        </is>
      </c>
      <c r="G6699" t="n">
        <v>15.3</v>
      </c>
      <c r="H6699" t="n">
        <v>0</v>
      </c>
      <c r="I6699" t="n">
        <v>0</v>
      </c>
      <c r="J6699" t="n">
        <v>0</v>
      </c>
      <c r="K6699" t="n">
        <v>0</v>
      </c>
      <c r="L6699" t="n">
        <v>0</v>
      </c>
      <c r="M6699" t="n">
        <v>0</v>
      </c>
      <c r="N6699" t="n">
        <v>0</v>
      </c>
      <c r="O6699" t="n">
        <v>0</v>
      </c>
      <c r="P6699" t="n">
        <v>0</v>
      </c>
      <c r="Q6699" t="n">
        <v>0</v>
      </c>
      <c r="R6699" s="2" t="inlineStr"/>
    </row>
    <row r="6700" ht="15" customHeight="1">
      <c r="A6700" t="inlineStr">
        <is>
          <t>A 46666-2023</t>
        </is>
      </c>
      <c r="B6700" s="1" t="n">
        <v>45194</v>
      </c>
      <c r="C6700" s="1" t="n">
        <v>45798</v>
      </c>
      <c r="D6700" t="inlineStr">
        <is>
          <t>NORRBOTTENS LÄN</t>
        </is>
      </c>
      <c r="E6700" t="inlineStr">
        <is>
          <t>ÖVERTORNEÅ</t>
        </is>
      </c>
      <c r="G6700" t="n">
        <v>10.9</v>
      </c>
      <c r="H6700" t="n">
        <v>0</v>
      </c>
      <c r="I6700" t="n">
        <v>0</v>
      </c>
      <c r="J6700" t="n">
        <v>0</v>
      </c>
      <c r="K6700" t="n">
        <v>0</v>
      </c>
      <c r="L6700" t="n">
        <v>0</v>
      </c>
      <c r="M6700" t="n">
        <v>0</v>
      </c>
      <c r="N6700" t="n">
        <v>0</v>
      </c>
      <c r="O6700" t="n">
        <v>0</v>
      </c>
      <c r="P6700" t="n">
        <v>0</v>
      </c>
      <c r="Q6700" t="n">
        <v>0</v>
      </c>
      <c r="R6700" s="2" t="inlineStr"/>
    </row>
    <row r="6701" ht="15" customHeight="1">
      <c r="A6701" t="inlineStr">
        <is>
          <t>A 46644-2023</t>
        </is>
      </c>
      <c r="B6701" s="1" t="n">
        <v>45194</v>
      </c>
      <c r="C6701" s="1" t="n">
        <v>45798</v>
      </c>
      <c r="D6701" t="inlineStr">
        <is>
          <t>NORRBOTTENS LÄN</t>
        </is>
      </c>
      <c r="E6701" t="inlineStr">
        <is>
          <t>ÖVERTORNEÅ</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46720-2023</t>
        </is>
      </c>
      <c r="B6702" s="1" t="n">
        <v>45194</v>
      </c>
      <c r="C6702" s="1" t="n">
        <v>45798</v>
      </c>
      <c r="D6702" t="inlineStr">
        <is>
          <t>NORRBOTTENS LÄN</t>
        </is>
      </c>
      <c r="E6702" t="inlineStr">
        <is>
          <t>LULEÅ</t>
        </is>
      </c>
      <c r="G6702" t="n">
        <v>0.7</v>
      </c>
      <c r="H6702" t="n">
        <v>0</v>
      </c>
      <c r="I6702" t="n">
        <v>0</v>
      </c>
      <c r="J6702" t="n">
        <v>0</v>
      </c>
      <c r="K6702" t="n">
        <v>0</v>
      </c>
      <c r="L6702" t="n">
        <v>0</v>
      </c>
      <c r="M6702" t="n">
        <v>0</v>
      </c>
      <c r="N6702" t="n">
        <v>0</v>
      </c>
      <c r="O6702" t="n">
        <v>0</v>
      </c>
      <c r="P6702" t="n">
        <v>0</v>
      </c>
      <c r="Q6702" t="n">
        <v>0</v>
      </c>
      <c r="R6702" s="2" t="inlineStr"/>
      <c r="U6702">
        <f>HYPERLINK("https://klasma.github.io/Logging_2580/knärot/A 46720-2023 karta knärot.png", "A 46720-2023")</f>
        <v/>
      </c>
      <c r="V6702">
        <f>HYPERLINK("https://klasma.github.io/Logging_2580/klagomål/A 46720-2023 FSC-klagomål.docx", "A 46720-2023")</f>
        <v/>
      </c>
      <c r="W6702">
        <f>HYPERLINK("https://klasma.github.io/Logging_2580/klagomålsmail/A 46720-2023 FSC-klagomål mail.docx", "A 46720-2023")</f>
        <v/>
      </c>
      <c r="X6702">
        <f>HYPERLINK("https://klasma.github.io/Logging_2580/tillsyn/A 46720-2023 tillsynsbegäran.docx", "A 46720-2023")</f>
        <v/>
      </c>
      <c r="Y6702">
        <f>HYPERLINK("https://klasma.github.io/Logging_2580/tillsynsmail/A 46720-2023 tillsynsbegäran mail.docx", "A 46720-2023")</f>
        <v/>
      </c>
    </row>
    <row r="6703" ht="15" customHeight="1">
      <c r="A6703" t="inlineStr">
        <is>
          <t>A 46671-2023</t>
        </is>
      </c>
      <c r="B6703" s="1" t="n">
        <v>45194</v>
      </c>
      <c r="C6703" s="1" t="n">
        <v>45798</v>
      </c>
      <c r="D6703" t="inlineStr">
        <is>
          <t>NORRBOTTENS LÄN</t>
        </is>
      </c>
      <c r="E6703" t="inlineStr">
        <is>
          <t>ÖVERTORNEÅ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45781-2023</t>
        </is>
      </c>
      <c r="B6704" s="1" t="n">
        <v>45195</v>
      </c>
      <c r="C6704" s="1" t="n">
        <v>45798</v>
      </c>
      <c r="D6704" t="inlineStr">
        <is>
          <t>NORRBOTTENS LÄN</t>
        </is>
      </c>
      <c r="E6704" t="inlineStr">
        <is>
          <t>PAJALA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45845-2023</t>
        </is>
      </c>
      <c r="B6705" s="1" t="n">
        <v>45195</v>
      </c>
      <c r="C6705" s="1" t="n">
        <v>45798</v>
      </c>
      <c r="D6705" t="inlineStr">
        <is>
          <t>NORRBOTTENS LÄN</t>
        </is>
      </c>
      <c r="E6705" t="inlineStr">
        <is>
          <t>ÖVERKALIX</t>
        </is>
      </c>
      <c r="F6705" t="inlineStr">
        <is>
          <t>Sveaskog</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45929-2023</t>
        </is>
      </c>
      <c r="B6706" s="1" t="n">
        <v>45196</v>
      </c>
      <c r="C6706" s="1" t="n">
        <v>45798</v>
      </c>
      <c r="D6706" t="inlineStr">
        <is>
          <t>NORRBOTTENS LÄN</t>
        </is>
      </c>
      <c r="E6706" t="inlineStr">
        <is>
          <t>BODEN</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45930-2023</t>
        </is>
      </c>
      <c r="B6707" s="1" t="n">
        <v>45196</v>
      </c>
      <c r="C6707" s="1" t="n">
        <v>45798</v>
      </c>
      <c r="D6707" t="inlineStr">
        <is>
          <t>NORRBOTTENS LÄN</t>
        </is>
      </c>
      <c r="E6707" t="inlineStr">
        <is>
          <t>BODEN</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45962-2023</t>
        </is>
      </c>
      <c r="B6708" s="1" t="n">
        <v>45195</v>
      </c>
      <c r="C6708" s="1" t="n">
        <v>45798</v>
      </c>
      <c r="D6708" t="inlineStr">
        <is>
          <t>NORRBOTTENS LÄN</t>
        </is>
      </c>
      <c r="E6708" t="inlineStr">
        <is>
          <t>ARVIDSJAUR</t>
        </is>
      </c>
      <c r="F6708" t="inlineStr">
        <is>
          <t>SCA</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45934-2023</t>
        </is>
      </c>
      <c r="B6709" s="1" t="n">
        <v>45196</v>
      </c>
      <c r="C6709" s="1" t="n">
        <v>45798</v>
      </c>
      <c r="D6709" t="inlineStr">
        <is>
          <t>NORRBOTTENS LÄN</t>
        </is>
      </c>
      <c r="E6709" t="inlineStr">
        <is>
          <t>ÖVERKALIX</t>
        </is>
      </c>
      <c r="F6709" t="inlineStr">
        <is>
          <t>SCA</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45961-2023</t>
        </is>
      </c>
      <c r="B6710" s="1" t="n">
        <v>45195</v>
      </c>
      <c r="C6710" s="1" t="n">
        <v>45798</v>
      </c>
      <c r="D6710" t="inlineStr">
        <is>
          <t>NORRBOTTENS LÄN</t>
        </is>
      </c>
      <c r="E6710" t="inlineStr">
        <is>
          <t>ARVIDSJAUR</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46670-2023</t>
        </is>
      </c>
      <c r="B6711" s="1" t="n">
        <v>45195</v>
      </c>
      <c r="C6711" s="1" t="n">
        <v>45798</v>
      </c>
      <c r="D6711" t="inlineStr">
        <is>
          <t>NORRBOTTENS LÄN</t>
        </is>
      </c>
      <c r="E6711" t="inlineStr">
        <is>
          <t>KALIX</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46986-2023</t>
        </is>
      </c>
      <c r="B6712" s="1" t="n">
        <v>45195</v>
      </c>
      <c r="C6712" s="1" t="n">
        <v>45798</v>
      </c>
      <c r="D6712" t="inlineStr">
        <is>
          <t>NORRBOTTENS LÄN</t>
        </is>
      </c>
      <c r="E6712" t="inlineStr">
        <is>
          <t>KALIX</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45931-2023</t>
        </is>
      </c>
      <c r="B6713" s="1" t="n">
        <v>45196</v>
      </c>
      <c r="C6713" s="1" t="n">
        <v>45798</v>
      </c>
      <c r="D6713" t="inlineStr">
        <is>
          <t>NORRBOTTENS LÄN</t>
        </is>
      </c>
      <c r="E6713" t="inlineStr">
        <is>
          <t>BODEN</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45935-2023</t>
        </is>
      </c>
      <c r="B6714" s="1" t="n">
        <v>45196</v>
      </c>
      <c r="C6714" s="1" t="n">
        <v>45798</v>
      </c>
      <c r="D6714" t="inlineStr">
        <is>
          <t>NORRBOTTENS LÄN</t>
        </is>
      </c>
      <c r="E6714" t="inlineStr">
        <is>
          <t>ÖVERKALIX</t>
        </is>
      </c>
      <c r="F6714" t="inlineStr">
        <is>
          <t>SCA</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45960-2023</t>
        </is>
      </c>
      <c r="B6715" s="1" t="n">
        <v>45195</v>
      </c>
      <c r="C6715" s="1" t="n">
        <v>45798</v>
      </c>
      <c r="D6715" t="inlineStr">
        <is>
          <t>NORRBOTTENS LÄN</t>
        </is>
      </c>
      <c r="E6715" t="inlineStr">
        <is>
          <t>ARVIDSJAUR</t>
        </is>
      </c>
      <c r="F6715" t="inlineStr">
        <is>
          <t>SCA</t>
        </is>
      </c>
      <c r="G6715" t="n">
        <v>12.3</v>
      </c>
      <c r="H6715" t="n">
        <v>0</v>
      </c>
      <c r="I6715" t="n">
        <v>0</v>
      </c>
      <c r="J6715" t="n">
        <v>0</v>
      </c>
      <c r="K6715" t="n">
        <v>0</v>
      </c>
      <c r="L6715" t="n">
        <v>0</v>
      </c>
      <c r="M6715" t="n">
        <v>0</v>
      </c>
      <c r="N6715" t="n">
        <v>0</v>
      </c>
      <c r="O6715" t="n">
        <v>0</v>
      </c>
      <c r="P6715" t="n">
        <v>0</v>
      </c>
      <c r="Q6715" t="n">
        <v>0</v>
      </c>
      <c r="R6715" s="2" t="inlineStr"/>
    </row>
    <row r="6716" ht="15" customHeight="1">
      <c r="A6716" t="inlineStr">
        <is>
          <t>A 46966-2023</t>
        </is>
      </c>
      <c r="B6716" s="1" t="n">
        <v>45195</v>
      </c>
      <c r="C6716" s="1" t="n">
        <v>45798</v>
      </c>
      <c r="D6716" t="inlineStr">
        <is>
          <t>NORRBOTTENS LÄN</t>
        </is>
      </c>
      <c r="E6716" t="inlineStr">
        <is>
          <t>KALIX</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46999-2023</t>
        </is>
      </c>
      <c r="B6717" s="1" t="n">
        <v>45196</v>
      </c>
      <c r="C6717" s="1" t="n">
        <v>45798</v>
      </c>
      <c r="D6717" t="inlineStr">
        <is>
          <t>NORRBOTTENS LÄN</t>
        </is>
      </c>
      <c r="E6717" t="inlineStr">
        <is>
          <t>BODEN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46056-2023</t>
        </is>
      </c>
      <c r="B6718" s="1" t="n">
        <v>45196</v>
      </c>
      <c r="C6718" s="1" t="n">
        <v>45798</v>
      </c>
      <c r="D6718" t="inlineStr">
        <is>
          <t>NORRBOTTENS LÄN</t>
        </is>
      </c>
      <c r="E6718" t="inlineStr">
        <is>
          <t>GÄLLIVARE</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46277-2023</t>
        </is>
      </c>
      <c r="B6719" s="1" t="n">
        <v>45196</v>
      </c>
      <c r="C6719" s="1" t="n">
        <v>45798</v>
      </c>
      <c r="D6719" t="inlineStr">
        <is>
          <t>NORRBOTTENS LÄN</t>
        </is>
      </c>
      <c r="E6719" t="inlineStr">
        <is>
          <t>BODEN</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46271-2023</t>
        </is>
      </c>
      <c r="B6720" s="1" t="n">
        <v>45196</v>
      </c>
      <c r="C6720" s="1" t="n">
        <v>45798</v>
      </c>
      <c r="D6720" t="inlineStr">
        <is>
          <t>NORRBOTTENS LÄN</t>
        </is>
      </c>
      <c r="E6720" t="inlineStr">
        <is>
          <t>GÄLLIVARE</t>
        </is>
      </c>
      <c r="F6720" t="inlineStr">
        <is>
          <t>SCA</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47239-2023</t>
        </is>
      </c>
      <c r="B6721" s="1" t="n">
        <v>45196</v>
      </c>
      <c r="C6721" s="1" t="n">
        <v>45798</v>
      </c>
      <c r="D6721" t="inlineStr">
        <is>
          <t>NORRBOTTENS LÄN</t>
        </is>
      </c>
      <c r="E6721" t="inlineStr">
        <is>
          <t>GÄLLIVARE</t>
        </is>
      </c>
      <c r="F6721" t="inlineStr">
        <is>
          <t>Övriga statliga verk och myndigheter</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47102-2023</t>
        </is>
      </c>
      <c r="B6722" s="1" t="n">
        <v>45196</v>
      </c>
      <c r="C6722" s="1" t="n">
        <v>45798</v>
      </c>
      <c r="D6722" t="inlineStr">
        <is>
          <t>NORRBOTTENS LÄN</t>
        </is>
      </c>
      <c r="E6722" t="inlineStr">
        <is>
          <t>PAJALA</t>
        </is>
      </c>
      <c r="G6722" t="n">
        <v>27.5</v>
      </c>
      <c r="H6722" t="n">
        <v>0</v>
      </c>
      <c r="I6722" t="n">
        <v>0</v>
      </c>
      <c r="J6722" t="n">
        <v>0</v>
      </c>
      <c r="K6722" t="n">
        <v>0</v>
      </c>
      <c r="L6722" t="n">
        <v>0</v>
      </c>
      <c r="M6722" t="n">
        <v>0</v>
      </c>
      <c r="N6722" t="n">
        <v>0</v>
      </c>
      <c r="O6722" t="n">
        <v>0</v>
      </c>
      <c r="P6722" t="n">
        <v>0</v>
      </c>
      <c r="Q6722" t="n">
        <v>0</v>
      </c>
      <c r="R6722" s="2" t="inlineStr"/>
    </row>
    <row r="6723" ht="15" customHeight="1">
      <c r="A6723" t="inlineStr">
        <is>
          <t>A 47126-2023</t>
        </is>
      </c>
      <c r="B6723" s="1" t="n">
        <v>45196</v>
      </c>
      <c r="C6723" s="1" t="n">
        <v>45798</v>
      </c>
      <c r="D6723" t="inlineStr">
        <is>
          <t>NORRBOTTENS LÄN</t>
        </is>
      </c>
      <c r="E6723" t="inlineStr">
        <is>
          <t>PAJALA</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47207-2023</t>
        </is>
      </c>
      <c r="B6724" s="1" t="n">
        <v>45196</v>
      </c>
      <c r="C6724" s="1" t="n">
        <v>45798</v>
      </c>
      <c r="D6724" t="inlineStr">
        <is>
          <t>NORRBOTTENS LÄN</t>
        </is>
      </c>
      <c r="E6724" t="inlineStr">
        <is>
          <t>PITEÅ</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46276-2023</t>
        </is>
      </c>
      <c r="B6725" s="1" t="n">
        <v>45197</v>
      </c>
      <c r="C6725" s="1" t="n">
        <v>45798</v>
      </c>
      <c r="D6725" t="inlineStr">
        <is>
          <t>NORRBOTTENS LÄN</t>
        </is>
      </c>
      <c r="E6725" t="inlineStr">
        <is>
          <t>BODEN</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46301-2023</t>
        </is>
      </c>
      <c r="B6726" s="1" t="n">
        <v>45197</v>
      </c>
      <c r="C6726" s="1" t="n">
        <v>45798</v>
      </c>
      <c r="D6726" t="inlineStr">
        <is>
          <t>NORRBOTTENS LÄN</t>
        </is>
      </c>
      <c r="E6726" t="inlineStr">
        <is>
          <t>HAPARANDA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46334-2023</t>
        </is>
      </c>
      <c r="B6727" s="1" t="n">
        <v>45197</v>
      </c>
      <c r="C6727" s="1" t="n">
        <v>45798</v>
      </c>
      <c r="D6727" t="inlineStr">
        <is>
          <t>NORRBOTTENS LÄN</t>
        </is>
      </c>
      <c r="E6727" t="inlineStr">
        <is>
          <t>GÄLLIVARE</t>
        </is>
      </c>
      <c r="F6727" t="inlineStr">
        <is>
          <t>Sveaskog</t>
        </is>
      </c>
      <c r="G6727" t="n">
        <v>22.9</v>
      </c>
      <c r="H6727" t="n">
        <v>0</v>
      </c>
      <c r="I6727" t="n">
        <v>0</v>
      </c>
      <c r="J6727" t="n">
        <v>0</v>
      </c>
      <c r="K6727" t="n">
        <v>0</v>
      </c>
      <c r="L6727" t="n">
        <v>0</v>
      </c>
      <c r="M6727" t="n">
        <v>0</v>
      </c>
      <c r="N6727" t="n">
        <v>0</v>
      </c>
      <c r="O6727" t="n">
        <v>0</v>
      </c>
      <c r="P6727" t="n">
        <v>0</v>
      </c>
      <c r="Q6727" t="n">
        <v>0</v>
      </c>
      <c r="R6727" s="2" t="inlineStr"/>
    </row>
    <row r="6728" ht="15" customHeight="1">
      <c r="A6728" t="inlineStr">
        <is>
          <t>A 46455-2023</t>
        </is>
      </c>
      <c r="B6728" s="1" t="n">
        <v>45197</v>
      </c>
      <c r="C6728" s="1" t="n">
        <v>45798</v>
      </c>
      <c r="D6728" t="inlineStr">
        <is>
          <t>NORRBOTTENS LÄN</t>
        </is>
      </c>
      <c r="E6728" t="inlineStr">
        <is>
          <t>JOKKMOKK</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46362-2023</t>
        </is>
      </c>
      <c r="B6729" s="1" t="n">
        <v>45197</v>
      </c>
      <c r="C6729" s="1" t="n">
        <v>45798</v>
      </c>
      <c r="D6729" t="inlineStr">
        <is>
          <t>NORRBOTTENS LÄN</t>
        </is>
      </c>
      <c r="E6729" t="inlineStr">
        <is>
          <t>KALIX</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46442-2023</t>
        </is>
      </c>
      <c r="B6730" s="1" t="n">
        <v>45197</v>
      </c>
      <c r="C6730" s="1" t="n">
        <v>45798</v>
      </c>
      <c r="D6730" t="inlineStr">
        <is>
          <t>NORRBOTTENS LÄN</t>
        </is>
      </c>
      <c r="E6730" t="inlineStr">
        <is>
          <t>JOKKMOKK</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46478-2023</t>
        </is>
      </c>
      <c r="B6731" s="1" t="n">
        <v>45197</v>
      </c>
      <c r="C6731" s="1" t="n">
        <v>45798</v>
      </c>
      <c r="D6731" t="inlineStr">
        <is>
          <t>NORRBOTTENS LÄN</t>
        </is>
      </c>
      <c r="E6731" t="inlineStr">
        <is>
          <t>GÄLLIVARE</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46418-2023</t>
        </is>
      </c>
      <c r="B6732" s="1" t="n">
        <v>45197</v>
      </c>
      <c r="C6732" s="1" t="n">
        <v>45798</v>
      </c>
      <c r="D6732" t="inlineStr">
        <is>
          <t>NORRBOTTENS LÄN</t>
        </is>
      </c>
      <c r="E6732" t="inlineStr">
        <is>
          <t>JOKKMOKK</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46474-2023</t>
        </is>
      </c>
      <c r="B6733" s="1" t="n">
        <v>45197</v>
      </c>
      <c r="C6733" s="1" t="n">
        <v>45798</v>
      </c>
      <c r="D6733" t="inlineStr">
        <is>
          <t>NORRBOTTENS LÄN</t>
        </is>
      </c>
      <c r="E6733" t="inlineStr">
        <is>
          <t>GÄLLIVARE</t>
        </is>
      </c>
      <c r="G6733" t="n">
        <v>42.7</v>
      </c>
      <c r="H6733" t="n">
        <v>0</v>
      </c>
      <c r="I6733" t="n">
        <v>0</v>
      </c>
      <c r="J6733" t="n">
        <v>0</v>
      </c>
      <c r="K6733" t="n">
        <v>0</v>
      </c>
      <c r="L6733" t="n">
        <v>0</v>
      </c>
      <c r="M6733" t="n">
        <v>0</v>
      </c>
      <c r="N6733" t="n">
        <v>0</v>
      </c>
      <c r="O6733" t="n">
        <v>0</v>
      </c>
      <c r="P6733" t="n">
        <v>0</v>
      </c>
      <c r="Q6733" t="n">
        <v>0</v>
      </c>
      <c r="R6733" s="2" t="inlineStr"/>
    </row>
    <row r="6734" ht="15" customHeight="1">
      <c r="A6734" t="inlineStr">
        <is>
          <t>A 46484-2023</t>
        </is>
      </c>
      <c r="B6734" s="1" t="n">
        <v>45197</v>
      </c>
      <c r="C6734" s="1" t="n">
        <v>45798</v>
      </c>
      <c r="D6734" t="inlineStr">
        <is>
          <t>NORRBOTTENS LÄN</t>
        </is>
      </c>
      <c r="E6734" t="inlineStr">
        <is>
          <t>GÄLLIVARE</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47437-2023</t>
        </is>
      </c>
      <c r="B6735" s="1" t="n">
        <v>45197</v>
      </c>
      <c r="C6735" s="1" t="n">
        <v>45798</v>
      </c>
      <c r="D6735" t="inlineStr">
        <is>
          <t>NORRBOTTENS LÄN</t>
        </is>
      </c>
      <c r="E6735" t="inlineStr">
        <is>
          <t>ÄLVSBYN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47557-2023</t>
        </is>
      </c>
      <c r="B6736" s="1" t="n">
        <v>45197</v>
      </c>
      <c r="C6736" s="1" t="n">
        <v>45798</v>
      </c>
      <c r="D6736" t="inlineStr">
        <is>
          <t>NORRBOTTENS LÄN</t>
        </is>
      </c>
      <c r="E6736" t="inlineStr">
        <is>
          <t>PITEÅ</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47441-2023</t>
        </is>
      </c>
      <c r="B6737" s="1" t="n">
        <v>45197</v>
      </c>
      <c r="C6737" s="1" t="n">
        <v>45798</v>
      </c>
      <c r="D6737" t="inlineStr">
        <is>
          <t>NORRBOTTENS LÄN</t>
        </is>
      </c>
      <c r="E6737" t="inlineStr">
        <is>
          <t>ÄLVSBYN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47547-2023</t>
        </is>
      </c>
      <c r="B6738" s="1" t="n">
        <v>45197</v>
      </c>
      <c r="C6738" s="1" t="n">
        <v>45798</v>
      </c>
      <c r="D6738" t="inlineStr">
        <is>
          <t>NORRBOTTENS LÄN</t>
        </is>
      </c>
      <c r="E6738" t="inlineStr">
        <is>
          <t>PITEÅ</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46608-2023</t>
        </is>
      </c>
      <c r="B6739" s="1" t="n">
        <v>45198</v>
      </c>
      <c r="C6739" s="1" t="n">
        <v>45798</v>
      </c>
      <c r="D6739" t="inlineStr">
        <is>
          <t>NORRBOTTENS LÄN</t>
        </is>
      </c>
      <c r="E6739" t="inlineStr">
        <is>
          <t>KALIX</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46704-2023</t>
        </is>
      </c>
      <c r="B6740" s="1" t="n">
        <v>45198</v>
      </c>
      <c r="C6740" s="1" t="n">
        <v>45798</v>
      </c>
      <c r="D6740" t="inlineStr">
        <is>
          <t>NORRBOTTENS LÄN</t>
        </is>
      </c>
      <c r="E6740" t="inlineStr">
        <is>
          <t>LULEÅ</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46723-2023</t>
        </is>
      </c>
      <c r="B6741" s="1" t="n">
        <v>45198</v>
      </c>
      <c r="C6741" s="1" t="n">
        <v>45798</v>
      </c>
      <c r="D6741" t="inlineStr">
        <is>
          <t>NORRBOTTENS LÄN</t>
        </is>
      </c>
      <c r="E6741" t="inlineStr">
        <is>
          <t>PITEÅ</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46765-2023</t>
        </is>
      </c>
      <c r="B6742" s="1" t="n">
        <v>45198</v>
      </c>
      <c r="C6742" s="1" t="n">
        <v>45798</v>
      </c>
      <c r="D6742" t="inlineStr">
        <is>
          <t>NORRBOTTENS LÄN</t>
        </is>
      </c>
      <c r="E6742" t="inlineStr">
        <is>
          <t>KALIX</t>
        </is>
      </c>
      <c r="F6742" t="inlineStr">
        <is>
          <t>Sveaskog</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47613-2023</t>
        </is>
      </c>
      <c r="B6743" s="1" t="n">
        <v>45198</v>
      </c>
      <c r="C6743" s="1" t="n">
        <v>45798</v>
      </c>
      <c r="D6743" t="inlineStr">
        <is>
          <t>NORRBOTTENS LÄN</t>
        </is>
      </c>
      <c r="E6743" t="inlineStr">
        <is>
          <t>GÄLLIVARE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46854-2023</t>
        </is>
      </c>
      <c r="B6744" s="1" t="n">
        <v>45199</v>
      </c>
      <c r="C6744" s="1" t="n">
        <v>45798</v>
      </c>
      <c r="D6744" t="inlineStr">
        <is>
          <t>NORRBOTTENS LÄN</t>
        </is>
      </c>
      <c r="E6744" t="inlineStr">
        <is>
          <t>GÄLLIVARE</t>
        </is>
      </c>
      <c r="F6744" t="inlineStr">
        <is>
          <t>SCA</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46857-2023</t>
        </is>
      </c>
      <c r="B6745" s="1" t="n">
        <v>45200</v>
      </c>
      <c r="C6745" s="1" t="n">
        <v>45798</v>
      </c>
      <c r="D6745" t="inlineStr">
        <is>
          <t>NORRBOTTENS LÄN</t>
        </is>
      </c>
      <c r="E6745" t="inlineStr">
        <is>
          <t>GÄLLIVARE</t>
        </is>
      </c>
      <c r="F6745" t="inlineStr">
        <is>
          <t>SCA</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46855-2023</t>
        </is>
      </c>
      <c r="B6746" s="1" t="n">
        <v>45199</v>
      </c>
      <c r="C6746" s="1" t="n">
        <v>45798</v>
      </c>
      <c r="D6746" t="inlineStr">
        <is>
          <t>NORRBOTTENS LÄN</t>
        </is>
      </c>
      <c r="E6746" t="inlineStr">
        <is>
          <t>GÄLLIVARE</t>
        </is>
      </c>
      <c r="F6746" t="inlineStr">
        <is>
          <t>SCA</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47162-2023</t>
        </is>
      </c>
      <c r="B6747" s="1" t="n">
        <v>45201</v>
      </c>
      <c r="C6747" s="1" t="n">
        <v>45798</v>
      </c>
      <c r="D6747" t="inlineStr">
        <is>
          <t>NORRBOTTENS LÄN</t>
        </is>
      </c>
      <c r="E6747" t="inlineStr">
        <is>
          <t>GÄLLIVARE</t>
        </is>
      </c>
      <c r="F6747" t="inlineStr">
        <is>
          <t>SCA</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47166-2023</t>
        </is>
      </c>
      <c r="B6748" s="1" t="n">
        <v>45201</v>
      </c>
      <c r="C6748" s="1" t="n">
        <v>45798</v>
      </c>
      <c r="D6748" t="inlineStr">
        <is>
          <t>NORRBOTTENS LÄN</t>
        </is>
      </c>
      <c r="E6748" t="inlineStr">
        <is>
          <t>GÄLLIVARE</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46909-2023</t>
        </is>
      </c>
      <c r="B6749" s="1" t="n">
        <v>45201</v>
      </c>
      <c r="C6749" s="1" t="n">
        <v>45798</v>
      </c>
      <c r="D6749" t="inlineStr">
        <is>
          <t>NORRBOTTENS LÄN</t>
        </is>
      </c>
      <c r="E6749" t="inlineStr">
        <is>
          <t>BODEN</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46926-2023</t>
        </is>
      </c>
      <c r="B6750" s="1" t="n">
        <v>45201</v>
      </c>
      <c r="C6750" s="1" t="n">
        <v>45798</v>
      </c>
      <c r="D6750" t="inlineStr">
        <is>
          <t>NORRBOTTENS LÄN</t>
        </is>
      </c>
      <c r="E6750" t="inlineStr">
        <is>
          <t>BODEN</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47048-2023</t>
        </is>
      </c>
      <c r="B6751" s="1" t="n">
        <v>45201</v>
      </c>
      <c r="C6751" s="1" t="n">
        <v>45798</v>
      </c>
      <c r="D6751" t="inlineStr">
        <is>
          <t>NORRBOTTENS LÄN</t>
        </is>
      </c>
      <c r="E6751" t="inlineStr">
        <is>
          <t>GÄLLIVARE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47053-2023</t>
        </is>
      </c>
      <c r="B6752" s="1" t="n">
        <v>45201</v>
      </c>
      <c r="C6752" s="1" t="n">
        <v>45798</v>
      </c>
      <c r="D6752" t="inlineStr">
        <is>
          <t>NORRBOTTENS LÄN</t>
        </is>
      </c>
      <c r="E6752" t="inlineStr">
        <is>
          <t>PITEÅ</t>
        </is>
      </c>
      <c r="F6752" t="inlineStr">
        <is>
          <t>Övriga Aktiebolag</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47082-2023</t>
        </is>
      </c>
      <c r="B6753" s="1" t="n">
        <v>45201</v>
      </c>
      <c r="C6753" s="1" t="n">
        <v>45798</v>
      </c>
      <c r="D6753" t="inlineStr">
        <is>
          <t>NORRBOTTENS LÄN</t>
        </is>
      </c>
      <c r="E6753" t="inlineStr">
        <is>
          <t>ÖVERTORNEÅ</t>
        </is>
      </c>
      <c r="G6753" t="n">
        <v>9.800000000000001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46895-2023</t>
        </is>
      </c>
      <c r="B6754" s="1" t="n">
        <v>45201</v>
      </c>
      <c r="C6754" s="1" t="n">
        <v>45798</v>
      </c>
      <c r="D6754" t="inlineStr">
        <is>
          <t>NORRBOTTENS LÄN</t>
        </is>
      </c>
      <c r="E6754" t="inlineStr">
        <is>
          <t>LULEÅ</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47097-2023</t>
        </is>
      </c>
      <c r="B6755" s="1" t="n">
        <v>45201</v>
      </c>
      <c r="C6755" s="1" t="n">
        <v>45798</v>
      </c>
      <c r="D6755" t="inlineStr">
        <is>
          <t>NORRBOTTENS LÄN</t>
        </is>
      </c>
      <c r="E6755" t="inlineStr">
        <is>
          <t>BODEN</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47099-2023</t>
        </is>
      </c>
      <c r="B6756" s="1" t="n">
        <v>45201</v>
      </c>
      <c r="C6756" s="1" t="n">
        <v>45798</v>
      </c>
      <c r="D6756" t="inlineStr">
        <is>
          <t>NORRBOTTENS LÄN</t>
        </is>
      </c>
      <c r="E6756" t="inlineStr">
        <is>
          <t>KALIX</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48291-2023</t>
        </is>
      </c>
      <c r="B6757" s="1" t="n">
        <v>45201</v>
      </c>
      <c r="C6757" s="1" t="n">
        <v>45798</v>
      </c>
      <c r="D6757" t="inlineStr">
        <is>
          <t>NORRBOTTENS LÄN</t>
        </is>
      </c>
      <c r="E6757" t="inlineStr">
        <is>
          <t>ARVIDSJAUR</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47050-2023</t>
        </is>
      </c>
      <c r="B6758" s="1" t="n">
        <v>45201</v>
      </c>
      <c r="C6758" s="1" t="n">
        <v>45798</v>
      </c>
      <c r="D6758" t="inlineStr">
        <is>
          <t>NORRBOTTENS LÄN</t>
        </is>
      </c>
      <c r="E6758" t="inlineStr">
        <is>
          <t>PITEÅ</t>
        </is>
      </c>
      <c r="F6758" t="inlineStr">
        <is>
          <t>Övriga Aktiebolag</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48391-2023</t>
        </is>
      </c>
      <c r="B6759" s="1" t="n">
        <v>45201</v>
      </c>
      <c r="C6759" s="1" t="n">
        <v>45798</v>
      </c>
      <c r="D6759" t="inlineStr">
        <is>
          <t>NORRBOTTENS LÄN</t>
        </is>
      </c>
      <c r="E6759" t="inlineStr">
        <is>
          <t>PAJALA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47271-2023</t>
        </is>
      </c>
      <c r="B6760" s="1" t="n">
        <v>45202</v>
      </c>
      <c r="C6760" s="1" t="n">
        <v>45798</v>
      </c>
      <c r="D6760" t="inlineStr">
        <is>
          <t>NORRBOTTENS LÄN</t>
        </is>
      </c>
      <c r="E6760" t="inlineStr">
        <is>
          <t>GÄLLIVARE</t>
        </is>
      </c>
      <c r="F6760" t="inlineStr">
        <is>
          <t>Sveaskog</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47485-2023</t>
        </is>
      </c>
      <c r="B6761" s="1" t="n">
        <v>45203</v>
      </c>
      <c r="C6761" s="1" t="n">
        <v>45798</v>
      </c>
      <c r="D6761" t="inlineStr">
        <is>
          <t>NORRBOTTENS LÄN</t>
        </is>
      </c>
      <c r="E6761" t="inlineStr">
        <is>
          <t>ÖVERKALIX</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47446-2023</t>
        </is>
      </c>
      <c r="B6762" s="1" t="n">
        <v>45202</v>
      </c>
      <c r="C6762" s="1" t="n">
        <v>45798</v>
      </c>
      <c r="D6762" t="inlineStr">
        <is>
          <t>NORRBOTTENS LÄN</t>
        </is>
      </c>
      <c r="E6762" t="inlineStr">
        <is>
          <t>PITEÅ</t>
        </is>
      </c>
      <c r="F6762" t="inlineStr">
        <is>
          <t>Övriga Aktiebolag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47476-2023</t>
        </is>
      </c>
      <c r="B6763" s="1" t="n">
        <v>45203</v>
      </c>
      <c r="C6763" s="1" t="n">
        <v>45798</v>
      </c>
      <c r="D6763" t="inlineStr">
        <is>
          <t>NORRBOTTENS LÄN</t>
        </is>
      </c>
      <c r="E6763" t="inlineStr">
        <is>
          <t>ÖVERTORNEÅ</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47475-2023</t>
        </is>
      </c>
      <c r="B6764" s="1" t="n">
        <v>45202</v>
      </c>
      <c r="C6764" s="1" t="n">
        <v>45798</v>
      </c>
      <c r="D6764" t="inlineStr">
        <is>
          <t>NORRBOTTENS LÄN</t>
        </is>
      </c>
      <c r="E6764" t="inlineStr">
        <is>
          <t>ÖVERTORNEÅ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48688-2023</t>
        </is>
      </c>
      <c r="B6765" s="1" t="n">
        <v>45202</v>
      </c>
      <c r="C6765" s="1" t="n">
        <v>45798</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47700-2023</t>
        </is>
      </c>
      <c r="B6766" s="1" t="n">
        <v>45203</v>
      </c>
      <c r="C6766" s="1" t="n">
        <v>45798</v>
      </c>
      <c r="D6766" t="inlineStr">
        <is>
          <t>NORRBOTTENS LÄN</t>
        </is>
      </c>
      <c r="E6766" t="inlineStr">
        <is>
          <t>ÖVERKALIX</t>
        </is>
      </c>
      <c r="F6766" t="inlineStr">
        <is>
          <t>Sveaskog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47715-2023</t>
        </is>
      </c>
      <c r="B6767" s="1" t="n">
        <v>45203</v>
      </c>
      <c r="C6767" s="1" t="n">
        <v>45798</v>
      </c>
      <c r="D6767" t="inlineStr">
        <is>
          <t>NORRBOTTENS LÄN</t>
        </is>
      </c>
      <c r="E6767" t="inlineStr">
        <is>
          <t>HAPARANDA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47706-2023</t>
        </is>
      </c>
      <c r="B6768" s="1" t="n">
        <v>45203</v>
      </c>
      <c r="C6768" s="1" t="n">
        <v>45798</v>
      </c>
      <c r="D6768" t="inlineStr">
        <is>
          <t>NORRBOTTENS LÄN</t>
        </is>
      </c>
      <c r="E6768" t="inlineStr">
        <is>
          <t>ÖVERKALIX</t>
        </is>
      </c>
      <c r="F6768" t="inlineStr">
        <is>
          <t>Sveaskog</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47791-2023</t>
        </is>
      </c>
      <c r="B6769" s="1" t="n">
        <v>45204</v>
      </c>
      <c r="C6769" s="1" t="n">
        <v>45798</v>
      </c>
      <c r="D6769" t="inlineStr">
        <is>
          <t>NORRBOTTENS LÄN</t>
        </is>
      </c>
      <c r="E6769" t="inlineStr">
        <is>
          <t>ÖVERKALIX</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47790-2023</t>
        </is>
      </c>
      <c r="B6770" s="1" t="n">
        <v>45204</v>
      </c>
      <c r="C6770" s="1" t="n">
        <v>45798</v>
      </c>
      <c r="D6770" t="inlineStr">
        <is>
          <t>NORRBOTTENS LÄN</t>
        </is>
      </c>
      <c r="E6770" t="inlineStr">
        <is>
          <t>ÖVERKALIX</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48729-2023</t>
        </is>
      </c>
      <c r="B6771" s="1" t="n">
        <v>45203</v>
      </c>
      <c r="C6771" s="1" t="n">
        <v>45798</v>
      </c>
      <c r="D6771" t="inlineStr">
        <is>
          <t>NORRBOTTENS LÄN</t>
        </is>
      </c>
      <c r="E6771" t="inlineStr">
        <is>
          <t>PITEÅ</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47845-2023</t>
        </is>
      </c>
      <c r="B6772" s="1" t="n">
        <v>45204</v>
      </c>
      <c r="C6772" s="1" t="n">
        <v>45798</v>
      </c>
      <c r="D6772" t="inlineStr">
        <is>
          <t>NORRBOTTENS LÄN</t>
        </is>
      </c>
      <c r="E6772" t="inlineStr">
        <is>
          <t>PITEÅ</t>
        </is>
      </c>
      <c r="F6772" t="inlineStr">
        <is>
          <t>Sveaskog</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47853-2023</t>
        </is>
      </c>
      <c r="B6773" s="1" t="n">
        <v>45204</v>
      </c>
      <c r="C6773" s="1" t="n">
        <v>45798</v>
      </c>
      <c r="D6773" t="inlineStr">
        <is>
          <t>NORRBOTTENS LÄN</t>
        </is>
      </c>
      <c r="E6773" t="inlineStr">
        <is>
          <t>KALIX</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47931-2023</t>
        </is>
      </c>
      <c r="B6774" s="1" t="n">
        <v>45204</v>
      </c>
      <c r="C6774" s="1" t="n">
        <v>45798</v>
      </c>
      <c r="D6774" t="inlineStr">
        <is>
          <t>NORRBOTTENS LÄN</t>
        </is>
      </c>
      <c r="E6774" t="inlineStr">
        <is>
          <t>KALIX</t>
        </is>
      </c>
      <c r="G6774" t="n">
        <v>30.4</v>
      </c>
      <c r="H6774" t="n">
        <v>0</v>
      </c>
      <c r="I6774" t="n">
        <v>0</v>
      </c>
      <c r="J6774" t="n">
        <v>0</v>
      </c>
      <c r="K6774" t="n">
        <v>0</v>
      </c>
      <c r="L6774" t="n">
        <v>0</v>
      </c>
      <c r="M6774" t="n">
        <v>0</v>
      </c>
      <c r="N6774" t="n">
        <v>0</v>
      </c>
      <c r="O6774" t="n">
        <v>0</v>
      </c>
      <c r="P6774" t="n">
        <v>0</v>
      </c>
      <c r="Q6774" t="n">
        <v>0</v>
      </c>
      <c r="R6774" s="2" t="inlineStr"/>
    </row>
    <row r="6775" ht="15" customHeight="1">
      <c r="A6775" t="inlineStr">
        <is>
          <t>A 48059-2023</t>
        </is>
      </c>
      <c r="B6775" s="1" t="n">
        <v>45204</v>
      </c>
      <c r="C6775" s="1" t="n">
        <v>45798</v>
      </c>
      <c r="D6775" t="inlineStr">
        <is>
          <t>NORRBOTTENS LÄN</t>
        </is>
      </c>
      <c r="E6775" t="inlineStr">
        <is>
          <t>LULEÅ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48063-2023</t>
        </is>
      </c>
      <c r="B6776" s="1" t="n">
        <v>45204</v>
      </c>
      <c r="C6776" s="1" t="n">
        <v>45798</v>
      </c>
      <c r="D6776" t="inlineStr">
        <is>
          <t>NORRBOTTENS LÄN</t>
        </is>
      </c>
      <c r="E6776" t="inlineStr">
        <is>
          <t>KALIX</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48057-2023</t>
        </is>
      </c>
      <c r="B6777" s="1" t="n">
        <v>45204</v>
      </c>
      <c r="C6777" s="1" t="n">
        <v>45798</v>
      </c>
      <c r="D6777" t="inlineStr">
        <is>
          <t>NORRBOTTENS LÄN</t>
        </is>
      </c>
      <c r="E6777" t="inlineStr">
        <is>
          <t>KALIX</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48857-2023</t>
        </is>
      </c>
      <c r="B6778" s="1" t="n">
        <v>45204</v>
      </c>
      <c r="C6778" s="1" t="n">
        <v>45798</v>
      </c>
      <c r="D6778" t="inlineStr">
        <is>
          <t>NORRBOTTENS LÄN</t>
        </is>
      </c>
      <c r="E6778" t="inlineStr">
        <is>
          <t>HAPARANDA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47848-2023</t>
        </is>
      </c>
      <c r="B6779" s="1" t="n">
        <v>45204</v>
      </c>
      <c r="C6779" s="1" t="n">
        <v>45798</v>
      </c>
      <c r="D6779" t="inlineStr">
        <is>
          <t>NORRBOTTENS LÄN</t>
        </is>
      </c>
      <c r="E6779" t="inlineStr">
        <is>
          <t>KALIX</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47975-2023</t>
        </is>
      </c>
      <c r="B6780" s="1" t="n">
        <v>45204</v>
      </c>
      <c r="C6780" s="1" t="n">
        <v>45798</v>
      </c>
      <c r="D6780" t="inlineStr">
        <is>
          <t>NORRBOTTENS LÄN</t>
        </is>
      </c>
      <c r="E6780" t="inlineStr">
        <is>
          <t>PAJALA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48060-2023</t>
        </is>
      </c>
      <c r="B6781" s="1" t="n">
        <v>45204</v>
      </c>
      <c r="C6781" s="1" t="n">
        <v>45798</v>
      </c>
      <c r="D6781" t="inlineStr">
        <is>
          <t>NORRBOTTENS LÄN</t>
        </is>
      </c>
      <c r="E6781" t="inlineStr">
        <is>
          <t>LULEÅ</t>
        </is>
      </c>
      <c r="G6781" t="n">
        <v>10.9</v>
      </c>
      <c r="H6781" t="n">
        <v>0</v>
      </c>
      <c r="I6781" t="n">
        <v>0</v>
      </c>
      <c r="J6781" t="n">
        <v>0</v>
      </c>
      <c r="K6781" t="n">
        <v>0</v>
      </c>
      <c r="L6781" t="n">
        <v>0</v>
      </c>
      <c r="M6781" t="n">
        <v>0</v>
      </c>
      <c r="N6781" t="n">
        <v>0</v>
      </c>
      <c r="O6781" t="n">
        <v>0</v>
      </c>
      <c r="P6781" t="n">
        <v>0</v>
      </c>
      <c r="Q6781" t="n">
        <v>0</v>
      </c>
      <c r="R6781" s="2" t="inlineStr"/>
    </row>
    <row r="6782" ht="15" customHeight="1">
      <c r="A6782" t="inlineStr">
        <is>
          <t>A 48914-2023</t>
        </is>
      </c>
      <c r="B6782" s="1" t="n">
        <v>45204</v>
      </c>
      <c r="C6782" s="1" t="n">
        <v>45798</v>
      </c>
      <c r="D6782" t="inlineStr">
        <is>
          <t>NORRBOTTENS LÄN</t>
        </is>
      </c>
      <c r="E6782" t="inlineStr">
        <is>
          <t>PAJALA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49018-2023</t>
        </is>
      </c>
      <c r="B6783" s="1" t="n">
        <v>45204</v>
      </c>
      <c r="C6783" s="1" t="n">
        <v>45798</v>
      </c>
      <c r="D6783" t="inlineStr">
        <is>
          <t>NORRBOTTENS LÄN</t>
        </is>
      </c>
      <c r="E6783" t="inlineStr">
        <is>
          <t>LULEÅ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49113-2023</t>
        </is>
      </c>
      <c r="B6784" s="1" t="n">
        <v>45204</v>
      </c>
      <c r="C6784" s="1" t="n">
        <v>45798</v>
      </c>
      <c r="D6784" t="inlineStr">
        <is>
          <t>NORRBOTTENS LÄN</t>
        </is>
      </c>
      <c r="E6784" t="inlineStr">
        <is>
          <t>BODEN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49094-2023</t>
        </is>
      </c>
      <c r="B6785" s="1" t="n">
        <v>45204</v>
      </c>
      <c r="C6785" s="1" t="n">
        <v>45798</v>
      </c>
      <c r="D6785" t="inlineStr">
        <is>
          <t>NORRBOTTENS LÄN</t>
        </is>
      </c>
      <c r="E6785" t="inlineStr">
        <is>
          <t>BODEN</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48129-2023</t>
        </is>
      </c>
      <c r="B6786" s="1" t="n">
        <v>45205</v>
      </c>
      <c r="C6786" s="1" t="n">
        <v>45798</v>
      </c>
      <c r="D6786" t="inlineStr">
        <is>
          <t>NORRBOTTENS LÄN</t>
        </is>
      </c>
      <c r="E6786" t="inlineStr">
        <is>
          <t>BODEN</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48262-2023</t>
        </is>
      </c>
      <c r="B6787" s="1" t="n">
        <v>45205</v>
      </c>
      <c r="C6787" s="1" t="n">
        <v>45798</v>
      </c>
      <c r="D6787" t="inlineStr">
        <is>
          <t>NORRBOTTENS LÄN</t>
        </is>
      </c>
      <c r="E6787" t="inlineStr">
        <is>
          <t>BODEN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48250-2023</t>
        </is>
      </c>
      <c r="B6788" s="1" t="n">
        <v>45205</v>
      </c>
      <c r="C6788" s="1" t="n">
        <v>45798</v>
      </c>
      <c r="D6788" t="inlineStr">
        <is>
          <t>NORRBOTTENS LÄN</t>
        </is>
      </c>
      <c r="E6788" t="inlineStr">
        <is>
          <t>ARVIDSJAUR</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48412-2023</t>
        </is>
      </c>
      <c r="B6789" s="1" t="n">
        <v>45205</v>
      </c>
      <c r="C6789" s="1" t="n">
        <v>45798</v>
      </c>
      <c r="D6789" t="inlineStr">
        <is>
          <t>NORRBOTTENS LÄN</t>
        </is>
      </c>
      <c r="E6789" t="inlineStr">
        <is>
          <t>LULEÅ</t>
        </is>
      </c>
      <c r="G6789" t="n">
        <v>45.8</v>
      </c>
      <c r="H6789" t="n">
        <v>0</v>
      </c>
      <c r="I6789" t="n">
        <v>0</v>
      </c>
      <c r="J6789" t="n">
        <v>0</v>
      </c>
      <c r="K6789" t="n">
        <v>0</v>
      </c>
      <c r="L6789" t="n">
        <v>0</v>
      </c>
      <c r="M6789" t="n">
        <v>0</v>
      </c>
      <c r="N6789" t="n">
        <v>0</v>
      </c>
      <c r="O6789" t="n">
        <v>0</v>
      </c>
      <c r="P6789" t="n">
        <v>0</v>
      </c>
      <c r="Q6789" t="n">
        <v>0</v>
      </c>
      <c r="R6789" s="2" t="inlineStr"/>
    </row>
    <row r="6790" ht="15" customHeight="1">
      <c r="A6790" t="inlineStr">
        <is>
          <t>A 48362-2023</t>
        </is>
      </c>
      <c r="B6790" s="1" t="n">
        <v>45205</v>
      </c>
      <c r="C6790" s="1" t="n">
        <v>45798</v>
      </c>
      <c r="D6790" t="inlineStr">
        <is>
          <t>NORRBOTTENS LÄN</t>
        </is>
      </c>
      <c r="E6790" t="inlineStr">
        <is>
          <t>ÄLVSBYN</t>
        </is>
      </c>
      <c r="F6790" t="inlineStr">
        <is>
          <t>Övriga Aktiebolag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48376-2023</t>
        </is>
      </c>
      <c r="B6791" s="1" t="n">
        <v>45205</v>
      </c>
      <c r="C6791" s="1" t="n">
        <v>45798</v>
      </c>
      <c r="D6791" t="inlineStr">
        <is>
          <t>NORRBOTTENS LÄN</t>
        </is>
      </c>
      <c r="E6791" t="inlineStr">
        <is>
          <t>ARJEPLOG</t>
        </is>
      </c>
      <c r="F6791" t="inlineStr">
        <is>
          <t>Övriga Aktiebolag</t>
        </is>
      </c>
      <c r="G6791" t="n">
        <v>18.3</v>
      </c>
      <c r="H6791" t="n">
        <v>0</v>
      </c>
      <c r="I6791" t="n">
        <v>0</v>
      </c>
      <c r="J6791" t="n">
        <v>0</v>
      </c>
      <c r="K6791" t="n">
        <v>0</v>
      </c>
      <c r="L6791" t="n">
        <v>0</v>
      </c>
      <c r="M6791" t="n">
        <v>0</v>
      </c>
      <c r="N6791" t="n">
        <v>0</v>
      </c>
      <c r="O6791" t="n">
        <v>0</v>
      </c>
      <c r="P6791" t="n">
        <v>0</v>
      </c>
      <c r="Q6791" t="n">
        <v>0</v>
      </c>
      <c r="R6791" s="2" t="inlineStr"/>
    </row>
    <row r="6792" ht="15" customHeight="1">
      <c r="A6792" t="inlineStr">
        <is>
          <t>A 48940-2023</t>
        </is>
      </c>
      <c r="B6792" s="1" t="n">
        <v>45205</v>
      </c>
      <c r="C6792" s="1" t="n">
        <v>45798</v>
      </c>
      <c r="D6792" t="inlineStr">
        <is>
          <t>NORRBOTTENS LÄN</t>
        </is>
      </c>
      <c r="E6792" t="inlineStr">
        <is>
          <t>ARJEPLOG</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48410-2023</t>
        </is>
      </c>
      <c r="B6793" s="1" t="n">
        <v>45205</v>
      </c>
      <c r="C6793" s="1" t="n">
        <v>45798</v>
      </c>
      <c r="D6793" t="inlineStr">
        <is>
          <t>NORRBOTTENS LÄN</t>
        </is>
      </c>
      <c r="E6793" t="inlineStr">
        <is>
          <t>LULEÅ</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48409-2023</t>
        </is>
      </c>
      <c r="B6794" s="1" t="n">
        <v>45205</v>
      </c>
      <c r="C6794" s="1" t="n">
        <v>45798</v>
      </c>
      <c r="D6794" t="inlineStr">
        <is>
          <t>NORRBOTTENS LÄN</t>
        </is>
      </c>
      <c r="E6794" t="inlineStr">
        <is>
          <t>LULEÅ</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48417-2023</t>
        </is>
      </c>
      <c r="B6795" s="1" t="n">
        <v>45205</v>
      </c>
      <c r="C6795" s="1" t="n">
        <v>45798</v>
      </c>
      <c r="D6795" t="inlineStr">
        <is>
          <t>NORRBOTTENS LÄN</t>
        </is>
      </c>
      <c r="E6795" t="inlineStr">
        <is>
          <t>BODEN</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49473-2023</t>
        </is>
      </c>
      <c r="B6796" s="1" t="n">
        <v>45205</v>
      </c>
      <c r="C6796" s="1" t="n">
        <v>45798</v>
      </c>
      <c r="D6796" t="inlineStr">
        <is>
          <t>NORRBOTTENS LÄN</t>
        </is>
      </c>
      <c r="E6796" t="inlineStr">
        <is>
          <t>ÖVERKALIX</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49425-2023</t>
        </is>
      </c>
      <c r="B6797" s="1" t="n">
        <v>45205</v>
      </c>
      <c r="C6797" s="1" t="n">
        <v>45798</v>
      </c>
      <c r="D6797" t="inlineStr">
        <is>
          <t>NORRBOTTENS LÄN</t>
        </is>
      </c>
      <c r="E6797" t="inlineStr">
        <is>
          <t>ÖVERKALIX</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49482-2023</t>
        </is>
      </c>
      <c r="B6798" s="1" t="n">
        <v>45205</v>
      </c>
      <c r="C6798" s="1" t="n">
        <v>45798</v>
      </c>
      <c r="D6798" t="inlineStr">
        <is>
          <t>NORRBOTTENS LÄN</t>
        </is>
      </c>
      <c r="E6798" t="inlineStr">
        <is>
          <t>ÖVERTORNEÅ</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49568-2023</t>
        </is>
      </c>
      <c r="B6799" s="1" t="n">
        <v>45205</v>
      </c>
      <c r="C6799" s="1" t="n">
        <v>45798</v>
      </c>
      <c r="D6799" t="inlineStr">
        <is>
          <t>NORRBOTTENS LÄN</t>
        </is>
      </c>
      <c r="E6799" t="inlineStr">
        <is>
          <t>ÄLVSBYN</t>
        </is>
      </c>
      <c r="G6799" t="n">
        <v>15.1</v>
      </c>
      <c r="H6799" t="n">
        <v>0</v>
      </c>
      <c r="I6799" t="n">
        <v>0</v>
      </c>
      <c r="J6799" t="n">
        <v>0</v>
      </c>
      <c r="K6799" t="n">
        <v>0</v>
      </c>
      <c r="L6799" t="n">
        <v>0</v>
      </c>
      <c r="M6799" t="n">
        <v>0</v>
      </c>
      <c r="N6799" t="n">
        <v>0</v>
      </c>
      <c r="O6799" t="n">
        <v>0</v>
      </c>
      <c r="P6799" t="n">
        <v>0</v>
      </c>
      <c r="Q6799" t="n">
        <v>0</v>
      </c>
      <c r="R6799" s="2" t="inlineStr"/>
    </row>
    <row r="6800" ht="15" customHeight="1">
      <c r="A6800" t="inlineStr">
        <is>
          <t>A 49116-2023</t>
        </is>
      </c>
      <c r="B6800" s="1" t="n">
        <v>45205</v>
      </c>
      <c r="C6800" s="1" t="n">
        <v>45798</v>
      </c>
      <c r="D6800" t="inlineStr">
        <is>
          <t>NORRBOTTENS LÄN</t>
        </is>
      </c>
      <c r="E6800" t="inlineStr">
        <is>
          <t>GÄLLIVARE</t>
        </is>
      </c>
      <c r="G6800" t="n">
        <v>16.2</v>
      </c>
      <c r="H6800" t="n">
        <v>0</v>
      </c>
      <c r="I6800" t="n">
        <v>0</v>
      </c>
      <c r="J6800" t="n">
        <v>0</v>
      </c>
      <c r="K6800" t="n">
        <v>0</v>
      </c>
      <c r="L6800" t="n">
        <v>0</v>
      </c>
      <c r="M6800" t="n">
        <v>0</v>
      </c>
      <c r="N6800" t="n">
        <v>0</v>
      </c>
      <c r="O6800" t="n">
        <v>0</v>
      </c>
      <c r="P6800" t="n">
        <v>0</v>
      </c>
      <c r="Q6800" t="n">
        <v>0</v>
      </c>
      <c r="R6800" s="2" t="inlineStr"/>
    </row>
    <row r="6801" ht="15" customHeight="1">
      <c r="A6801" t="inlineStr">
        <is>
          <t>A 48450-2023</t>
        </is>
      </c>
      <c r="B6801" s="1" t="n">
        <v>45206</v>
      </c>
      <c r="C6801" s="1" t="n">
        <v>45798</v>
      </c>
      <c r="D6801" t="inlineStr">
        <is>
          <t>NORRBOTTENS LÄN</t>
        </is>
      </c>
      <c r="E6801" t="inlineStr">
        <is>
          <t>BODEN</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48531-2023</t>
        </is>
      </c>
      <c r="B6802" s="1" t="n">
        <v>45208</v>
      </c>
      <c r="C6802" s="1" t="n">
        <v>45798</v>
      </c>
      <c r="D6802" t="inlineStr">
        <is>
          <t>NORRBOTTENS LÄN</t>
        </is>
      </c>
      <c r="E6802" t="inlineStr">
        <is>
          <t>GÄLLIVARE</t>
        </is>
      </c>
      <c r="G6802" t="n">
        <v>16.5</v>
      </c>
      <c r="H6802" t="n">
        <v>0</v>
      </c>
      <c r="I6802" t="n">
        <v>0</v>
      </c>
      <c r="J6802" t="n">
        <v>0</v>
      </c>
      <c r="K6802" t="n">
        <v>0</v>
      </c>
      <c r="L6802" t="n">
        <v>0</v>
      </c>
      <c r="M6802" t="n">
        <v>0</v>
      </c>
      <c r="N6802" t="n">
        <v>0</v>
      </c>
      <c r="O6802" t="n">
        <v>0</v>
      </c>
      <c r="P6802" t="n">
        <v>0</v>
      </c>
      <c r="Q6802" t="n">
        <v>0</v>
      </c>
      <c r="R6802" s="2" t="inlineStr"/>
    </row>
    <row r="6803" ht="15" customHeight="1">
      <c r="A6803" t="inlineStr">
        <is>
          <t>A 48577-2023</t>
        </is>
      </c>
      <c r="B6803" s="1" t="n">
        <v>45208</v>
      </c>
      <c r="C6803" s="1" t="n">
        <v>45798</v>
      </c>
      <c r="D6803" t="inlineStr">
        <is>
          <t>NORRBOTTENS LÄN</t>
        </is>
      </c>
      <c r="E6803" t="inlineStr">
        <is>
          <t>ÖVERKALIX</t>
        </is>
      </c>
      <c r="F6803" t="inlineStr">
        <is>
          <t>Sveaskog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48595-2023</t>
        </is>
      </c>
      <c r="B6804" s="1" t="n">
        <v>45208</v>
      </c>
      <c r="C6804" s="1" t="n">
        <v>45798</v>
      </c>
      <c r="D6804" t="inlineStr">
        <is>
          <t>NORRBOTTENS LÄN</t>
        </is>
      </c>
      <c r="E6804" t="inlineStr">
        <is>
          <t>BODEN</t>
        </is>
      </c>
      <c r="F6804" t="inlineStr">
        <is>
          <t>Sveaskog</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48592-2023</t>
        </is>
      </c>
      <c r="B6805" s="1" t="n">
        <v>45208</v>
      </c>
      <c r="C6805" s="1" t="n">
        <v>45798</v>
      </c>
      <c r="D6805" t="inlineStr">
        <is>
          <t>NORRBOTTENS LÄN</t>
        </is>
      </c>
      <c r="E6805" t="inlineStr">
        <is>
          <t>BODEN</t>
        </is>
      </c>
      <c r="F6805" t="inlineStr">
        <is>
          <t>Sveaskog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48630-2023</t>
        </is>
      </c>
      <c r="B6806" s="1" t="n">
        <v>45208</v>
      </c>
      <c r="C6806" s="1" t="n">
        <v>45798</v>
      </c>
      <c r="D6806" t="inlineStr">
        <is>
          <t>NORRBOTTENS LÄN</t>
        </is>
      </c>
      <c r="E6806" t="inlineStr">
        <is>
          <t>HAPARANDA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48624-2023</t>
        </is>
      </c>
      <c r="B6807" s="1" t="n">
        <v>45208</v>
      </c>
      <c r="C6807" s="1" t="n">
        <v>45798</v>
      </c>
      <c r="D6807" t="inlineStr">
        <is>
          <t>NORRBOTTENS LÄN</t>
        </is>
      </c>
      <c r="E6807" t="inlineStr">
        <is>
          <t>PITEÅ</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48681-2023</t>
        </is>
      </c>
      <c r="B6808" s="1" t="n">
        <v>45208</v>
      </c>
      <c r="C6808" s="1" t="n">
        <v>45798</v>
      </c>
      <c r="D6808" t="inlineStr">
        <is>
          <t>NORRBOTTENS LÄN</t>
        </is>
      </c>
      <c r="E6808" t="inlineStr">
        <is>
          <t>BODEN</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48759-2023</t>
        </is>
      </c>
      <c r="B6809" s="1" t="n">
        <v>45209</v>
      </c>
      <c r="C6809" s="1" t="n">
        <v>45798</v>
      </c>
      <c r="D6809" t="inlineStr">
        <is>
          <t>NORRBOTTENS LÄN</t>
        </is>
      </c>
      <c r="E6809" t="inlineStr">
        <is>
          <t>PITEÅ</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48758-2023</t>
        </is>
      </c>
      <c r="B6810" s="1" t="n">
        <v>45209</v>
      </c>
      <c r="C6810" s="1" t="n">
        <v>45798</v>
      </c>
      <c r="D6810" t="inlineStr">
        <is>
          <t>NORRBOTTENS LÄN</t>
        </is>
      </c>
      <c r="E6810" t="inlineStr">
        <is>
          <t>ÖVERTORNEÅ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48787-2023</t>
        </is>
      </c>
      <c r="B6811" s="1" t="n">
        <v>45209</v>
      </c>
      <c r="C6811" s="1" t="n">
        <v>45798</v>
      </c>
      <c r="D6811" t="inlineStr">
        <is>
          <t>NORRBOTTENS LÄN</t>
        </is>
      </c>
      <c r="E6811" t="inlineStr">
        <is>
          <t>JOKKMOKK</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48782-2023</t>
        </is>
      </c>
      <c r="B6812" s="1" t="n">
        <v>45208</v>
      </c>
      <c r="C6812" s="1" t="n">
        <v>45798</v>
      </c>
      <c r="D6812" t="inlineStr">
        <is>
          <t>NORRBOTTENS LÄN</t>
        </is>
      </c>
      <c r="E6812" t="inlineStr">
        <is>
          <t>PITEÅ</t>
        </is>
      </c>
      <c r="F6812" t="inlineStr">
        <is>
          <t>SCA</t>
        </is>
      </c>
      <c r="G6812" t="n">
        <v>6.8</v>
      </c>
      <c r="H6812" t="n">
        <v>0</v>
      </c>
      <c r="I6812" t="n">
        <v>0</v>
      </c>
      <c r="J6812" t="n">
        <v>0</v>
      </c>
      <c r="K6812" t="n">
        <v>0</v>
      </c>
      <c r="L6812" t="n">
        <v>0</v>
      </c>
      <c r="M6812" t="n">
        <v>0</v>
      </c>
      <c r="N6812" t="n">
        <v>0</v>
      </c>
      <c r="O6812" t="n">
        <v>0</v>
      </c>
      <c r="P6812" t="n">
        <v>0</v>
      </c>
      <c r="Q6812" t="n">
        <v>0</v>
      </c>
      <c r="R6812" s="2" t="inlineStr"/>
    </row>
    <row r="6813" ht="15" customHeight="1">
      <c r="A6813" t="inlineStr">
        <is>
          <t>A 48576-2023</t>
        </is>
      </c>
      <c r="B6813" s="1" t="n">
        <v>45208</v>
      </c>
      <c r="C6813" s="1" t="n">
        <v>45798</v>
      </c>
      <c r="D6813" t="inlineStr">
        <is>
          <t>NORRBOTTENS LÄN</t>
        </is>
      </c>
      <c r="E6813" t="inlineStr">
        <is>
          <t>ÖVERKALIX</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48585-2023</t>
        </is>
      </c>
      <c r="B6814" s="1" t="n">
        <v>45208</v>
      </c>
      <c r="C6814" s="1" t="n">
        <v>45798</v>
      </c>
      <c r="D6814" t="inlineStr">
        <is>
          <t>NORRBOTTENS LÄN</t>
        </is>
      </c>
      <c r="E6814" t="inlineStr">
        <is>
          <t>JOKKMOKK</t>
        </is>
      </c>
      <c r="F6814" t="inlineStr">
        <is>
          <t>Sveaskog</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48642-2023</t>
        </is>
      </c>
      <c r="B6815" s="1" t="n">
        <v>45208</v>
      </c>
      <c r="C6815" s="1" t="n">
        <v>45798</v>
      </c>
      <c r="D6815" t="inlineStr">
        <is>
          <t>NORRBOTTENS LÄN</t>
        </is>
      </c>
      <c r="E6815" t="inlineStr">
        <is>
          <t>LULEÅ</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48756-2023</t>
        </is>
      </c>
      <c r="B6816" s="1" t="n">
        <v>45209</v>
      </c>
      <c r="C6816" s="1" t="n">
        <v>45798</v>
      </c>
      <c r="D6816" t="inlineStr">
        <is>
          <t>NORRBOTTENS LÄN</t>
        </is>
      </c>
      <c r="E6816" t="inlineStr">
        <is>
          <t>ÖVERTORNEÅ</t>
        </is>
      </c>
      <c r="G6816" t="n">
        <v>10.3</v>
      </c>
      <c r="H6816" t="n">
        <v>0</v>
      </c>
      <c r="I6816" t="n">
        <v>0</v>
      </c>
      <c r="J6816" t="n">
        <v>0</v>
      </c>
      <c r="K6816" t="n">
        <v>0</v>
      </c>
      <c r="L6816" t="n">
        <v>0</v>
      </c>
      <c r="M6816" t="n">
        <v>0</v>
      </c>
      <c r="N6816" t="n">
        <v>0</v>
      </c>
      <c r="O6816" t="n">
        <v>0</v>
      </c>
      <c r="P6816" t="n">
        <v>0</v>
      </c>
      <c r="Q6816" t="n">
        <v>0</v>
      </c>
      <c r="R6816" s="2" t="inlineStr"/>
    </row>
    <row r="6817" ht="15" customHeight="1">
      <c r="A6817" t="inlineStr">
        <is>
          <t>A 48760-2023</t>
        </is>
      </c>
      <c r="B6817" s="1" t="n">
        <v>45209</v>
      </c>
      <c r="C6817" s="1" t="n">
        <v>45798</v>
      </c>
      <c r="D6817" t="inlineStr">
        <is>
          <t>NORRBOTTENS LÄN</t>
        </is>
      </c>
      <c r="E6817" t="inlineStr">
        <is>
          <t>GÄLLIVARE</t>
        </is>
      </c>
      <c r="G6817" t="n">
        <v>8.800000000000001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49734-2023</t>
        </is>
      </c>
      <c r="B6818" s="1" t="n">
        <v>45208</v>
      </c>
      <c r="C6818" s="1" t="n">
        <v>45798</v>
      </c>
      <c r="D6818" t="inlineStr">
        <is>
          <t>NORRBOTTENS LÄN</t>
        </is>
      </c>
      <c r="E6818" t="inlineStr">
        <is>
          <t>ARVIDSJAUR</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49737-2023</t>
        </is>
      </c>
      <c r="B6819" s="1" t="n">
        <v>45208</v>
      </c>
      <c r="C6819" s="1" t="n">
        <v>45798</v>
      </c>
      <c r="D6819" t="inlineStr">
        <is>
          <t>NORRBOTTENS LÄN</t>
        </is>
      </c>
      <c r="E6819" t="inlineStr">
        <is>
          <t>ARVIDSJAUR</t>
        </is>
      </c>
      <c r="G6819" t="n">
        <v>9.199999999999999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48819-2023</t>
        </is>
      </c>
      <c r="B6820" s="1" t="n">
        <v>45209</v>
      </c>
      <c r="C6820" s="1" t="n">
        <v>45798</v>
      </c>
      <c r="D6820" t="inlineStr">
        <is>
          <t>NORRBOTTENS LÄN</t>
        </is>
      </c>
      <c r="E6820" t="inlineStr">
        <is>
          <t>HAPARANDA</t>
        </is>
      </c>
      <c r="G6820" t="n">
        <v>11.4</v>
      </c>
      <c r="H6820" t="n">
        <v>0</v>
      </c>
      <c r="I6820" t="n">
        <v>0</v>
      </c>
      <c r="J6820" t="n">
        <v>0</v>
      </c>
      <c r="K6820" t="n">
        <v>0</v>
      </c>
      <c r="L6820" t="n">
        <v>0</v>
      </c>
      <c r="M6820" t="n">
        <v>0</v>
      </c>
      <c r="N6820" t="n">
        <v>0</v>
      </c>
      <c r="O6820" t="n">
        <v>0</v>
      </c>
      <c r="P6820" t="n">
        <v>0</v>
      </c>
      <c r="Q6820" t="n">
        <v>0</v>
      </c>
      <c r="R6820" s="2" t="inlineStr"/>
    </row>
    <row r="6821" ht="15" customHeight="1">
      <c r="A6821" t="inlineStr">
        <is>
          <t>A 49007-2023</t>
        </is>
      </c>
      <c r="B6821" s="1" t="n">
        <v>45209</v>
      </c>
      <c r="C6821" s="1" t="n">
        <v>45798</v>
      </c>
      <c r="D6821" t="inlineStr">
        <is>
          <t>NORRBOTTENS LÄN</t>
        </is>
      </c>
      <c r="E6821" t="inlineStr">
        <is>
          <t>HAPARANDA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49022-2023</t>
        </is>
      </c>
      <c r="B6822" s="1" t="n">
        <v>45209</v>
      </c>
      <c r="C6822" s="1" t="n">
        <v>45798</v>
      </c>
      <c r="D6822" t="inlineStr">
        <is>
          <t>NORRBOTTENS LÄN</t>
        </is>
      </c>
      <c r="E6822" t="inlineStr">
        <is>
          <t>KALIX</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50357-2023</t>
        </is>
      </c>
      <c r="B6823" s="1" t="n">
        <v>45209</v>
      </c>
      <c r="C6823" s="1" t="n">
        <v>45798</v>
      </c>
      <c r="D6823" t="inlineStr">
        <is>
          <t>NORRBOTTENS LÄN</t>
        </is>
      </c>
      <c r="E6823" t="inlineStr">
        <is>
          <t>KALIX</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49003-2023</t>
        </is>
      </c>
      <c r="B6824" s="1" t="n">
        <v>45209</v>
      </c>
      <c r="C6824" s="1" t="n">
        <v>45798</v>
      </c>
      <c r="D6824" t="inlineStr">
        <is>
          <t>NORRBOTTENS LÄN</t>
        </is>
      </c>
      <c r="E6824" t="inlineStr">
        <is>
          <t>HAPARANDA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49041-2023</t>
        </is>
      </c>
      <c r="B6825" s="1" t="n">
        <v>45210</v>
      </c>
      <c r="C6825" s="1" t="n">
        <v>45798</v>
      </c>
      <c r="D6825" t="inlineStr">
        <is>
          <t>NORRBOTTENS LÄN</t>
        </is>
      </c>
      <c r="E6825" t="inlineStr">
        <is>
          <t>ÄLVSBYN</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49083-2023</t>
        </is>
      </c>
      <c r="B6826" s="1" t="n">
        <v>45210</v>
      </c>
      <c r="C6826" s="1" t="n">
        <v>45798</v>
      </c>
      <c r="D6826" t="inlineStr">
        <is>
          <t>NORRBOTTENS LÄN</t>
        </is>
      </c>
      <c r="E6826" t="inlineStr">
        <is>
          <t>HAPARANDA</t>
        </is>
      </c>
      <c r="G6826" t="n">
        <v>19.1</v>
      </c>
      <c r="H6826" t="n">
        <v>0</v>
      </c>
      <c r="I6826" t="n">
        <v>0</v>
      </c>
      <c r="J6826" t="n">
        <v>0</v>
      </c>
      <c r="K6826" t="n">
        <v>0</v>
      </c>
      <c r="L6826" t="n">
        <v>0</v>
      </c>
      <c r="M6826" t="n">
        <v>0</v>
      </c>
      <c r="N6826" t="n">
        <v>0</v>
      </c>
      <c r="O6826" t="n">
        <v>0</v>
      </c>
      <c r="P6826" t="n">
        <v>0</v>
      </c>
      <c r="Q6826" t="n">
        <v>0</v>
      </c>
      <c r="R6826" s="2" t="inlineStr"/>
    </row>
    <row r="6827" ht="15" customHeight="1">
      <c r="A6827" t="inlineStr">
        <is>
          <t>A 49127-2023</t>
        </is>
      </c>
      <c r="B6827" s="1" t="n">
        <v>45210</v>
      </c>
      <c r="C6827" s="1" t="n">
        <v>45798</v>
      </c>
      <c r="D6827" t="inlineStr">
        <is>
          <t>NORRBOTTENS LÄN</t>
        </is>
      </c>
      <c r="E6827" t="inlineStr">
        <is>
          <t>BODEN</t>
        </is>
      </c>
      <c r="F6827" t="inlineStr">
        <is>
          <t>Sveaskog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49197-2023</t>
        </is>
      </c>
      <c r="B6828" s="1" t="n">
        <v>45210</v>
      </c>
      <c r="C6828" s="1" t="n">
        <v>45798</v>
      </c>
      <c r="D6828" t="inlineStr">
        <is>
          <t>NORRBOTTENS LÄN</t>
        </is>
      </c>
      <c r="E6828" t="inlineStr">
        <is>
          <t>KALIX</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49219-2023</t>
        </is>
      </c>
      <c r="B6829" s="1" t="n">
        <v>45210</v>
      </c>
      <c r="C6829" s="1" t="n">
        <v>45798</v>
      </c>
      <c r="D6829" t="inlineStr">
        <is>
          <t>NORRBOTTENS LÄN</t>
        </is>
      </c>
      <c r="E6829" t="inlineStr">
        <is>
          <t>BODEN</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49216-2023</t>
        </is>
      </c>
      <c r="B6830" s="1" t="n">
        <v>45210</v>
      </c>
      <c r="C6830" s="1" t="n">
        <v>45798</v>
      </c>
      <c r="D6830" t="inlineStr">
        <is>
          <t>NORRBOTTENS LÄN</t>
        </is>
      </c>
      <c r="E6830" t="inlineStr">
        <is>
          <t>KALIX</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49244-2023</t>
        </is>
      </c>
      <c r="B6831" s="1" t="n">
        <v>45210</v>
      </c>
      <c r="C6831" s="1" t="n">
        <v>45798</v>
      </c>
      <c r="D6831" t="inlineStr">
        <is>
          <t>NORRBOTTENS LÄN</t>
        </is>
      </c>
      <c r="E6831" t="inlineStr">
        <is>
          <t>LULEÅ</t>
        </is>
      </c>
      <c r="F6831" t="inlineStr">
        <is>
          <t>Kyrkan</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49092-2023</t>
        </is>
      </c>
      <c r="B6832" s="1" t="n">
        <v>45210</v>
      </c>
      <c r="C6832" s="1" t="n">
        <v>45798</v>
      </c>
      <c r="D6832" t="inlineStr">
        <is>
          <t>NORRBOTTENS LÄN</t>
        </is>
      </c>
      <c r="E6832" t="inlineStr">
        <is>
          <t>GÄLLIVARE</t>
        </is>
      </c>
      <c r="F6832" t="inlineStr">
        <is>
          <t>Sveaskog</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49103-2023</t>
        </is>
      </c>
      <c r="B6833" s="1" t="n">
        <v>45210</v>
      </c>
      <c r="C6833" s="1" t="n">
        <v>45798</v>
      </c>
      <c r="D6833" t="inlineStr">
        <is>
          <t>NORRBOTTENS LÄN</t>
        </is>
      </c>
      <c r="E6833" t="inlineStr">
        <is>
          <t>ARVIDSJAUR</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49223-2023</t>
        </is>
      </c>
      <c r="B6834" s="1" t="n">
        <v>45210</v>
      </c>
      <c r="C6834" s="1" t="n">
        <v>45798</v>
      </c>
      <c r="D6834" t="inlineStr">
        <is>
          <t>NORRBOTTENS LÄN</t>
        </is>
      </c>
      <c r="E6834" t="inlineStr">
        <is>
          <t>ÖVERTORNEÅ</t>
        </is>
      </c>
      <c r="F6834" t="inlineStr">
        <is>
          <t>Sveaskog</t>
        </is>
      </c>
      <c r="G6834" t="n">
        <v>33.7</v>
      </c>
      <c r="H6834" t="n">
        <v>0</v>
      </c>
      <c r="I6834" t="n">
        <v>0</v>
      </c>
      <c r="J6834" t="n">
        <v>0</v>
      </c>
      <c r="K6834" t="n">
        <v>0</v>
      </c>
      <c r="L6834" t="n">
        <v>0</v>
      </c>
      <c r="M6834" t="n">
        <v>0</v>
      </c>
      <c r="N6834" t="n">
        <v>0</v>
      </c>
      <c r="O6834" t="n">
        <v>0</v>
      </c>
      <c r="P6834" t="n">
        <v>0</v>
      </c>
      <c r="Q6834" t="n">
        <v>0</v>
      </c>
      <c r="R6834" s="2" t="inlineStr"/>
    </row>
    <row r="6835" ht="15" customHeight="1">
      <c r="A6835" t="inlineStr">
        <is>
          <t>A 49124-2023</t>
        </is>
      </c>
      <c r="B6835" s="1" t="n">
        <v>45210</v>
      </c>
      <c r="C6835" s="1" t="n">
        <v>45798</v>
      </c>
      <c r="D6835" t="inlineStr">
        <is>
          <t>NORRBOTTENS LÄN</t>
        </is>
      </c>
      <c r="E6835" t="inlineStr">
        <is>
          <t>BODEN</t>
        </is>
      </c>
      <c r="F6835" t="inlineStr">
        <is>
          <t>Sveaskog</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49162-2023</t>
        </is>
      </c>
      <c r="B6836" s="1" t="n">
        <v>45210</v>
      </c>
      <c r="C6836" s="1" t="n">
        <v>45798</v>
      </c>
      <c r="D6836" t="inlineStr">
        <is>
          <t>NORRBOTTENS LÄN</t>
        </is>
      </c>
      <c r="E6836" t="inlineStr">
        <is>
          <t>BODEN</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49314-2023</t>
        </is>
      </c>
      <c r="B6837" s="1" t="n">
        <v>45211</v>
      </c>
      <c r="C6837" s="1" t="n">
        <v>45798</v>
      </c>
      <c r="D6837" t="inlineStr">
        <is>
          <t>NORRBOTTENS LÄN</t>
        </is>
      </c>
      <c r="E6837" t="inlineStr">
        <is>
          <t>GÄLLIVARE</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49318-2023</t>
        </is>
      </c>
      <c r="B6838" s="1" t="n">
        <v>45211</v>
      </c>
      <c r="C6838" s="1" t="n">
        <v>45798</v>
      </c>
      <c r="D6838" t="inlineStr">
        <is>
          <t>NORRBOTTENS LÄN</t>
        </is>
      </c>
      <c r="E6838" t="inlineStr">
        <is>
          <t>GÄLLIVARE</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49338-2023</t>
        </is>
      </c>
      <c r="B6839" s="1" t="n">
        <v>45210</v>
      </c>
      <c r="C6839" s="1" t="n">
        <v>45798</v>
      </c>
      <c r="D6839" t="inlineStr">
        <is>
          <t>NORRBOTTENS LÄN</t>
        </is>
      </c>
      <c r="E6839" t="inlineStr">
        <is>
          <t>JOKKMOKK</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49307-2023</t>
        </is>
      </c>
      <c r="B6840" s="1" t="n">
        <v>45211</v>
      </c>
      <c r="C6840" s="1" t="n">
        <v>45798</v>
      </c>
      <c r="D6840" t="inlineStr">
        <is>
          <t>NORRBOTTENS LÄN</t>
        </is>
      </c>
      <c r="E6840" t="inlineStr">
        <is>
          <t>PITEÅ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49308-2023</t>
        </is>
      </c>
      <c r="B6841" s="1" t="n">
        <v>45211</v>
      </c>
      <c r="C6841" s="1" t="n">
        <v>45798</v>
      </c>
      <c r="D6841" t="inlineStr">
        <is>
          <t>NORRBOTTENS LÄN</t>
        </is>
      </c>
      <c r="E6841" t="inlineStr">
        <is>
          <t>PITEÅ</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50705-2023</t>
        </is>
      </c>
      <c r="B6842" s="1" t="n">
        <v>45210</v>
      </c>
      <c r="C6842" s="1" t="n">
        <v>45798</v>
      </c>
      <c r="D6842" t="inlineStr">
        <is>
          <t>NORRBOTTENS LÄN</t>
        </is>
      </c>
      <c r="E6842" t="inlineStr">
        <is>
          <t>PAJALA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50576-2023</t>
        </is>
      </c>
      <c r="B6843" s="1" t="n">
        <v>45210</v>
      </c>
      <c r="C6843" s="1" t="n">
        <v>45798</v>
      </c>
      <c r="D6843" t="inlineStr">
        <is>
          <t>NORRBOTTENS LÄN</t>
        </is>
      </c>
      <c r="E6843" t="inlineStr">
        <is>
          <t>KALIX</t>
        </is>
      </c>
      <c r="F6843" t="inlineStr">
        <is>
          <t>Kommuner</t>
        </is>
      </c>
      <c r="G6843" t="n">
        <v>17.1</v>
      </c>
      <c r="H6843" t="n">
        <v>0</v>
      </c>
      <c r="I6843" t="n">
        <v>0</v>
      </c>
      <c r="J6843" t="n">
        <v>0</v>
      </c>
      <c r="K6843" t="n">
        <v>0</v>
      </c>
      <c r="L6843" t="n">
        <v>0</v>
      </c>
      <c r="M6843" t="n">
        <v>0</v>
      </c>
      <c r="N6843" t="n">
        <v>0</v>
      </c>
      <c r="O6843" t="n">
        <v>0</v>
      </c>
      <c r="P6843" t="n">
        <v>0</v>
      </c>
      <c r="Q6843" t="n">
        <v>0</v>
      </c>
      <c r="R6843" s="2" t="inlineStr"/>
    </row>
    <row r="6844" ht="15" customHeight="1">
      <c r="A6844" t="inlineStr">
        <is>
          <t>A 50702-2023</t>
        </is>
      </c>
      <c r="B6844" s="1" t="n">
        <v>45210</v>
      </c>
      <c r="C6844" s="1" t="n">
        <v>45798</v>
      </c>
      <c r="D6844" t="inlineStr">
        <is>
          <t>NORRBOTTENS LÄN</t>
        </is>
      </c>
      <c r="E6844" t="inlineStr">
        <is>
          <t>PAJALA</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50696-2023</t>
        </is>
      </c>
      <c r="B6845" s="1" t="n">
        <v>45210</v>
      </c>
      <c r="C6845" s="1" t="n">
        <v>45798</v>
      </c>
      <c r="D6845" t="inlineStr">
        <is>
          <t>NORRBOTTENS LÄN</t>
        </is>
      </c>
      <c r="E6845" t="inlineStr">
        <is>
          <t>PAJALA</t>
        </is>
      </c>
      <c r="G6845" t="n">
        <v>10.7</v>
      </c>
      <c r="H6845" t="n">
        <v>0</v>
      </c>
      <c r="I6845" t="n">
        <v>0</v>
      </c>
      <c r="J6845" t="n">
        <v>0</v>
      </c>
      <c r="K6845" t="n">
        <v>0</v>
      </c>
      <c r="L6845" t="n">
        <v>0</v>
      </c>
      <c r="M6845" t="n">
        <v>0</v>
      </c>
      <c r="N6845" t="n">
        <v>0</v>
      </c>
      <c r="O6845" t="n">
        <v>0</v>
      </c>
      <c r="P6845" t="n">
        <v>0</v>
      </c>
      <c r="Q6845" t="n">
        <v>0</v>
      </c>
      <c r="R6845" s="2" t="inlineStr"/>
    </row>
    <row r="6846" ht="15" customHeight="1">
      <c r="A6846" t="inlineStr">
        <is>
          <t>A 50731-2023</t>
        </is>
      </c>
      <c r="B6846" s="1" t="n">
        <v>45210</v>
      </c>
      <c r="C6846" s="1" t="n">
        <v>45798</v>
      </c>
      <c r="D6846" t="inlineStr">
        <is>
          <t>NORRBOTTENS LÄN</t>
        </is>
      </c>
      <c r="E6846" t="inlineStr">
        <is>
          <t>ARVIDSJAUR</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49361-2023</t>
        </is>
      </c>
      <c r="B6847" s="1" t="n">
        <v>45211</v>
      </c>
      <c r="C6847" s="1" t="n">
        <v>45798</v>
      </c>
      <c r="D6847" t="inlineStr">
        <is>
          <t>NORRBOTTENS LÄN</t>
        </is>
      </c>
      <c r="E6847" t="inlineStr">
        <is>
          <t>PITEÅ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49402-2023</t>
        </is>
      </c>
      <c r="B6848" s="1" t="n">
        <v>45211</v>
      </c>
      <c r="C6848" s="1" t="n">
        <v>45798</v>
      </c>
      <c r="D6848" t="inlineStr">
        <is>
          <t>NORRBOTTENS LÄN</t>
        </is>
      </c>
      <c r="E6848" t="inlineStr">
        <is>
          <t>ÄLVSBYN</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49410-2023</t>
        </is>
      </c>
      <c r="B6849" s="1" t="n">
        <v>45211</v>
      </c>
      <c r="C6849" s="1" t="n">
        <v>45798</v>
      </c>
      <c r="D6849" t="inlineStr">
        <is>
          <t>NORRBOTTENS LÄN</t>
        </is>
      </c>
      <c r="E6849" t="inlineStr">
        <is>
          <t>BODEN</t>
        </is>
      </c>
      <c r="F6849" t="inlineStr">
        <is>
          <t>Sveaskog</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49456-2023</t>
        </is>
      </c>
      <c r="B6850" s="1" t="n">
        <v>45211</v>
      </c>
      <c r="C6850" s="1" t="n">
        <v>45798</v>
      </c>
      <c r="D6850" t="inlineStr">
        <is>
          <t>NORRBOTTENS LÄN</t>
        </is>
      </c>
      <c r="E6850" t="inlineStr">
        <is>
          <t>BODEN</t>
        </is>
      </c>
      <c r="F6850" t="inlineStr">
        <is>
          <t>Sveaskog</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49522-2023</t>
        </is>
      </c>
      <c r="B6851" s="1" t="n">
        <v>45211</v>
      </c>
      <c r="C6851" s="1" t="n">
        <v>45798</v>
      </c>
      <c r="D6851" t="inlineStr">
        <is>
          <t>NORRBOTTENS LÄN</t>
        </is>
      </c>
      <c r="E6851" t="inlineStr">
        <is>
          <t>BODEN</t>
        </is>
      </c>
      <c r="F6851" t="inlineStr">
        <is>
          <t>Sveaskog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49553-2023</t>
        </is>
      </c>
      <c r="B6852" s="1" t="n">
        <v>45211</v>
      </c>
      <c r="C6852" s="1" t="n">
        <v>45798</v>
      </c>
      <c r="D6852" t="inlineStr">
        <is>
          <t>NORRBOTTENS LÄN</t>
        </is>
      </c>
      <c r="E6852" t="inlineStr">
        <is>
          <t>PITEÅ</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49556-2023</t>
        </is>
      </c>
      <c r="B6853" s="1" t="n">
        <v>45211</v>
      </c>
      <c r="C6853" s="1" t="n">
        <v>45798</v>
      </c>
      <c r="D6853" t="inlineStr">
        <is>
          <t>NORRBOTTENS LÄN</t>
        </is>
      </c>
      <c r="E6853" t="inlineStr">
        <is>
          <t>PITEÅ</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49526-2023</t>
        </is>
      </c>
      <c r="B6854" s="1" t="n">
        <v>45211</v>
      </c>
      <c r="C6854" s="1" t="n">
        <v>45798</v>
      </c>
      <c r="D6854" t="inlineStr">
        <is>
          <t>NORRBOTTENS LÄN</t>
        </is>
      </c>
      <c r="E6854" t="inlineStr">
        <is>
          <t>BODEN</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49459-2023</t>
        </is>
      </c>
      <c r="B6855" s="1" t="n">
        <v>45211</v>
      </c>
      <c r="C6855" s="1" t="n">
        <v>45798</v>
      </c>
      <c r="D6855" t="inlineStr">
        <is>
          <t>NORRBOTTENS LÄN</t>
        </is>
      </c>
      <c r="E6855" t="inlineStr">
        <is>
          <t>BODEN</t>
        </is>
      </c>
      <c r="F6855" t="inlineStr">
        <is>
          <t>Sveaskog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49621-2023</t>
        </is>
      </c>
      <c r="B6856" s="1" t="n">
        <v>45211</v>
      </c>
      <c r="C6856" s="1" t="n">
        <v>45798</v>
      </c>
      <c r="D6856" t="inlineStr">
        <is>
          <t>NORRBOTTENS LÄN</t>
        </is>
      </c>
      <c r="E6856" t="inlineStr">
        <is>
          <t>GÄLLIVARE</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49633-2023</t>
        </is>
      </c>
      <c r="B6857" s="1" t="n">
        <v>45211</v>
      </c>
      <c r="C6857" s="1" t="n">
        <v>45798</v>
      </c>
      <c r="D6857" t="inlineStr">
        <is>
          <t>NORRBOTTENS LÄN</t>
        </is>
      </c>
      <c r="E6857" t="inlineStr">
        <is>
          <t>PITEÅ</t>
        </is>
      </c>
      <c r="G6857" t="n">
        <v>10.2</v>
      </c>
      <c r="H6857" t="n">
        <v>0</v>
      </c>
      <c r="I6857" t="n">
        <v>0</v>
      </c>
      <c r="J6857" t="n">
        <v>0</v>
      </c>
      <c r="K6857" t="n">
        <v>0</v>
      </c>
      <c r="L6857" t="n">
        <v>0</v>
      </c>
      <c r="M6857" t="n">
        <v>0</v>
      </c>
      <c r="N6857" t="n">
        <v>0</v>
      </c>
      <c r="O6857" t="n">
        <v>0</v>
      </c>
      <c r="P6857" t="n">
        <v>0</v>
      </c>
      <c r="Q6857" t="n">
        <v>0</v>
      </c>
      <c r="R6857" s="2" t="inlineStr"/>
    </row>
    <row r="6858" ht="15" customHeight="1">
      <c r="A6858" t="inlineStr">
        <is>
          <t>A 49634-2023</t>
        </is>
      </c>
      <c r="B6858" s="1" t="n">
        <v>45211</v>
      </c>
      <c r="C6858" s="1" t="n">
        <v>45798</v>
      </c>
      <c r="D6858" t="inlineStr">
        <is>
          <t>NORRBOTTENS LÄN</t>
        </is>
      </c>
      <c r="E6858" t="inlineStr">
        <is>
          <t>GÄLLIVARE</t>
        </is>
      </c>
      <c r="G6858" t="n">
        <v>15.4</v>
      </c>
      <c r="H6858" t="n">
        <v>0</v>
      </c>
      <c r="I6858" t="n">
        <v>0</v>
      </c>
      <c r="J6858" t="n">
        <v>0</v>
      </c>
      <c r="K6858" t="n">
        <v>0</v>
      </c>
      <c r="L6858" t="n">
        <v>0</v>
      </c>
      <c r="M6858" t="n">
        <v>0</v>
      </c>
      <c r="N6858" t="n">
        <v>0</v>
      </c>
      <c r="O6858" t="n">
        <v>0</v>
      </c>
      <c r="P6858" t="n">
        <v>0</v>
      </c>
      <c r="Q6858" t="n">
        <v>0</v>
      </c>
      <c r="R6858" s="2" t="inlineStr"/>
    </row>
    <row r="6859" ht="15" customHeight="1">
      <c r="A6859" t="inlineStr">
        <is>
          <t>A 49643-2023</t>
        </is>
      </c>
      <c r="B6859" s="1" t="n">
        <v>45212</v>
      </c>
      <c r="C6859" s="1" t="n">
        <v>45798</v>
      </c>
      <c r="D6859" t="inlineStr">
        <is>
          <t>NORRBOTTENS LÄN</t>
        </is>
      </c>
      <c r="E6859" t="inlineStr">
        <is>
          <t>JOKKMOKK</t>
        </is>
      </c>
      <c r="F6859" t="inlineStr">
        <is>
          <t>SCA</t>
        </is>
      </c>
      <c r="G6859" t="n">
        <v>7.6</v>
      </c>
      <c r="H6859" t="n">
        <v>0</v>
      </c>
      <c r="I6859" t="n">
        <v>0</v>
      </c>
      <c r="J6859" t="n">
        <v>0</v>
      </c>
      <c r="K6859" t="n">
        <v>0</v>
      </c>
      <c r="L6859" t="n">
        <v>0</v>
      </c>
      <c r="M6859" t="n">
        <v>0</v>
      </c>
      <c r="N6859" t="n">
        <v>0</v>
      </c>
      <c r="O6859" t="n">
        <v>0</v>
      </c>
      <c r="P6859" t="n">
        <v>0</v>
      </c>
      <c r="Q6859" t="n">
        <v>0</v>
      </c>
      <c r="R6859" s="2" t="inlineStr"/>
    </row>
    <row r="6860" ht="15" customHeight="1">
      <c r="A6860" t="inlineStr">
        <is>
          <t>A 49644-2023</t>
        </is>
      </c>
      <c r="B6860" s="1" t="n">
        <v>45212</v>
      </c>
      <c r="C6860" s="1" t="n">
        <v>45798</v>
      </c>
      <c r="D6860" t="inlineStr">
        <is>
          <t>NORRBOTTENS LÄN</t>
        </is>
      </c>
      <c r="E6860" t="inlineStr">
        <is>
          <t>JOKKMOKK</t>
        </is>
      </c>
      <c r="F6860" t="inlineStr">
        <is>
          <t>SCA</t>
        </is>
      </c>
      <c r="G6860" t="n">
        <v>10.4</v>
      </c>
      <c r="H6860" t="n">
        <v>0</v>
      </c>
      <c r="I6860" t="n">
        <v>0</v>
      </c>
      <c r="J6860" t="n">
        <v>0</v>
      </c>
      <c r="K6860" t="n">
        <v>0</v>
      </c>
      <c r="L6860" t="n">
        <v>0</v>
      </c>
      <c r="M6860" t="n">
        <v>0</v>
      </c>
      <c r="N6860" t="n">
        <v>0</v>
      </c>
      <c r="O6860" t="n">
        <v>0</v>
      </c>
      <c r="P6860" t="n">
        <v>0</v>
      </c>
      <c r="Q6860" t="n">
        <v>0</v>
      </c>
      <c r="R6860" s="2" t="inlineStr"/>
    </row>
    <row r="6861" ht="15" customHeight="1">
      <c r="A6861" t="inlineStr">
        <is>
          <t>A 49632-2023</t>
        </is>
      </c>
      <c r="B6861" s="1" t="n">
        <v>45212</v>
      </c>
      <c r="C6861" s="1" t="n">
        <v>45798</v>
      </c>
      <c r="D6861" t="inlineStr">
        <is>
          <t>NORRBOTTENS LÄN</t>
        </is>
      </c>
      <c r="E6861" t="inlineStr">
        <is>
          <t>ÄLVSBYN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50887-2023</t>
        </is>
      </c>
      <c r="B6862" s="1" t="n">
        <v>45211</v>
      </c>
      <c r="C6862" s="1" t="n">
        <v>45798</v>
      </c>
      <c r="D6862" t="inlineStr">
        <is>
          <t>NORRBOTTENS LÄN</t>
        </is>
      </c>
      <c r="E6862" t="inlineStr">
        <is>
          <t>KALIX</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50889-2023</t>
        </is>
      </c>
      <c r="B6863" s="1" t="n">
        <v>45211</v>
      </c>
      <c r="C6863" s="1" t="n">
        <v>45798</v>
      </c>
      <c r="D6863" t="inlineStr">
        <is>
          <t>NORRBOTTENS LÄN</t>
        </is>
      </c>
      <c r="E6863" t="inlineStr">
        <is>
          <t>KALIX</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49735-2023</t>
        </is>
      </c>
      <c r="B6864" s="1" t="n">
        <v>45212</v>
      </c>
      <c r="C6864" s="1" t="n">
        <v>45798</v>
      </c>
      <c r="D6864" t="inlineStr">
        <is>
          <t>NORRBOTTENS LÄN</t>
        </is>
      </c>
      <c r="E6864" t="inlineStr">
        <is>
          <t>GÄLLIVARE</t>
        </is>
      </c>
      <c r="F6864" t="inlineStr">
        <is>
          <t>Sveaskog</t>
        </is>
      </c>
      <c r="G6864" t="n">
        <v>11.8</v>
      </c>
      <c r="H6864" t="n">
        <v>0</v>
      </c>
      <c r="I6864" t="n">
        <v>0</v>
      </c>
      <c r="J6864" t="n">
        <v>0</v>
      </c>
      <c r="K6864" t="n">
        <v>0</v>
      </c>
      <c r="L6864" t="n">
        <v>0</v>
      </c>
      <c r="M6864" t="n">
        <v>0</v>
      </c>
      <c r="N6864" t="n">
        <v>0</v>
      </c>
      <c r="O6864" t="n">
        <v>0</v>
      </c>
      <c r="P6864" t="n">
        <v>0</v>
      </c>
      <c r="Q6864" t="n">
        <v>0</v>
      </c>
      <c r="R6864" s="2" t="inlineStr"/>
    </row>
    <row r="6865" ht="15" customHeight="1">
      <c r="A6865" t="inlineStr">
        <is>
          <t>A 49740-2023</t>
        </is>
      </c>
      <c r="B6865" s="1" t="n">
        <v>45212</v>
      </c>
      <c r="C6865" s="1" t="n">
        <v>45798</v>
      </c>
      <c r="D6865" t="inlineStr">
        <is>
          <t>NORRBOTTENS LÄN</t>
        </is>
      </c>
      <c r="E6865" t="inlineStr">
        <is>
          <t>GÄLLIVARE</t>
        </is>
      </c>
      <c r="F6865" t="inlineStr">
        <is>
          <t>Sveaskog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49739-2023</t>
        </is>
      </c>
      <c r="B6866" s="1" t="n">
        <v>45212</v>
      </c>
      <c r="C6866" s="1" t="n">
        <v>45798</v>
      </c>
      <c r="D6866" t="inlineStr">
        <is>
          <t>NORRBOTTENS LÄN</t>
        </is>
      </c>
      <c r="E6866" t="inlineStr">
        <is>
          <t>GÄLLIVARE</t>
        </is>
      </c>
      <c r="F6866" t="inlineStr">
        <is>
          <t>Sveaskog</t>
        </is>
      </c>
      <c r="G6866" t="n">
        <v>12.2</v>
      </c>
      <c r="H6866" t="n">
        <v>0</v>
      </c>
      <c r="I6866" t="n">
        <v>0</v>
      </c>
      <c r="J6866" t="n">
        <v>0</v>
      </c>
      <c r="K6866" t="n">
        <v>0</v>
      </c>
      <c r="L6866" t="n">
        <v>0</v>
      </c>
      <c r="M6866" t="n">
        <v>0</v>
      </c>
      <c r="N6866" t="n">
        <v>0</v>
      </c>
      <c r="O6866" t="n">
        <v>0</v>
      </c>
      <c r="P6866" t="n">
        <v>0</v>
      </c>
      <c r="Q6866" t="n">
        <v>0</v>
      </c>
      <c r="R6866" s="2" t="inlineStr"/>
    </row>
    <row r="6867" ht="15" customHeight="1">
      <c r="A6867" t="inlineStr">
        <is>
          <t>A 49748-2023</t>
        </is>
      </c>
      <c r="B6867" s="1" t="n">
        <v>45212</v>
      </c>
      <c r="C6867" s="1" t="n">
        <v>45798</v>
      </c>
      <c r="D6867" t="inlineStr">
        <is>
          <t>NORRBOTTENS LÄN</t>
        </is>
      </c>
      <c r="E6867" t="inlineStr">
        <is>
          <t>GÄLLIVARE</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49742-2023</t>
        </is>
      </c>
      <c r="B6868" s="1" t="n">
        <v>45212</v>
      </c>
      <c r="C6868" s="1" t="n">
        <v>45798</v>
      </c>
      <c r="D6868" t="inlineStr">
        <is>
          <t>NORRBOTTENS LÄN</t>
        </is>
      </c>
      <c r="E6868" t="inlineStr">
        <is>
          <t>GÄLLIVARE</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49830-2023</t>
        </is>
      </c>
      <c r="B6869" s="1" t="n">
        <v>45212</v>
      </c>
      <c r="C6869" s="1" t="n">
        <v>45798</v>
      </c>
      <c r="D6869" t="inlineStr">
        <is>
          <t>NORRBOTTENS LÄN</t>
        </is>
      </c>
      <c r="E6869" t="inlineStr">
        <is>
          <t>PAJALA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49746-2023</t>
        </is>
      </c>
      <c r="B6870" s="1" t="n">
        <v>45212</v>
      </c>
      <c r="C6870" s="1" t="n">
        <v>45798</v>
      </c>
      <c r="D6870" t="inlineStr">
        <is>
          <t>NORRBOTTENS LÄN</t>
        </is>
      </c>
      <c r="E6870" t="inlineStr">
        <is>
          <t>GÄLLIVARE</t>
        </is>
      </c>
      <c r="F6870" t="inlineStr">
        <is>
          <t>Sveaskog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49750-2023</t>
        </is>
      </c>
      <c r="B6871" s="1" t="n">
        <v>45212</v>
      </c>
      <c r="C6871" s="1" t="n">
        <v>45798</v>
      </c>
      <c r="D6871" t="inlineStr">
        <is>
          <t>NORRBOTTENS LÄN</t>
        </is>
      </c>
      <c r="E6871" t="inlineStr">
        <is>
          <t>GÄLLIVARE</t>
        </is>
      </c>
      <c r="F6871" t="inlineStr">
        <is>
          <t>Sveaskog</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49851-2023</t>
        </is>
      </c>
      <c r="B6872" s="1" t="n">
        <v>45212</v>
      </c>
      <c r="C6872" s="1" t="n">
        <v>45798</v>
      </c>
      <c r="D6872" t="inlineStr">
        <is>
          <t>NORRBOTTENS LÄN</t>
        </is>
      </c>
      <c r="E6872" t="inlineStr">
        <is>
          <t>PITEÅ</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49852-2023</t>
        </is>
      </c>
      <c r="B6873" s="1" t="n">
        <v>45213</v>
      </c>
      <c r="C6873" s="1" t="n">
        <v>45798</v>
      </c>
      <c r="D6873" t="inlineStr">
        <is>
          <t>NORRBOTTENS LÄN</t>
        </is>
      </c>
      <c r="E6873" t="inlineStr">
        <is>
          <t>PITEÅ</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49856-2023</t>
        </is>
      </c>
      <c r="B6874" s="1" t="n">
        <v>45212</v>
      </c>
      <c r="C6874" s="1" t="n">
        <v>45798</v>
      </c>
      <c r="D6874" t="inlineStr">
        <is>
          <t>NORRBOTTENS LÄN</t>
        </is>
      </c>
      <c r="E6874" t="inlineStr">
        <is>
          <t>HAPARANDA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49873-2023</t>
        </is>
      </c>
      <c r="B6875" s="1" t="n">
        <v>45212</v>
      </c>
      <c r="C6875" s="1" t="n">
        <v>45798</v>
      </c>
      <c r="D6875" t="inlineStr">
        <is>
          <t>NORRBOTTENS LÄN</t>
        </is>
      </c>
      <c r="E6875" t="inlineStr">
        <is>
          <t>GÄLLIVARE</t>
        </is>
      </c>
      <c r="F6875" t="inlineStr">
        <is>
          <t>SCA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49859-2023</t>
        </is>
      </c>
      <c r="B6876" s="1" t="n">
        <v>45212</v>
      </c>
      <c r="C6876" s="1" t="n">
        <v>45798</v>
      </c>
      <c r="D6876" t="inlineStr">
        <is>
          <t>NORRBOTTENS LÄN</t>
        </is>
      </c>
      <c r="E6876" t="inlineStr">
        <is>
          <t>BODEN</t>
        </is>
      </c>
      <c r="F6876" t="inlineStr">
        <is>
          <t>SCA</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49877-2023</t>
        </is>
      </c>
      <c r="B6877" s="1" t="n">
        <v>45213</v>
      </c>
      <c r="C6877" s="1" t="n">
        <v>45798</v>
      </c>
      <c r="D6877" t="inlineStr">
        <is>
          <t>NORRBOTTENS LÄN</t>
        </is>
      </c>
      <c r="E6877" t="inlineStr">
        <is>
          <t>GÄLLIVARE</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51243-2023</t>
        </is>
      </c>
      <c r="B6878" s="1" t="n">
        <v>45212</v>
      </c>
      <c r="C6878" s="1" t="n">
        <v>45798</v>
      </c>
      <c r="D6878" t="inlineStr">
        <is>
          <t>NORRBOTTENS LÄN</t>
        </is>
      </c>
      <c r="E6878" t="inlineStr">
        <is>
          <t>GÄLLIVARE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49876-2023</t>
        </is>
      </c>
      <c r="B6879" s="1" t="n">
        <v>45212</v>
      </c>
      <c r="C6879" s="1" t="n">
        <v>45798</v>
      </c>
      <c r="D6879" t="inlineStr">
        <is>
          <t>NORRBOTTENS LÄN</t>
        </is>
      </c>
      <c r="E6879" t="inlineStr">
        <is>
          <t>BODEN</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51217-2023</t>
        </is>
      </c>
      <c r="B6880" s="1" t="n">
        <v>45212</v>
      </c>
      <c r="C6880" s="1" t="n">
        <v>45798</v>
      </c>
      <c r="D6880" t="inlineStr">
        <is>
          <t>NORRBOTTENS LÄN</t>
        </is>
      </c>
      <c r="E6880" t="inlineStr">
        <is>
          <t>GÄLLIVARE</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49858-2023</t>
        </is>
      </c>
      <c r="B6881" s="1" t="n">
        <v>45213</v>
      </c>
      <c r="C6881" s="1" t="n">
        <v>45798</v>
      </c>
      <c r="D6881" t="inlineStr">
        <is>
          <t>NORRBOTTENS LÄN</t>
        </is>
      </c>
      <c r="E6881" t="inlineStr">
        <is>
          <t>LULEÅ</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49875-2023</t>
        </is>
      </c>
      <c r="B6882" s="1" t="n">
        <v>45212</v>
      </c>
      <c r="C6882" s="1" t="n">
        <v>45798</v>
      </c>
      <c r="D6882" t="inlineStr">
        <is>
          <t>NORRBOTTENS LÄN</t>
        </is>
      </c>
      <c r="E6882" t="inlineStr">
        <is>
          <t>GÄLLIVARE</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49857-2023</t>
        </is>
      </c>
      <c r="B6883" s="1" t="n">
        <v>45212</v>
      </c>
      <c r="C6883" s="1" t="n">
        <v>45798</v>
      </c>
      <c r="D6883" t="inlineStr">
        <is>
          <t>NORRBOTTENS LÄN</t>
        </is>
      </c>
      <c r="E6883" t="inlineStr">
        <is>
          <t>LULEÅ</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49865-2023</t>
        </is>
      </c>
      <c r="B6884" s="1" t="n">
        <v>45213</v>
      </c>
      <c r="C6884" s="1" t="n">
        <v>45798</v>
      </c>
      <c r="D6884" t="inlineStr">
        <is>
          <t>NORRBOTTENS LÄN</t>
        </is>
      </c>
      <c r="E6884" t="inlineStr">
        <is>
          <t>ÖVERKALIX</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51193-2023</t>
        </is>
      </c>
      <c r="B6885" s="1" t="n">
        <v>45212</v>
      </c>
      <c r="C6885" s="1" t="n">
        <v>45798</v>
      </c>
      <c r="D6885" t="inlineStr">
        <is>
          <t>NORRBOTTENS LÄN</t>
        </is>
      </c>
      <c r="E6885" t="inlineStr">
        <is>
          <t>BODEN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49889-2023</t>
        </is>
      </c>
      <c r="B6886" s="1" t="n">
        <v>45213</v>
      </c>
      <c r="C6886" s="1" t="n">
        <v>45798</v>
      </c>
      <c r="D6886" t="inlineStr">
        <is>
          <t>NORRBOTTENS LÄN</t>
        </is>
      </c>
      <c r="E6886" t="inlineStr">
        <is>
          <t>KALIX</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50097-2023</t>
        </is>
      </c>
      <c r="B6887" s="1" t="n">
        <v>45215</v>
      </c>
      <c r="C6887" s="1" t="n">
        <v>45798</v>
      </c>
      <c r="D6887" t="inlineStr">
        <is>
          <t>NORRBOTTENS LÄN</t>
        </is>
      </c>
      <c r="E6887" t="inlineStr">
        <is>
          <t>PAJALA</t>
        </is>
      </c>
      <c r="F6887" t="inlineStr">
        <is>
          <t>Sveaskog</t>
        </is>
      </c>
      <c r="G6887" t="n">
        <v>41.2</v>
      </c>
      <c r="H6887" t="n">
        <v>0</v>
      </c>
      <c r="I6887" t="n">
        <v>0</v>
      </c>
      <c r="J6887" t="n">
        <v>0</v>
      </c>
      <c r="K6887" t="n">
        <v>0</v>
      </c>
      <c r="L6887" t="n">
        <v>0</v>
      </c>
      <c r="M6887" t="n">
        <v>0</v>
      </c>
      <c r="N6887" t="n">
        <v>0</v>
      </c>
      <c r="O6887" t="n">
        <v>0</v>
      </c>
      <c r="P6887" t="n">
        <v>0</v>
      </c>
      <c r="Q6887" t="n">
        <v>0</v>
      </c>
      <c r="R6887" s="2" t="inlineStr"/>
    </row>
    <row r="6888" ht="15" customHeight="1">
      <c r="A6888" t="inlineStr">
        <is>
          <t>A 50110-2023</t>
        </is>
      </c>
      <c r="B6888" s="1" t="n">
        <v>45215</v>
      </c>
      <c r="C6888" s="1" t="n">
        <v>45798</v>
      </c>
      <c r="D6888" t="inlineStr">
        <is>
          <t>NORRBOTTENS LÄN</t>
        </is>
      </c>
      <c r="E6888" t="inlineStr">
        <is>
          <t>KALIX</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51569-2023</t>
        </is>
      </c>
      <c r="B6889" s="1" t="n">
        <v>45215</v>
      </c>
      <c r="C6889" s="1" t="n">
        <v>45798</v>
      </c>
      <c r="D6889" t="inlineStr">
        <is>
          <t>NORRBOTTENS LÄN</t>
        </is>
      </c>
      <c r="E6889" t="inlineStr">
        <is>
          <t>PITEÅ</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50109-2023</t>
        </is>
      </c>
      <c r="B6890" s="1" t="n">
        <v>45215</v>
      </c>
      <c r="C6890" s="1" t="n">
        <v>45798</v>
      </c>
      <c r="D6890" t="inlineStr">
        <is>
          <t>NORRBOTTENS LÄN</t>
        </is>
      </c>
      <c r="E6890" t="inlineStr">
        <is>
          <t>KALIX</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50212-2023</t>
        </is>
      </c>
      <c r="B6891" s="1" t="n">
        <v>45216</v>
      </c>
      <c r="C6891" s="1" t="n">
        <v>45798</v>
      </c>
      <c r="D6891" t="inlineStr">
        <is>
          <t>NORRBOTTENS LÄN</t>
        </is>
      </c>
      <c r="E6891" t="inlineStr">
        <is>
          <t>ÄLVSBYN</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51655-2023</t>
        </is>
      </c>
      <c r="B6892" s="1" t="n">
        <v>45215</v>
      </c>
      <c r="C6892" s="1" t="n">
        <v>45798</v>
      </c>
      <c r="D6892" t="inlineStr">
        <is>
          <t>NORRBOTTENS LÄN</t>
        </is>
      </c>
      <c r="E6892" t="inlineStr">
        <is>
          <t>LULEÅ</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51578-2023</t>
        </is>
      </c>
      <c r="B6893" s="1" t="n">
        <v>45215</v>
      </c>
      <c r="C6893" s="1" t="n">
        <v>45798</v>
      </c>
      <c r="D6893" t="inlineStr">
        <is>
          <t>NORRBOTTENS LÄN</t>
        </is>
      </c>
      <c r="E6893" t="inlineStr">
        <is>
          <t>PITEÅ</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51451-2023</t>
        </is>
      </c>
      <c r="B6894" s="1" t="n">
        <v>45215</v>
      </c>
      <c r="C6894" s="1" t="n">
        <v>45798</v>
      </c>
      <c r="D6894" t="inlineStr">
        <is>
          <t>NORRBOTTENS LÄN</t>
        </is>
      </c>
      <c r="E6894" t="inlineStr">
        <is>
          <t>GÄLLIVARE</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51689-2023</t>
        </is>
      </c>
      <c r="B6895" s="1" t="n">
        <v>45215</v>
      </c>
      <c r="C6895" s="1" t="n">
        <v>45798</v>
      </c>
      <c r="D6895" t="inlineStr">
        <is>
          <t>NORRBOTTENS LÄN</t>
        </is>
      </c>
      <c r="E6895" t="inlineStr">
        <is>
          <t>PAJALA</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50280-2023</t>
        </is>
      </c>
      <c r="B6896" s="1" t="n">
        <v>45216</v>
      </c>
      <c r="C6896" s="1" t="n">
        <v>45798</v>
      </c>
      <c r="D6896" t="inlineStr">
        <is>
          <t>NORRBOTTENS LÄN</t>
        </is>
      </c>
      <c r="E6896" t="inlineStr">
        <is>
          <t>PITEÅ</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50498-2023</t>
        </is>
      </c>
      <c r="B6897" s="1" t="n">
        <v>45216</v>
      </c>
      <c r="C6897" s="1" t="n">
        <v>45798</v>
      </c>
      <c r="D6897" t="inlineStr">
        <is>
          <t>NORRBOTTENS LÄN</t>
        </is>
      </c>
      <c r="E6897" t="inlineStr">
        <is>
          <t>GÄLLIVARE</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50510-2023</t>
        </is>
      </c>
      <c r="B6898" s="1" t="n">
        <v>45216</v>
      </c>
      <c r="C6898" s="1" t="n">
        <v>45798</v>
      </c>
      <c r="D6898" t="inlineStr">
        <is>
          <t>NORRBOTTENS LÄN</t>
        </is>
      </c>
      <c r="E6898" t="inlineStr">
        <is>
          <t>PITEÅ</t>
        </is>
      </c>
      <c r="F6898" t="inlineStr">
        <is>
          <t>SCA</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50511-2023</t>
        </is>
      </c>
      <c r="B6899" s="1" t="n">
        <v>45217</v>
      </c>
      <c r="C6899" s="1" t="n">
        <v>45798</v>
      </c>
      <c r="D6899" t="inlineStr">
        <is>
          <t>NORRBOTTENS LÄN</t>
        </is>
      </c>
      <c r="E6899" t="inlineStr">
        <is>
          <t>BODEN</t>
        </is>
      </c>
      <c r="F6899" t="inlineStr">
        <is>
          <t>SCA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50478-2023</t>
        </is>
      </c>
      <c r="B6900" s="1" t="n">
        <v>45217</v>
      </c>
      <c r="C6900" s="1" t="n">
        <v>45798</v>
      </c>
      <c r="D6900" t="inlineStr">
        <is>
          <t>NORRBOTTENS LÄN</t>
        </is>
      </c>
      <c r="E6900" t="inlineStr">
        <is>
          <t>ÄLVSBYN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50384-2023</t>
        </is>
      </c>
      <c r="B6901" s="1" t="n">
        <v>45216</v>
      </c>
      <c r="C6901" s="1" t="n">
        <v>45798</v>
      </c>
      <c r="D6901" t="inlineStr">
        <is>
          <t>NORRBOTTENS LÄN</t>
        </is>
      </c>
      <c r="E6901" t="inlineStr">
        <is>
          <t>ÄLVSBYN</t>
        </is>
      </c>
      <c r="G6901" t="n">
        <v>10.7</v>
      </c>
      <c r="H6901" t="n">
        <v>0</v>
      </c>
      <c r="I6901" t="n">
        <v>0</v>
      </c>
      <c r="J6901" t="n">
        <v>0</v>
      </c>
      <c r="K6901" t="n">
        <v>0</v>
      </c>
      <c r="L6901" t="n">
        <v>0</v>
      </c>
      <c r="M6901" t="n">
        <v>0</v>
      </c>
      <c r="N6901" t="n">
        <v>0</v>
      </c>
      <c r="O6901" t="n">
        <v>0</v>
      </c>
      <c r="P6901" t="n">
        <v>0</v>
      </c>
      <c r="Q6901" t="n">
        <v>0</v>
      </c>
      <c r="R6901" s="2" t="inlineStr"/>
    </row>
    <row r="6902" ht="15" customHeight="1">
      <c r="A6902" t="inlineStr">
        <is>
          <t>A 50509-2023</t>
        </is>
      </c>
      <c r="B6902" s="1" t="n">
        <v>45216</v>
      </c>
      <c r="C6902" s="1" t="n">
        <v>45798</v>
      </c>
      <c r="D6902" t="inlineStr">
        <is>
          <t>NORRBOTTENS LÄN</t>
        </is>
      </c>
      <c r="E6902" t="inlineStr">
        <is>
          <t>ÄLVSBYN</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50481-2023</t>
        </is>
      </c>
      <c r="B6903" s="1" t="n">
        <v>45216</v>
      </c>
      <c r="C6903" s="1" t="n">
        <v>45798</v>
      </c>
      <c r="D6903" t="inlineStr">
        <is>
          <t>NORRBOTTENS LÄN</t>
        </is>
      </c>
      <c r="E6903" t="inlineStr">
        <is>
          <t>ÄLVSBYN</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50258-2023</t>
        </is>
      </c>
      <c r="B6904" s="1" t="n">
        <v>45216</v>
      </c>
      <c r="C6904" s="1" t="n">
        <v>45798</v>
      </c>
      <c r="D6904" t="inlineStr">
        <is>
          <t>NORRBOTTENS LÄN</t>
        </is>
      </c>
      <c r="E6904" t="inlineStr">
        <is>
          <t>JOKKMOKK</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50491-2023</t>
        </is>
      </c>
      <c r="B6905" s="1" t="n">
        <v>45217</v>
      </c>
      <c r="C6905" s="1" t="n">
        <v>45798</v>
      </c>
      <c r="D6905" t="inlineStr">
        <is>
          <t>NORRBOTTENS LÄN</t>
        </is>
      </c>
      <c r="E6905" t="inlineStr">
        <is>
          <t>BODEN</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50479-2023</t>
        </is>
      </c>
      <c r="B6906" s="1" t="n">
        <v>45216</v>
      </c>
      <c r="C6906" s="1" t="n">
        <v>45798</v>
      </c>
      <c r="D6906" t="inlineStr">
        <is>
          <t>NORRBOTTENS LÄN</t>
        </is>
      </c>
      <c r="E6906" t="inlineStr">
        <is>
          <t>ÄLVSBYN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50375-2023</t>
        </is>
      </c>
      <c r="B6907" s="1" t="n">
        <v>45216</v>
      </c>
      <c r="C6907" s="1" t="n">
        <v>45798</v>
      </c>
      <c r="D6907" t="inlineStr">
        <is>
          <t>NORRBOTTENS LÄN</t>
        </is>
      </c>
      <c r="E6907" t="inlineStr">
        <is>
          <t>ÄLVSBYN</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50327-2023</t>
        </is>
      </c>
      <c r="B6908" s="1" t="n">
        <v>45216</v>
      </c>
      <c r="C6908" s="1" t="n">
        <v>45798</v>
      </c>
      <c r="D6908" t="inlineStr">
        <is>
          <t>NORRBOTTENS LÄN</t>
        </is>
      </c>
      <c r="E6908" t="inlineStr">
        <is>
          <t>BODEN</t>
        </is>
      </c>
      <c r="F6908" t="inlineStr">
        <is>
          <t>Sveaskog</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51987-2023</t>
        </is>
      </c>
      <c r="B6909" s="1" t="n">
        <v>45216</v>
      </c>
      <c r="C6909" s="1" t="n">
        <v>45798</v>
      </c>
      <c r="D6909" t="inlineStr">
        <is>
          <t>NORRBOTTENS LÄN</t>
        </is>
      </c>
      <c r="E6909" t="inlineStr">
        <is>
          <t>PAJALA</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50492-2023</t>
        </is>
      </c>
      <c r="B6910" s="1" t="n">
        <v>45217</v>
      </c>
      <c r="C6910" s="1" t="n">
        <v>45798</v>
      </c>
      <c r="D6910" t="inlineStr">
        <is>
          <t>NORRBOTTENS LÄN</t>
        </is>
      </c>
      <c r="E6910" t="inlineStr">
        <is>
          <t>BODEN</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50480-2023</t>
        </is>
      </c>
      <c r="B6911" s="1" t="n">
        <v>45216</v>
      </c>
      <c r="C6911" s="1" t="n">
        <v>45798</v>
      </c>
      <c r="D6911" t="inlineStr">
        <is>
          <t>NORRBOTTENS LÄN</t>
        </is>
      </c>
      <c r="E6911" t="inlineStr">
        <is>
          <t>ÄLVSBYN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50240-2023</t>
        </is>
      </c>
      <c r="B6912" s="1" t="n">
        <v>45216</v>
      </c>
      <c r="C6912" s="1" t="n">
        <v>45798</v>
      </c>
      <c r="D6912" t="inlineStr">
        <is>
          <t>NORRBOTTENS LÄN</t>
        </is>
      </c>
      <c r="E6912" t="inlineStr">
        <is>
          <t>GÄLLIVARE</t>
        </is>
      </c>
      <c r="F6912" t="inlineStr">
        <is>
          <t>Sveaskog</t>
        </is>
      </c>
      <c r="G6912" t="n">
        <v>9.1</v>
      </c>
      <c r="H6912" t="n">
        <v>0</v>
      </c>
      <c r="I6912" t="n">
        <v>0</v>
      </c>
      <c r="J6912" t="n">
        <v>0</v>
      </c>
      <c r="K6912" t="n">
        <v>0</v>
      </c>
      <c r="L6912" t="n">
        <v>0</v>
      </c>
      <c r="M6912" t="n">
        <v>0</v>
      </c>
      <c r="N6912" t="n">
        <v>0</v>
      </c>
      <c r="O6912" t="n">
        <v>0</v>
      </c>
      <c r="P6912" t="n">
        <v>0</v>
      </c>
      <c r="Q6912" t="n">
        <v>0</v>
      </c>
      <c r="R6912" s="2" t="inlineStr"/>
    </row>
    <row r="6913" ht="15" customHeight="1">
      <c r="A6913" t="inlineStr">
        <is>
          <t>A 50381-2023</t>
        </is>
      </c>
      <c r="B6913" s="1" t="n">
        <v>45216</v>
      </c>
      <c r="C6913" s="1" t="n">
        <v>45798</v>
      </c>
      <c r="D6913" t="inlineStr">
        <is>
          <t>NORRBOTTENS LÄN</t>
        </is>
      </c>
      <c r="E6913" t="inlineStr">
        <is>
          <t>PAJALA</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50323-2023</t>
        </is>
      </c>
      <c r="B6914" s="1" t="n">
        <v>45216</v>
      </c>
      <c r="C6914" s="1" t="n">
        <v>45798</v>
      </c>
      <c r="D6914" t="inlineStr">
        <is>
          <t>NORRBOTTENS LÄN</t>
        </is>
      </c>
      <c r="E6914" t="inlineStr">
        <is>
          <t>PAJALA</t>
        </is>
      </c>
      <c r="F6914" t="inlineStr">
        <is>
          <t>Sveaskog</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50319-2023</t>
        </is>
      </c>
      <c r="B6915" s="1" t="n">
        <v>45216</v>
      </c>
      <c r="C6915" s="1" t="n">
        <v>45798</v>
      </c>
      <c r="D6915" t="inlineStr">
        <is>
          <t>NORRBOTTENS LÄN</t>
        </is>
      </c>
      <c r="E6915" t="inlineStr">
        <is>
          <t>ÄLVSBYN</t>
        </is>
      </c>
      <c r="G6915" t="n">
        <v>21.9</v>
      </c>
      <c r="H6915" t="n">
        <v>0</v>
      </c>
      <c r="I6915" t="n">
        <v>0</v>
      </c>
      <c r="J6915" t="n">
        <v>0</v>
      </c>
      <c r="K6915" t="n">
        <v>0</v>
      </c>
      <c r="L6915" t="n">
        <v>0</v>
      </c>
      <c r="M6915" t="n">
        <v>0</v>
      </c>
      <c r="N6915" t="n">
        <v>0</v>
      </c>
      <c r="O6915" t="n">
        <v>0</v>
      </c>
      <c r="P6915" t="n">
        <v>0</v>
      </c>
      <c r="Q6915" t="n">
        <v>0</v>
      </c>
      <c r="R6915" s="2" t="inlineStr"/>
    </row>
    <row r="6916" ht="15" customHeight="1">
      <c r="A6916" t="inlineStr">
        <is>
          <t>A 50590-2023</t>
        </is>
      </c>
      <c r="B6916" s="1" t="n">
        <v>45217</v>
      </c>
      <c r="C6916" s="1" t="n">
        <v>45798</v>
      </c>
      <c r="D6916" t="inlineStr">
        <is>
          <t>NORRBOTTENS LÄN</t>
        </is>
      </c>
      <c r="E6916" t="inlineStr">
        <is>
          <t>KIRUNA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50577-2023</t>
        </is>
      </c>
      <c r="B6917" s="1" t="n">
        <v>45217</v>
      </c>
      <c r="C6917" s="1" t="n">
        <v>45798</v>
      </c>
      <c r="D6917" t="inlineStr">
        <is>
          <t>NORRBOTTENS LÄN</t>
        </is>
      </c>
      <c r="E6917" t="inlineStr">
        <is>
          <t>GÄLLIVARE</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50679-2023</t>
        </is>
      </c>
      <c r="B6918" s="1" t="n">
        <v>45217</v>
      </c>
      <c r="C6918" s="1" t="n">
        <v>45798</v>
      </c>
      <c r="D6918" t="inlineStr">
        <is>
          <t>NORRBOTTENS LÄN</t>
        </is>
      </c>
      <c r="E6918" t="inlineStr">
        <is>
          <t>ÖVERTORNEÅ</t>
        </is>
      </c>
      <c r="G6918" t="n">
        <v>12.3</v>
      </c>
      <c r="H6918" t="n">
        <v>0</v>
      </c>
      <c r="I6918" t="n">
        <v>0</v>
      </c>
      <c r="J6918" t="n">
        <v>0</v>
      </c>
      <c r="K6918" t="n">
        <v>0</v>
      </c>
      <c r="L6918" t="n">
        <v>0</v>
      </c>
      <c r="M6918" t="n">
        <v>0</v>
      </c>
      <c r="N6918" t="n">
        <v>0</v>
      </c>
      <c r="O6918" t="n">
        <v>0</v>
      </c>
      <c r="P6918" t="n">
        <v>0</v>
      </c>
      <c r="Q6918" t="n">
        <v>0</v>
      </c>
      <c r="R6918" s="2" t="inlineStr"/>
    </row>
    <row r="6919" ht="15" customHeight="1">
      <c r="A6919" t="inlineStr">
        <is>
          <t>A 50673-2023</t>
        </is>
      </c>
      <c r="B6919" s="1" t="n">
        <v>45217</v>
      </c>
      <c r="C6919" s="1" t="n">
        <v>45798</v>
      </c>
      <c r="D6919" t="inlineStr">
        <is>
          <t>NORRBOTTENS LÄN</t>
        </is>
      </c>
      <c r="E6919" t="inlineStr">
        <is>
          <t>ÖVERTORNEÅ</t>
        </is>
      </c>
      <c r="G6919" t="n">
        <v>7.3</v>
      </c>
      <c r="H6919" t="n">
        <v>0</v>
      </c>
      <c r="I6919" t="n">
        <v>0</v>
      </c>
      <c r="J6919" t="n">
        <v>0</v>
      </c>
      <c r="K6919" t="n">
        <v>0</v>
      </c>
      <c r="L6919" t="n">
        <v>0</v>
      </c>
      <c r="M6919" t="n">
        <v>0</v>
      </c>
      <c r="N6919" t="n">
        <v>0</v>
      </c>
      <c r="O6919" t="n">
        <v>0</v>
      </c>
      <c r="P6919" t="n">
        <v>0</v>
      </c>
      <c r="Q6919" t="n">
        <v>0</v>
      </c>
      <c r="R6919" s="2" t="inlineStr"/>
    </row>
    <row r="6920" ht="15" customHeight="1">
      <c r="A6920" t="inlineStr">
        <is>
          <t>A 50807-2023</t>
        </is>
      </c>
      <c r="B6920" s="1" t="n">
        <v>45217</v>
      </c>
      <c r="C6920" s="1" t="n">
        <v>45798</v>
      </c>
      <c r="D6920" t="inlineStr">
        <is>
          <t>NORRBOTTENS LÄN</t>
        </is>
      </c>
      <c r="E6920" t="inlineStr">
        <is>
          <t>ÖVERTORNEÅ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50801-2023</t>
        </is>
      </c>
      <c r="B6921" s="1" t="n">
        <v>45217</v>
      </c>
      <c r="C6921" s="1" t="n">
        <v>45798</v>
      </c>
      <c r="D6921" t="inlineStr">
        <is>
          <t>NORRBOTTENS LÄN</t>
        </is>
      </c>
      <c r="E6921" t="inlineStr">
        <is>
          <t>JOKKMOKK</t>
        </is>
      </c>
      <c r="F6921" t="inlineStr">
        <is>
          <t>Sveaskog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52188-2023</t>
        </is>
      </c>
      <c r="B6922" s="1" t="n">
        <v>45217</v>
      </c>
      <c r="C6922" s="1" t="n">
        <v>45798</v>
      </c>
      <c r="D6922" t="inlineStr">
        <is>
          <t>NORRBOTTENS LÄN</t>
        </is>
      </c>
      <c r="E6922" t="inlineStr">
        <is>
          <t>HAPARANDA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52194-2023</t>
        </is>
      </c>
      <c r="B6923" s="1" t="n">
        <v>45217</v>
      </c>
      <c r="C6923" s="1" t="n">
        <v>45798</v>
      </c>
      <c r="D6923" t="inlineStr">
        <is>
          <t>NORRBOTTENS LÄN</t>
        </is>
      </c>
      <c r="E6923" t="inlineStr">
        <is>
          <t>HAPARANDA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52296-2023</t>
        </is>
      </c>
      <c r="B6924" s="1" t="n">
        <v>45217</v>
      </c>
      <c r="C6924" s="1" t="n">
        <v>45798</v>
      </c>
      <c r="D6924" t="inlineStr">
        <is>
          <t>NORRBOTTENS LÄN</t>
        </is>
      </c>
      <c r="E6924" t="inlineStr">
        <is>
          <t>JOKKMOKK</t>
        </is>
      </c>
      <c r="F6924" t="inlineStr">
        <is>
          <t>Övriga statliga verk och myndigheter</t>
        </is>
      </c>
      <c r="G6924" t="n">
        <v>9.300000000000001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52448-2023</t>
        </is>
      </c>
      <c r="B6925" s="1" t="n">
        <v>45217</v>
      </c>
      <c r="C6925" s="1" t="n">
        <v>45798</v>
      </c>
      <c r="D6925" t="inlineStr">
        <is>
          <t>NORRBOTTENS LÄN</t>
        </is>
      </c>
      <c r="E6925" t="inlineStr">
        <is>
          <t>PAJALA</t>
        </is>
      </c>
      <c r="F6925" t="inlineStr">
        <is>
          <t>Kommuner</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52192-2023</t>
        </is>
      </c>
      <c r="B6926" s="1" t="n">
        <v>45217</v>
      </c>
      <c r="C6926" s="1" t="n">
        <v>45798</v>
      </c>
      <c r="D6926" t="inlineStr">
        <is>
          <t>NORRBOTTENS LÄN</t>
        </is>
      </c>
      <c r="E6926" t="inlineStr">
        <is>
          <t>HAPARANDA</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52274-2023</t>
        </is>
      </c>
      <c r="B6927" s="1" t="n">
        <v>45217</v>
      </c>
      <c r="C6927" s="1" t="n">
        <v>45798</v>
      </c>
      <c r="D6927" t="inlineStr">
        <is>
          <t>NORRBOTTENS LÄN</t>
        </is>
      </c>
      <c r="E6927" t="inlineStr">
        <is>
          <t>ÖVERTORNEÅ</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52314-2023</t>
        </is>
      </c>
      <c r="B6928" s="1" t="n">
        <v>45217</v>
      </c>
      <c r="C6928" s="1" t="n">
        <v>45798</v>
      </c>
      <c r="D6928" t="inlineStr">
        <is>
          <t>NORRBOTTENS LÄN</t>
        </is>
      </c>
      <c r="E6928" t="inlineStr">
        <is>
          <t>JOKKMOKK</t>
        </is>
      </c>
      <c r="F6928" t="inlineStr">
        <is>
          <t>Övriga statliga verk och myndigheter</t>
        </is>
      </c>
      <c r="G6928" t="n">
        <v>23.3</v>
      </c>
      <c r="H6928" t="n">
        <v>0</v>
      </c>
      <c r="I6928" t="n">
        <v>0</v>
      </c>
      <c r="J6928" t="n">
        <v>0</v>
      </c>
      <c r="K6928" t="n">
        <v>0</v>
      </c>
      <c r="L6928" t="n">
        <v>0</v>
      </c>
      <c r="M6928" t="n">
        <v>0</v>
      </c>
      <c r="N6928" t="n">
        <v>0</v>
      </c>
      <c r="O6928" t="n">
        <v>0</v>
      </c>
      <c r="P6928" t="n">
        <v>0</v>
      </c>
      <c r="Q6928" t="n">
        <v>0</v>
      </c>
      <c r="R6928" s="2" t="inlineStr"/>
    </row>
    <row r="6929" ht="15" customHeight="1">
      <c r="A6929" t="inlineStr">
        <is>
          <t>A 52454-2023</t>
        </is>
      </c>
      <c r="B6929" s="1" t="n">
        <v>45217</v>
      </c>
      <c r="C6929" s="1" t="n">
        <v>45798</v>
      </c>
      <c r="D6929" t="inlineStr">
        <is>
          <t>NORRBOTTENS LÄN</t>
        </is>
      </c>
      <c r="E6929" t="inlineStr">
        <is>
          <t>PAJALA</t>
        </is>
      </c>
      <c r="F6929" t="inlineStr">
        <is>
          <t>Kommuner</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52446-2023</t>
        </is>
      </c>
      <c r="B6930" s="1" t="n">
        <v>45217</v>
      </c>
      <c r="C6930" s="1" t="n">
        <v>45798</v>
      </c>
      <c r="D6930" t="inlineStr">
        <is>
          <t>NORRBOTTENS LÄN</t>
        </is>
      </c>
      <c r="E6930" t="inlineStr">
        <is>
          <t>PAJALA</t>
        </is>
      </c>
      <c r="F6930" t="inlineStr">
        <is>
          <t>Kommuner</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52457-2023</t>
        </is>
      </c>
      <c r="B6931" s="1" t="n">
        <v>45217</v>
      </c>
      <c r="C6931" s="1" t="n">
        <v>45798</v>
      </c>
      <c r="D6931" t="inlineStr">
        <is>
          <t>NORRBOTTENS LÄN</t>
        </is>
      </c>
      <c r="E6931" t="inlineStr">
        <is>
          <t>PAJALA</t>
        </is>
      </c>
      <c r="F6931" t="inlineStr">
        <is>
          <t>Kommuner</t>
        </is>
      </c>
      <c r="G6931" t="n">
        <v>20</v>
      </c>
      <c r="H6931" t="n">
        <v>0</v>
      </c>
      <c r="I6931" t="n">
        <v>0</v>
      </c>
      <c r="J6931" t="n">
        <v>0</v>
      </c>
      <c r="K6931" t="n">
        <v>0</v>
      </c>
      <c r="L6931" t="n">
        <v>0</v>
      </c>
      <c r="M6931" t="n">
        <v>0</v>
      </c>
      <c r="N6931" t="n">
        <v>0</v>
      </c>
      <c r="O6931" t="n">
        <v>0</v>
      </c>
      <c r="P6931" t="n">
        <v>0</v>
      </c>
      <c r="Q6931" t="n">
        <v>0</v>
      </c>
      <c r="R6931" s="2" t="inlineStr"/>
    </row>
    <row r="6932" ht="15" customHeight="1">
      <c r="A6932" t="inlineStr">
        <is>
          <t>A 52222-2023</t>
        </is>
      </c>
      <c r="B6932" s="1" t="n">
        <v>45217</v>
      </c>
      <c r="C6932" s="1" t="n">
        <v>45798</v>
      </c>
      <c r="D6932" t="inlineStr">
        <is>
          <t>NORRBOTTENS LÄN</t>
        </is>
      </c>
      <c r="E6932" t="inlineStr">
        <is>
          <t>KALIX</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52452-2023</t>
        </is>
      </c>
      <c r="B6933" s="1" t="n">
        <v>45217</v>
      </c>
      <c r="C6933" s="1" t="n">
        <v>45798</v>
      </c>
      <c r="D6933" t="inlineStr">
        <is>
          <t>NORRBOTTENS LÄN</t>
        </is>
      </c>
      <c r="E6933" t="inlineStr">
        <is>
          <t>PAJALA</t>
        </is>
      </c>
      <c r="F6933" t="inlineStr">
        <is>
          <t>Kommuner</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52422-2023</t>
        </is>
      </c>
      <c r="B6934" s="1" t="n">
        <v>45217</v>
      </c>
      <c r="C6934" s="1" t="n">
        <v>45798</v>
      </c>
      <c r="D6934" t="inlineStr">
        <is>
          <t>NORRBOTTENS LÄN</t>
        </is>
      </c>
      <c r="E6934" t="inlineStr">
        <is>
          <t>PAJALA</t>
        </is>
      </c>
      <c r="F6934" t="inlineStr">
        <is>
          <t>Kommuner</t>
        </is>
      </c>
      <c r="G6934" t="n">
        <v>11.6</v>
      </c>
      <c r="H6934" t="n">
        <v>0</v>
      </c>
      <c r="I6934" t="n">
        <v>0</v>
      </c>
      <c r="J6934" t="n">
        <v>0</v>
      </c>
      <c r="K6934" t="n">
        <v>0</v>
      </c>
      <c r="L6934" t="n">
        <v>0</v>
      </c>
      <c r="M6934" t="n">
        <v>0</v>
      </c>
      <c r="N6934" t="n">
        <v>0</v>
      </c>
      <c r="O6934" t="n">
        <v>0</v>
      </c>
      <c r="P6934" t="n">
        <v>0</v>
      </c>
      <c r="Q6934" t="n">
        <v>0</v>
      </c>
      <c r="R6934" s="2" t="inlineStr"/>
    </row>
    <row r="6935" ht="15" customHeight="1">
      <c r="A6935" t="inlineStr">
        <is>
          <t>A 50862-2023</t>
        </is>
      </c>
      <c r="B6935" s="1" t="n">
        <v>45218</v>
      </c>
      <c r="C6935" s="1" t="n">
        <v>45798</v>
      </c>
      <c r="D6935" t="inlineStr">
        <is>
          <t>NORRBOTTENS LÄN</t>
        </is>
      </c>
      <c r="E6935" t="inlineStr">
        <is>
          <t>ÖVERKALIX</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50859-2023</t>
        </is>
      </c>
      <c r="B6936" s="1" t="n">
        <v>45218</v>
      </c>
      <c r="C6936" s="1" t="n">
        <v>45798</v>
      </c>
      <c r="D6936" t="inlineStr">
        <is>
          <t>NORRBOTTENS LÄN</t>
        </is>
      </c>
      <c r="E6936" t="inlineStr">
        <is>
          <t>PITEÅ</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50978-2023</t>
        </is>
      </c>
      <c r="B6937" s="1" t="n">
        <v>45218</v>
      </c>
      <c r="C6937" s="1" t="n">
        <v>45798</v>
      </c>
      <c r="D6937" t="inlineStr">
        <is>
          <t>NORRBOTTENS LÄN</t>
        </is>
      </c>
      <c r="E6937" t="inlineStr">
        <is>
          <t>PITEÅ</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51083-2023</t>
        </is>
      </c>
      <c r="B6938" s="1" t="n">
        <v>45218</v>
      </c>
      <c r="C6938" s="1" t="n">
        <v>45798</v>
      </c>
      <c r="D6938" t="inlineStr">
        <is>
          <t>NORRBOTTENS LÄN</t>
        </is>
      </c>
      <c r="E6938" t="inlineStr">
        <is>
          <t>PAJALA</t>
        </is>
      </c>
      <c r="F6938" t="inlineStr">
        <is>
          <t>Sveaskog</t>
        </is>
      </c>
      <c r="G6938" t="n">
        <v>25.1</v>
      </c>
      <c r="H6938" t="n">
        <v>0</v>
      </c>
      <c r="I6938" t="n">
        <v>0</v>
      </c>
      <c r="J6938" t="n">
        <v>0</v>
      </c>
      <c r="K6938" t="n">
        <v>0</v>
      </c>
      <c r="L6938" t="n">
        <v>0</v>
      </c>
      <c r="M6938" t="n">
        <v>0</v>
      </c>
      <c r="N6938" t="n">
        <v>0</v>
      </c>
      <c r="O6938" t="n">
        <v>0</v>
      </c>
      <c r="P6938" t="n">
        <v>0</v>
      </c>
      <c r="Q6938" t="n">
        <v>0</v>
      </c>
      <c r="R6938" s="2" t="inlineStr"/>
    </row>
    <row r="6939" ht="15" customHeight="1">
      <c r="A6939" t="inlineStr">
        <is>
          <t>A 51068-2023</t>
        </is>
      </c>
      <c r="B6939" s="1" t="n">
        <v>45218</v>
      </c>
      <c r="C6939" s="1" t="n">
        <v>45798</v>
      </c>
      <c r="D6939" t="inlineStr">
        <is>
          <t>NORRBOTTENS LÄN</t>
        </is>
      </c>
      <c r="E6939" t="inlineStr">
        <is>
          <t>KALIX</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51060-2023</t>
        </is>
      </c>
      <c r="B6940" s="1" t="n">
        <v>45218</v>
      </c>
      <c r="C6940" s="1" t="n">
        <v>45798</v>
      </c>
      <c r="D6940" t="inlineStr">
        <is>
          <t>NORRBOTTENS LÄN</t>
        </is>
      </c>
      <c r="E6940" t="inlineStr">
        <is>
          <t>KALIX</t>
        </is>
      </c>
      <c r="G6940" t="n">
        <v>9.9</v>
      </c>
      <c r="H6940" t="n">
        <v>0</v>
      </c>
      <c r="I6940" t="n">
        <v>0</v>
      </c>
      <c r="J6940" t="n">
        <v>0</v>
      </c>
      <c r="K6940" t="n">
        <v>0</v>
      </c>
      <c r="L6940" t="n">
        <v>0</v>
      </c>
      <c r="M6940" t="n">
        <v>0</v>
      </c>
      <c r="N6940" t="n">
        <v>0</v>
      </c>
      <c r="O6940" t="n">
        <v>0</v>
      </c>
      <c r="P6940" t="n">
        <v>0</v>
      </c>
      <c r="Q6940" t="n">
        <v>0</v>
      </c>
      <c r="R6940" s="2" t="inlineStr"/>
    </row>
    <row r="6941" ht="15" customHeight="1">
      <c r="A6941" t="inlineStr">
        <is>
          <t>A 51066-2023</t>
        </is>
      </c>
      <c r="B6941" s="1" t="n">
        <v>45218</v>
      </c>
      <c r="C6941" s="1" t="n">
        <v>45798</v>
      </c>
      <c r="D6941" t="inlineStr">
        <is>
          <t>NORRBOTTENS LÄN</t>
        </is>
      </c>
      <c r="E6941" t="inlineStr">
        <is>
          <t>KALIX</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51093-2023</t>
        </is>
      </c>
      <c r="B6942" s="1" t="n">
        <v>45218</v>
      </c>
      <c r="C6942" s="1" t="n">
        <v>45798</v>
      </c>
      <c r="D6942" t="inlineStr">
        <is>
          <t>NORRBOTTENS LÄN</t>
        </is>
      </c>
      <c r="E6942" t="inlineStr">
        <is>
          <t>PITEÅ</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51097-2023</t>
        </is>
      </c>
      <c r="B6943" s="1" t="n">
        <v>45218</v>
      </c>
      <c r="C6943" s="1" t="n">
        <v>45798</v>
      </c>
      <c r="D6943" t="inlineStr">
        <is>
          <t>NORRBOTTENS LÄN</t>
        </is>
      </c>
      <c r="E6943" t="inlineStr">
        <is>
          <t>PITEÅ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52545-2023</t>
        </is>
      </c>
      <c r="B6944" s="1" t="n">
        <v>45218</v>
      </c>
      <c r="C6944" s="1" t="n">
        <v>45798</v>
      </c>
      <c r="D6944" t="inlineStr">
        <is>
          <t>NORRBOTTENS LÄN</t>
        </is>
      </c>
      <c r="E6944" t="inlineStr">
        <is>
          <t>LULEÅ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52522-2023</t>
        </is>
      </c>
      <c r="B6945" s="1" t="n">
        <v>45218</v>
      </c>
      <c r="C6945" s="1" t="n">
        <v>45798</v>
      </c>
      <c r="D6945" t="inlineStr">
        <is>
          <t>NORRBOTTENS LÄN</t>
        </is>
      </c>
      <c r="E6945" t="inlineStr">
        <is>
          <t>JOKKMOKK</t>
        </is>
      </c>
      <c r="F6945" t="inlineStr">
        <is>
          <t>Övriga statliga verk och myndigheter</t>
        </is>
      </c>
      <c r="G6945" t="n">
        <v>32.4</v>
      </c>
      <c r="H6945" t="n">
        <v>0</v>
      </c>
      <c r="I6945" t="n">
        <v>0</v>
      </c>
      <c r="J6945" t="n">
        <v>0</v>
      </c>
      <c r="K6945" t="n">
        <v>0</v>
      </c>
      <c r="L6945" t="n">
        <v>0</v>
      </c>
      <c r="M6945" t="n">
        <v>0</v>
      </c>
      <c r="N6945" t="n">
        <v>0</v>
      </c>
      <c r="O6945" t="n">
        <v>0</v>
      </c>
      <c r="P6945" t="n">
        <v>0</v>
      </c>
      <c r="Q6945" t="n">
        <v>0</v>
      </c>
      <c r="R6945" s="2" t="inlineStr"/>
    </row>
    <row r="6946" ht="15" customHeight="1">
      <c r="A6946" t="inlineStr">
        <is>
          <t>A 52543-2023</t>
        </is>
      </c>
      <c r="B6946" s="1" t="n">
        <v>45218</v>
      </c>
      <c r="C6946" s="1" t="n">
        <v>45798</v>
      </c>
      <c r="D6946" t="inlineStr">
        <is>
          <t>NORRBOTTENS LÄN</t>
        </is>
      </c>
      <c r="E6946" t="inlineStr">
        <is>
          <t>JOKKMOKK</t>
        </is>
      </c>
      <c r="F6946" t="inlineStr">
        <is>
          <t>Övriga statliga verk och myndigheter</t>
        </is>
      </c>
      <c r="G6946" t="n">
        <v>23.8</v>
      </c>
      <c r="H6946" t="n">
        <v>0</v>
      </c>
      <c r="I6946" t="n">
        <v>0</v>
      </c>
      <c r="J6946" t="n">
        <v>0</v>
      </c>
      <c r="K6946" t="n">
        <v>0</v>
      </c>
      <c r="L6946" t="n">
        <v>0</v>
      </c>
      <c r="M6946" t="n">
        <v>0</v>
      </c>
      <c r="N6946" t="n">
        <v>0</v>
      </c>
      <c r="O6946" t="n">
        <v>0</v>
      </c>
      <c r="P6946" t="n">
        <v>0</v>
      </c>
      <c r="Q6946" t="n">
        <v>0</v>
      </c>
      <c r="R6946" s="2" t="inlineStr"/>
    </row>
    <row r="6947" ht="15" customHeight="1">
      <c r="A6947" t="inlineStr">
        <is>
          <t>A 52558-2023</t>
        </is>
      </c>
      <c r="B6947" s="1" t="n">
        <v>45218</v>
      </c>
      <c r="C6947" s="1" t="n">
        <v>45798</v>
      </c>
      <c r="D6947" t="inlineStr">
        <is>
          <t>NORRBOTTENS LÄN</t>
        </is>
      </c>
      <c r="E6947" t="inlineStr">
        <is>
          <t>PAJALA</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51273-2023</t>
        </is>
      </c>
      <c r="B6948" s="1" t="n">
        <v>45219</v>
      </c>
      <c r="C6948" s="1" t="n">
        <v>45798</v>
      </c>
      <c r="D6948" t="inlineStr">
        <is>
          <t>NORRBOTTENS LÄN</t>
        </is>
      </c>
      <c r="E6948" t="inlineStr">
        <is>
          <t>PITEÅ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52887-2023</t>
        </is>
      </c>
      <c r="B6949" s="1" t="n">
        <v>45219</v>
      </c>
      <c r="C6949" s="1" t="n">
        <v>45798</v>
      </c>
      <c r="D6949" t="inlineStr">
        <is>
          <t>NORRBOTTENS LÄN</t>
        </is>
      </c>
      <c r="E6949" t="inlineStr">
        <is>
          <t>GÄLLIVARE</t>
        </is>
      </c>
      <c r="F6949" t="inlineStr">
        <is>
          <t>Övriga statliga verk och myndigheter</t>
        </is>
      </c>
      <c r="G6949" t="n">
        <v>23.1</v>
      </c>
      <c r="H6949" t="n">
        <v>0</v>
      </c>
      <c r="I6949" t="n">
        <v>0</v>
      </c>
      <c r="J6949" t="n">
        <v>0</v>
      </c>
      <c r="K6949" t="n">
        <v>0</v>
      </c>
      <c r="L6949" t="n">
        <v>0</v>
      </c>
      <c r="M6949" t="n">
        <v>0</v>
      </c>
      <c r="N6949" t="n">
        <v>0</v>
      </c>
      <c r="O6949" t="n">
        <v>0</v>
      </c>
      <c r="P6949" t="n">
        <v>0</v>
      </c>
      <c r="Q6949" t="n">
        <v>0</v>
      </c>
      <c r="R6949" s="2" t="inlineStr"/>
    </row>
    <row r="6950" ht="15" customHeight="1">
      <c r="A6950" t="inlineStr">
        <is>
          <t>A 51428-2023</t>
        </is>
      </c>
      <c r="B6950" s="1" t="n">
        <v>45220</v>
      </c>
      <c r="C6950" s="1" t="n">
        <v>45798</v>
      </c>
      <c r="D6950" t="inlineStr">
        <is>
          <t>NORRBOTTENS LÄN</t>
        </is>
      </c>
      <c r="E6950" t="inlineStr">
        <is>
          <t>KALIX</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52697-2023</t>
        </is>
      </c>
      <c r="B6951" s="1" t="n">
        <v>45219</v>
      </c>
      <c r="C6951" s="1" t="n">
        <v>45798</v>
      </c>
      <c r="D6951" t="inlineStr">
        <is>
          <t>NORRBOTTENS LÄN</t>
        </is>
      </c>
      <c r="E6951" t="inlineStr">
        <is>
          <t>LULEÅ</t>
        </is>
      </c>
      <c r="G6951" t="n">
        <v>9.699999999999999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52947-2023</t>
        </is>
      </c>
      <c r="B6952" s="1" t="n">
        <v>45219</v>
      </c>
      <c r="C6952" s="1" t="n">
        <v>45798</v>
      </c>
      <c r="D6952" t="inlineStr">
        <is>
          <t>NORRBOTTENS LÄN</t>
        </is>
      </c>
      <c r="E6952" t="inlineStr">
        <is>
          <t>GÄLLIVARE</t>
        </is>
      </c>
      <c r="F6952" t="inlineStr">
        <is>
          <t>Övriga statliga verk och myndigheter</t>
        </is>
      </c>
      <c r="G6952" t="n">
        <v>36.3</v>
      </c>
      <c r="H6952" t="n">
        <v>0</v>
      </c>
      <c r="I6952" t="n">
        <v>0</v>
      </c>
      <c r="J6952" t="n">
        <v>0</v>
      </c>
      <c r="K6952" t="n">
        <v>0</v>
      </c>
      <c r="L6952" t="n">
        <v>0</v>
      </c>
      <c r="M6952" t="n">
        <v>0</v>
      </c>
      <c r="N6952" t="n">
        <v>0</v>
      </c>
      <c r="O6952" t="n">
        <v>0</v>
      </c>
      <c r="P6952" t="n">
        <v>0</v>
      </c>
      <c r="Q6952" t="n">
        <v>0</v>
      </c>
      <c r="R6952" s="2" t="inlineStr"/>
    </row>
    <row r="6953" ht="15" customHeight="1">
      <c r="A6953" t="inlineStr">
        <is>
          <t>A 51427-2023</t>
        </is>
      </c>
      <c r="B6953" s="1" t="n">
        <v>45220</v>
      </c>
      <c r="C6953" s="1" t="n">
        <v>45798</v>
      </c>
      <c r="D6953" t="inlineStr">
        <is>
          <t>NORRBOTTENS LÄN</t>
        </is>
      </c>
      <c r="E6953" t="inlineStr">
        <is>
          <t>KALIX</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51333-2023</t>
        </is>
      </c>
      <c r="B6954" s="1" t="n">
        <v>45219</v>
      </c>
      <c r="C6954" s="1" t="n">
        <v>45798</v>
      </c>
      <c r="D6954" t="inlineStr">
        <is>
          <t>NORRBOTTENS LÄN</t>
        </is>
      </c>
      <c r="E6954" t="inlineStr">
        <is>
          <t>PITEÅ</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51171-2023</t>
        </is>
      </c>
      <c r="B6955" s="1" t="n">
        <v>45219</v>
      </c>
      <c r="C6955" s="1" t="n">
        <v>45798</v>
      </c>
      <c r="D6955" t="inlineStr">
        <is>
          <t>NORRBOTTENS LÄN</t>
        </is>
      </c>
      <c r="E6955" t="inlineStr">
        <is>
          <t>PITEÅ</t>
        </is>
      </c>
      <c r="F6955" t="inlineStr">
        <is>
          <t>Sveaskog</t>
        </is>
      </c>
      <c r="G6955" t="n">
        <v>10</v>
      </c>
      <c r="H6955" t="n">
        <v>0</v>
      </c>
      <c r="I6955" t="n">
        <v>0</v>
      </c>
      <c r="J6955" t="n">
        <v>0</v>
      </c>
      <c r="K6955" t="n">
        <v>0</v>
      </c>
      <c r="L6955" t="n">
        <v>0</v>
      </c>
      <c r="M6955" t="n">
        <v>0</v>
      </c>
      <c r="N6955" t="n">
        <v>0</v>
      </c>
      <c r="O6955" t="n">
        <v>0</v>
      </c>
      <c r="P6955" t="n">
        <v>0</v>
      </c>
      <c r="Q6955" t="n">
        <v>0</v>
      </c>
      <c r="R6955" s="2" t="inlineStr"/>
    </row>
    <row r="6956" ht="15" customHeight="1">
      <c r="A6956" t="inlineStr">
        <is>
          <t>A 51174-2023</t>
        </is>
      </c>
      <c r="B6956" s="1" t="n">
        <v>45219</v>
      </c>
      <c r="C6956" s="1" t="n">
        <v>45798</v>
      </c>
      <c r="D6956" t="inlineStr">
        <is>
          <t>NORRBOTTENS LÄN</t>
        </is>
      </c>
      <c r="E6956" t="inlineStr">
        <is>
          <t>PITEÅ</t>
        </is>
      </c>
      <c r="F6956" t="inlineStr">
        <is>
          <t>Sveaskog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51326-2023</t>
        </is>
      </c>
      <c r="B6957" s="1" t="n">
        <v>45219</v>
      </c>
      <c r="C6957" s="1" t="n">
        <v>45798</v>
      </c>
      <c r="D6957" t="inlineStr">
        <is>
          <t>NORRBOTTENS LÄN</t>
        </is>
      </c>
      <c r="E6957" t="inlineStr">
        <is>
          <t>PAJALA</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51330-2023</t>
        </is>
      </c>
      <c r="B6958" s="1" t="n">
        <v>45219</v>
      </c>
      <c r="C6958" s="1" t="n">
        <v>45798</v>
      </c>
      <c r="D6958" t="inlineStr">
        <is>
          <t>NORRBOTTENS LÄN</t>
        </is>
      </c>
      <c r="E6958" t="inlineStr">
        <is>
          <t>PAJALA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51345-2023</t>
        </is>
      </c>
      <c r="B6959" s="1" t="n">
        <v>45219</v>
      </c>
      <c r="C6959" s="1" t="n">
        <v>45798</v>
      </c>
      <c r="D6959" t="inlineStr">
        <is>
          <t>NORRBOTTENS LÄN</t>
        </is>
      </c>
      <c r="E6959" t="inlineStr">
        <is>
          <t>PITEÅ</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51285-2023</t>
        </is>
      </c>
      <c r="B6960" s="1" t="n">
        <v>45219</v>
      </c>
      <c r="C6960" s="1" t="n">
        <v>45798</v>
      </c>
      <c r="D6960" t="inlineStr">
        <is>
          <t>NORRBOTTENS LÄN</t>
        </is>
      </c>
      <c r="E6960" t="inlineStr">
        <is>
          <t>PITEÅ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51457-2023</t>
        </is>
      </c>
      <c r="B6961" s="1" t="n">
        <v>45220</v>
      </c>
      <c r="C6961" s="1" t="n">
        <v>45798</v>
      </c>
      <c r="D6961" t="inlineStr">
        <is>
          <t>NORRBOTTENS LÄN</t>
        </is>
      </c>
      <c r="E6961" t="inlineStr">
        <is>
          <t>ÄLVSBYN</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51456-2023</t>
        </is>
      </c>
      <c r="B6962" s="1" t="n">
        <v>45220</v>
      </c>
      <c r="C6962" s="1" t="n">
        <v>45798</v>
      </c>
      <c r="D6962" t="inlineStr">
        <is>
          <t>NORRBOTTENS LÄN</t>
        </is>
      </c>
      <c r="E6962" t="inlineStr">
        <is>
          <t>ÄLVSBYN</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51458-2023</t>
        </is>
      </c>
      <c r="B6963" s="1" t="n">
        <v>45220</v>
      </c>
      <c r="C6963" s="1" t="n">
        <v>45798</v>
      </c>
      <c r="D6963" t="inlineStr">
        <is>
          <t>NORRBOTTENS LÄN</t>
        </is>
      </c>
      <c r="E6963" t="inlineStr">
        <is>
          <t>ÄLVSBYN</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51490-2023</t>
        </is>
      </c>
      <c r="B6964" s="1" t="n">
        <v>45222</v>
      </c>
      <c r="C6964" s="1" t="n">
        <v>45798</v>
      </c>
      <c r="D6964" t="inlineStr">
        <is>
          <t>NORRBOTTENS LÄN</t>
        </is>
      </c>
      <c r="E6964" t="inlineStr">
        <is>
          <t>PITEÅ</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51556-2023</t>
        </is>
      </c>
      <c r="B6965" s="1" t="n">
        <v>45222</v>
      </c>
      <c r="C6965" s="1" t="n">
        <v>45798</v>
      </c>
      <c r="D6965" t="inlineStr">
        <is>
          <t>NORRBOTTENS LÄN</t>
        </is>
      </c>
      <c r="E6965" t="inlineStr">
        <is>
          <t>PITEÅ</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51604-2023</t>
        </is>
      </c>
      <c r="B6966" s="1" t="n">
        <v>45222</v>
      </c>
      <c r="C6966" s="1" t="n">
        <v>45798</v>
      </c>
      <c r="D6966" t="inlineStr">
        <is>
          <t>NORRBOTTENS LÄN</t>
        </is>
      </c>
      <c r="E6966" t="inlineStr">
        <is>
          <t>GÄLLIVARE</t>
        </is>
      </c>
      <c r="F6966" t="inlineStr">
        <is>
          <t>Sveaskog</t>
        </is>
      </c>
      <c r="G6966" t="n">
        <v>25.2</v>
      </c>
      <c r="H6966" t="n">
        <v>0</v>
      </c>
      <c r="I6966" t="n">
        <v>0</v>
      </c>
      <c r="J6966" t="n">
        <v>0</v>
      </c>
      <c r="K6966" t="n">
        <v>0</v>
      </c>
      <c r="L6966" t="n">
        <v>0</v>
      </c>
      <c r="M6966" t="n">
        <v>0</v>
      </c>
      <c r="N6966" t="n">
        <v>0</v>
      </c>
      <c r="O6966" t="n">
        <v>0</v>
      </c>
      <c r="P6966" t="n">
        <v>0</v>
      </c>
      <c r="Q6966" t="n">
        <v>0</v>
      </c>
      <c r="R6966" s="2" t="inlineStr"/>
    </row>
    <row r="6967" ht="15" customHeight="1">
      <c r="A6967" t="inlineStr">
        <is>
          <t>A 51627-2023</t>
        </is>
      </c>
      <c r="B6967" s="1" t="n">
        <v>45222</v>
      </c>
      <c r="C6967" s="1" t="n">
        <v>45798</v>
      </c>
      <c r="D6967" t="inlineStr">
        <is>
          <t>NORRBOTTENS LÄN</t>
        </is>
      </c>
      <c r="E6967" t="inlineStr">
        <is>
          <t>ARVIDSJAUR</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51631-2023</t>
        </is>
      </c>
      <c r="B6968" s="1" t="n">
        <v>45222</v>
      </c>
      <c r="C6968" s="1" t="n">
        <v>45798</v>
      </c>
      <c r="D6968" t="inlineStr">
        <is>
          <t>NORRBOTTENS LÄN</t>
        </is>
      </c>
      <c r="E6968" t="inlineStr">
        <is>
          <t>ARVIDSJAUR</t>
        </is>
      </c>
      <c r="F6968" t="inlineStr">
        <is>
          <t>Sveaskog</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51725-2023</t>
        </is>
      </c>
      <c r="B6969" s="1" t="n">
        <v>45222</v>
      </c>
      <c r="C6969" s="1" t="n">
        <v>45798</v>
      </c>
      <c r="D6969" t="inlineStr">
        <is>
          <t>NORRBOTTENS LÄN</t>
        </is>
      </c>
      <c r="E6969" t="inlineStr">
        <is>
          <t>ÖVERKALIX</t>
        </is>
      </c>
      <c r="F6969" t="inlineStr">
        <is>
          <t>Sveaskog</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51615-2023</t>
        </is>
      </c>
      <c r="B6970" s="1" t="n">
        <v>45222</v>
      </c>
      <c r="C6970" s="1" t="n">
        <v>45798</v>
      </c>
      <c r="D6970" t="inlineStr">
        <is>
          <t>NORRBOTTENS LÄN</t>
        </is>
      </c>
      <c r="E6970" t="inlineStr">
        <is>
          <t>GÄLLIVARE</t>
        </is>
      </c>
      <c r="F6970" t="inlineStr">
        <is>
          <t>Sveaskog</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51721-2023</t>
        </is>
      </c>
      <c r="B6971" s="1" t="n">
        <v>45222</v>
      </c>
      <c r="C6971" s="1" t="n">
        <v>45798</v>
      </c>
      <c r="D6971" t="inlineStr">
        <is>
          <t>NORRBOTTENS LÄN</t>
        </is>
      </c>
      <c r="E6971" t="inlineStr">
        <is>
          <t>ÖVERKALIX</t>
        </is>
      </c>
      <c r="F6971" t="inlineStr">
        <is>
          <t>Sveaskog</t>
        </is>
      </c>
      <c r="G6971" t="n">
        <v>19.4</v>
      </c>
      <c r="H6971" t="n">
        <v>0</v>
      </c>
      <c r="I6971" t="n">
        <v>0</v>
      </c>
      <c r="J6971" t="n">
        <v>0</v>
      </c>
      <c r="K6971" t="n">
        <v>0</v>
      </c>
      <c r="L6971" t="n">
        <v>0</v>
      </c>
      <c r="M6971" t="n">
        <v>0</v>
      </c>
      <c r="N6971" t="n">
        <v>0</v>
      </c>
      <c r="O6971" t="n">
        <v>0</v>
      </c>
      <c r="P6971" t="n">
        <v>0</v>
      </c>
      <c r="Q6971" t="n">
        <v>0</v>
      </c>
      <c r="R6971" s="2" t="inlineStr"/>
    </row>
    <row r="6972" ht="15" customHeight="1">
      <c r="A6972" t="inlineStr">
        <is>
          <t>A 51629-2023</t>
        </is>
      </c>
      <c r="B6972" s="1" t="n">
        <v>45222</v>
      </c>
      <c r="C6972" s="1" t="n">
        <v>45798</v>
      </c>
      <c r="D6972" t="inlineStr">
        <is>
          <t>NORRBOTTENS LÄN</t>
        </is>
      </c>
      <c r="E6972" t="inlineStr">
        <is>
          <t>ARVIDSJAUR</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51765-2023</t>
        </is>
      </c>
      <c r="B6973" s="1" t="n">
        <v>45222</v>
      </c>
      <c r="C6973" s="1" t="n">
        <v>45798</v>
      </c>
      <c r="D6973" t="inlineStr">
        <is>
          <t>NORRBOTTENS LÄN</t>
        </is>
      </c>
      <c r="E6973" t="inlineStr">
        <is>
          <t>KALIX</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51793-2023</t>
        </is>
      </c>
      <c r="B6974" s="1" t="n">
        <v>45223</v>
      </c>
      <c r="C6974" s="1" t="n">
        <v>45798</v>
      </c>
      <c r="D6974" t="inlineStr">
        <is>
          <t>NORRBOTTENS LÄN</t>
        </is>
      </c>
      <c r="E6974" t="inlineStr">
        <is>
          <t>ÄLVSBYN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52963-2023</t>
        </is>
      </c>
      <c r="B6975" s="1" t="n">
        <v>45222</v>
      </c>
      <c r="C6975" s="1" t="n">
        <v>45798</v>
      </c>
      <c r="D6975" t="inlineStr">
        <is>
          <t>NORRBOTTENS LÄN</t>
        </is>
      </c>
      <c r="E6975" t="inlineStr">
        <is>
          <t>JOKKMOKK</t>
        </is>
      </c>
      <c r="F6975" t="inlineStr">
        <is>
          <t>Övriga statliga verk och myndigheter</t>
        </is>
      </c>
      <c r="G6975" t="n">
        <v>46.3</v>
      </c>
      <c r="H6975" t="n">
        <v>0</v>
      </c>
      <c r="I6975" t="n">
        <v>0</v>
      </c>
      <c r="J6975" t="n">
        <v>0</v>
      </c>
      <c r="K6975" t="n">
        <v>0</v>
      </c>
      <c r="L6975" t="n">
        <v>0</v>
      </c>
      <c r="M6975" t="n">
        <v>0</v>
      </c>
      <c r="N6975" t="n">
        <v>0</v>
      </c>
      <c r="O6975" t="n">
        <v>0</v>
      </c>
      <c r="P6975" t="n">
        <v>0</v>
      </c>
      <c r="Q6975" t="n">
        <v>0</v>
      </c>
      <c r="R6975" s="2" t="inlineStr"/>
    </row>
    <row r="6976" ht="15" customHeight="1">
      <c r="A6976" t="inlineStr">
        <is>
          <t>A 53157-2023</t>
        </is>
      </c>
      <c r="B6976" s="1" t="n">
        <v>45222</v>
      </c>
      <c r="C6976" s="1" t="n">
        <v>45798</v>
      </c>
      <c r="D6976" t="inlineStr">
        <is>
          <t>NORRBOTTENS LÄN</t>
        </is>
      </c>
      <c r="E6976" t="inlineStr">
        <is>
          <t>JOKKMOKK</t>
        </is>
      </c>
      <c r="F6976" t="inlineStr">
        <is>
          <t>Övriga statliga verk och myndigheter</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51828-2023</t>
        </is>
      </c>
      <c r="B6977" s="1" t="n">
        <v>45223</v>
      </c>
      <c r="C6977" s="1" t="n">
        <v>45798</v>
      </c>
      <c r="D6977" t="inlineStr">
        <is>
          <t>NORRBOTTENS LÄN</t>
        </is>
      </c>
      <c r="E6977" t="inlineStr">
        <is>
          <t>BODEN</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53244-2023</t>
        </is>
      </c>
      <c r="B6978" s="1" t="n">
        <v>45222</v>
      </c>
      <c r="C6978" s="1" t="n">
        <v>45798</v>
      </c>
      <c r="D6978" t="inlineStr">
        <is>
          <t>NORRBOTTENS LÄN</t>
        </is>
      </c>
      <c r="E6978" t="inlineStr">
        <is>
          <t>KALIX</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53140-2023</t>
        </is>
      </c>
      <c r="B6979" s="1" t="n">
        <v>45222</v>
      </c>
      <c r="C6979" s="1" t="n">
        <v>45798</v>
      </c>
      <c r="D6979" t="inlineStr">
        <is>
          <t>NORRBOTTENS LÄN</t>
        </is>
      </c>
      <c r="E6979" t="inlineStr">
        <is>
          <t>JOKKMOKK</t>
        </is>
      </c>
      <c r="F6979" t="inlineStr">
        <is>
          <t>Övriga statliga verk och myndigheter</t>
        </is>
      </c>
      <c r="G6979" t="n">
        <v>44.1</v>
      </c>
      <c r="H6979" t="n">
        <v>0</v>
      </c>
      <c r="I6979" t="n">
        <v>0</v>
      </c>
      <c r="J6979" t="n">
        <v>0</v>
      </c>
      <c r="K6979" t="n">
        <v>0</v>
      </c>
      <c r="L6979" t="n">
        <v>0</v>
      </c>
      <c r="M6979" t="n">
        <v>0</v>
      </c>
      <c r="N6979" t="n">
        <v>0</v>
      </c>
      <c r="O6979" t="n">
        <v>0</v>
      </c>
      <c r="P6979" t="n">
        <v>0</v>
      </c>
      <c r="Q6979" t="n">
        <v>0</v>
      </c>
      <c r="R6979" s="2" t="inlineStr"/>
    </row>
    <row r="6980" ht="15" customHeight="1">
      <c r="A6980" t="inlineStr">
        <is>
          <t>A 53205-2023</t>
        </is>
      </c>
      <c r="B6980" s="1" t="n">
        <v>45222</v>
      </c>
      <c r="C6980" s="1" t="n">
        <v>45798</v>
      </c>
      <c r="D6980" t="inlineStr">
        <is>
          <t>NORRBOTTENS LÄN</t>
        </is>
      </c>
      <c r="E6980" t="inlineStr">
        <is>
          <t>JOKKMOKK</t>
        </is>
      </c>
      <c r="F6980" t="inlineStr">
        <is>
          <t>Övriga statliga verk och myndigheter</t>
        </is>
      </c>
      <c r="G6980" t="n">
        <v>11.9</v>
      </c>
      <c r="H6980" t="n">
        <v>0</v>
      </c>
      <c r="I6980" t="n">
        <v>0</v>
      </c>
      <c r="J6980" t="n">
        <v>0</v>
      </c>
      <c r="K6980" t="n">
        <v>0</v>
      </c>
      <c r="L6980" t="n">
        <v>0</v>
      </c>
      <c r="M6980" t="n">
        <v>0</v>
      </c>
      <c r="N6980" t="n">
        <v>0</v>
      </c>
      <c r="O6980" t="n">
        <v>0</v>
      </c>
      <c r="P6980" t="n">
        <v>0</v>
      </c>
      <c r="Q6980" t="n">
        <v>0</v>
      </c>
      <c r="R6980" s="2" t="inlineStr"/>
    </row>
    <row r="6981" ht="15" customHeight="1">
      <c r="A6981" t="inlineStr">
        <is>
          <t>A 53271-2023</t>
        </is>
      </c>
      <c r="B6981" s="1" t="n">
        <v>45222</v>
      </c>
      <c r="C6981" s="1" t="n">
        <v>45798</v>
      </c>
      <c r="D6981" t="inlineStr">
        <is>
          <t>NORRBOTTENS LÄN</t>
        </is>
      </c>
      <c r="E6981" t="inlineStr">
        <is>
          <t>ARVIDSJAUR</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53181-2023</t>
        </is>
      </c>
      <c r="B6982" s="1" t="n">
        <v>45222</v>
      </c>
      <c r="C6982" s="1" t="n">
        <v>45798</v>
      </c>
      <c r="D6982" t="inlineStr">
        <is>
          <t>NORRBOTTENS LÄN</t>
        </is>
      </c>
      <c r="E6982" t="inlineStr">
        <is>
          <t>JOKKMOKK</t>
        </is>
      </c>
      <c r="F6982" t="inlineStr">
        <is>
          <t>Övriga statliga verk och myndigheter</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51489-2023</t>
        </is>
      </c>
      <c r="B6983" s="1" t="n">
        <v>45222</v>
      </c>
      <c r="C6983" s="1" t="n">
        <v>45798</v>
      </c>
      <c r="D6983" t="inlineStr">
        <is>
          <t>NORRBOTTENS LÄN</t>
        </is>
      </c>
      <c r="E6983" t="inlineStr">
        <is>
          <t>PITEÅ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51682-2023</t>
        </is>
      </c>
      <c r="B6984" s="1" t="n">
        <v>45222</v>
      </c>
      <c r="C6984" s="1" t="n">
        <v>45798</v>
      </c>
      <c r="D6984" t="inlineStr">
        <is>
          <t>NORRBOTTENS LÄN</t>
        </is>
      </c>
      <c r="E6984" t="inlineStr">
        <is>
          <t>ÖVERTORNEÅ</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51794-2023</t>
        </is>
      </c>
      <c r="B6985" s="1" t="n">
        <v>45223</v>
      </c>
      <c r="C6985" s="1" t="n">
        <v>45798</v>
      </c>
      <c r="D6985" t="inlineStr">
        <is>
          <t>NORRBOTTENS LÄN</t>
        </is>
      </c>
      <c r="E6985" t="inlineStr">
        <is>
          <t>ÄLVSBYN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53195-2023</t>
        </is>
      </c>
      <c r="B6986" s="1" t="n">
        <v>45222</v>
      </c>
      <c r="C6986" s="1" t="n">
        <v>45798</v>
      </c>
      <c r="D6986" t="inlineStr">
        <is>
          <t>NORRBOTTENS LÄN</t>
        </is>
      </c>
      <c r="E6986" t="inlineStr">
        <is>
          <t>JOKKMOKK</t>
        </is>
      </c>
      <c r="F6986" t="inlineStr">
        <is>
          <t>Övriga statliga verk och myndigheter</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51950-2023</t>
        </is>
      </c>
      <c r="B6987" s="1" t="n">
        <v>45223</v>
      </c>
      <c r="C6987" s="1" t="n">
        <v>45798</v>
      </c>
      <c r="D6987" t="inlineStr">
        <is>
          <t>NORRBOTTENS LÄN</t>
        </is>
      </c>
      <c r="E6987" t="inlineStr">
        <is>
          <t>GÄLLIVARE</t>
        </is>
      </c>
      <c r="F6987" t="inlineStr">
        <is>
          <t>Sveaskog</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52075-2023</t>
        </is>
      </c>
      <c r="B6988" s="1" t="n">
        <v>45223</v>
      </c>
      <c r="C6988" s="1" t="n">
        <v>45798</v>
      </c>
      <c r="D6988" t="inlineStr">
        <is>
          <t>NORRBOTTENS LÄN</t>
        </is>
      </c>
      <c r="E6988" t="inlineStr">
        <is>
          <t>ÖVERKALIX</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52073-2023</t>
        </is>
      </c>
      <c r="B6989" s="1" t="n">
        <v>45223</v>
      </c>
      <c r="C6989" s="1" t="n">
        <v>45798</v>
      </c>
      <c r="D6989" t="inlineStr">
        <is>
          <t>NORRBOTTENS LÄN</t>
        </is>
      </c>
      <c r="E6989" t="inlineStr">
        <is>
          <t>BODEN</t>
        </is>
      </c>
      <c r="F6989" t="inlineStr">
        <is>
          <t>Sveaskog</t>
        </is>
      </c>
      <c r="G6989" t="n">
        <v>13.2</v>
      </c>
      <c r="H6989" t="n">
        <v>0</v>
      </c>
      <c r="I6989" t="n">
        <v>0</v>
      </c>
      <c r="J6989" t="n">
        <v>0</v>
      </c>
      <c r="K6989" t="n">
        <v>0</v>
      </c>
      <c r="L6989" t="n">
        <v>0</v>
      </c>
      <c r="M6989" t="n">
        <v>0</v>
      </c>
      <c r="N6989" t="n">
        <v>0</v>
      </c>
      <c r="O6989" t="n">
        <v>0</v>
      </c>
      <c r="P6989" t="n">
        <v>0</v>
      </c>
      <c r="Q6989" t="n">
        <v>0</v>
      </c>
      <c r="R6989" s="2" t="inlineStr"/>
    </row>
    <row r="6990" ht="15" customHeight="1">
      <c r="A6990" t="inlineStr">
        <is>
          <t>A 52334-2023</t>
        </is>
      </c>
      <c r="B6990" s="1" t="n">
        <v>45224</v>
      </c>
      <c r="C6990" s="1" t="n">
        <v>45798</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52227-2023</t>
        </is>
      </c>
      <c r="B6991" s="1" t="n">
        <v>45224</v>
      </c>
      <c r="C6991" s="1" t="n">
        <v>45798</v>
      </c>
      <c r="D6991" t="inlineStr">
        <is>
          <t>NORRBOTTENS LÄN</t>
        </is>
      </c>
      <c r="E6991" t="inlineStr">
        <is>
          <t>ÖVERKALIX</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52336-2023</t>
        </is>
      </c>
      <c r="B6992" s="1" t="n">
        <v>45224</v>
      </c>
      <c r="C6992" s="1" t="n">
        <v>45798</v>
      </c>
      <c r="D6992" t="inlineStr">
        <is>
          <t>NORRBOTTENS LÄN</t>
        </is>
      </c>
      <c r="E6992" t="inlineStr">
        <is>
          <t>LULEÅ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52397-2023</t>
        </is>
      </c>
      <c r="B6993" s="1" t="n">
        <v>45224</v>
      </c>
      <c r="C6993" s="1" t="n">
        <v>45798</v>
      </c>
      <c r="D6993" t="inlineStr">
        <is>
          <t>NORRBOTTENS LÄN</t>
        </is>
      </c>
      <c r="E6993" t="inlineStr">
        <is>
          <t>ÄLVSBYN</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52409-2023</t>
        </is>
      </c>
      <c r="B6994" s="1" t="n">
        <v>45225</v>
      </c>
      <c r="C6994" s="1" t="n">
        <v>45798</v>
      </c>
      <c r="D6994" t="inlineStr">
        <is>
          <t>NORRBOTTENS LÄN</t>
        </is>
      </c>
      <c r="E6994" t="inlineStr">
        <is>
          <t>ÄLVSBYN</t>
        </is>
      </c>
      <c r="F6994" t="inlineStr">
        <is>
          <t>SCA</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52181-2023</t>
        </is>
      </c>
      <c r="B6995" s="1" t="n">
        <v>45224</v>
      </c>
      <c r="C6995" s="1" t="n">
        <v>45798</v>
      </c>
      <c r="D6995" t="inlineStr">
        <is>
          <t>NORRBOTTENS LÄN</t>
        </is>
      </c>
      <c r="E6995" t="inlineStr">
        <is>
          <t>JOKKMOKK</t>
        </is>
      </c>
      <c r="F6995" t="inlineStr">
        <is>
          <t>Sveaskog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52240-2023</t>
        </is>
      </c>
      <c r="B6996" s="1" t="n">
        <v>45224</v>
      </c>
      <c r="C6996" s="1" t="n">
        <v>45798</v>
      </c>
      <c r="D6996" t="inlineStr">
        <is>
          <t>NORRBOTTENS LÄN</t>
        </is>
      </c>
      <c r="E6996" t="inlineStr">
        <is>
          <t>LULEÅ</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52322-2023</t>
        </is>
      </c>
      <c r="B6997" s="1" t="n">
        <v>45224</v>
      </c>
      <c r="C6997" s="1" t="n">
        <v>45798</v>
      </c>
      <c r="D6997" t="inlineStr">
        <is>
          <t>NORRBOTTENS LÄN</t>
        </is>
      </c>
      <c r="E6997" t="inlineStr">
        <is>
          <t>LULEÅ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52330-2023</t>
        </is>
      </c>
      <c r="B6998" s="1" t="n">
        <v>45224</v>
      </c>
      <c r="C6998" s="1" t="n">
        <v>45798</v>
      </c>
      <c r="D6998" t="inlineStr">
        <is>
          <t>NORRBOTTENS LÄN</t>
        </is>
      </c>
      <c r="E6998" t="inlineStr">
        <is>
          <t>LULEÅ</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52396-2023</t>
        </is>
      </c>
      <c r="B6999" s="1" t="n">
        <v>45225</v>
      </c>
      <c r="C6999" s="1" t="n">
        <v>45798</v>
      </c>
      <c r="D6999" t="inlineStr">
        <is>
          <t>NORRBOTTENS LÄN</t>
        </is>
      </c>
      <c r="E6999" t="inlineStr">
        <is>
          <t>BODEN</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52400-2023</t>
        </is>
      </c>
      <c r="B7000" s="1" t="n">
        <v>45224</v>
      </c>
      <c r="C7000" s="1" t="n">
        <v>45798</v>
      </c>
      <c r="D7000" t="inlineStr">
        <is>
          <t>NORRBOTTENS LÄN</t>
        </is>
      </c>
      <c r="E7000" t="inlineStr">
        <is>
          <t>LULEÅ</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52316-2023</t>
        </is>
      </c>
      <c r="B7001" s="1" t="n">
        <v>45224</v>
      </c>
      <c r="C7001" s="1" t="n">
        <v>45798</v>
      </c>
      <c r="D7001" t="inlineStr">
        <is>
          <t>NORRBOTTENS LÄN</t>
        </is>
      </c>
      <c r="E7001" t="inlineStr">
        <is>
          <t>LULEÅ</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52333-2023</t>
        </is>
      </c>
      <c r="B7002" s="1" t="n">
        <v>45224</v>
      </c>
      <c r="C7002" s="1" t="n">
        <v>45798</v>
      </c>
      <c r="D7002" t="inlineStr">
        <is>
          <t>NORRBOTTENS LÄN</t>
        </is>
      </c>
      <c r="E7002" t="inlineStr">
        <is>
          <t>LULEÅ</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52395-2023</t>
        </is>
      </c>
      <c r="B7003" s="1" t="n">
        <v>45225</v>
      </c>
      <c r="C7003" s="1" t="n">
        <v>45798</v>
      </c>
      <c r="D7003" t="inlineStr">
        <is>
          <t>NORRBOTTENS LÄN</t>
        </is>
      </c>
      <c r="E7003" t="inlineStr">
        <is>
          <t>BODEN</t>
        </is>
      </c>
      <c r="F7003" t="inlineStr">
        <is>
          <t>SCA</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52407-2023</t>
        </is>
      </c>
      <c r="B7004" s="1" t="n">
        <v>45224</v>
      </c>
      <c r="C7004" s="1" t="n">
        <v>45798</v>
      </c>
      <c r="D7004" t="inlineStr">
        <is>
          <t>NORRBOTTENS LÄN</t>
        </is>
      </c>
      <c r="E7004" t="inlineStr">
        <is>
          <t>ÄLVSBYN</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53637-2023</t>
        </is>
      </c>
      <c r="B7005" s="1" t="n">
        <v>45224</v>
      </c>
      <c r="C7005" s="1" t="n">
        <v>45798</v>
      </c>
      <c r="D7005" t="inlineStr">
        <is>
          <t>NORRBOTTENS LÄN</t>
        </is>
      </c>
      <c r="E7005" t="inlineStr">
        <is>
          <t>LULEÅ</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53679-2023</t>
        </is>
      </c>
      <c r="B7006" s="1" t="n">
        <v>45224</v>
      </c>
      <c r="C7006" s="1" t="n">
        <v>45798</v>
      </c>
      <c r="D7006" t="inlineStr">
        <is>
          <t>NORRBOTTENS LÄN</t>
        </is>
      </c>
      <c r="E7006" t="inlineStr">
        <is>
          <t>KALIX</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53624-2023</t>
        </is>
      </c>
      <c r="B7007" s="1" t="n">
        <v>45224</v>
      </c>
      <c r="C7007" s="1" t="n">
        <v>45798</v>
      </c>
      <c r="D7007" t="inlineStr">
        <is>
          <t>NORRBOTTENS LÄN</t>
        </is>
      </c>
      <c r="E7007" t="inlineStr">
        <is>
          <t>LULEÅ</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52642-2023</t>
        </is>
      </c>
      <c r="B7008" s="1" t="n">
        <v>45225</v>
      </c>
      <c r="C7008" s="1" t="n">
        <v>45798</v>
      </c>
      <c r="D7008" t="inlineStr">
        <is>
          <t>NORRBOTTENS LÄN</t>
        </is>
      </c>
      <c r="E7008" t="inlineStr">
        <is>
          <t>ARVIDSJAUR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52649-2023</t>
        </is>
      </c>
      <c r="B7009" s="1" t="n">
        <v>45225</v>
      </c>
      <c r="C7009" s="1" t="n">
        <v>45798</v>
      </c>
      <c r="D7009" t="inlineStr">
        <is>
          <t>NORRBOTTENS LÄN</t>
        </is>
      </c>
      <c r="E7009" t="inlineStr">
        <is>
          <t>ARVIDSJAUR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52635-2023</t>
        </is>
      </c>
      <c r="B7010" s="1" t="n">
        <v>45225</v>
      </c>
      <c r="C7010" s="1" t="n">
        <v>45798</v>
      </c>
      <c r="D7010" t="inlineStr">
        <is>
          <t>NORRBOTTENS LÄN</t>
        </is>
      </c>
      <c r="E7010" t="inlineStr">
        <is>
          <t>ARVIDSJAUR</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52640-2023</t>
        </is>
      </c>
      <c r="B7011" s="1" t="n">
        <v>45225</v>
      </c>
      <c r="C7011" s="1" t="n">
        <v>45798</v>
      </c>
      <c r="D7011" t="inlineStr">
        <is>
          <t>NORRBOTTENS LÄN</t>
        </is>
      </c>
      <c r="E7011" t="inlineStr">
        <is>
          <t>ARVIDSJAUR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52645-2023</t>
        </is>
      </c>
      <c r="B7012" s="1" t="n">
        <v>45225</v>
      </c>
      <c r="C7012" s="1" t="n">
        <v>45798</v>
      </c>
      <c r="D7012" t="inlineStr">
        <is>
          <t>NORRBOTTENS LÄN</t>
        </is>
      </c>
      <c r="E7012" t="inlineStr">
        <is>
          <t>ARVIDSJAUR</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52638-2023</t>
        </is>
      </c>
      <c r="B7013" s="1" t="n">
        <v>45225</v>
      </c>
      <c r="C7013" s="1" t="n">
        <v>45798</v>
      </c>
      <c r="D7013" t="inlineStr">
        <is>
          <t>NORRBOTTENS LÄN</t>
        </is>
      </c>
      <c r="E7013" t="inlineStr">
        <is>
          <t>ARVIDSJAUR</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52644-2023</t>
        </is>
      </c>
      <c r="B7014" s="1" t="n">
        <v>45225</v>
      </c>
      <c r="C7014" s="1" t="n">
        <v>45798</v>
      </c>
      <c r="D7014" t="inlineStr">
        <is>
          <t>NORRBOTTENS LÄN</t>
        </is>
      </c>
      <c r="E7014" t="inlineStr">
        <is>
          <t>ARVIDSJAUR</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52620-2023</t>
        </is>
      </c>
      <c r="B7015" s="1" t="n">
        <v>45225</v>
      </c>
      <c r="C7015" s="1" t="n">
        <v>45798</v>
      </c>
      <c r="D7015" t="inlineStr">
        <is>
          <t>NORRBOTTENS LÄN</t>
        </is>
      </c>
      <c r="E7015" t="inlineStr">
        <is>
          <t>ÖVERKALIX</t>
        </is>
      </c>
      <c r="F7015" t="inlineStr">
        <is>
          <t>Sveaskog</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52646-2023</t>
        </is>
      </c>
      <c r="B7016" s="1" t="n">
        <v>45225</v>
      </c>
      <c r="C7016" s="1" t="n">
        <v>45798</v>
      </c>
      <c r="D7016" t="inlineStr">
        <is>
          <t>NORRBOTTENS LÄN</t>
        </is>
      </c>
      <c r="E7016" t="inlineStr">
        <is>
          <t>ARVIDSJAUR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52728-2023</t>
        </is>
      </c>
      <c r="B7017" s="1" t="n">
        <v>45225</v>
      </c>
      <c r="C7017" s="1" t="n">
        <v>45798</v>
      </c>
      <c r="D7017" t="inlineStr">
        <is>
          <t>NORRBOTTENS LÄN</t>
        </is>
      </c>
      <c r="E7017" t="inlineStr">
        <is>
          <t>GÄLLIVARE</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52650-2023</t>
        </is>
      </c>
      <c r="B7018" s="1" t="n">
        <v>45225</v>
      </c>
      <c r="C7018" s="1" t="n">
        <v>45798</v>
      </c>
      <c r="D7018" t="inlineStr">
        <is>
          <t>NORRBOTTENS LÄN</t>
        </is>
      </c>
      <c r="E7018" t="inlineStr">
        <is>
          <t>ARVIDSJAUR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52660-2023</t>
        </is>
      </c>
      <c r="B7019" s="1" t="n">
        <v>45225</v>
      </c>
      <c r="C7019" s="1" t="n">
        <v>45798</v>
      </c>
      <c r="D7019" t="inlineStr">
        <is>
          <t>NORRBOTTENS LÄN</t>
        </is>
      </c>
      <c r="E7019" t="inlineStr">
        <is>
          <t>GÄLLIVARE</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52752-2023</t>
        </is>
      </c>
      <c r="B7020" s="1" t="n">
        <v>45226</v>
      </c>
      <c r="C7020" s="1" t="n">
        <v>45798</v>
      </c>
      <c r="D7020" t="inlineStr">
        <is>
          <t>NORRBOTTENS LÄN</t>
        </is>
      </c>
      <c r="E7020" t="inlineStr">
        <is>
          <t>KALIX</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53960-2023</t>
        </is>
      </c>
      <c r="B7021" s="1" t="n">
        <v>45225</v>
      </c>
      <c r="C7021" s="1" t="n">
        <v>45798</v>
      </c>
      <c r="D7021" t="inlineStr">
        <is>
          <t>NORRBOTTENS LÄN</t>
        </is>
      </c>
      <c r="E7021" t="inlineStr">
        <is>
          <t>LULEÅ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53980-2023</t>
        </is>
      </c>
      <c r="B7022" s="1" t="n">
        <v>45225</v>
      </c>
      <c r="C7022" s="1" t="n">
        <v>45798</v>
      </c>
      <c r="D7022" t="inlineStr">
        <is>
          <t>NORRBOTTENS LÄN</t>
        </is>
      </c>
      <c r="E7022" t="inlineStr">
        <is>
          <t>LULEÅ</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52753-2023</t>
        </is>
      </c>
      <c r="B7023" s="1" t="n">
        <v>45226</v>
      </c>
      <c r="C7023" s="1" t="n">
        <v>45798</v>
      </c>
      <c r="D7023" t="inlineStr">
        <is>
          <t>NORRBOTTENS LÄN</t>
        </is>
      </c>
      <c r="E7023" t="inlineStr">
        <is>
          <t>KALIX</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53971-2023</t>
        </is>
      </c>
      <c r="B7024" s="1" t="n">
        <v>45225</v>
      </c>
      <c r="C7024" s="1" t="n">
        <v>45798</v>
      </c>
      <c r="D7024" t="inlineStr">
        <is>
          <t>NORRBOTTENS LÄN</t>
        </is>
      </c>
      <c r="E7024" t="inlineStr">
        <is>
          <t>LULEÅ</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53985-2023</t>
        </is>
      </c>
      <c r="B7025" s="1" t="n">
        <v>45225</v>
      </c>
      <c r="C7025" s="1" t="n">
        <v>45798</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58991-2023</t>
        </is>
      </c>
      <c r="B7026" s="1" t="n">
        <v>45225</v>
      </c>
      <c r="C7026" s="1" t="n">
        <v>45798</v>
      </c>
      <c r="D7026" t="inlineStr">
        <is>
          <t>NORRBOTTENS LÄN</t>
        </is>
      </c>
      <c r="E7026" t="inlineStr">
        <is>
          <t>KALIX</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52750-2023</t>
        </is>
      </c>
      <c r="B7027" s="1" t="n">
        <v>45226</v>
      </c>
      <c r="C7027" s="1" t="n">
        <v>45798</v>
      </c>
      <c r="D7027" t="inlineStr">
        <is>
          <t>NORRBOTTENS LÄN</t>
        </is>
      </c>
      <c r="E7027" t="inlineStr">
        <is>
          <t>KALIX</t>
        </is>
      </c>
      <c r="F7027" t="inlineStr">
        <is>
          <t>SCA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53974-2023</t>
        </is>
      </c>
      <c r="B7028" s="1" t="n">
        <v>45225</v>
      </c>
      <c r="C7028" s="1" t="n">
        <v>45798</v>
      </c>
      <c r="D7028" t="inlineStr">
        <is>
          <t>NORRBOTTENS LÄN</t>
        </is>
      </c>
      <c r="E7028" t="inlineStr">
        <is>
          <t>LULEÅ</t>
        </is>
      </c>
      <c r="G7028" t="n">
        <v>9.4</v>
      </c>
      <c r="H7028" t="n">
        <v>0</v>
      </c>
      <c r="I7028" t="n">
        <v>0</v>
      </c>
      <c r="J7028" t="n">
        <v>0</v>
      </c>
      <c r="K7028" t="n">
        <v>0</v>
      </c>
      <c r="L7028" t="n">
        <v>0</v>
      </c>
      <c r="M7028" t="n">
        <v>0</v>
      </c>
      <c r="N7028" t="n">
        <v>0</v>
      </c>
      <c r="O7028" t="n">
        <v>0</v>
      </c>
      <c r="P7028" t="n">
        <v>0</v>
      </c>
      <c r="Q7028" t="n">
        <v>0</v>
      </c>
      <c r="R7028" s="2" t="inlineStr"/>
    </row>
    <row r="7029" ht="15" customHeight="1">
      <c r="A7029" t="inlineStr">
        <is>
          <t>A 53991-2023</t>
        </is>
      </c>
      <c r="B7029" s="1" t="n">
        <v>45225</v>
      </c>
      <c r="C7029" s="1" t="n">
        <v>45798</v>
      </c>
      <c r="D7029" t="inlineStr">
        <is>
          <t>NORRBOTTENS LÄN</t>
        </is>
      </c>
      <c r="E7029" t="inlineStr">
        <is>
          <t>JOKKMOKK</t>
        </is>
      </c>
      <c r="F7029" t="inlineStr">
        <is>
          <t>Allmännings- och besparingsskogar</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54311-2023</t>
        </is>
      </c>
      <c r="B7030" s="1" t="n">
        <v>45225</v>
      </c>
      <c r="C7030" s="1" t="n">
        <v>45798</v>
      </c>
      <c r="D7030" t="inlineStr">
        <is>
          <t>NORRBOTTENS LÄN</t>
        </is>
      </c>
      <c r="E7030" t="inlineStr">
        <is>
          <t>ARVIDSJAUR</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52751-2023</t>
        </is>
      </c>
      <c r="B7031" s="1" t="n">
        <v>45226</v>
      </c>
      <c r="C7031" s="1" t="n">
        <v>45798</v>
      </c>
      <c r="D7031" t="inlineStr">
        <is>
          <t>NORRBOTTENS LÄN</t>
        </is>
      </c>
      <c r="E7031" t="inlineStr">
        <is>
          <t>KALIX</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53954-2023</t>
        </is>
      </c>
      <c r="B7032" s="1" t="n">
        <v>45225</v>
      </c>
      <c r="C7032" s="1" t="n">
        <v>45798</v>
      </c>
      <c r="D7032" t="inlineStr">
        <is>
          <t>NORRBOTTENS LÄN</t>
        </is>
      </c>
      <c r="E7032" t="inlineStr">
        <is>
          <t>LULEÅ</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54101-2023</t>
        </is>
      </c>
      <c r="B7033" s="1" t="n">
        <v>45225</v>
      </c>
      <c r="C7033" s="1" t="n">
        <v>45798</v>
      </c>
      <c r="D7033" t="inlineStr">
        <is>
          <t>NORRBOTTENS LÄN</t>
        </is>
      </c>
      <c r="E7033" t="inlineStr">
        <is>
          <t>PITEÅ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54100-2023</t>
        </is>
      </c>
      <c r="B7034" s="1" t="n">
        <v>45225</v>
      </c>
      <c r="C7034" s="1" t="n">
        <v>45798</v>
      </c>
      <c r="D7034" t="inlineStr">
        <is>
          <t>NORRBOTTENS LÄN</t>
        </is>
      </c>
      <c r="E7034" t="inlineStr">
        <is>
          <t>PITEÅ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58999-2023</t>
        </is>
      </c>
      <c r="B7035" s="1" t="n">
        <v>45225</v>
      </c>
      <c r="C7035" s="1" t="n">
        <v>45798</v>
      </c>
      <c r="D7035" t="inlineStr">
        <is>
          <t>NORRBOTTENS LÄN</t>
        </is>
      </c>
      <c r="E7035" t="inlineStr">
        <is>
          <t>KALIX</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54037-2023</t>
        </is>
      </c>
      <c r="B7036" s="1" t="n">
        <v>45225</v>
      </c>
      <c r="C7036" s="1" t="n">
        <v>45798</v>
      </c>
      <c r="D7036" t="inlineStr">
        <is>
          <t>NORRBOTTENS LÄN</t>
        </is>
      </c>
      <c r="E7036" t="inlineStr">
        <is>
          <t>KALIX</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54524-2023</t>
        </is>
      </c>
      <c r="B7037" s="1" t="n">
        <v>45226</v>
      </c>
      <c r="C7037" s="1" t="n">
        <v>45798</v>
      </c>
      <c r="D7037" t="inlineStr">
        <is>
          <t>NORRBOTTENS LÄN</t>
        </is>
      </c>
      <c r="E7037" t="inlineStr">
        <is>
          <t>ARVIDSJAUR</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54501-2023</t>
        </is>
      </c>
      <c r="B7038" s="1" t="n">
        <v>45226</v>
      </c>
      <c r="C7038" s="1" t="n">
        <v>45798</v>
      </c>
      <c r="D7038" t="inlineStr">
        <is>
          <t>NORRBOTTENS LÄN</t>
        </is>
      </c>
      <c r="E7038" t="inlineStr">
        <is>
          <t>KALIX</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53015-2023</t>
        </is>
      </c>
      <c r="B7039" s="1" t="n">
        <v>45226</v>
      </c>
      <c r="C7039" s="1" t="n">
        <v>45798</v>
      </c>
      <c r="D7039" t="inlineStr">
        <is>
          <t>NORRBOTTENS LÄN</t>
        </is>
      </c>
      <c r="E7039" t="inlineStr">
        <is>
          <t>PAJALA</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54506-2023</t>
        </is>
      </c>
      <c r="B7040" s="1" t="n">
        <v>45226</v>
      </c>
      <c r="C7040" s="1" t="n">
        <v>45798</v>
      </c>
      <c r="D7040" t="inlineStr">
        <is>
          <t>NORRBOTTENS LÄN</t>
        </is>
      </c>
      <c r="E7040" t="inlineStr">
        <is>
          <t>KALIX</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54529-2023</t>
        </is>
      </c>
      <c r="B7041" s="1" t="n">
        <v>45226</v>
      </c>
      <c r="C7041" s="1" t="n">
        <v>45798</v>
      </c>
      <c r="D7041" t="inlineStr">
        <is>
          <t>NORRBOTTENS LÄN</t>
        </is>
      </c>
      <c r="E7041" t="inlineStr">
        <is>
          <t>ARVIDSJAUR</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52827-2023</t>
        </is>
      </c>
      <c r="B7042" s="1" t="n">
        <v>45226</v>
      </c>
      <c r="C7042" s="1" t="n">
        <v>45798</v>
      </c>
      <c r="D7042" t="inlineStr">
        <is>
          <t>NORRBOTTENS LÄN</t>
        </is>
      </c>
      <c r="E7042" t="inlineStr">
        <is>
          <t>GÄLLIVARE</t>
        </is>
      </c>
      <c r="F7042" t="inlineStr">
        <is>
          <t>Sveaskog</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54516-2023</t>
        </is>
      </c>
      <c r="B7043" s="1" t="n">
        <v>45226</v>
      </c>
      <c r="C7043" s="1" t="n">
        <v>45798</v>
      </c>
      <c r="D7043" t="inlineStr">
        <is>
          <t>NORRBOTTENS LÄN</t>
        </is>
      </c>
      <c r="E7043" t="inlineStr">
        <is>
          <t>KALIX</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54521-2023</t>
        </is>
      </c>
      <c r="B7044" s="1" t="n">
        <v>45226</v>
      </c>
      <c r="C7044" s="1" t="n">
        <v>45798</v>
      </c>
      <c r="D7044" t="inlineStr">
        <is>
          <t>NORRBOTTENS LÄN</t>
        </is>
      </c>
      <c r="E7044" t="inlineStr">
        <is>
          <t>ARVIDSJAUR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54509-2023</t>
        </is>
      </c>
      <c r="B7045" s="1" t="n">
        <v>45226</v>
      </c>
      <c r="C7045" s="1" t="n">
        <v>45798</v>
      </c>
      <c r="D7045" t="inlineStr">
        <is>
          <t>NORRBOTTENS LÄN</t>
        </is>
      </c>
      <c r="E7045" t="inlineStr">
        <is>
          <t>KALIX</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52914-2023</t>
        </is>
      </c>
      <c r="B7046" s="1" t="n">
        <v>45226</v>
      </c>
      <c r="C7046" s="1" t="n">
        <v>45798</v>
      </c>
      <c r="D7046" t="inlineStr">
        <is>
          <t>NORRBOTTENS LÄN</t>
        </is>
      </c>
      <c r="E7046" t="inlineStr">
        <is>
          <t>LULEÅ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52874-2023</t>
        </is>
      </c>
      <c r="B7047" s="1" t="n">
        <v>45226</v>
      </c>
      <c r="C7047" s="1" t="n">
        <v>45798</v>
      </c>
      <c r="D7047" t="inlineStr">
        <is>
          <t>NORRBOTTENS LÄN</t>
        </is>
      </c>
      <c r="E7047" t="inlineStr">
        <is>
          <t>KALIX</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52864-2023</t>
        </is>
      </c>
      <c r="B7048" s="1" t="n">
        <v>45226</v>
      </c>
      <c r="C7048" s="1" t="n">
        <v>45798</v>
      </c>
      <c r="D7048" t="inlineStr">
        <is>
          <t>NORRBOTTENS LÄN</t>
        </is>
      </c>
      <c r="E7048" t="inlineStr">
        <is>
          <t>KALIX</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52821-2023</t>
        </is>
      </c>
      <c r="B7049" s="1" t="n">
        <v>45226</v>
      </c>
      <c r="C7049" s="1" t="n">
        <v>45798</v>
      </c>
      <c r="D7049" t="inlineStr">
        <is>
          <t>NORRBOTTENS LÄN</t>
        </is>
      </c>
      <c r="E7049" t="inlineStr">
        <is>
          <t>GÄLLIVARE</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52976-2023</t>
        </is>
      </c>
      <c r="B7050" s="1" t="n">
        <v>45226</v>
      </c>
      <c r="C7050" s="1" t="n">
        <v>45798</v>
      </c>
      <c r="D7050" t="inlineStr">
        <is>
          <t>NORRBOTTENS LÄN</t>
        </is>
      </c>
      <c r="E7050" t="inlineStr">
        <is>
          <t>BODEN</t>
        </is>
      </c>
      <c r="F7050" t="inlineStr">
        <is>
          <t>Sveaskog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53075-2023</t>
        </is>
      </c>
      <c r="B7051" s="1" t="n">
        <v>45227</v>
      </c>
      <c r="C7051" s="1" t="n">
        <v>45798</v>
      </c>
      <c r="D7051" t="inlineStr">
        <is>
          <t>NORRBOTTENS LÄN</t>
        </is>
      </c>
      <c r="E7051" t="inlineStr">
        <is>
          <t>ÖVERTORNEÅ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53091-2023</t>
        </is>
      </c>
      <c r="B7052" s="1" t="n">
        <v>45227</v>
      </c>
      <c r="C7052" s="1" t="n">
        <v>45798</v>
      </c>
      <c r="D7052" t="inlineStr">
        <is>
          <t>NORRBOTTENS LÄN</t>
        </is>
      </c>
      <c r="E7052" t="inlineStr">
        <is>
          <t>PAJALA</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53086-2023</t>
        </is>
      </c>
      <c r="B7053" s="1" t="n">
        <v>45227</v>
      </c>
      <c r="C7053" s="1" t="n">
        <v>45798</v>
      </c>
      <c r="D7053" t="inlineStr">
        <is>
          <t>NORRBOTTENS LÄN</t>
        </is>
      </c>
      <c r="E7053" t="inlineStr">
        <is>
          <t>PAJALA</t>
        </is>
      </c>
      <c r="G7053" t="n">
        <v>15.3</v>
      </c>
      <c r="H7053" t="n">
        <v>0</v>
      </c>
      <c r="I7053" t="n">
        <v>0</v>
      </c>
      <c r="J7053" t="n">
        <v>0</v>
      </c>
      <c r="K7053" t="n">
        <v>0</v>
      </c>
      <c r="L7053" t="n">
        <v>0</v>
      </c>
      <c r="M7053" t="n">
        <v>0</v>
      </c>
      <c r="N7053" t="n">
        <v>0</v>
      </c>
      <c r="O7053" t="n">
        <v>0</v>
      </c>
      <c r="P7053" t="n">
        <v>0</v>
      </c>
      <c r="Q7053" t="n">
        <v>0</v>
      </c>
      <c r="R7053" s="2" t="inlineStr"/>
    </row>
    <row r="7054" ht="15" customHeight="1">
      <c r="A7054" t="inlineStr">
        <is>
          <t>A 53092-2023</t>
        </is>
      </c>
      <c r="B7054" s="1" t="n">
        <v>45227</v>
      </c>
      <c r="C7054" s="1" t="n">
        <v>45798</v>
      </c>
      <c r="D7054" t="inlineStr">
        <is>
          <t>NORRBOTTENS LÄN</t>
        </is>
      </c>
      <c r="E7054" t="inlineStr">
        <is>
          <t>PAJALA</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53077-2023</t>
        </is>
      </c>
      <c r="B7055" s="1" t="n">
        <v>45227</v>
      </c>
      <c r="C7055" s="1" t="n">
        <v>45798</v>
      </c>
      <c r="D7055" t="inlineStr">
        <is>
          <t>NORRBOTTENS LÄN</t>
        </is>
      </c>
      <c r="E7055" t="inlineStr">
        <is>
          <t>ÖVERTORNEÅ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53094-2023</t>
        </is>
      </c>
      <c r="B7056" s="1" t="n">
        <v>45227</v>
      </c>
      <c r="C7056" s="1" t="n">
        <v>45798</v>
      </c>
      <c r="D7056" t="inlineStr">
        <is>
          <t>NORRBOTTENS LÄN</t>
        </is>
      </c>
      <c r="E7056" t="inlineStr">
        <is>
          <t>PAJALA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53257-2023</t>
        </is>
      </c>
      <c r="B7057" s="1" t="n">
        <v>45229</v>
      </c>
      <c r="C7057" s="1" t="n">
        <v>45798</v>
      </c>
      <c r="D7057" t="inlineStr">
        <is>
          <t>NORRBOTTENS LÄN</t>
        </is>
      </c>
      <c r="E7057" t="inlineStr">
        <is>
          <t>HAPARANDA</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53290-2023</t>
        </is>
      </c>
      <c r="B7058" s="1" t="n">
        <v>45229</v>
      </c>
      <c r="C7058" s="1" t="n">
        <v>45798</v>
      </c>
      <c r="D7058" t="inlineStr">
        <is>
          <t>NORRBOTTENS LÄN</t>
        </is>
      </c>
      <c r="E7058" t="inlineStr">
        <is>
          <t>HAPARANDA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53201-2023</t>
        </is>
      </c>
      <c r="B7059" s="1" t="n">
        <v>45229</v>
      </c>
      <c r="C7059" s="1" t="n">
        <v>45798</v>
      </c>
      <c r="D7059" t="inlineStr">
        <is>
          <t>NORRBOTTENS LÄN</t>
        </is>
      </c>
      <c r="E7059" t="inlineStr">
        <is>
          <t>KALIX</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53309-2023</t>
        </is>
      </c>
      <c r="B7060" s="1" t="n">
        <v>45229</v>
      </c>
      <c r="C7060" s="1" t="n">
        <v>45798</v>
      </c>
      <c r="D7060" t="inlineStr">
        <is>
          <t>NORRBOTTENS LÄN</t>
        </is>
      </c>
      <c r="E7060" t="inlineStr">
        <is>
          <t>KIRUNA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53433-2023</t>
        </is>
      </c>
      <c r="B7061" s="1" t="n">
        <v>45229</v>
      </c>
      <c r="C7061" s="1" t="n">
        <v>45798</v>
      </c>
      <c r="D7061" t="inlineStr">
        <is>
          <t>NORRBOTTENS LÄN</t>
        </is>
      </c>
      <c r="E7061" t="inlineStr">
        <is>
          <t>LULEÅ</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53454-2023</t>
        </is>
      </c>
      <c r="B7062" s="1" t="n">
        <v>45230</v>
      </c>
      <c r="C7062" s="1" t="n">
        <v>45798</v>
      </c>
      <c r="D7062" t="inlineStr">
        <is>
          <t>NORRBOTTENS LÄN</t>
        </is>
      </c>
      <c r="E7062" t="inlineStr">
        <is>
          <t>PITEÅ</t>
        </is>
      </c>
      <c r="F7062" t="inlineStr">
        <is>
          <t>SCA</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53285-2023</t>
        </is>
      </c>
      <c r="B7063" s="1" t="n">
        <v>45229</v>
      </c>
      <c r="C7063" s="1" t="n">
        <v>45798</v>
      </c>
      <c r="D7063" t="inlineStr">
        <is>
          <t>NORRBOTTENS LÄN</t>
        </is>
      </c>
      <c r="E7063" t="inlineStr">
        <is>
          <t>KALIX</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53204-2023</t>
        </is>
      </c>
      <c r="B7064" s="1" t="n">
        <v>45229</v>
      </c>
      <c r="C7064" s="1" t="n">
        <v>45798</v>
      </c>
      <c r="D7064" t="inlineStr">
        <is>
          <t>NORRBOTTENS LÄN</t>
        </is>
      </c>
      <c r="E7064" t="inlineStr">
        <is>
          <t>KALIX</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54725-2023</t>
        </is>
      </c>
      <c r="B7065" s="1" t="n">
        <v>45229</v>
      </c>
      <c r="C7065" s="1" t="n">
        <v>45798</v>
      </c>
      <c r="D7065" t="inlineStr">
        <is>
          <t>NORRBOTTENS LÄN</t>
        </is>
      </c>
      <c r="E7065" t="inlineStr">
        <is>
          <t>GÄLLIVARE</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54829-2023</t>
        </is>
      </c>
      <c r="B7066" s="1" t="n">
        <v>45229</v>
      </c>
      <c r="C7066" s="1" t="n">
        <v>45798</v>
      </c>
      <c r="D7066" t="inlineStr">
        <is>
          <t>NORRBOTTENS LÄN</t>
        </is>
      </c>
      <c r="E7066" t="inlineStr">
        <is>
          <t>KALIX</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55027-2023</t>
        </is>
      </c>
      <c r="B7067" s="1" t="n">
        <v>45229</v>
      </c>
      <c r="C7067" s="1" t="n">
        <v>45798</v>
      </c>
      <c r="D7067" t="inlineStr">
        <is>
          <t>NORRBOTTENS LÄN</t>
        </is>
      </c>
      <c r="E7067" t="inlineStr">
        <is>
          <t>BODEN</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53535-2023</t>
        </is>
      </c>
      <c r="B7068" s="1" t="n">
        <v>45230</v>
      </c>
      <c r="C7068" s="1" t="n">
        <v>45798</v>
      </c>
      <c r="D7068" t="inlineStr">
        <is>
          <t>NORRBOTTENS LÄN</t>
        </is>
      </c>
      <c r="E7068" t="inlineStr">
        <is>
          <t>ARVIDSJAUR</t>
        </is>
      </c>
      <c r="F7068" t="inlineStr">
        <is>
          <t>Sveaskog</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53750-2023</t>
        </is>
      </c>
      <c r="B7069" s="1" t="n">
        <v>45230</v>
      </c>
      <c r="C7069" s="1" t="n">
        <v>45798</v>
      </c>
      <c r="D7069" t="inlineStr">
        <is>
          <t>NORRBOTTENS LÄN</t>
        </is>
      </c>
      <c r="E7069" t="inlineStr">
        <is>
          <t>LULEÅ</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53751-2023</t>
        </is>
      </c>
      <c r="B7070" s="1" t="n">
        <v>45230</v>
      </c>
      <c r="C7070" s="1" t="n">
        <v>45798</v>
      </c>
      <c r="D7070" t="inlineStr">
        <is>
          <t>NORRBOTTENS LÄN</t>
        </is>
      </c>
      <c r="E7070" t="inlineStr">
        <is>
          <t>PITEÅ</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53748-2023</t>
        </is>
      </c>
      <c r="B7071" s="1" t="n">
        <v>45230</v>
      </c>
      <c r="C7071" s="1" t="n">
        <v>45798</v>
      </c>
      <c r="D7071" t="inlineStr">
        <is>
          <t>NORRBOTTENS LÄN</t>
        </is>
      </c>
      <c r="E7071" t="inlineStr">
        <is>
          <t>LULEÅ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53752-2023</t>
        </is>
      </c>
      <c r="B7072" s="1" t="n">
        <v>45230</v>
      </c>
      <c r="C7072" s="1" t="n">
        <v>45798</v>
      </c>
      <c r="D7072" t="inlineStr">
        <is>
          <t>NORRBOTTENS LÄN</t>
        </is>
      </c>
      <c r="E7072" t="inlineStr">
        <is>
          <t>PITEÅ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53754-2023</t>
        </is>
      </c>
      <c r="B7073" s="1" t="n">
        <v>45230</v>
      </c>
      <c r="C7073" s="1" t="n">
        <v>45798</v>
      </c>
      <c r="D7073" t="inlineStr">
        <is>
          <t>NORRBOTTENS LÄN</t>
        </is>
      </c>
      <c r="E7073" t="inlineStr">
        <is>
          <t>LULEÅ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55064-2023</t>
        </is>
      </c>
      <c r="B7074" s="1" t="n">
        <v>45230</v>
      </c>
      <c r="C7074" s="1" t="n">
        <v>45798</v>
      </c>
      <c r="D7074" t="inlineStr">
        <is>
          <t>NORRBOTTENS LÄN</t>
        </is>
      </c>
      <c r="E7074" t="inlineStr">
        <is>
          <t>ÖVERTORNEÅ</t>
        </is>
      </c>
      <c r="G7074" t="n">
        <v>11.4</v>
      </c>
      <c r="H7074" t="n">
        <v>0</v>
      </c>
      <c r="I7074" t="n">
        <v>0</v>
      </c>
      <c r="J7074" t="n">
        <v>0</v>
      </c>
      <c r="K7074" t="n">
        <v>0</v>
      </c>
      <c r="L7074" t="n">
        <v>0</v>
      </c>
      <c r="M7074" t="n">
        <v>0</v>
      </c>
      <c r="N7074" t="n">
        <v>0</v>
      </c>
      <c r="O7074" t="n">
        <v>0</v>
      </c>
      <c r="P7074" t="n">
        <v>0</v>
      </c>
      <c r="Q7074" t="n">
        <v>0</v>
      </c>
      <c r="R7074" s="2" t="inlineStr"/>
    </row>
    <row r="7075" ht="15" customHeight="1">
      <c r="A7075" t="inlineStr">
        <is>
          <t>A 53749-2023</t>
        </is>
      </c>
      <c r="B7075" s="1" t="n">
        <v>45230</v>
      </c>
      <c r="C7075" s="1" t="n">
        <v>45798</v>
      </c>
      <c r="D7075" t="inlineStr">
        <is>
          <t>NORRBOTTENS LÄN</t>
        </is>
      </c>
      <c r="E7075" t="inlineStr">
        <is>
          <t>LULEÅ</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53534-2023</t>
        </is>
      </c>
      <c r="B7076" s="1" t="n">
        <v>45230</v>
      </c>
      <c r="C7076" s="1" t="n">
        <v>45798</v>
      </c>
      <c r="D7076" t="inlineStr">
        <is>
          <t>NORRBOTTENS LÄN</t>
        </is>
      </c>
      <c r="E7076" t="inlineStr">
        <is>
          <t>ARVIDSJAUR</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53541-2023</t>
        </is>
      </c>
      <c r="B7077" s="1" t="n">
        <v>45230</v>
      </c>
      <c r="C7077" s="1" t="n">
        <v>45798</v>
      </c>
      <c r="D7077" t="inlineStr">
        <is>
          <t>NORRBOTTENS LÄN</t>
        </is>
      </c>
      <c r="E7077" t="inlineStr">
        <is>
          <t>LULEÅ</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53537-2023</t>
        </is>
      </c>
      <c r="B7078" s="1" t="n">
        <v>45230</v>
      </c>
      <c r="C7078" s="1" t="n">
        <v>45798</v>
      </c>
      <c r="D7078" t="inlineStr">
        <is>
          <t>NORRBOTTENS LÄN</t>
        </is>
      </c>
      <c r="E7078" t="inlineStr">
        <is>
          <t>PITEÅ</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53712-2023</t>
        </is>
      </c>
      <c r="B7079" s="1" t="n">
        <v>45230</v>
      </c>
      <c r="C7079" s="1" t="n">
        <v>45798</v>
      </c>
      <c r="D7079" t="inlineStr">
        <is>
          <t>NORRBOTTENS LÄN</t>
        </is>
      </c>
      <c r="E7079" t="inlineStr">
        <is>
          <t>LULEÅ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53795-2023</t>
        </is>
      </c>
      <c r="B7080" s="1" t="n">
        <v>45231</v>
      </c>
      <c r="C7080" s="1" t="n">
        <v>45798</v>
      </c>
      <c r="D7080" t="inlineStr">
        <is>
          <t>NORRBOTTENS LÄN</t>
        </is>
      </c>
      <c r="E7080" t="inlineStr">
        <is>
          <t>PAJALA</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54012-2023</t>
        </is>
      </c>
      <c r="B7081" s="1" t="n">
        <v>45231</v>
      </c>
      <c r="C7081" s="1" t="n">
        <v>45798</v>
      </c>
      <c r="D7081" t="inlineStr">
        <is>
          <t>NORRBOTTENS LÄN</t>
        </is>
      </c>
      <c r="E7081" t="inlineStr">
        <is>
          <t>BODEN</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54026-2023</t>
        </is>
      </c>
      <c r="B7082" s="1" t="n">
        <v>45231</v>
      </c>
      <c r="C7082" s="1" t="n">
        <v>45798</v>
      </c>
      <c r="D7082" t="inlineStr">
        <is>
          <t>NORRBOTTENS LÄN</t>
        </is>
      </c>
      <c r="E7082" t="inlineStr">
        <is>
          <t>ÖVERKALIX</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54067-2023</t>
        </is>
      </c>
      <c r="B7083" s="1" t="n">
        <v>45232</v>
      </c>
      <c r="C7083" s="1" t="n">
        <v>45798</v>
      </c>
      <c r="D7083" t="inlineStr">
        <is>
          <t>NORRBOTTENS LÄN</t>
        </is>
      </c>
      <c r="E7083" t="inlineStr">
        <is>
          <t>KALIX</t>
        </is>
      </c>
      <c r="F7083" t="inlineStr">
        <is>
          <t>SCA</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54025-2023</t>
        </is>
      </c>
      <c r="B7084" s="1" t="n">
        <v>45231</v>
      </c>
      <c r="C7084" s="1" t="n">
        <v>45798</v>
      </c>
      <c r="D7084" t="inlineStr">
        <is>
          <t>NORRBOTTENS LÄN</t>
        </is>
      </c>
      <c r="E7084" t="inlineStr">
        <is>
          <t>ÖVERKALIX</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54029-2023</t>
        </is>
      </c>
      <c r="B7085" s="1" t="n">
        <v>45231</v>
      </c>
      <c r="C7085" s="1" t="n">
        <v>45798</v>
      </c>
      <c r="D7085" t="inlineStr">
        <is>
          <t>NORRBOTTENS LÄN</t>
        </is>
      </c>
      <c r="E7085" t="inlineStr">
        <is>
          <t>ÖVERTORNEÅ</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54005-2023</t>
        </is>
      </c>
      <c r="B7086" s="1" t="n">
        <v>45231</v>
      </c>
      <c r="C7086" s="1" t="n">
        <v>45798</v>
      </c>
      <c r="D7086" t="inlineStr">
        <is>
          <t>NORRBOTTENS LÄN</t>
        </is>
      </c>
      <c r="E7086" t="inlineStr">
        <is>
          <t>KALIX</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55394-2023</t>
        </is>
      </c>
      <c r="B7087" s="1" t="n">
        <v>45231</v>
      </c>
      <c r="C7087" s="1" t="n">
        <v>45798</v>
      </c>
      <c r="D7087" t="inlineStr">
        <is>
          <t>NORRBOTTENS LÄN</t>
        </is>
      </c>
      <c r="E7087" t="inlineStr">
        <is>
          <t>GÄLLIVARE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55407-2023</t>
        </is>
      </c>
      <c r="B7088" s="1" t="n">
        <v>45231</v>
      </c>
      <c r="C7088" s="1" t="n">
        <v>45798</v>
      </c>
      <c r="D7088" t="inlineStr">
        <is>
          <t>NORRBOTTENS LÄN</t>
        </is>
      </c>
      <c r="E7088" t="inlineStr">
        <is>
          <t>GÄLLIVARE</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54068-2023</t>
        </is>
      </c>
      <c r="B7089" s="1" t="n">
        <v>45232</v>
      </c>
      <c r="C7089" s="1" t="n">
        <v>45798</v>
      </c>
      <c r="D7089" t="inlineStr">
        <is>
          <t>NORRBOTTENS LÄN</t>
        </is>
      </c>
      <c r="E7089" t="inlineStr">
        <is>
          <t>KALIX</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55410-2023</t>
        </is>
      </c>
      <c r="B7090" s="1" t="n">
        <v>45231</v>
      </c>
      <c r="C7090" s="1" t="n">
        <v>45798</v>
      </c>
      <c r="D7090" t="inlineStr">
        <is>
          <t>NORRBOTTENS LÄN</t>
        </is>
      </c>
      <c r="E7090" t="inlineStr">
        <is>
          <t>GÄLLIVARE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54153-2023</t>
        </is>
      </c>
      <c r="B7091" s="1" t="n">
        <v>45232</v>
      </c>
      <c r="C7091" s="1" t="n">
        <v>45798</v>
      </c>
      <c r="D7091" t="inlineStr">
        <is>
          <t>NORRBOTTENS LÄN</t>
        </is>
      </c>
      <c r="E7091" t="inlineStr">
        <is>
          <t>BODEN</t>
        </is>
      </c>
      <c r="F7091" t="inlineStr">
        <is>
          <t>Sveaskog</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54142-2023</t>
        </is>
      </c>
      <c r="B7092" s="1" t="n">
        <v>45232</v>
      </c>
      <c r="C7092" s="1" t="n">
        <v>45798</v>
      </c>
      <c r="D7092" t="inlineStr">
        <is>
          <t>NORRBOTTENS LÄN</t>
        </is>
      </c>
      <c r="E7092" t="inlineStr">
        <is>
          <t>BODEN</t>
        </is>
      </c>
      <c r="F7092" t="inlineStr">
        <is>
          <t>Sveaskog</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54250-2023</t>
        </is>
      </c>
      <c r="B7093" s="1" t="n">
        <v>45232</v>
      </c>
      <c r="C7093" s="1" t="n">
        <v>45798</v>
      </c>
      <c r="D7093" t="inlineStr">
        <is>
          <t>NORRBOTTENS LÄN</t>
        </is>
      </c>
      <c r="E7093" t="inlineStr">
        <is>
          <t>BODEN</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54213-2023</t>
        </is>
      </c>
      <c r="B7094" s="1" t="n">
        <v>45232</v>
      </c>
      <c r="C7094" s="1" t="n">
        <v>45798</v>
      </c>
      <c r="D7094" t="inlineStr">
        <is>
          <t>NORRBOTTENS LÄN</t>
        </is>
      </c>
      <c r="E7094" t="inlineStr">
        <is>
          <t>LULEÅ</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54274-2023</t>
        </is>
      </c>
      <c r="B7095" s="1" t="n">
        <v>45232</v>
      </c>
      <c r="C7095" s="1" t="n">
        <v>45798</v>
      </c>
      <c r="D7095" t="inlineStr">
        <is>
          <t>NORRBOTTENS LÄN</t>
        </is>
      </c>
      <c r="E7095" t="inlineStr">
        <is>
          <t>PITEÅ</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54278-2023</t>
        </is>
      </c>
      <c r="B7096" s="1" t="n">
        <v>45232</v>
      </c>
      <c r="C7096" s="1" t="n">
        <v>45798</v>
      </c>
      <c r="D7096" t="inlineStr">
        <is>
          <t>NORRBOTTENS LÄN</t>
        </is>
      </c>
      <c r="E7096" t="inlineStr">
        <is>
          <t>PITEÅ</t>
        </is>
      </c>
      <c r="F7096" t="inlineStr">
        <is>
          <t>Sveaskog</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54267-2023</t>
        </is>
      </c>
      <c r="B7097" s="1" t="n">
        <v>45232</v>
      </c>
      <c r="C7097" s="1" t="n">
        <v>45798</v>
      </c>
      <c r="D7097" t="inlineStr">
        <is>
          <t>NORRBOTTENS LÄN</t>
        </is>
      </c>
      <c r="E7097" t="inlineStr">
        <is>
          <t>BODEN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54139-2023</t>
        </is>
      </c>
      <c r="B7098" s="1" t="n">
        <v>45232</v>
      </c>
      <c r="C7098" s="1" t="n">
        <v>45798</v>
      </c>
      <c r="D7098" t="inlineStr">
        <is>
          <t>NORRBOTTENS LÄN</t>
        </is>
      </c>
      <c r="E7098" t="inlineStr">
        <is>
          <t>BODEN</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54210-2023</t>
        </is>
      </c>
      <c r="B7099" s="1" t="n">
        <v>45232</v>
      </c>
      <c r="C7099" s="1" t="n">
        <v>45798</v>
      </c>
      <c r="D7099" t="inlineStr">
        <is>
          <t>NORRBOTTENS LÄN</t>
        </is>
      </c>
      <c r="E7099" t="inlineStr">
        <is>
          <t>PITEÅ</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54354-2023</t>
        </is>
      </c>
      <c r="B7100" s="1" t="n">
        <v>45232</v>
      </c>
      <c r="C7100" s="1" t="n">
        <v>45798</v>
      </c>
      <c r="D7100" t="inlineStr">
        <is>
          <t>NORRBOTTENS LÄN</t>
        </is>
      </c>
      <c r="E7100" t="inlineStr">
        <is>
          <t>JOKKMOKK</t>
        </is>
      </c>
      <c r="F7100" t="inlineStr">
        <is>
          <t>SCA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55568-2023</t>
        </is>
      </c>
      <c r="B7101" s="1" t="n">
        <v>45232</v>
      </c>
      <c r="C7101" s="1" t="n">
        <v>45798</v>
      </c>
      <c r="D7101" t="inlineStr">
        <is>
          <t>NORRBOTTENS LÄN</t>
        </is>
      </c>
      <c r="E7101" t="inlineStr">
        <is>
          <t>ARVIDSJAUR</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55564-2023</t>
        </is>
      </c>
      <c r="B7102" s="1" t="n">
        <v>45232</v>
      </c>
      <c r="C7102" s="1" t="n">
        <v>45798</v>
      </c>
      <c r="D7102" t="inlineStr">
        <is>
          <t>NORRBOTTENS LÄN</t>
        </is>
      </c>
      <c r="E7102" t="inlineStr">
        <is>
          <t>ARVIDSJAUR</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54269-2023</t>
        </is>
      </c>
      <c r="B7103" s="1" t="n">
        <v>45232</v>
      </c>
      <c r="C7103" s="1" t="n">
        <v>45798</v>
      </c>
      <c r="D7103" t="inlineStr">
        <is>
          <t>NORRBOTTENS LÄN</t>
        </is>
      </c>
      <c r="E7103" t="inlineStr">
        <is>
          <t>BODEN</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55531-2023</t>
        </is>
      </c>
      <c r="B7104" s="1" t="n">
        <v>45232</v>
      </c>
      <c r="C7104" s="1" t="n">
        <v>45798</v>
      </c>
      <c r="D7104" t="inlineStr">
        <is>
          <t>NORRBOTTENS LÄN</t>
        </is>
      </c>
      <c r="E7104" t="inlineStr">
        <is>
          <t>PAJALA</t>
        </is>
      </c>
      <c r="F7104" t="inlineStr">
        <is>
          <t>Kommuner</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55563-2023</t>
        </is>
      </c>
      <c r="B7105" s="1" t="n">
        <v>45232</v>
      </c>
      <c r="C7105" s="1" t="n">
        <v>45798</v>
      </c>
      <c r="D7105" t="inlineStr">
        <is>
          <t>NORRBOTTENS LÄN</t>
        </is>
      </c>
      <c r="E7105" t="inlineStr">
        <is>
          <t>PAJALA</t>
        </is>
      </c>
      <c r="F7105" t="inlineStr">
        <is>
          <t>Allmännings- och besparingsskogar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55577-2023</t>
        </is>
      </c>
      <c r="B7106" s="1" t="n">
        <v>45232</v>
      </c>
      <c r="C7106" s="1" t="n">
        <v>45798</v>
      </c>
      <c r="D7106" t="inlineStr">
        <is>
          <t>NORRBOTTENS LÄN</t>
        </is>
      </c>
      <c r="E7106" t="inlineStr">
        <is>
          <t>ARVIDSJAUR</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55747-2023</t>
        </is>
      </c>
      <c r="B7107" s="1" t="n">
        <v>45232</v>
      </c>
      <c r="C7107" s="1" t="n">
        <v>45798</v>
      </c>
      <c r="D7107" t="inlineStr">
        <is>
          <t>NORRBOTTENS LÄN</t>
        </is>
      </c>
      <c r="E7107" t="inlineStr">
        <is>
          <t>LULEÅ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54317-2023</t>
        </is>
      </c>
      <c r="B7108" s="1" t="n">
        <v>45232</v>
      </c>
      <c r="C7108" s="1" t="n">
        <v>45798</v>
      </c>
      <c r="D7108" t="inlineStr">
        <is>
          <t>NORRBOTTENS LÄN</t>
        </is>
      </c>
      <c r="E7108" t="inlineStr">
        <is>
          <t>ÄLVSBYN</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54327-2023</t>
        </is>
      </c>
      <c r="B7109" s="1" t="n">
        <v>45232</v>
      </c>
      <c r="C7109" s="1" t="n">
        <v>45798</v>
      </c>
      <c r="D7109" t="inlineStr">
        <is>
          <t>NORRBOTTENS LÄN</t>
        </is>
      </c>
      <c r="E7109" t="inlineStr">
        <is>
          <t>BODEN</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55557-2023</t>
        </is>
      </c>
      <c r="B7110" s="1" t="n">
        <v>45232</v>
      </c>
      <c r="C7110" s="1" t="n">
        <v>45798</v>
      </c>
      <c r="D7110" t="inlineStr">
        <is>
          <t>NORRBOTTENS LÄN</t>
        </is>
      </c>
      <c r="E7110" t="inlineStr">
        <is>
          <t>ARVIDSJAUR</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56031-2023</t>
        </is>
      </c>
      <c r="B7111" s="1" t="n">
        <v>45233</v>
      </c>
      <c r="C7111" s="1" t="n">
        <v>45798</v>
      </c>
      <c r="D7111" t="inlineStr">
        <is>
          <t>NORRBOTTENS LÄN</t>
        </is>
      </c>
      <c r="E7111" t="inlineStr">
        <is>
          <t>LULEÅ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54616-2023</t>
        </is>
      </c>
      <c r="B7112" s="1" t="n">
        <v>45233</v>
      </c>
      <c r="C7112" s="1" t="n">
        <v>45798</v>
      </c>
      <c r="D7112" t="inlineStr">
        <is>
          <t>NORRBOTTENS LÄN</t>
        </is>
      </c>
      <c r="E7112" t="inlineStr">
        <is>
          <t>BODEN</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55841-2023</t>
        </is>
      </c>
      <c r="B7113" s="1" t="n">
        <v>45233</v>
      </c>
      <c r="C7113" s="1" t="n">
        <v>45798</v>
      </c>
      <c r="D7113" t="inlineStr">
        <is>
          <t>NORRBOTTENS LÄN</t>
        </is>
      </c>
      <c r="E7113" t="inlineStr">
        <is>
          <t>KALIX</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54597-2023</t>
        </is>
      </c>
      <c r="B7114" s="1" t="n">
        <v>45233</v>
      </c>
      <c r="C7114" s="1" t="n">
        <v>45798</v>
      </c>
      <c r="D7114" t="inlineStr">
        <is>
          <t>NORRBOTTENS LÄN</t>
        </is>
      </c>
      <c r="E7114" t="inlineStr">
        <is>
          <t>ÖVERTORNEÅ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56052-2023</t>
        </is>
      </c>
      <c r="B7115" s="1" t="n">
        <v>45233</v>
      </c>
      <c r="C7115" s="1" t="n">
        <v>45798</v>
      </c>
      <c r="D7115" t="inlineStr">
        <is>
          <t>NORRBOTTENS LÄN</t>
        </is>
      </c>
      <c r="E7115" t="inlineStr">
        <is>
          <t>LULEÅ</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54419-2023</t>
        </is>
      </c>
      <c r="B7116" s="1" t="n">
        <v>45233</v>
      </c>
      <c r="C7116" s="1" t="n">
        <v>45798</v>
      </c>
      <c r="D7116" t="inlineStr">
        <is>
          <t>NORRBOTTENS LÄN</t>
        </is>
      </c>
      <c r="E7116" t="inlineStr">
        <is>
          <t>KIRUNA</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54410-2023</t>
        </is>
      </c>
      <c r="B7117" s="1" t="n">
        <v>45233</v>
      </c>
      <c r="C7117" s="1" t="n">
        <v>45798</v>
      </c>
      <c r="D7117" t="inlineStr">
        <is>
          <t>NORRBOTTENS LÄN</t>
        </is>
      </c>
      <c r="E7117" t="inlineStr">
        <is>
          <t>GÄLLIVARE</t>
        </is>
      </c>
      <c r="F7117" t="inlineStr">
        <is>
          <t>Sveaskog</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54937-2023</t>
        </is>
      </c>
      <c r="B7118" s="1" t="n">
        <v>45236</v>
      </c>
      <c r="C7118" s="1" t="n">
        <v>45798</v>
      </c>
      <c r="D7118" t="inlineStr">
        <is>
          <t>NORRBOTTENS LÄN</t>
        </is>
      </c>
      <c r="E7118" t="inlineStr">
        <is>
          <t>GÄLLIVARE</t>
        </is>
      </c>
      <c r="F7118" t="inlineStr">
        <is>
          <t>Sveaskog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54975-2023</t>
        </is>
      </c>
      <c r="B7119" s="1" t="n">
        <v>45236</v>
      </c>
      <c r="C7119" s="1" t="n">
        <v>45798</v>
      </c>
      <c r="D7119" t="inlineStr">
        <is>
          <t>NORRBOTTENS LÄN</t>
        </is>
      </c>
      <c r="E7119" t="inlineStr">
        <is>
          <t>ÄLVSBYN</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54764-2023</t>
        </is>
      </c>
      <c r="B7120" s="1" t="n">
        <v>45236</v>
      </c>
      <c r="C7120" s="1" t="n">
        <v>45798</v>
      </c>
      <c r="D7120" t="inlineStr">
        <is>
          <t>NORRBOTTENS LÄN</t>
        </is>
      </c>
      <c r="E7120" t="inlineStr">
        <is>
          <t>PAJALA</t>
        </is>
      </c>
      <c r="F7120" t="inlineStr">
        <is>
          <t>Sveaskog</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54745-2023</t>
        </is>
      </c>
      <c r="B7121" s="1" t="n">
        <v>45236</v>
      </c>
      <c r="C7121" s="1" t="n">
        <v>45798</v>
      </c>
      <c r="D7121" t="inlineStr">
        <is>
          <t>NORRBOTTENS LÄN</t>
        </is>
      </c>
      <c r="E7121" t="inlineStr">
        <is>
          <t>PITEÅ</t>
        </is>
      </c>
      <c r="F7121" t="inlineStr">
        <is>
          <t>Sveaskog</t>
        </is>
      </c>
      <c r="G7121" t="n">
        <v>25.5</v>
      </c>
      <c r="H7121" t="n">
        <v>0</v>
      </c>
      <c r="I7121" t="n">
        <v>0</v>
      </c>
      <c r="J7121" t="n">
        <v>0</v>
      </c>
      <c r="K7121" t="n">
        <v>0</v>
      </c>
      <c r="L7121" t="n">
        <v>0</v>
      </c>
      <c r="M7121" t="n">
        <v>0</v>
      </c>
      <c r="N7121" t="n">
        <v>0</v>
      </c>
      <c r="O7121" t="n">
        <v>0</v>
      </c>
      <c r="P7121" t="n">
        <v>0</v>
      </c>
      <c r="Q7121" t="n">
        <v>0</v>
      </c>
      <c r="R7121" s="2" t="inlineStr"/>
    </row>
    <row r="7122" ht="15" customHeight="1">
      <c r="A7122" t="inlineStr">
        <is>
          <t>A 54768-2023</t>
        </is>
      </c>
      <c r="B7122" s="1" t="n">
        <v>45236</v>
      </c>
      <c r="C7122" s="1" t="n">
        <v>45798</v>
      </c>
      <c r="D7122" t="inlineStr">
        <is>
          <t>NORRBOTTENS LÄN</t>
        </is>
      </c>
      <c r="E7122" t="inlineStr">
        <is>
          <t>PAJALA</t>
        </is>
      </c>
      <c r="F7122" t="inlineStr">
        <is>
          <t>Sveaskog</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54794-2023</t>
        </is>
      </c>
      <c r="B7123" s="1" t="n">
        <v>45236</v>
      </c>
      <c r="C7123" s="1" t="n">
        <v>45798</v>
      </c>
      <c r="D7123" t="inlineStr">
        <is>
          <t>NORRBOTTENS LÄN</t>
        </is>
      </c>
      <c r="E7123" t="inlineStr">
        <is>
          <t>PITEÅ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54818-2023</t>
        </is>
      </c>
      <c r="B7124" s="1" t="n">
        <v>45236</v>
      </c>
      <c r="C7124" s="1" t="n">
        <v>45798</v>
      </c>
      <c r="D7124" t="inlineStr">
        <is>
          <t>NORRBOTTENS LÄN</t>
        </is>
      </c>
      <c r="E7124" t="inlineStr">
        <is>
          <t>PAJALA</t>
        </is>
      </c>
      <c r="G7124" t="n">
        <v>25.4</v>
      </c>
      <c r="H7124" t="n">
        <v>0</v>
      </c>
      <c r="I7124" t="n">
        <v>0</v>
      </c>
      <c r="J7124" t="n">
        <v>0</v>
      </c>
      <c r="K7124" t="n">
        <v>0</v>
      </c>
      <c r="L7124" t="n">
        <v>0</v>
      </c>
      <c r="M7124" t="n">
        <v>0</v>
      </c>
      <c r="N7124" t="n">
        <v>0</v>
      </c>
      <c r="O7124" t="n">
        <v>0</v>
      </c>
      <c r="P7124" t="n">
        <v>0</v>
      </c>
      <c r="Q7124" t="n">
        <v>0</v>
      </c>
      <c r="R7124" s="2" t="inlineStr"/>
    </row>
    <row r="7125" ht="15" customHeight="1">
      <c r="A7125" t="inlineStr">
        <is>
          <t>A 56168-2023</t>
        </is>
      </c>
      <c r="B7125" s="1" t="n">
        <v>45236</v>
      </c>
      <c r="C7125" s="1" t="n">
        <v>45798</v>
      </c>
      <c r="D7125" t="inlineStr">
        <is>
          <t>NORRBOTTENS LÄN</t>
        </is>
      </c>
      <c r="E7125" t="inlineStr">
        <is>
          <t>KIRUNA</t>
        </is>
      </c>
      <c r="F7125" t="inlineStr">
        <is>
          <t>Sveaskog</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54970-2023</t>
        </is>
      </c>
      <c r="B7126" s="1" t="n">
        <v>45236</v>
      </c>
      <c r="C7126" s="1" t="n">
        <v>45798</v>
      </c>
      <c r="D7126" t="inlineStr">
        <is>
          <t>NORRBOTTENS LÄN</t>
        </is>
      </c>
      <c r="E7126" t="inlineStr">
        <is>
          <t>LULEÅ</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54969-2023</t>
        </is>
      </c>
      <c r="B7127" s="1" t="n">
        <v>45236</v>
      </c>
      <c r="C7127" s="1" t="n">
        <v>45798</v>
      </c>
      <c r="D7127" t="inlineStr">
        <is>
          <t>NORRBOTTENS LÄN</t>
        </is>
      </c>
      <c r="E7127" t="inlineStr">
        <is>
          <t>LULEÅ</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56382-2023</t>
        </is>
      </c>
      <c r="B7128" s="1" t="n">
        <v>45236</v>
      </c>
      <c r="C7128" s="1" t="n">
        <v>45798</v>
      </c>
      <c r="D7128" t="inlineStr">
        <is>
          <t>NORRBOTTENS LÄN</t>
        </is>
      </c>
      <c r="E7128" t="inlineStr">
        <is>
          <t>BODEN</t>
        </is>
      </c>
      <c r="G7128" t="n">
        <v>15.5</v>
      </c>
      <c r="H7128" t="n">
        <v>0</v>
      </c>
      <c r="I7128" t="n">
        <v>0</v>
      </c>
      <c r="J7128" t="n">
        <v>0</v>
      </c>
      <c r="K7128" t="n">
        <v>0</v>
      </c>
      <c r="L7128" t="n">
        <v>0</v>
      </c>
      <c r="M7128" t="n">
        <v>0</v>
      </c>
      <c r="N7128" t="n">
        <v>0</v>
      </c>
      <c r="O7128" t="n">
        <v>0</v>
      </c>
      <c r="P7128" t="n">
        <v>0</v>
      </c>
      <c r="Q7128" t="n">
        <v>0</v>
      </c>
      <c r="R7128" s="2" t="inlineStr"/>
    </row>
    <row r="7129" ht="15" customHeight="1">
      <c r="A7129" t="inlineStr">
        <is>
          <t>A 55034-2023</t>
        </is>
      </c>
      <c r="B7129" s="1" t="n">
        <v>45237</v>
      </c>
      <c r="C7129" s="1" t="n">
        <v>45798</v>
      </c>
      <c r="D7129" t="inlineStr">
        <is>
          <t>NORRBOTTENS LÄN</t>
        </is>
      </c>
      <c r="E7129" t="inlineStr">
        <is>
          <t>GÄLLIVARE</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55086-2023</t>
        </is>
      </c>
      <c r="B7130" s="1" t="n">
        <v>45237</v>
      </c>
      <c r="C7130" s="1" t="n">
        <v>45798</v>
      </c>
      <c r="D7130" t="inlineStr">
        <is>
          <t>NORRBOTTENS LÄN</t>
        </is>
      </c>
      <c r="E7130" t="inlineStr">
        <is>
          <t>PITEÅ</t>
        </is>
      </c>
      <c r="G7130" t="n">
        <v>14.1</v>
      </c>
      <c r="H7130" t="n">
        <v>0</v>
      </c>
      <c r="I7130" t="n">
        <v>0</v>
      </c>
      <c r="J7130" t="n">
        <v>0</v>
      </c>
      <c r="K7130" t="n">
        <v>0</v>
      </c>
      <c r="L7130" t="n">
        <v>0</v>
      </c>
      <c r="M7130" t="n">
        <v>0</v>
      </c>
      <c r="N7130" t="n">
        <v>0</v>
      </c>
      <c r="O7130" t="n">
        <v>0</v>
      </c>
      <c r="P7130" t="n">
        <v>0</v>
      </c>
      <c r="Q7130" t="n">
        <v>0</v>
      </c>
      <c r="R7130" s="2" t="inlineStr"/>
    </row>
    <row r="7131" ht="15" customHeight="1">
      <c r="A7131" t="inlineStr">
        <is>
          <t>A 55138-2023</t>
        </is>
      </c>
      <c r="B7131" s="1" t="n">
        <v>45237</v>
      </c>
      <c r="C7131" s="1" t="n">
        <v>45798</v>
      </c>
      <c r="D7131" t="inlineStr">
        <is>
          <t>NORRBOTTENS LÄN</t>
        </is>
      </c>
      <c r="E7131" t="inlineStr">
        <is>
          <t>KALIX</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55044-2023</t>
        </is>
      </c>
      <c r="B7132" s="1" t="n">
        <v>45237</v>
      </c>
      <c r="C7132" s="1" t="n">
        <v>45798</v>
      </c>
      <c r="D7132" t="inlineStr">
        <is>
          <t>NORRBOTTENS LÄN</t>
        </is>
      </c>
      <c r="E7132" t="inlineStr">
        <is>
          <t>GÄLLIVARE</t>
        </is>
      </c>
      <c r="F7132" t="inlineStr">
        <is>
          <t>Sveaskog</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55108-2023</t>
        </is>
      </c>
      <c r="B7133" s="1" t="n">
        <v>45237</v>
      </c>
      <c r="C7133" s="1" t="n">
        <v>45798</v>
      </c>
      <c r="D7133" t="inlineStr">
        <is>
          <t>NORRBOTTENS LÄN</t>
        </is>
      </c>
      <c r="E7133" t="inlineStr">
        <is>
          <t>PITEÅ</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55118-2023</t>
        </is>
      </c>
      <c r="B7134" s="1" t="n">
        <v>45237</v>
      </c>
      <c r="C7134" s="1" t="n">
        <v>45798</v>
      </c>
      <c r="D7134" t="inlineStr">
        <is>
          <t>NORRBOTTENS LÄN</t>
        </is>
      </c>
      <c r="E7134" t="inlineStr">
        <is>
          <t>GÄLLIVARE</t>
        </is>
      </c>
      <c r="F7134" t="inlineStr">
        <is>
          <t>Sveaskog</t>
        </is>
      </c>
      <c r="G7134" t="n">
        <v>30</v>
      </c>
      <c r="H7134" t="n">
        <v>0</v>
      </c>
      <c r="I7134" t="n">
        <v>0</v>
      </c>
      <c r="J7134" t="n">
        <v>0</v>
      </c>
      <c r="K7134" t="n">
        <v>0</v>
      </c>
      <c r="L7134" t="n">
        <v>0</v>
      </c>
      <c r="M7134" t="n">
        <v>0</v>
      </c>
      <c r="N7134" t="n">
        <v>0</v>
      </c>
      <c r="O7134" t="n">
        <v>0</v>
      </c>
      <c r="P7134" t="n">
        <v>0</v>
      </c>
      <c r="Q7134" t="n">
        <v>0</v>
      </c>
      <c r="R7134" s="2" t="inlineStr"/>
    </row>
    <row r="7135" ht="15" customHeight="1">
      <c r="A7135" t="inlineStr">
        <is>
          <t>A 55124-2023</t>
        </is>
      </c>
      <c r="B7135" s="1" t="n">
        <v>45237</v>
      </c>
      <c r="C7135" s="1" t="n">
        <v>45798</v>
      </c>
      <c r="D7135" t="inlineStr">
        <is>
          <t>NORRBOTTENS LÄN</t>
        </is>
      </c>
      <c r="E7135" t="inlineStr">
        <is>
          <t>PITEÅ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55050-2023</t>
        </is>
      </c>
      <c r="B7136" s="1" t="n">
        <v>45237</v>
      </c>
      <c r="C7136" s="1" t="n">
        <v>45798</v>
      </c>
      <c r="D7136" t="inlineStr">
        <is>
          <t>NORRBOTTENS LÄN</t>
        </is>
      </c>
      <c r="E7136" t="inlineStr">
        <is>
          <t>GÄLLIVARE</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55114-2023</t>
        </is>
      </c>
      <c r="B7137" s="1" t="n">
        <v>45237</v>
      </c>
      <c r="C7137" s="1" t="n">
        <v>45798</v>
      </c>
      <c r="D7137" t="inlineStr">
        <is>
          <t>NORRBOTTENS LÄN</t>
        </is>
      </c>
      <c r="E7137" t="inlineStr">
        <is>
          <t>PITEÅ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55175-2023</t>
        </is>
      </c>
      <c r="B7138" s="1" t="n">
        <v>45237</v>
      </c>
      <c r="C7138" s="1" t="n">
        <v>45798</v>
      </c>
      <c r="D7138" t="inlineStr">
        <is>
          <t>NORRBOTTENS LÄN</t>
        </is>
      </c>
      <c r="E7138" t="inlineStr">
        <is>
          <t>PAJALA</t>
        </is>
      </c>
      <c r="F7138" t="inlineStr">
        <is>
          <t>Sveaskog</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55198-2023</t>
        </is>
      </c>
      <c r="B7139" s="1" t="n">
        <v>45237</v>
      </c>
      <c r="C7139" s="1" t="n">
        <v>45798</v>
      </c>
      <c r="D7139" t="inlineStr">
        <is>
          <t>NORRBOTTENS LÄN</t>
        </is>
      </c>
      <c r="E7139" t="inlineStr">
        <is>
          <t>JOKKMOKK</t>
        </is>
      </c>
      <c r="F7139" t="inlineStr">
        <is>
          <t>Sveaskog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55257-2023</t>
        </is>
      </c>
      <c r="B7140" s="1" t="n">
        <v>45237</v>
      </c>
      <c r="C7140" s="1" t="n">
        <v>45798</v>
      </c>
      <c r="D7140" t="inlineStr">
        <is>
          <t>NORRBOTTENS LÄN</t>
        </is>
      </c>
      <c r="E7140" t="inlineStr">
        <is>
          <t>PITEÅ</t>
        </is>
      </c>
      <c r="F7140" t="inlineStr">
        <is>
          <t>Sveaskog</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55317-2023</t>
        </is>
      </c>
      <c r="B7141" s="1" t="n">
        <v>45237</v>
      </c>
      <c r="C7141" s="1" t="n">
        <v>45798</v>
      </c>
      <c r="D7141" t="inlineStr">
        <is>
          <t>NORRBOTTENS LÄN</t>
        </is>
      </c>
      <c r="E7141" t="inlineStr">
        <is>
          <t>BODEN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56432-2023</t>
        </is>
      </c>
      <c r="B7142" s="1" t="n">
        <v>45237</v>
      </c>
      <c r="C7142" s="1" t="n">
        <v>45798</v>
      </c>
      <c r="D7142" t="inlineStr">
        <is>
          <t>NORRBOTTENS LÄN</t>
        </is>
      </c>
      <c r="E7142" t="inlineStr">
        <is>
          <t>LULEÅ</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55315-2023</t>
        </is>
      </c>
      <c r="B7143" s="1" t="n">
        <v>45237</v>
      </c>
      <c r="C7143" s="1" t="n">
        <v>45798</v>
      </c>
      <c r="D7143" t="inlineStr">
        <is>
          <t>NORRBOTTENS LÄN</t>
        </is>
      </c>
      <c r="E7143" t="inlineStr">
        <is>
          <t>PITEÅ</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55319-2023</t>
        </is>
      </c>
      <c r="B7144" s="1" t="n">
        <v>45237</v>
      </c>
      <c r="C7144" s="1" t="n">
        <v>45798</v>
      </c>
      <c r="D7144" t="inlineStr">
        <is>
          <t>NORRBOTTENS LÄN</t>
        </is>
      </c>
      <c r="E7144" t="inlineStr">
        <is>
          <t>PITEÅ</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56470-2023</t>
        </is>
      </c>
      <c r="B7145" s="1" t="n">
        <v>45237</v>
      </c>
      <c r="C7145" s="1" t="n">
        <v>45798</v>
      </c>
      <c r="D7145" t="inlineStr">
        <is>
          <t>NORRBOTTENS LÄN</t>
        </is>
      </c>
      <c r="E7145" t="inlineStr">
        <is>
          <t>KALIX</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58574-2023</t>
        </is>
      </c>
      <c r="B7146" s="1" t="n">
        <v>45237</v>
      </c>
      <c r="C7146" s="1" t="n">
        <v>45798</v>
      </c>
      <c r="D7146" t="inlineStr">
        <is>
          <t>NORRBOTTENS LÄN</t>
        </is>
      </c>
      <c r="E7146" t="inlineStr">
        <is>
          <t>KALIX</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55429-2023</t>
        </is>
      </c>
      <c r="B7147" s="1" t="n">
        <v>45238</v>
      </c>
      <c r="C7147" s="1" t="n">
        <v>45798</v>
      </c>
      <c r="D7147" t="inlineStr">
        <is>
          <t>NORRBOTTENS LÄN</t>
        </is>
      </c>
      <c r="E7147" t="inlineStr">
        <is>
          <t>GÄLLIVARE</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55584-2023</t>
        </is>
      </c>
      <c r="B7148" s="1" t="n">
        <v>45238</v>
      </c>
      <c r="C7148" s="1" t="n">
        <v>45798</v>
      </c>
      <c r="D7148" t="inlineStr">
        <is>
          <t>NORRBOTTENS LÄN</t>
        </is>
      </c>
      <c r="E7148" t="inlineStr">
        <is>
          <t>GÄLLIVARE</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55606-2023</t>
        </is>
      </c>
      <c r="B7149" s="1" t="n">
        <v>45238</v>
      </c>
      <c r="C7149" s="1" t="n">
        <v>45798</v>
      </c>
      <c r="D7149" t="inlineStr">
        <is>
          <t>NORRBOTTENS LÄN</t>
        </is>
      </c>
      <c r="E7149" t="inlineStr">
        <is>
          <t>GÄLLIVARE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55484-2023</t>
        </is>
      </c>
      <c r="B7150" s="1" t="n">
        <v>45238</v>
      </c>
      <c r="C7150" s="1" t="n">
        <v>45798</v>
      </c>
      <c r="D7150" t="inlineStr">
        <is>
          <t>NORRBOTTENS LÄN</t>
        </is>
      </c>
      <c r="E7150" t="inlineStr">
        <is>
          <t>PAJALA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55503-2023</t>
        </is>
      </c>
      <c r="B7151" s="1" t="n">
        <v>45238</v>
      </c>
      <c r="C7151" s="1" t="n">
        <v>45798</v>
      </c>
      <c r="D7151" t="inlineStr">
        <is>
          <t>NORRBOTTENS LÄN</t>
        </is>
      </c>
      <c r="E7151" t="inlineStr">
        <is>
          <t>PAJALA</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55567-2023</t>
        </is>
      </c>
      <c r="B7152" s="1" t="n">
        <v>45238</v>
      </c>
      <c r="C7152" s="1" t="n">
        <v>45798</v>
      </c>
      <c r="D7152" t="inlineStr">
        <is>
          <t>NORRBOTTENS LÄN</t>
        </is>
      </c>
      <c r="E7152" t="inlineStr">
        <is>
          <t>KALIX</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55629-2023</t>
        </is>
      </c>
      <c r="B7153" s="1" t="n">
        <v>45238</v>
      </c>
      <c r="C7153" s="1" t="n">
        <v>45798</v>
      </c>
      <c r="D7153" t="inlineStr">
        <is>
          <t>NORRBOTTENS LÄN</t>
        </is>
      </c>
      <c r="E7153" t="inlineStr">
        <is>
          <t>BODEN</t>
        </is>
      </c>
      <c r="G7153" t="n">
        <v>12.1</v>
      </c>
      <c r="H7153" t="n">
        <v>0</v>
      </c>
      <c r="I7153" t="n">
        <v>0</v>
      </c>
      <c r="J7153" t="n">
        <v>0</v>
      </c>
      <c r="K7153" t="n">
        <v>0</v>
      </c>
      <c r="L7153" t="n">
        <v>0</v>
      </c>
      <c r="M7153" t="n">
        <v>0</v>
      </c>
      <c r="N7153" t="n">
        <v>0</v>
      </c>
      <c r="O7153" t="n">
        <v>0</v>
      </c>
      <c r="P7153" t="n">
        <v>0</v>
      </c>
      <c r="Q7153" t="n">
        <v>0</v>
      </c>
      <c r="R7153" s="2" t="inlineStr"/>
    </row>
    <row r="7154" ht="15" customHeight="1">
      <c r="A7154" t="inlineStr">
        <is>
          <t>A 55630-2023</t>
        </is>
      </c>
      <c r="B7154" s="1" t="n">
        <v>45238</v>
      </c>
      <c r="C7154" s="1" t="n">
        <v>45798</v>
      </c>
      <c r="D7154" t="inlineStr">
        <is>
          <t>NORRBOTTENS LÄN</t>
        </is>
      </c>
      <c r="E7154" t="inlineStr">
        <is>
          <t>BODEN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55642-2023</t>
        </is>
      </c>
      <c r="B7155" s="1" t="n">
        <v>45238</v>
      </c>
      <c r="C7155" s="1" t="n">
        <v>45798</v>
      </c>
      <c r="D7155" t="inlineStr">
        <is>
          <t>NORRBOTTENS LÄN</t>
        </is>
      </c>
      <c r="E7155" t="inlineStr">
        <is>
          <t>ÖVERKALIX</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55588-2023</t>
        </is>
      </c>
      <c r="B7156" s="1" t="n">
        <v>45238</v>
      </c>
      <c r="C7156" s="1" t="n">
        <v>45798</v>
      </c>
      <c r="D7156" t="inlineStr">
        <is>
          <t>NORRBOTTENS LÄN</t>
        </is>
      </c>
      <c r="E7156" t="inlineStr">
        <is>
          <t>GÄLLIVARE</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55628-2023</t>
        </is>
      </c>
      <c r="B7157" s="1" t="n">
        <v>45238</v>
      </c>
      <c r="C7157" s="1" t="n">
        <v>45798</v>
      </c>
      <c r="D7157" t="inlineStr">
        <is>
          <t>NORRBOTTENS LÄN</t>
        </is>
      </c>
      <c r="E7157" t="inlineStr">
        <is>
          <t>BODEN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55644-2023</t>
        </is>
      </c>
      <c r="B7158" s="1" t="n">
        <v>45238</v>
      </c>
      <c r="C7158" s="1" t="n">
        <v>45798</v>
      </c>
      <c r="D7158" t="inlineStr">
        <is>
          <t>NORRBOTTENS LÄN</t>
        </is>
      </c>
      <c r="E7158" t="inlineStr">
        <is>
          <t>GÄLLIVARE</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55466-2023</t>
        </is>
      </c>
      <c r="B7159" s="1" t="n">
        <v>45238</v>
      </c>
      <c r="C7159" s="1" t="n">
        <v>45798</v>
      </c>
      <c r="D7159" t="inlineStr">
        <is>
          <t>NORRBOTTENS LÄN</t>
        </is>
      </c>
      <c r="E7159" t="inlineStr">
        <is>
          <t>GÄLLIVARE</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55481-2023</t>
        </is>
      </c>
      <c r="B7160" s="1" t="n">
        <v>45238</v>
      </c>
      <c r="C7160" s="1" t="n">
        <v>45798</v>
      </c>
      <c r="D7160" t="inlineStr">
        <is>
          <t>NORRBOTTENS LÄN</t>
        </is>
      </c>
      <c r="E7160" t="inlineStr">
        <is>
          <t>PAJALA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55631-2023</t>
        </is>
      </c>
      <c r="B7161" s="1" t="n">
        <v>45238</v>
      </c>
      <c r="C7161" s="1" t="n">
        <v>45798</v>
      </c>
      <c r="D7161" t="inlineStr">
        <is>
          <t>NORRBOTTENS LÄN</t>
        </is>
      </c>
      <c r="E7161" t="inlineStr">
        <is>
          <t>PITEÅ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55796-2023</t>
        </is>
      </c>
      <c r="B7162" s="1" t="n">
        <v>45239</v>
      </c>
      <c r="C7162" s="1" t="n">
        <v>45798</v>
      </c>
      <c r="D7162" t="inlineStr">
        <is>
          <t>NORRBOTTENS LÄN</t>
        </is>
      </c>
      <c r="E7162" t="inlineStr">
        <is>
          <t>PITEÅ</t>
        </is>
      </c>
      <c r="G7162" t="n">
        <v>38.2</v>
      </c>
      <c r="H7162" t="n">
        <v>0</v>
      </c>
      <c r="I7162" t="n">
        <v>0</v>
      </c>
      <c r="J7162" t="n">
        <v>0</v>
      </c>
      <c r="K7162" t="n">
        <v>0</v>
      </c>
      <c r="L7162" t="n">
        <v>0</v>
      </c>
      <c r="M7162" t="n">
        <v>0</v>
      </c>
      <c r="N7162" t="n">
        <v>0</v>
      </c>
      <c r="O7162" t="n">
        <v>0</v>
      </c>
      <c r="P7162" t="n">
        <v>0</v>
      </c>
      <c r="Q7162" t="n">
        <v>0</v>
      </c>
      <c r="R7162" s="2" t="inlineStr"/>
    </row>
    <row r="7163" ht="15" customHeight="1">
      <c r="A7163" t="inlineStr">
        <is>
          <t>A 55928-2023</t>
        </is>
      </c>
      <c r="B7163" s="1" t="n">
        <v>45239</v>
      </c>
      <c r="C7163" s="1" t="n">
        <v>45798</v>
      </c>
      <c r="D7163" t="inlineStr">
        <is>
          <t>NORRBOTTENS LÄN</t>
        </is>
      </c>
      <c r="E7163" t="inlineStr">
        <is>
          <t>PITEÅ</t>
        </is>
      </c>
      <c r="F7163" t="inlineStr">
        <is>
          <t>SCA</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55812-2023</t>
        </is>
      </c>
      <c r="B7164" s="1" t="n">
        <v>45239</v>
      </c>
      <c r="C7164" s="1" t="n">
        <v>45798</v>
      </c>
      <c r="D7164" t="inlineStr">
        <is>
          <t>NORRBOTTENS LÄN</t>
        </is>
      </c>
      <c r="E7164" t="inlineStr">
        <is>
          <t>PITEÅ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57274-2023</t>
        </is>
      </c>
      <c r="B7165" s="1" t="n">
        <v>45239</v>
      </c>
      <c r="C7165" s="1" t="n">
        <v>45798</v>
      </c>
      <c r="D7165" t="inlineStr">
        <is>
          <t>NORRBOTTENS LÄN</t>
        </is>
      </c>
      <c r="E7165" t="inlineStr">
        <is>
          <t>LULEÅ</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57174-2023</t>
        </is>
      </c>
      <c r="B7166" s="1" t="n">
        <v>45239</v>
      </c>
      <c r="C7166" s="1" t="n">
        <v>45798</v>
      </c>
      <c r="D7166" t="inlineStr">
        <is>
          <t>NORRBOTTENS LÄN</t>
        </is>
      </c>
      <c r="E7166" t="inlineStr">
        <is>
          <t>KALIX</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55826-2023</t>
        </is>
      </c>
      <c r="B7167" s="1" t="n">
        <v>45239</v>
      </c>
      <c r="C7167" s="1" t="n">
        <v>45798</v>
      </c>
      <c r="D7167" t="inlineStr">
        <is>
          <t>NORRBOTTENS LÄN</t>
        </is>
      </c>
      <c r="E7167" t="inlineStr">
        <is>
          <t>PITEÅ</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57240-2023</t>
        </is>
      </c>
      <c r="B7168" s="1" t="n">
        <v>45239</v>
      </c>
      <c r="C7168" s="1" t="n">
        <v>45798</v>
      </c>
      <c r="D7168" t="inlineStr">
        <is>
          <t>NORRBOTTENS LÄN</t>
        </is>
      </c>
      <c r="E7168" t="inlineStr">
        <is>
          <t>ÄLVSBYN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57255-2023</t>
        </is>
      </c>
      <c r="B7169" s="1" t="n">
        <v>45239</v>
      </c>
      <c r="C7169" s="1" t="n">
        <v>45798</v>
      </c>
      <c r="D7169" t="inlineStr">
        <is>
          <t>NORRBOTTENS LÄN</t>
        </is>
      </c>
      <c r="E7169" t="inlineStr">
        <is>
          <t>ÄLVSBYN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57288-2023</t>
        </is>
      </c>
      <c r="B7170" s="1" t="n">
        <v>45239</v>
      </c>
      <c r="C7170" s="1" t="n">
        <v>45798</v>
      </c>
      <c r="D7170" t="inlineStr">
        <is>
          <t>NORRBOTTENS LÄN</t>
        </is>
      </c>
      <c r="E7170" t="inlineStr">
        <is>
          <t>ÄLVSBYN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56242-2023</t>
        </is>
      </c>
      <c r="B7171" s="1" t="n">
        <v>45240</v>
      </c>
      <c r="C7171" s="1" t="n">
        <v>45798</v>
      </c>
      <c r="D7171" t="inlineStr">
        <is>
          <t>NORRBOTTENS LÄN</t>
        </is>
      </c>
      <c r="E7171" t="inlineStr">
        <is>
          <t>PITEÅ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56149-2023</t>
        </is>
      </c>
      <c r="B7172" s="1" t="n">
        <v>45240</v>
      </c>
      <c r="C7172" s="1" t="n">
        <v>45798</v>
      </c>
      <c r="D7172" t="inlineStr">
        <is>
          <t>NORRBOTTENS LÄN</t>
        </is>
      </c>
      <c r="E7172" t="inlineStr">
        <is>
          <t>PITEÅ</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56140-2023</t>
        </is>
      </c>
      <c r="B7173" s="1" t="n">
        <v>45240</v>
      </c>
      <c r="C7173" s="1" t="n">
        <v>45798</v>
      </c>
      <c r="D7173" t="inlineStr">
        <is>
          <t>NORRBOTTENS LÄN</t>
        </is>
      </c>
      <c r="E7173" t="inlineStr">
        <is>
          <t>LULEÅ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56136-2023</t>
        </is>
      </c>
      <c r="B7174" s="1" t="n">
        <v>45240</v>
      </c>
      <c r="C7174" s="1" t="n">
        <v>45798</v>
      </c>
      <c r="D7174" t="inlineStr">
        <is>
          <t>NORRBOTTENS LÄN</t>
        </is>
      </c>
      <c r="E7174" t="inlineStr">
        <is>
          <t>LULEÅ</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56035-2023</t>
        </is>
      </c>
      <c r="B7175" s="1" t="n">
        <v>45240</v>
      </c>
      <c r="C7175" s="1" t="n">
        <v>45798</v>
      </c>
      <c r="D7175" t="inlineStr">
        <is>
          <t>NORRBOTTENS LÄN</t>
        </is>
      </c>
      <c r="E7175" t="inlineStr">
        <is>
          <t>BODEN</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56173-2023</t>
        </is>
      </c>
      <c r="B7176" s="1" t="n">
        <v>45240</v>
      </c>
      <c r="C7176" s="1" t="n">
        <v>45798</v>
      </c>
      <c r="D7176" t="inlineStr">
        <is>
          <t>NORRBOTTENS LÄN</t>
        </is>
      </c>
      <c r="E7176" t="inlineStr">
        <is>
          <t>LULEÅ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56155-2023</t>
        </is>
      </c>
      <c r="B7177" s="1" t="n">
        <v>45240</v>
      </c>
      <c r="C7177" s="1" t="n">
        <v>45798</v>
      </c>
      <c r="D7177" t="inlineStr">
        <is>
          <t>NORRBOTTENS LÄN</t>
        </is>
      </c>
      <c r="E7177" t="inlineStr">
        <is>
          <t>LULEÅ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56130-2023</t>
        </is>
      </c>
      <c r="B7178" s="1" t="n">
        <v>45240</v>
      </c>
      <c r="C7178" s="1" t="n">
        <v>45798</v>
      </c>
      <c r="D7178" t="inlineStr">
        <is>
          <t>NORRBOTTENS LÄN</t>
        </is>
      </c>
      <c r="E7178" t="inlineStr">
        <is>
          <t>KALIX</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56045-2023</t>
        </is>
      </c>
      <c r="B7179" s="1" t="n">
        <v>45240</v>
      </c>
      <c r="C7179" s="1" t="n">
        <v>45798</v>
      </c>
      <c r="D7179" t="inlineStr">
        <is>
          <t>NORRBOTTENS LÄN</t>
        </is>
      </c>
      <c r="E7179" t="inlineStr">
        <is>
          <t>BODEN</t>
        </is>
      </c>
      <c r="G7179" t="n">
        <v>10.9</v>
      </c>
      <c r="H7179" t="n">
        <v>0</v>
      </c>
      <c r="I7179" t="n">
        <v>0</v>
      </c>
      <c r="J7179" t="n">
        <v>0</v>
      </c>
      <c r="K7179" t="n">
        <v>0</v>
      </c>
      <c r="L7179" t="n">
        <v>0</v>
      </c>
      <c r="M7179" t="n">
        <v>0</v>
      </c>
      <c r="N7179" t="n">
        <v>0</v>
      </c>
      <c r="O7179" t="n">
        <v>0</v>
      </c>
      <c r="P7179" t="n">
        <v>0</v>
      </c>
      <c r="Q7179" t="n">
        <v>0</v>
      </c>
      <c r="R7179" s="2" t="inlineStr"/>
    </row>
    <row r="7180" ht="15" customHeight="1">
      <c r="A7180" t="inlineStr">
        <is>
          <t>A 56259-2023</t>
        </is>
      </c>
      <c r="B7180" s="1" t="n">
        <v>45240</v>
      </c>
      <c r="C7180" s="1" t="n">
        <v>45798</v>
      </c>
      <c r="D7180" t="inlineStr">
        <is>
          <t>NORRBOTTENS LÄN</t>
        </is>
      </c>
      <c r="E7180" t="inlineStr">
        <is>
          <t>GÄLLIVARE</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56131-2023</t>
        </is>
      </c>
      <c r="B7181" s="1" t="n">
        <v>45240</v>
      </c>
      <c r="C7181" s="1" t="n">
        <v>45798</v>
      </c>
      <c r="D7181" t="inlineStr">
        <is>
          <t>NORRBOTTENS LÄN</t>
        </is>
      </c>
      <c r="E7181" t="inlineStr">
        <is>
          <t>KALIX</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56306-2023</t>
        </is>
      </c>
      <c r="B7182" s="1" t="n">
        <v>45242</v>
      </c>
      <c r="C7182" s="1" t="n">
        <v>45798</v>
      </c>
      <c r="D7182" t="inlineStr">
        <is>
          <t>NORRBOTTENS LÄN</t>
        </is>
      </c>
      <c r="E7182" t="inlineStr">
        <is>
          <t>KALIX</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56477-2023</t>
        </is>
      </c>
      <c r="B7183" s="1" t="n">
        <v>45243</v>
      </c>
      <c r="C7183" s="1" t="n">
        <v>45798</v>
      </c>
      <c r="D7183" t="inlineStr">
        <is>
          <t>NORRBOTTENS LÄN</t>
        </is>
      </c>
      <c r="E7183" t="inlineStr">
        <is>
          <t>PAJALA</t>
        </is>
      </c>
      <c r="G7183" t="n">
        <v>11.6</v>
      </c>
      <c r="H7183" t="n">
        <v>0</v>
      </c>
      <c r="I7183" t="n">
        <v>0</v>
      </c>
      <c r="J7183" t="n">
        <v>0</v>
      </c>
      <c r="K7183" t="n">
        <v>0</v>
      </c>
      <c r="L7183" t="n">
        <v>0</v>
      </c>
      <c r="M7183" t="n">
        <v>0</v>
      </c>
      <c r="N7183" t="n">
        <v>0</v>
      </c>
      <c r="O7183" t="n">
        <v>0</v>
      </c>
      <c r="P7183" t="n">
        <v>0</v>
      </c>
      <c r="Q7183" t="n">
        <v>0</v>
      </c>
      <c r="R7183" s="2" t="inlineStr"/>
    </row>
    <row r="7184" ht="15" customHeight="1">
      <c r="A7184" t="inlineStr">
        <is>
          <t>A 56599-2023</t>
        </is>
      </c>
      <c r="B7184" s="1" t="n">
        <v>45243</v>
      </c>
      <c r="C7184" s="1" t="n">
        <v>45798</v>
      </c>
      <c r="D7184" t="inlineStr">
        <is>
          <t>NORRBOTTENS LÄN</t>
        </is>
      </c>
      <c r="E7184" t="inlineStr">
        <is>
          <t>KALIX</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56474-2023</t>
        </is>
      </c>
      <c r="B7185" s="1" t="n">
        <v>45243</v>
      </c>
      <c r="C7185" s="1" t="n">
        <v>45798</v>
      </c>
      <c r="D7185" t="inlineStr">
        <is>
          <t>NORRBOTTENS LÄN</t>
        </is>
      </c>
      <c r="E7185" t="inlineStr">
        <is>
          <t>BODEN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56540-2023</t>
        </is>
      </c>
      <c r="B7186" s="1" t="n">
        <v>45243</v>
      </c>
      <c r="C7186" s="1" t="n">
        <v>45798</v>
      </c>
      <c r="D7186" t="inlineStr">
        <is>
          <t>NORRBOTTENS LÄN</t>
        </is>
      </c>
      <c r="E7186" t="inlineStr">
        <is>
          <t>JOKKMOKK</t>
        </is>
      </c>
      <c r="G7186" t="n">
        <v>19.4</v>
      </c>
      <c r="H7186" t="n">
        <v>0</v>
      </c>
      <c r="I7186" t="n">
        <v>0</v>
      </c>
      <c r="J7186" t="n">
        <v>0</v>
      </c>
      <c r="K7186" t="n">
        <v>0</v>
      </c>
      <c r="L7186" t="n">
        <v>0</v>
      </c>
      <c r="M7186" t="n">
        <v>0</v>
      </c>
      <c r="N7186" t="n">
        <v>0</v>
      </c>
      <c r="O7186" t="n">
        <v>0</v>
      </c>
      <c r="P7186" t="n">
        <v>0</v>
      </c>
      <c r="Q7186" t="n">
        <v>0</v>
      </c>
      <c r="R7186" s="2" t="inlineStr"/>
    </row>
    <row r="7187" ht="15" customHeight="1">
      <c r="A7187" t="inlineStr">
        <is>
          <t>A 56674-2023</t>
        </is>
      </c>
      <c r="B7187" s="1" t="n">
        <v>45243</v>
      </c>
      <c r="C7187" s="1" t="n">
        <v>45798</v>
      </c>
      <c r="D7187" t="inlineStr">
        <is>
          <t>NORRBOTTENS LÄN</t>
        </is>
      </c>
      <c r="E7187" t="inlineStr">
        <is>
          <t>LULEÅ</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56379-2023</t>
        </is>
      </c>
      <c r="B7188" s="1" t="n">
        <v>45243</v>
      </c>
      <c r="C7188" s="1" t="n">
        <v>45798</v>
      </c>
      <c r="D7188" t="inlineStr">
        <is>
          <t>NORRBOTTENS LÄN</t>
        </is>
      </c>
      <c r="E7188" t="inlineStr">
        <is>
          <t>LULEÅ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56610-2023</t>
        </is>
      </c>
      <c r="B7189" s="1" t="n">
        <v>45243</v>
      </c>
      <c r="C7189" s="1" t="n">
        <v>45798</v>
      </c>
      <c r="D7189" t="inlineStr">
        <is>
          <t>NORRBOTTENS LÄN</t>
        </is>
      </c>
      <c r="E7189" t="inlineStr">
        <is>
          <t>KALIX</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56505-2023</t>
        </is>
      </c>
      <c r="B7190" s="1" t="n">
        <v>45243</v>
      </c>
      <c r="C7190" s="1" t="n">
        <v>45798</v>
      </c>
      <c r="D7190" t="inlineStr">
        <is>
          <t>NORRBOTTENS LÄN</t>
        </is>
      </c>
      <c r="E7190" t="inlineStr">
        <is>
          <t>PITEÅ</t>
        </is>
      </c>
      <c r="F7190" t="inlineStr">
        <is>
          <t>Sveaskog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56532-2023</t>
        </is>
      </c>
      <c r="B7191" s="1" t="n">
        <v>45243</v>
      </c>
      <c r="C7191" s="1" t="n">
        <v>45798</v>
      </c>
      <c r="D7191" t="inlineStr">
        <is>
          <t>NORRBOTTENS LÄN</t>
        </is>
      </c>
      <c r="E7191" t="inlineStr">
        <is>
          <t>PITEÅ</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57513-2023</t>
        </is>
      </c>
      <c r="B7192" s="1" t="n">
        <v>45243</v>
      </c>
      <c r="C7192" s="1" t="n">
        <v>45798</v>
      </c>
      <c r="D7192" t="inlineStr">
        <is>
          <t>NORRBOTTENS LÄN</t>
        </is>
      </c>
      <c r="E7192" t="inlineStr">
        <is>
          <t>KALIX</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56849-2023</t>
        </is>
      </c>
      <c r="B7193" s="1" t="n">
        <v>45244</v>
      </c>
      <c r="C7193" s="1" t="n">
        <v>45798</v>
      </c>
      <c r="D7193" t="inlineStr">
        <is>
          <t>NORRBOTTENS LÄN</t>
        </is>
      </c>
      <c r="E7193" t="inlineStr">
        <is>
          <t>ÄLVSBYN</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56896-2023</t>
        </is>
      </c>
      <c r="B7194" s="1" t="n">
        <v>45244</v>
      </c>
      <c r="C7194" s="1" t="n">
        <v>45798</v>
      </c>
      <c r="D7194" t="inlineStr">
        <is>
          <t>NORRBOTTENS LÄN</t>
        </is>
      </c>
      <c r="E7194" t="inlineStr">
        <is>
          <t>PITEÅ</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57051-2023</t>
        </is>
      </c>
      <c r="B7195" s="1" t="n">
        <v>45244</v>
      </c>
      <c r="C7195" s="1" t="n">
        <v>45798</v>
      </c>
      <c r="D7195" t="inlineStr">
        <is>
          <t>NORRBOTTENS LÄN</t>
        </is>
      </c>
      <c r="E7195" t="inlineStr">
        <is>
          <t>PITEÅ</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56837-2023</t>
        </is>
      </c>
      <c r="B7196" s="1" t="n">
        <v>45244</v>
      </c>
      <c r="C7196" s="1" t="n">
        <v>45798</v>
      </c>
      <c r="D7196" t="inlineStr">
        <is>
          <t>NORRBOTTENS LÄN</t>
        </is>
      </c>
      <c r="E7196" t="inlineStr">
        <is>
          <t>BODEN</t>
        </is>
      </c>
      <c r="F7196" t="inlineStr">
        <is>
          <t>Övriga statliga verk och myndigheter</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56845-2023</t>
        </is>
      </c>
      <c r="B7197" s="1" t="n">
        <v>45244</v>
      </c>
      <c r="C7197" s="1" t="n">
        <v>45798</v>
      </c>
      <c r="D7197" t="inlineStr">
        <is>
          <t>NORRBOTTENS LÄN</t>
        </is>
      </c>
      <c r="E7197" t="inlineStr">
        <is>
          <t>ÖVERTORNEÅ</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57052-2023</t>
        </is>
      </c>
      <c r="B7198" s="1" t="n">
        <v>45244</v>
      </c>
      <c r="C7198" s="1" t="n">
        <v>45798</v>
      </c>
      <c r="D7198" t="inlineStr">
        <is>
          <t>NORRBOTTENS LÄN</t>
        </is>
      </c>
      <c r="E7198" t="inlineStr">
        <is>
          <t>PITEÅ</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58010-2023</t>
        </is>
      </c>
      <c r="B7199" s="1" t="n">
        <v>45244</v>
      </c>
      <c r="C7199" s="1" t="n">
        <v>45798</v>
      </c>
      <c r="D7199" t="inlineStr">
        <is>
          <t>NORRBOTTENS LÄN</t>
        </is>
      </c>
      <c r="E7199" t="inlineStr">
        <is>
          <t>ARVIDSJAUR</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57827-2023</t>
        </is>
      </c>
      <c r="B7200" s="1" t="n">
        <v>45244</v>
      </c>
      <c r="C7200" s="1" t="n">
        <v>45798</v>
      </c>
      <c r="D7200" t="inlineStr">
        <is>
          <t>NORRBOTTENS LÄN</t>
        </is>
      </c>
      <c r="E7200" t="inlineStr">
        <is>
          <t>ÄLVSBYN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57897-2023</t>
        </is>
      </c>
      <c r="B7201" s="1" t="n">
        <v>45244</v>
      </c>
      <c r="C7201" s="1" t="n">
        <v>45798</v>
      </c>
      <c r="D7201" t="inlineStr">
        <is>
          <t>NORRBOTTENS LÄN</t>
        </is>
      </c>
      <c r="E7201" t="inlineStr">
        <is>
          <t>PITEÅ</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57932-2023</t>
        </is>
      </c>
      <c r="B7202" s="1" t="n">
        <v>45244</v>
      </c>
      <c r="C7202" s="1" t="n">
        <v>45798</v>
      </c>
      <c r="D7202" t="inlineStr">
        <is>
          <t>NORRBOTTENS LÄN</t>
        </is>
      </c>
      <c r="E7202" t="inlineStr">
        <is>
          <t>LULEÅ</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57909-2023</t>
        </is>
      </c>
      <c r="B7203" s="1" t="n">
        <v>45244</v>
      </c>
      <c r="C7203" s="1" t="n">
        <v>45798</v>
      </c>
      <c r="D7203" t="inlineStr">
        <is>
          <t>NORRBOTTENS LÄN</t>
        </is>
      </c>
      <c r="E7203" t="inlineStr">
        <is>
          <t>GÄLLIVARE</t>
        </is>
      </c>
      <c r="F7203" t="inlineStr">
        <is>
          <t>Allmännings- och besparingsskogar</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57988-2023</t>
        </is>
      </c>
      <c r="B7204" s="1" t="n">
        <v>45244</v>
      </c>
      <c r="C7204" s="1" t="n">
        <v>45798</v>
      </c>
      <c r="D7204" t="inlineStr">
        <is>
          <t>NORRBOTTENS LÄN</t>
        </is>
      </c>
      <c r="E7204" t="inlineStr">
        <is>
          <t>ARVIDSJAUR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57892-2023</t>
        </is>
      </c>
      <c r="B7205" s="1" t="n">
        <v>45244</v>
      </c>
      <c r="C7205" s="1" t="n">
        <v>45798</v>
      </c>
      <c r="D7205" t="inlineStr">
        <is>
          <t>NORRBOTTENS LÄN</t>
        </is>
      </c>
      <c r="E7205" t="inlineStr">
        <is>
          <t>PITEÅ</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58006-2023</t>
        </is>
      </c>
      <c r="B7206" s="1" t="n">
        <v>45244</v>
      </c>
      <c r="C7206" s="1" t="n">
        <v>45798</v>
      </c>
      <c r="D7206" t="inlineStr">
        <is>
          <t>NORRBOTTENS LÄN</t>
        </is>
      </c>
      <c r="E7206" t="inlineStr">
        <is>
          <t>ARVIDSJAUR</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57966-2023</t>
        </is>
      </c>
      <c r="B7207" s="1" t="n">
        <v>45244</v>
      </c>
      <c r="C7207" s="1" t="n">
        <v>45798</v>
      </c>
      <c r="D7207" t="inlineStr">
        <is>
          <t>NORRBOTTENS LÄN</t>
        </is>
      </c>
      <c r="E7207" t="inlineStr">
        <is>
          <t>ÖVERKALIX</t>
        </is>
      </c>
      <c r="G7207" t="n">
        <v>21.7</v>
      </c>
      <c r="H7207" t="n">
        <v>0</v>
      </c>
      <c r="I7207" t="n">
        <v>0</v>
      </c>
      <c r="J7207" t="n">
        <v>0</v>
      </c>
      <c r="K7207" t="n">
        <v>0</v>
      </c>
      <c r="L7207" t="n">
        <v>0</v>
      </c>
      <c r="M7207" t="n">
        <v>0</v>
      </c>
      <c r="N7207" t="n">
        <v>0</v>
      </c>
      <c r="O7207" t="n">
        <v>0</v>
      </c>
      <c r="P7207" t="n">
        <v>0</v>
      </c>
      <c r="Q7207" t="n">
        <v>0</v>
      </c>
      <c r="R7207" s="2" t="inlineStr"/>
    </row>
    <row r="7208" ht="15" customHeight="1">
      <c r="A7208" t="inlineStr">
        <is>
          <t>A 57050-2023</t>
        </is>
      </c>
      <c r="B7208" s="1" t="n">
        <v>45244</v>
      </c>
      <c r="C7208" s="1" t="n">
        <v>45798</v>
      </c>
      <c r="D7208" t="inlineStr">
        <is>
          <t>NORRBOTTENS LÄN</t>
        </is>
      </c>
      <c r="E7208" t="inlineStr">
        <is>
          <t>PITEÅ</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57054-2023</t>
        </is>
      </c>
      <c r="B7209" s="1" t="n">
        <v>45244</v>
      </c>
      <c r="C7209" s="1" t="n">
        <v>45798</v>
      </c>
      <c r="D7209" t="inlineStr">
        <is>
          <t>NORRBOTTENS LÄN</t>
        </is>
      </c>
      <c r="E7209" t="inlineStr">
        <is>
          <t>PITEÅ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58004-2023</t>
        </is>
      </c>
      <c r="B7210" s="1" t="n">
        <v>45244</v>
      </c>
      <c r="C7210" s="1" t="n">
        <v>45798</v>
      </c>
      <c r="D7210" t="inlineStr">
        <is>
          <t>NORRBOTTENS LÄN</t>
        </is>
      </c>
      <c r="E7210" t="inlineStr">
        <is>
          <t>ARVIDSJAUR</t>
        </is>
      </c>
      <c r="G7210" t="n">
        <v>11.3</v>
      </c>
      <c r="H7210" t="n">
        <v>0</v>
      </c>
      <c r="I7210" t="n">
        <v>0</v>
      </c>
      <c r="J7210" t="n">
        <v>0</v>
      </c>
      <c r="K7210" t="n">
        <v>0</v>
      </c>
      <c r="L7210" t="n">
        <v>0</v>
      </c>
      <c r="M7210" t="n">
        <v>0</v>
      </c>
      <c r="N7210" t="n">
        <v>0</v>
      </c>
      <c r="O7210" t="n">
        <v>0</v>
      </c>
      <c r="P7210" t="n">
        <v>0</v>
      </c>
      <c r="Q7210" t="n">
        <v>0</v>
      </c>
      <c r="R7210" s="2" t="inlineStr"/>
    </row>
    <row r="7211" ht="15" customHeight="1">
      <c r="A7211" t="inlineStr">
        <is>
          <t>A 58025-2023</t>
        </is>
      </c>
      <c r="B7211" s="1" t="n">
        <v>45244</v>
      </c>
      <c r="C7211" s="1" t="n">
        <v>45798</v>
      </c>
      <c r="D7211" t="inlineStr">
        <is>
          <t>NORRBOTTENS LÄN</t>
        </is>
      </c>
      <c r="E7211" t="inlineStr">
        <is>
          <t>ARVIDSJAUR</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57903-2023</t>
        </is>
      </c>
      <c r="B7212" s="1" t="n">
        <v>45244</v>
      </c>
      <c r="C7212" s="1" t="n">
        <v>45798</v>
      </c>
      <c r="D7212" t="inlineStr">
        <is>
          <t>NORRBOTTENS LÄN</t>
        </is>
      </c>
      <c r="E7212" t="inlineStr">
        <is>
          <t>ARVIDSJAUR</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57937-2023</t>
        </is>
      </c>
      <c r="B7213" s="1" t="n">
        <v>45244</v>
      </c>
      <c r="C7213" s="1" t="n">
        <v>45798</v>
      </c>
      <c r="D7213" t="inlineStr">
        <is>
          <t>NORRBOTTENS LÄN</t>
        </is>
      </c>
      <c r="E7213" t="inlineStr">
        <is>
          <t>HAPARANDA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57053-2023</t>
        </is>
      </c>
      <c r="B7214" s="1" t="n">
        <v>45244</v>
      </c>
      <c r="C7214" s="1" t="n">
        <v>45798</v>
      </c>
      <c r="D7214" t="inlineStr">
        <is>
          <t>NORRBOTTENS LÄN</t>
        </is>
      </c>
      <c r="E7214" t="inlineStr">
        <is>
          <t>PITEÅ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57834-2023</t>
        </is>
      </c>
      <c r="B7215" s="1" t="n">
        <v>45244</v>
      </c>
      <c r="C7215" s="1" t="n">
        <v>45798</v>
      </c>
      <c r="D7215" t="inlineStr">
        <is>
          <t>NORRBOTTENS LÄN</t>
        </is>
      </c>
      <c r="E7215" t="inlineStr">
        <is>
          <t>ÄLVSBYN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57900-2023</t>
        </is>
      </c>
      <c r="B7216" s="1" t="n">
        <v>45244</v>
      </c>
      <c r="C7216" s="1" t="n">
        <v>45798</v>
      </c>
      <c r="D7216" t="inlineStr">
        <is>
          <t>NORRBOTTENS LÄN</t>
        </is>
      </c>
      <c r="E7216" t="inlineStr">
        <is>
          <t>PITEÅ</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57934-2023</t>
        </is>
      </c>
      <c r="B7217" s="1" t="n">
        <v>45244</v>
      </c>
      <c r="C7217" s="1" t="n">
        <v>45798</v>
      </c>
      <c r="D7217" t="inlineStr">
        <is>
          <t>NORRBOTTENS LÄN</t>
        </is>
      </c>
      <c r="E7217" t="inlineStr">
        <is>
          <t>KALIX</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57100-2023</t>
        </is>
      </c>
      <c r="B7218" s="1" t="n">
        <v>45245</v>
      </c>
      <c r="C7218" s="1" t="n">
        <v>45798</v>
      </c>
      <c r="D7218" t="inlineStr">
        <is>
          <t>NORRBOTTENS LÄN</t>
        </is>
      </c>
      <c r="E7218" t="inlineStr">
        <is>
          <t>ÄLVSBYN</t>
        </is>
      </c>
      <c r="F7218" t="inlineStr">
        <is>
          <t>Övriga Aktiebolag</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57200-2023</t>
        </is>
      </c>
      <c r="B7219" s="1" t="n">
        <v>45245</v>
      </c>
      <c r="C7219" s="1" t="n">
        <v>45798</v>
      </c>
      <c r="D7219" t="inlineStr">
        <is>
          <t>NORRBOTTENS LÄN</t>
        </is>
      </c>
      <c r="E7219" t="inlineStr">
        <is>
          <t>PITEÅ</t>
        </is>
      </c>
      <c r="G7219" t="n">
        <v>11.4</v>
      </c>
      <c r="H7219" t="n">
        <v>0</v>
      </c>
      <c r="I7219" t="n">
        <v>0</v>
      </c>
      <c r="J7219" t="n">
        <v>0</v>
      </c>
      <c r="K7219" t="n">
        <v>0</v>
      </c>
      <c r="L7219" t="n">
        <v>0</v>
      </c>
      <c r="M7219" t="n">
        <v>0</v>
      </c>
      <c r="N7219" t="n">
        <v>0</v>
      </c>
      <c r="O7219" t="n">
        <v>0</v>
      </c>
      <c r="P7219" t="n">
        <v>0</v>
      </c>
      <c r="Q7219" t="n">
        <v>0</v>
      </c>
      <c r="R7219" s="2" t="inlineStr"/>
    </row>
    <row r="7220" ht="15" customHeight="1">
      <c r="A7220" t="inlineStr">
        <is>
          <t>A 58253-2023</t>
        </is>
      </c>
      <c r="B7220" s="1" t="n">
        <v>45245</v>
      </c>
      <c r="C7220" s="1" t="n">
        <v>45798</v>
      </c>
      <c r="D7220" t="inlineStr">
        <is>
          <t>NORRBOTTENS LÄN</t>
        </is>
      </c>
      <c r="E7220" t="inlineStr">
        <is>
          <t>ARVIDSJAUR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57195-2023</t>
        </is>
      </c>
      <c r="B7221" s="1" t="n">
        <v>45245</v>
      </c>
      <c r="C7221" s="1" t="n">
        <v>45798</v>
      </c>
      <c r="D7221" t="inlineStr">
        <is>
          <t>NORRBOTTENS LÄN</t>
        </is>
      </c>
      <c r="E7221" t="inlineStr">
        <is>
          <t>PITEÅ</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57225-2023</t>
        </is>
      </c>
      <c r="B7222" s="1" t="n">
        <v>45245</v>
      </c>
      <c r="C7222" s="1" t="n">
        <v>45798</v>
      </c>
      <c r="D7222" t="inlineStr">
        <is>
          <t>NORRBOTTENS LÄN</t>
        </is>
      </c>
      <c r="E7222" t="inlineStr">
        <is>
          <t>BODEN</t>
        </is>
      </c>
      <c r="F7222" t="inlineStr">
        <is>
          <t>Sveaskog</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57207-2023</t>
        </is>
      </c>
      <c r="B7223" s="1" t="n">
        <v>45245</v>
      </c>
      <c r="C7223" s="1" t="n">
        <v>45798</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57226-2023</t>
        </is>
      </c>
      <c r="B7224" s="1" t="n">
        <v>45245</v>
      </c>
      <c r="C7224" s="1" t="n">
        <v>45798</v>
      </c>
      <c r="D7224" t="inlineStr">
        <is>
          <t>NORRBOTTENS LÄN</t>
        </is>
      </c>
      <c r="E7224" t="inlineStr">
        <is>
          <t>BODEN</t>
        </is>
      </c>
      <c r="F7224" t="inlineStr">
        <is>
          <t>Sveaskog</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58331-2023</t>
        </is>
      </c>
      <c r="B7225" s="1" t="n">
        <v>45245</v>
      </c>
      <c r="C7225" s="1" t="n">
        <v>45798</v>
      </c>
      <c r="D7225" t="inlineStr">
        <is>
          <t>NORRBOTTENS LÄN</t>
        </is>
      </c>
      <c r="E7225" t="inlineStr">
        <is>
          <t>BODEN</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57631-2023</t>
        </is>
      </c>
      <c r="B7226" s="1" t="n">
        <v>45246</v>
      </c>
      <c r="C7226" s="1" t="n">
        <v>45798</v>
      </c>
      <c r="D7226" t="inlineStr">
        <is>
          <t>NORRBOTTENS LÄN</t>
        </is>
      </c>
      <c r="E7226" t="inlineStr">
        <is>
          <t>KALIX</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57579-2023</t>
        </is>
      </c>
      <c r="B7227" s="1" t="n">
        <v>45246</v>
      </c>
      <c r="C7227" s="1" t="n">
        <v>45798</v>
      </c>
      <c r="D7227" t="inlineStr">
        <is>
          <t>NORRBOTTENS LÄN</t>
        </is>
      </c>
      <c r="E7227" t="inlineStr">
        <is>
          <t>BODEN</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57611-2023</t>
        </is>
      </c>
      <c r="B7228" s="1" t="n">
        <v>45246</v>
      </c>
      <c r="C7228" s="1" t="n">
        <v>45798</v>
      </c>
      <c r="D7228" t="inlineStr">
        <is>
          <t>NORRBOTTENS LÄN</t>
        </is>
      </c>
      <c r="E7228" t="inlineStr">
        <is>
          <t>PITEÅ</t>
        </is>
      </c>
      <c r="G7228" t="n">
        <v>11.5</v>
      </c>
      <c r="H7228" t="n">
        <v>0</v>
      </c>
      <c r="I7228" t="n">
        <v>0</v>
      </c>
      <c r="J7228" t="n">
        <v>0</v>
      </c>
      <c r="K7228" t="n">
        <v>0</v>
      </c>
      <c r="L7228" t="n">
        <v>0</v>
      </c>
      <c r="M7228" t="n">
        <v>0</v>
      </c>
      <c r="N7228" t="n">
        <v>0</v>
      </c>
      <c r="O7228" t="n">
        <v>0</v>
      </c>
      <c r="P7228" t="n">
        <v>0</v>
      </c>
      <c r="Q7228" t="n">
        <v>0</v>
      </c>
      <c r="R7228" s="2" t="inlineStr"/>
    </row>
    <row r="7229" ht="15" customHeight="1">
      <c r="A7229" t="inlineStr">
        <is>
          <t>A 57490-2023</t>
        </is>
      </c>
      <c r="B7229" s="1" t="n">
        <v>45246</v>
      </c>
      <c r="C7229" s="1" t="n">
        <v>45798</v>
      </c>
      <c r="D7229" t="inlineStr">
        <is>
          <t>NORRBOTTENS LÄN</t>
        </is>
      </c>
      <c r="E7229" t="inlineStr">
        <is>
          <t>PITEÅ</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57620-2023</t>
        </is>
      </c>
      <c r="B7230" s="1" t="n">
        <v>45246</v>
      </c>
      <c r="C7230" s="1" t="n">
        <v>45798</v>
      </c>
      <c r="D7230" t="inlineStr">
        <is>
          <t>NORRBOTTENS LÄN</t>
        </is>
      </c>
      <c r="E7230" t="inlineStr">
        <is>
          <t>HAPARANDA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57764-2023</t>
        </is>
      </c>
      <c r="B7231" s="1" t="n">
        <v>45246</v>
      </c>
      <c r="C7231" s="1" t="n">
        <v>45798</v>
      </c>
      <c r="D7231" t="inlineStr">
        <is>
          <t>NORRBOTTENS LÄN</t>
        </is>
      </c>
      <c r="E7231" t="inlineStr">
        <is>
          <t>KALIX</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57628-2023</t>
        </is>
      </c>
      <c r="B7232" s="1" t="n">
        <v>45246</v>
      </c>
      <c r="C7232" s="1" t="n">
        <v>45798</v>
      </c>
      <c r="D7232" t="inlineStr">
        <is>
          <t>NORRBOTTENS LÄN</t>
        </is>
      </c>
      <c r="E7232" t="inlineStr">
        <is>
          <t>HAPARANDA</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57563-2023</t>
        </is>
      </c>
      <c r="B7233" s="1" t="n">
        <v>45246</v>
      </c>
      <c r="C7233" s="1" t="n">
        <v>45798</v>
      </c>
      <c r="D7233" t="inlineStr">
        <is>
          <t>NORRBOTTENS LÄN</t>
        </is>
      </c>
      <c r="E7233" t="inlineStr">
        <is>
          <t>BODEN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57602-2023</t>
        </is>
      </c>
      <c r="B7234" s="1" t="n">
        <v>45246</v>
      </c>
      <c r="C7234" s="1" t="n">
        <v>45798</v>
      </c>
      <c r="D7234" t="inlineStr">
        <is>
          <t>NORRBOTTENS LÄN</t>
        </is>
      </c>
      <c r="E7234" t="inlineStr">
        <is>
          <t>PAJALA</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57608-2023</t>
        </is>
      </c>
      <c r="B7235" s="1" t="n">
        <v>45246</v>
      </c>
      <c r="C7235" s="1" t="n">
        <v>45798</v>
      </c>
      <c r="D7235" t="inlineStr">
        <is>
          <t>NORRBOTTENS LÄN</t>
        </is>
      </c>
      <c r="E7235" t="inlineStr">
        <is>
          <t>PAJALA</t>
        </is>
      </c>
      <c r="F7235" t="inlineStr">
        <is>
          <t>Sveaskog</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58476-2023</t>
        </is>
      </c>
      <c r="B7236" s="1" t="n">
        <v>45246</v>
      </c>
      <c r="C7236" s="1" t="n">
        <v>45798</v>
      </c>
      <c r="D7236" t="inlineStr">
        <is>
          <t>NORRBOTTENS LÄN</t>
        </is>
      </c>
      <c r="E7236" t="inlineStr">
        <is>
          <t>ÄLVSBYN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58578-2023</t>
        </is>
      </c>
      <c r="B7237" s="1" t="n">
        <v>45246</v>
      </c>
      <c r="C7237" s="1" t="n">
        <v>45798</v>
      </c>
      <c r="D7237" t="inlineStr">
        <is>
          <t>NORRBOTTENS LÄN</t>
        </is>
      </c>
      <c r="E7237" t="inlineStr">
        <is>
          <t>KALIX</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57902-2023</t>
        </is>
      </c>
      <c r="B7238" s="1" t="n">
        <v>45247</v>
      </c>
      <c r="C7238" s="1" t="n">
        <v>45798</v>
      </c>
      <c r="D7238" t="inlineStr">
        <is>
          <t>NORRBOTTENS LÄN</t>
        </is>
      </c>
      <c r="E7238" t="inlineStr">
        <is>
          <t>LULEÅ</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57939-2023</t>
        </is>
      </c>
      <c r="B7239" s="1" t="n">
        <v>45247</v>
      </c>
      <c r="C7239" s="1" t="n">
        <v>45798</v>
      </c>
      <c r="D7239" t="inlineStr">
        <is>
          <t>NORRBOTTENS LÄN</t>
        </is>
      </c>
      <c r="E7239" t="inlineStr">
        <is>
          <t>KALIX</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57945-2023</t>
        </is>
      </c>
      <c r="B7240" s="1" t="n">
        <v>45247</v>
      </c>
      <c r="C7240" s="1" t="n">
        <v>45798</v>
      </c>
      <c r="D7240" t="inlineStr">
        <is>
          <t>NORRBOTTENS LÄN</t>
        </is>
      </c>
      <c r="E7240" t="inlineStr">
        <is>
          <t>PAJALA</t>
        </is>
      </c>
      <c r="G7240" t="n">
        <v>17.3</v>
      </c>
      <c r="H7240" t="n">
        <v>0</v>
      </c>
      <c r="I7240" t="n">
        <v>0</v>
      </c>
      <c r="J7240" t="n">
        <v>0</v>
      </c>
      <c r="K7240" t="n">
        <v>0</v>
      </c>
      <c r="L7240" t="n">
        <v>0</v>
      </c>
      <c r="M7240" t="n">
        <v>0</v>
      </c>
      <c r="N7240" t="n">
        <v>0</v>
      </c>
      <c r="O7240" t="n">
        <v>0</v>
      </c>
      <c r="P7240" t="n">
        <v>0</v>
      </c>
      <c r="Q7240" t="n">
        <v>0</v>
      </c>
      <c r="R7240" s="2" t="inlineStr"/>
    </row>
    <row r="7241" ht="15" customHeight="1">
      <c r="A7241" t="inlineStr">
        <is>
          <t>A 57968-2023</t>
        </is>
      </c>
      <c r="B7241" s="1" t="n">
        <v>45247</v>
      </c>
      <c r="C7241" s="1" t="n">
        <v>45798</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57908-2023</t>
        </is>
      </c>
      <c r="B7242" s="1" t="n">
        <v>45247</v>
      </c>
      <c r="C7242" s="1" t="n">
        <v>45798</v>
      </c>
      <c r="D7242" t="inlineStr">
        <is>
          <t>NORRBOTTENS LÄN</t>
        </is>
      </c>
      <c r="E7242" t="inlineStr">
        <is>
          <t>LULEÅ</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57913-2023</t>
        </is>
      </c>
      <c r="B7243" s="1" t="n">
        <v>45247</v>
      </c>
      <c r="C7243" s="1" t="n">
        <v>45798</v>
      </c>
      <c r="D7243" t="inlineStr">
        <is>
          <t>NORRBOTTENS LÄN</t>
        </is>
      </c>
      <c r="E7243" t="inlineStr">
        <is>
          <t>LULEÅ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57970-2023</t>
        </is>
      </c>
      <c r="B7244" s="1" t="n">
        <v>45247</v>
      </c>
      <c r="C7244" s="1" t="n">
        <v>45798</v>
      </c>
      <c r="D7244" t="inlineStr">
        <is>
          <t>NORRBOTTENS LÄN</t>
        </is>
      </c>
      <c r="E7244" t="inlineStr">
        <is>
          <t>KALIX</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58066-2023</t>
        </is>
      </c>
      <c r="B7245" s="1" t="n">
        <v>45247</v>
      </c>
      <c r="C7245" s="1" t="n">
        <v>45798</v>
      </c>
      <c r="D7245" t="inlineStr">
        <is>
          <t>NORRBOTTENS LÄN</t>
        </is>
      </c>
      <c r="E7245" t="inlineStr">
        <is>
          <t>LULEÅ</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58056-2023</t>
        </is>
      </c>
      <c r="B7246" s="1" t="n">
        <v>45247</v>
      </c>
      <c r="C7246" s="1" t="n">
        <v>45798</v>
      </c>
      <c r="D7246" t="inlineStr">
        <is>
          <t>NORRBOTTENS LÄN</t>
        </is>
      </c>
      <c r="E7246" t="inlineStr">
        <is>
          <t>PAJALA</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58065-2023</t>
        </is>
      </c>
      <c r="B7247" s="1" t="n">
        <v>45247</v>
      </c>
      <c r="C7247" s="1" t="n">
        <v>45798</v>
      </c>
      <c r="D7247" t="inlineStr">
        <is>
          <t>NORRBOTTENS LÄN</t>
        </is>
      </c>
      <c r="E7247" t="inlineStr">
        <is>
          <t>LULEÅ</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58044-2023</t>
        </is>
      </c>
      <c r="B7248" s="1" t="n">
        <v>45247</v>
      </c>
      <c r="C7248" s="1" t="n">
        <v>45798</v>
      </c>
      <c r="D7248" t="inlineStr">
        <is>
          <t>NORRBOTTENS LÄN</t>
        </is>
      </c>
      <c r="E7248" t="inlineStr">
        <is>
          <t>BODEN</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58063-2023</t>
        </is>
      </c>
      <c r="B7249" s="1" t="n">
        <v>45247</v>
      </c>
      <c r="C7249" s="1" t="n">
        <v>45798</v>
      </c>
      <c r="D7249" t="inlineStr">
        <is>
          <t>NORRBOTTENS LÄN</t>
        </is>
      </c>
      <c r="E7249" t="inlineStr">
        <is>
          <t>ARVIDSJAUR</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58067-2023</t>
        </is>
      </c>
      <c r="B7250" s="1" t="n">
        <v>45247</v>
      </c>
      <c r="C7250" s="1" t="n">
        <v>45798</v>
      </c>
      <c r="D7250" t="inlineStr">
        <is>
          <t>NORRBOTTENS LÄN</t>
        </is>
      </c>
      <c r="E7250" t="inlineStr">
        <is>
          <t>LULEÅ</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58064-2023</t>
        </is>
      </c>
      <c r="B7251" s="1" t="n">
        <v>45247</v>
      </c>
      <c r="C7251" s="1" t="n">
        <v>45798</v>
      </c>
      <c r="D7251" t="inlineStr">
        <is>
          <t>NORRBOTTENS LÄN</t>
        </is>
      </c>
      <c r="E7251" t="inlineStr">
        <is>
          <t>PITEÅ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57911-2023</t>
        </is>
      </c>
      <c r="B7252" s="1" t="n">
        <v>45247</v>
      </c>
      <c r="C7252" s="1" t="n">
        <v>45798</v>
      </c>
      <c r="D7252" t="inlineStr">
        <is>
          <t>NORRBOTTENS LÄN</t>
        </is>
      </c>
      <c r="E7252" t="inlineStr">
        <is>
          <t>LULEÅ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57906-2023</t>
        </is>
      </c>
      <c r="B7253" s="1" t="n">
        <v>45247</v>
      </c>
      <c r="C7253" s="1" t="n">
        <v>45798</v>
      </c>
      <c r="D7253" t="inlineStr">
        <is>
          <t>NORRBOTTENS LÄN</t>
        </is>
      </c>
      <c r="E7253" t="inlineStr">
        <is>
          <t>PAJALA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58099-2023</t>
        </is>
      </c>
      <c r="B7254" s="1" t="n">
        <v>45248</v>
      </c>
      <c r="C7254" s="1" t="n">
        <v>45798</v>
      </c>
      <c r="D7254" t="inlineStr">
        <is>
          <t>NORRBOTTENS LÄN</t>
        </is>
      </c>
      <c r="E7254" t="inlineStr">
        <is>
          <t>BODEN</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58273-2023</t>
        </is>
      </c>
      <c r="B7255" s="1" t="n">
        <v>45250</v>
      </c>
      <c r="C7255" s="1" t="n">
        <v>45798</v>
      </c>
      <c r="D7255" t="inlineStr">
        <is>
          <t>NORRBOTTENS LÄN</t>
        </is>
      </c>
      <c r="E7255" t="inlineStr">
        <is>
          <t>ÖVERKALIX</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58450-2023</t>
        </is>
      </c>
      <c r="B7256" s="1" t="n">
        <v>45250</v>
      </c>
      <c r="C7256" s="1" t="n">
        <v>45798</v>
      </c>
      <c r="D7256" t="inlineStr">
        <is>
          <t>NORRBOTTENS LÄN</t>
        </is>
      </c>
      <c r="E7256" t="inlineStr">
        <is>
          <t>ÄLVSBYN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58370-2023</t>
        </is>
      </c>
      <c r="B7257" s="1" t="n">
        <v>45250</v>
      </c>
      <c r="C7257" s="1" t="n">
        <v>45798</v>
      </c>
      <c r="D7257" t="inlineStr">
        <is>
          <t>NORRBOTTENS LÄN</t>
        </is>
      </c>
      <c r="E7257" t="inlineStr">
        <is>
          <t>ARJEPLOG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58281-2023</t>
        </is>
      </c>
      <c r="B7258" s="1" t="n">
        <v>45250</v>
      </c>
      <c r="C7258" s="1" t="n">
        <v>45798</v>
      </c>
      <c r="D7258" t="inlineStr">
        <is>
          <t>NORRBOTTENS LÄN</t>
        </is>
      </c>
      <c r="E7258" t="inlineStr">
        <is>
          <t>PAJALA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58289-2023</t>
        </is>
      </c>
      <c r="B7259" s="1" t="n">
        <v>45250</v>
      </c>
      <c r="C7259" s="1" t="n">
        <v>45798</v>
      </c>
      <c r="D7259" t="inlineStr">
        <is>
          <t>NORRBOTTENS LÄN</t>
        </is>
      </c>
      <c r="E7259" t="inlineStr">
        <is>
          <t>PAJALA</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58448-2023</t>
        </is>
      </c>
      <c r="B7260" s="1" t="n">
        <v>45250</v>
      </c>
      <c r="C7260" s="1" t="n">
        <v>45798</v>
      </c>
      <c r="D7260" t="inlineStr">
        <is>
          <t>NORRBOTTENS LÄN</t>
        </is>
      </c>
      <c r="E7260" t="inlineStr">
        <is>
          <t>ÄLVSBYN</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58447-2023</t>
        </is>
      </c>
      <c r="B7261" s="1" t="n">
        <v>45250</v>
      </c>
      <c r="C7261" s="1" t="n">
        <v>45798</v>
      </c>
      <c r="D7261" t="inlineStr">
        <is>
          <t>NORRBOTTENS LÄN</t>
        </is>
      </c>
      <c r="E7261" t="inlineStr">
        <is>
          <t>ÄLVSBYN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58528-2023</t>
        </is>
      </c>
      <c r="B7262" s="1" t="n">
        <v>45251</v>
      </c>
      <c r="C7262" s="1" t="n">
        <v>45798</v>
      </c>
      <c r="D7262" t="inlineStr">
        <is>
          <t>NORRBOTTENS LÄN</t>
        </is>
      </c>
      <c r="E7262" t="inlineStr">
        <is>
          <t>KALIX</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58505-2023</t>
        </is>
      </c>
      <c r="B7263" s="1" t="n">
        <v>45251</v>
      </c>
      <c r="C7263" s="1" t="n">
        <v>45798</v>
      </c>
      <c r="D7263" t="inlineStr">
        <is>
          <t>NORRBOTTENS LÄN</t>
        </is>
      </c>
      <c r="E7263" t="inlineStr">
        <is>
          <t>ÄLVSBYN</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58511-2023</t>
        </is>
      </c>
      <c r="B7264" s="1" t="n">
        <v>45251</v>
      </c>
      <c r="C7264" s="1" t="n">
        <v>45798</v>
      </c>
      <c r="D7264" t="inlineStr">
        <is>
          <t>NORRBOTTENS LÄN</t>
        </is>
      </c>
      <c r="E7264" t="inlineStr">
        <is>
          <t>KALIX</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58515-2023</t>
        </is>
      </c>
      <c r="B7265" s="1" t="n">
        <v>45251</v>
      </c>
      <c r="C7265" s="1" t="n">
        <v>45798</v>
      </c>
      <c r="D7265" t="inlineStr">
        <is>
          <t>NORRBOTTENS LÄN</t>
        </is>
      </c>
      <c r="E7265" t="inlineStr">
        <is>
          <t>ÄLVSBYN</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58537-2023</t>
        </is>
      </c>
      <c r="B7266" s="1" t="n">
        <v>45251</v>
      </c>
      <c r="C7266" s="1" t="n">
        <v>45798</v>
      </c>
      <c r="D7266" t="inlineStr">
        <is>
          <t>NORRBOTTENS LÄN</t>
        </is>
      </c>
      <c r="E7266" t="inlineStr">
        <is>
          <t>PITEÅ</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58699-2023</t>
        </is>
      </c>
      <c r="B7267" s="1" t="n">
        <v>45251</v>
      </c>
      <c r="C7267" s="1" t="n">
        <v>45798</v>
      </c>
      <c r="D7267" t="inlineStr">
        <is>
          <t>NORRBOTTENS LÄN</t>
        </is>
      </c>
      <c r="E7267" t="inlineStr">
        <is>
          <t>PAJALA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59124-2023</t>
        </is>
      </c>
      <c r="B7268" s="1" t="n">
        <v>45251</v>
      </c>
      <c r="C7268" s="1" t="n">
        <v>45798</v>
      </c>
      <c r="D7268" t="inlineStr">
        <is>
          <t>NORRBOTTENS LÄN</t>
        </is>
      </c>
      <c r="E7268" t="inlineStr">
        <is>
          <t>ARJEPLOG</t>
        </is>
      </c>
      <c r="G7268" t="n">
        <v>22.3</v>
      </c>
      <c r="H7268" t="n">
        <v>0</v>
      </c>
      <c r="I7268" t="n">
        <v>0</v>
      </c>
      <c r="J7268" t="n">
        <v>0</v>
      </c>
      <c r="K7268" t="n">
        <v>0</v>
      </c>
      <c r="L7268" t="n">
        <v>0</v>
      </c>
      <c r="M7268" t="n">
        <v>0</v>
      </c>
      <c r="N7268" t="n">
        <v>0</v>
      </c>
      <c r="O7268" t="n">
        <v>0</v>
      </c>
      <c r="P7268" t="n">
        <v>0</v>
      </c>
      <c r="Q7268" t="n">
        <v>0</v>
      </c>
      <c r="R7268" s="2" t="inlineStr"/>
    </row>
    <row r="7269" ht="15" customHeight="1">
      <c r="A7269" t="inlineStr">
        <is>
          <t>A 58744-2023</t>
        </is>
      </c>
      <c r="B7269" s="1" t="n">
        <v>45251</v>
      </c>
      <c r="C7269" s="1" t="n">
        <v>45798</v>
      </c>
      <c r="D7269" t="inlineStr">
        <is>
          <t>NORRBOTTENS LÄN</t>
        </is>
      </c>
      <c r="E7269" t="inlineStr">
        <is>
          <t>PAJALA</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58760-2023</t>
        </is>
      </c>
      <c r="B7270" s="1" t="n">
        <v>45251</v>
      </c>
      <c r="C7270" s="1" t="n">
        <v>45798</v>
      </c>
      <c r="D7270" t="inlineStr">
        <is>
          <t>NORRBOTTENS LÄN</t>
        </is>
      </c>
      <c r="E7270" t="inlineStr">
        <is>
          <t>LULEÅ</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58764-2023</t>
        </is>
      </c>
      <c r="B7271" s="1" t="n">
        <v>45251</v>
      </c>
      <c r="C7271" s="1" t="n">
        <v>45798</v>
      </c>
      <c r="D7271" t="inlineStr">
        <is>
          <t>NORRBOTTENS LÄN</t>
        </is>
      </c>
      <c r="E7271" t="inlineStr">
        <is>
          <t>ÖVERKALIX</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58695-2023</t>
        </is>
      </c>
      <c r="B7272" s="1" t="n">
        <v>45251</v>
      </c>
      <c r="C7272" s="1" t="n">
        <v>45798</v>
      </c>
      <c r="D7272" t="inlineStr">
        <is>
          <t>NORRBOTTENS LÄN</t>
        </is>
      </c>
      <c r="E7272" t="inlineStr">
        <is>
          <t>PAJALA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58765-2023</t>
        </is>
      </c>
      <c r="B7273" s="1" t="n">
        <v>45251</v>
      </c>
      <c r="C7273" s="1" t="n">
        <v>45798</v>
      </c>
      <c r="D7273" t="inlineStr">
        <is>
          <t>NORRBOTTENS LÄN</t>
        </is>
      </c>
      <c r="E7273" t="inlineStr">
        <is>
          <t>KALIX</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58759-2023</t>
        </is>
      </c>
      <c r="B7274" s="1" t="n">
        <v>45251</v>
      </c>
      <c r="C7274" s="1" t="n">
        <v>45798</v>
      </c>
      <c r="D7274" t="inlineStr">
        <is>
          <t>NORRBOTTENS LÄN</t>
        </is>
      </c>
      <c r="E7274" t="inlineStr">
        <is>
          <t>LULEÅ</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58763-2023</t>
        </is>
      </c>
      <c r="B7275" s="1" t="n">
        <v>45251</v>
      </c>
      <c r="C7275" s="1" t="n">
        <v>45798</v>
      </c>
      <c r="D7275" t="inlineStr">
        <is>
          <t>NORRBOTTENS LÄN</t>
        </is>
      </c>
      <c r="E7275" t="inlineStr">
        <is>
          <t>ÖVERKALIX</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58771-2023</t>
        </is>
      </c>
      <c r="B7276" s="1" t="n">
        <v>45252</v>
      </c>
      <c r="C7276" s="1" t="n">
        <v>45798</v>
      </c>
      <c r="D7276" t="inlineStr">
        <is>
          <t>NORRBOTTENS LÄN</t>
        </is>
      </c>
      <c r="E7276" t="inlineStr">
        <is>
          <t>LULEÅ</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58843-2023</t>
        </is>
      </c>
      <c r="B7277" s="1" t="n">
        <v>45252</v>
      </c>
      <c r="C7277" s="1" t="n">
        <v>45798</v>
      </c>
      <c r="D7277" t="inlineStr">
        <is>
          <t>NORRBOTTENS LÄN</t>
        </is>
      </c>
      <c r="E7277" t="inlineStr">
        <is>
          <t>BODEN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58847-2023</t>
        </is>
      </c>
      <c r="B7278" s="1" t="n">
        <v>45252</v>
      </c>
      <c r="C7278" s="1" t="n">
        <v>45798</v>
      </c>
      <c r="D7278" t="inlineStr">
        <is>
          <t>NORRBOTTENS LÄN</t>
        </is>
      </c>
      <c r="E7278" t="inlineStr">
        <is>
          <t>PITEÅ</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58844-2023</t>
        </is>
      </c>
      <c r="B7279" s="1" t="n">
        <v>45252</v>
      </c>
      <c r="C7279" s="1" t="n">
        <v>45798</v>
      </c>
      <c r="D7279" t="inlineStr">
        <is>
          <t>NORRBOTTENS LÄN</t>
        </is>
      </c>
      <c r="E7279" t="inlineStr">
        <is>
          <t>BODEN</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58848-2023</t>
        </is>
      </c>
      <c r="B7280" s="1" t="n">
        <v>45252</v>
      </c>
      <c r="C7280" s="1" t="n">
        <v>45798</v>
      </c>
      <c r="D7280" t="inlineStr">
        <is>
          <t>NORRBOTTENS LÄN</t>
        </is>
      </c>
      <c r="E7280" t="inlineStr">
        <is>
          <t>BODEN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58849-2023</t>
        </is>
      </c>
      <c r="B7281" s="1" t="n">
        <v>45252</v>
      </c>
      <c r="C7281" s="1" t="n">
        <v>45798</v>
      </c>
      <c r="D7281" t="inlineStr">
        <is>
          <t>NORRBOTTENS LÄN</t>
        </is>
      </c>
      <c r="E7281" t="inlineStr">
        <is>
          <t>PITEÅ</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58919-2023</t>
        </is>
      </c>
      <c r="B7282" s="1" t="n">
        <v>45252</v>
      </c>
      <c r="C7282" s="1" t="n">
        <v>45798</v>
      </c>
      <c r="D7282" t="inlineStr">
        <is>
          <t>NORRBOTTENS LÄN</t>
        </is>
      </c>
      <c r="E7282" t="inlineStr">
        <is>
          <t>ÄLVSBYN</t>
        </is>
      </c>
      <c r="G7282" t="n">
        <v>25.1</v>
      </c>
      <c r="H7282" t="n">
        <v>0</v>
      </c>
      <c r="I7282" t="n">
        <v>0</v>
      </c>
      <c r="J7282" t="n">
        <v>0</v>
      </c>
      <c r="K7282" t="n">
        <v>0</v>
      </c>
      <c r="L7282" t="n">
        <v>0</v>
      </c>
      <c r="M7282" t="n">
        <v>0</v>
      </c>
      <c r="N7282" t="n">
        <v>0</v>
      </c>
      <c r="O7282" t="n">
        <v>0</v>
      </c>
      <c r="P7282" t="n">
        <v>0</v>
      </c>
      <c r="Q7282" t="n">
        <v>0</v>
      </c>
      <c r="R7282" s="2" t="inlineStr"/>
    </row>
    <row r="7283" ht="15" customHeight="1">
      <c r="A7283" t="inlineStr">
        <is>
          <t>A 59081-2023</t>
        </is>
      </c>
      <c r="B7283" s="1" t="n">
        <v>45252</v>
      </c>
      <c r="C7283" s="1" t="n">
        <v>45798</v>
      </c>
      <c r="D7283" t="inlineStr">
        <is>
          <t>NORRBOTTENS LÄN</t>
        </is>
      </c>
      <c r="E7283" t="inlineStr">
        <is>
          <t>HAPARANDA</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59247-2023</t>
        </is>
      </c>
      <c r="B7284" s="1" t="n">
        <v>45252</v>
      </c>
      <c r="C7284" s="1" t="n">
        <v>45798</v>
      </c>
      <c r="D7284" t="inlineStr">
        <is>
          <t>NORRBOTTENS LÄN</t>
        </is>
      </c>
      <c r="E7284" t="inlineStr">
        <is>
          <t>BODEN</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59134-2023</t>
        </is>
      </c>
      <c r="B7285" s="1" t="n">
        <v>45253</v>
      </c>
      <c r="C7285" s="1" t="n">
        <v>45798</v>
      </c>
      <c r="D7285" t="inlineStr">
        <is>
          <t>NORRBOTTENS LÄN</t>
        </is>
      </c>
      <c r="E7285" t="inlineStr">
        <is>
          <t>PITEÅ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59233-2023</t>
        </is>
      </c>
      <c r="B7286" s="1" t="n">
        <v>45253</v>
      </c>
      <c r="C7286" s="1" t="n">
        <v>45798</v>
      </c>
      <c r="D7286" t="inlineStr">
        <is>
          <t>NORRBOTTENS LÄN</t>
        </is>
      </c>
      <c r="E7286" t="inlineStr">
        <is>
          <t>KALIX</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59371-2023</t>
        </is>
      </c>
      <c r="B7287" s="1" t="n">
        <v>45253</v>
      </c>
      <c r="C7287" s="1" t="n">
        <v>45798</v>
      </c>
      <c r="D7287" t="inlineStr">
        <is>
          <t>NORRBOTTENS LÄN</t>
        </is>
      </c>
      <c r="E7287" t="inlineStr">
        <is>
          <t>LULEÅ</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59374-2023</t>
        </is>
      </c>
      <c r="B7288" s="1" t="n">
        <v>45253</v>
      </c>
      <c r="C7288" s="1" t="n">
        <v>45798</v>
      </c>
      <c r="D7288" t="inlineStr">
        <is>
          <t>NORRBOTTENS LÄN</t>
        </is>
      </c>
      <c r="E7288" t="inlineStr">
        <is>
          <t>LULEÅ</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59365-2023</t>
        </is>
      </c>
      <c r="B7289" s="1" t="n">
        <v>45253</v>
      </c>
      <c r="C7289" s="1" t="n">
        <v>45798</v>
      </c>
      <c r="D7289" t="inlineStr">
        <is>
          <t>NORRBOTTENS LÄN</t>
        </is>
      </c>
      <c r="E7289" t="inlineStr">
        <is>
          <t>BODEN</t>
        </is>
      </c>
      <c r="G7289" t="n">
        <v>12.7</v>
      </c>
      <c r="H7289" t="n">
        <v>0</v>
      </c>
      <c r="I7289" t="n">
        <v>0</v>
      </c>
      <c r="J7289" t="n">
        <v>0</v>
      </c>
      <c r="K7289" t="n">
        <v>0</v>
      </c>
      <c r="L7289" t="n">
        <v>0</v>
      </c>
      <c r="M7289" t="n">
        <v>0</v>
      </c>
      <c r="N7289" t="n">
        <v>0</v>
      </c>
      <c r="O7289" t="n">
        <v>0</v>
      </c>
      <c r="P7289" t="n">
        <v>0</v>
      </c>
      <c r="Q7289" t="n">
        <v>0</v>
      </c>
      <c r="R7289" s="2" t="inlineStr"/>
    </row>
    <row r="7290" ht="15" customHeight="1">
      <c r="A7290" t="inlineStr">
        <is>
          <t>A 59369-2023</t>
        </is>
      </c>
      <c r="B7290" s="1" t="n">
        <v>45253</v>
      </c>
      <c r="C7290" s="1" t="n">
        <v>45798</v>
      </c>
      <c r="D7290" t="inlineStr">
        <is>
          <t>NORRBOTTENS LÄN</t>
        </is>
      </c>
      <c r="E7290" t="inlineStr">
        <is>
          <t>LULEÅ</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59555-2023</t>
        </is>
      </c>
      <c r="B7291" s="1" t="n">
        <v>45253</v>
      </c>
      <c r="C7291" s="1" t="n">
        <v>45798</v>
      </c>
      <c r="D7291" t="inlineStr">
        <is>
          <t>NORRBOTTENS LÄN</t>
        </is>
      </c>
      <c r="E7291" t="inlineStr">
        <is>
          <t>LULEÅ</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59532-2023</t>
        </is>
      </c>
      <c r="B7292" s="1" t="n">
        <v>45254</v>
      </c>
      <c r="C7292" s="1" t="n">
        <v>45798</v>
      </c>
      <c r="D7292" t="inlineStr">
        <is>
          <t>NORRBOTTENS LÄN</t>
        </is>
      </c>
      <c r="E7292" t="inlineStr">
        <is>
          <t>BODEN</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59584-2023</t>
        </is>
      </c>
      <c r="B7293" s="1" t="n">
        <v>45254</v>
      </c>
      <c r="C7293" s="1" t="n">
        <v>45798</v>
      </c>
      <c r="D7293" t="inlineStr">
        <is>
          <t>NORRBOTTENS LÄN</t>
        </is>
      </c>
      <c r="E7293" t="inlineStr">
        <is>
          <t>BODEN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59588-2023</t>
        </is>
      </c>
      <c r="B7294" s="1" t="n">
        <v>45254</v>
      </c>
      <c r="C7294" s="1" t="n">
        <v>45798</v>
      </c>
      <c r="D7294" t="inlineStr">
        <is>
          <t>NORRBOTTENS LÄN</t>
        </is>
      </c>
      <c r="E7294" t="inlineStr">
        <is>
          <t>BODEN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59505-2023</t>
        </is>
      </c>
      <c r="B7295" s="1" t="n">
        <v>45254</v>
      </c>
      <c r="C7295" s="1" t="n">
        <v>45798</v>
      </c>
      <c r="D7295" t="inlineStr">
        <is>
          <t>NORRBOTTENS LÄN</t>
        </is>
      </c>
      <c r="E7295" t="inlineStr">
        <is>
          <t>PITEÅ</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59543-2023</t>
        </is>
      </c>
      <c r="B7296" s="1" t="n">
        <v>45254</v>
      </c>
      <c r="C7296" s="1" t="n">
        <v>45798</v>
      </c>
      <c r="D7296" t="inlineStr">
        <is>
          <t>NORRBOTTENS LÄN</t>
        </is>
      </c>
      <c r="E7296" t="inlineStr">
        <is>
          <t>ÄLVSBYN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59893-2023</t>
        </is>
      </c>
      <c r="B7297" s="1" t="n">
        <v>45254</v>
      </c>
      <c r="C7297" s="1" t="n">
        <v>45798</v>
      </c>
      <c r="D7297" t="inlineStr">
        <is>
          <t>NORRBOTTENS LÄN</t>
        </is>
      </c>
      <c r="E7297" t="inlineStr">
        <is>
          <t>BODEN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59890-2023</t>
        </is>
      </c>
      <c r="B7298" s="1" t="n">
        <v>45254</v>
      </c>
      <c r="C7298" s="1" t="n">
        <v>45798</v>
      </c>
      <c r="D7298" t="inlineStr">
        <is>
          <t>NORRBOTTENS LÄN</t>
        </is>
      </c>
      <c r="E7298" t="inlineStr">
        <is>
          <t>BODEN</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59971-2023</t>
        </is>
      </c>
      <c r="B7299" s="1" t="n">
        <v>45254</v>
      </c>
      <c r="C7299" s="1" t="n">
        <v>45798</v>
      </c>
      <c r="D7299" t="inlineStr">
        <is>
          <t>NORRBOTTENS LÄN</t>
        </is>
      </c>
      <c r="E7299" t="inlineStr">
        <is>
          <t>PAJALA</t>
        </is>
      </c>
      <c r="F7299" t="inlineStr">
        <is>
          <t>Allmännings- och besparingsskogar</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59529-2023</t>
        </is>
      </c>
      <c r="B7300" s="1" t="n">
        <v>45254</v>
      </c>
      <c r="C7300" s="1" t="n">
        <v>45798</v>
      </c>
      <c r="D7300" t="inlineStr">
        <is>
          <t>NORRBOTTENS LÄN</t>
        </is>
      </c>
      <c r="E7300" t="inlineStr">
        <is>
          <t>PITEÅ</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59681-2023</t>
        </is>
      </c>
      <c r="B7301" s="1" t="n">
        <v>45255</v>
      </c>
      <c r="C7301" s="1" t="n">
        <v>45798</v>
      </c>
      <c r="D7301" t="inlineStr">
        <is>
          <t>NORRBOTTENS LÄN</t>
        </is>
      </c>
      <c r="E7301" t="inlineStr">
        <is>
          <t>LULEÅ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59682-2023</t>
        </is>
      </c>
      <c r="B7302" s="1" t="n">
        <v>45255</v>
      </c>
      <c r="C7302" s="1" t="n">
        <v>45798</v>
      </c>
      <c r="D7302" t="inlineStr">
        <is>
          <t>NORRBOTTENS LÄN</t>
        </is>
      </c>
      <c r="E7302" t="inlineStr">
        <is>
          <t>LULEÅ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59680-2023</t>
        </is>
      </c>
      <c r="B7303" s="1" t="n">
        <v>45255</v>
      </c>
      <c r="C7303" s="1" t="n">
        <v>45798</v>
      </c>
      <c r="D7303" t="inlineStr">
        <is>
          <t>NORRBOTTENS LÄN</t>
        </is>
      </c>
      <c r="E7303" t="inlineStr">
        <is>
          <t>KALIX</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59683-2023</t>
        </is>
      </c>
      <c r="B7304" s="1" t="n">
        <v>45255</v>
      </c>
      <c r="C7304" s="1" t="n">
        <v>45798</v>
      </c>
      <c r="D7304" t="inlineStr">
        <is>
          <t>NORRBOTTENS LÄN</t>
        </is>
      </c>
      <c r="E7304" t="inlineStr">
        <is>
          <t>LULEÅ</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59688-2023</t>
        </is>
      </c>
      <c r="B7305" s="1" t="n">
        <v>45256</v>
      </c>
      <c r="C7305" s="1" t="n">
        <v>45798</v>
      </c>
      <c r="D7305" t="inlineStr">
        <is>
          <t>NORRBOTTENS LÄN</t>
        </is>
      </c>
      <c r="E7305" t="inlineStr">
        <is>
          <t>BODEN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59686-2023</t>
        </is>
      </c>
      <c r="B7306" s="1" t="n">
        <v>45256</v>
      </c>
      <c r="C7306" s="1" t="n">
        <v>45798</v>
      </c>
      <c r="D7306" t="inlineStr">
        <is>
          <t>NORRBOTTENS LÄN</t>
        </is>
      </c>
      <c r="E7306" t="inlineStr">
        <is>
          <t>HAPARANDA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59865-2023</t>
        </is>
      </c>
      <c r="B7307" s="1" t="n">
        <v>45257</v>
      </c>
      <c r="C7307" s="1" t="n">
        <v>45798</v>
      </c>
      <c r="D7307" t="inlineStr">
        <is>
          <t>NORRBOTTENS LÄN</t>
        </is>
      </c>
      <c r="E7307" t="inlineStr">
        <is>
          <t>JOKKMOKK</t>
        </is>
      </c>
      <c r="F7307" t="inlineStr">
        <is>
          <t>Allmännings- och besparingsskogar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59880-2023</t>
        </is>
      </c>
      <c r="B7308" s="1" t="n">
        <v>45257</v>
      </c>
      <c r="C7308" s="1" t="n">
        <v>45798</v>
      </c>
      <c r="D7308" t="inlineStr">
        <is>
          <t>NORRBOTTENS LÄN</t>
        </is>
      </c>
      <c r="E7308" t="inlineStr">
        <is>
          <t>BODEN</t>
        </is>
      </c>
      <c r="F7308" t="inlineStr">
        <is>
          <t>Naturvårdsverket</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59877-2023</t>
        </is>
      </c>
      <c r="B7309" s="1" t="n">
        <v>45257</v>
      </c>
      <c r="C7309" s="1" t="n">
        <v>45798</v>
      </c>
      <c r="D7309" t="inlineStr">
        <is>
          <t>NORRBOTTENS LÄN</t>
        </is>
      </c>
      <c r="E7309" t="inlineStr">
        <is>
          <t>BODEN</t>
        </is>
      </c>
      <c r="F7309" t="inlineStr">
        <is>
          <t>Naturvårdsverket</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59820-2023</t>
        </is>
      </c>
      <c r="B7310" s="1" t="n">
        <v>45257</v>
      </c>
      <c r="C7310" s="1" t="n">
        <v>45798</v>
      </c>
      <c r="D7310" t="inlineStr">
        <is>
          <t>NORRBOTTENS LÄN</t>
        </is>
      </c>
      <c r="E7310" t="inlineStr">
        <is>
          <t>PITEÅ</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59849-2023</t>
        </is>
      </c>
      <c r="B7311" s="1" t="n">
        <v>45257</v>
      </c>
      <c r="C7311" s="1" t="n">
        <v>45798</v>
      </c>
      <c r="D7311" t="inlineStr">
        <is>
          <t>NORRBOTTENS LÄN</t>
        </is>
      </c>
      <c r="E7311" t="inlineStr">
        <is>
          <t>JOKKMOKK</t>
        </is>
      </c>
      <c r="F7311" t="inlineStr">
        <is>
          <t>Allmännings- och besparingsskogar</t>
        </is>
      </c>
      <c r="G7311" t="n">
        <v>12.7</v>
      </c>
      <c r="H7311" t="n">
        <v>0</v>
      </c>
      <c r="I7311" t="n">
        <v>0</v>
      </c>
      <c r="J7311" t="n">
        <v>0</v>
      </c>
      <c r="K7311" t="n">
        <v>0</v>
      </c>
      <c r="L7311" t="n">
        <v>0</v>
      </c>
      <c r="M7311" t="n">
        <v>0</v>
      </c>
      <c r="N7311" t="n">
        <v>0</v>
      </c>
      <c r="O7311" t="n">
        <v>0</v>
      </c>
      <c r="P7311" t="n">
        <v>0</v>
      </c>
      <c r="Q7311" t="n">
        <v>0</v>
      </c>
      <c r="R7311" s="2" t="inlineStr"/>
    </row>
    <row r="7312" ht="15" customHeight="1">
      <c r="A7312" t="inlineStr">
        <is>
          <t>A 59983-2023</t>
        </is>
      </c>
      <c r="B7312" s="1" t="n">
        <v>45257</v>
      </c>
      <c r="C7312" s="1" t="n">
        <v>45798</v>
      </c>
      <c r="D7312" t="inlineStr">
        <is>
          <t>NORRBOTTENS LÄN</t>
        </is>
      </c>
      <c r="E7312" t="inlineStr">
        <is>
          <t>BODEN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59987-2023</t>
        </is>
      </c>
      <c r="B7313" s="1" t="n">
        <v>45257</v>
      </c>
      <c r="C7313" s="1" t="n">
        <v>45798</v>
      </c>
      <c r="D7313" t="inlineStr">
        <is>
          <t>NORRBOTTENS LÄN</t>
        </is>
      </c>
      <c r="E7313" t="inlineStr">
        <is>
          <t>BODEN</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59832-2023</t>
        </is>
      </c>
      <c r="B7314" s="1" t="n">
        <v>45257</v>
      </c>
      <c r="C7314" s="1" t="n">
        <v>45798</v>
      </c>
      <c r="D7314" t="inlineStr">
        <is>
          <t>NORRBOTTENS LÄN</t>
        </is>
      </c>
      <c r="E7314" t="inlineStr">
        <is>
          <t>PITEÅ</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59984-2023</t>
        </is>
      </c>
      <c r="B7315" s="1" t="n">
        <v>45257</v>
      </c>
      <c r="C7315" s="1" t="n">
        <v>45798</v>
      </c>
      <c r="D7315" t="inlineStr">
        <is>
          <t>NORRBOTTENS LÄN</t>
        </is>
      </c>
      <c r="E7315" t="inlineStr">
        <is>
          <t>BODEN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59988-2023</t>
        </is>
      </c>
      <c r="B7316" s="1" t="n">
        <v>45257</v>
      </c>
      <c r="C7316" s="1" t="n">
        <v>45798</v>
      </c>
      <c r="D7316" t="inlineStr">
        <is>
          <t>NORRBOTTENS LÄN</t>
        </is>
      </c>
      <c r="E7316" t="inlineStr">
        <is>
          <t>BODEN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60071-2023</t>
        </is>
      </c>
      <c r="B7317" s="1" t="n">
        <v>45258</v>
      </c>
      <c r="C7317" s="1" t="n">
        <v>45798</v>
      </c>
      <c r="D7317" t="inlineStr">
        <is>
          <t>NORRBOTTENS LÄN</t>
        </is>
      </c>
      <c r="E7317" t="inlineStr">
        <is>
          <t>PAJALA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60201-2023</t>
        </is>
      </c>
      <c r="B7318" s="1" t="n">
        <v>45258</v>
      </c>
      <c r="C7318" s="1" t="n">
        <v>45798</v>
      </c>
      <c r="D7318" t="inlineStr">
        <is>
          <t>NORRBOTTENS LÄN</t>
        </is>
      </c>
      <c r="E7318" t="inlineStr">
        <is>
          <t>JOKKMOKK</t>
        </is>
      </c>
      <c r="F7318" t="inlineStr">
        <is>
          <t>Allmännings- och besparingsskogar</t>
        </is>
      </c>
      <c r="G7318" t="n">
        <v>22.8</v>
      </c>
      <c r="H7318" t="n">
        <v>0</v>
      </c>
      <c r="I7318" t="n">
        <v>0</v>
      </c>
      <c r="J7318" t="n">
        <v>0</v>
      </c>
      <c r="K7318" t="n">
        <v>0</v>
      </c>
      <c r="L7318" t="n">
        <v>0</v>
      </c>
      <c r="M7318" t="n">
        <v>0</v>
      </c>
      <c r="N7318" t="n">
        <v>0</v>
      </c>
      <c r="O7318" t="n">
        <v>0</v>
      </c>
      <c r="P7318" t="n">
        <v>0</v>
      </c>
      <c r="Q7318" t="n">
        <v>0</v>
      </c>
      <c r="R7318" s="2" t="inlineStr"/>
    </row>
    <row r="7319" ht="15" customHeight="1">
      <c r="A7319" t="inlineStr">
        <is>
          <t>A 60251-2023</t>
        </is>
      </c>
      <c r="B7319" s="1" t="n">
        <v>45258</v>
      </c>
      <c r="C7319" s="1" t="n">
        <v>45798</v>
      </c>
      <c r="D7319" t="inlineStr">
        <is>
          <t>NORRBOTTENS LÄN</t>
        </is>
      </c>
      <c r="E7319" t="inlineStr">
        <is>
          <t>JOKKMOKK</t>
        </is>
      </c>
      <c r="F7319" t="inlineStr">
        <is>
          <t>Allmännings- och besparingsskogar</t>
        </is>
      </c>
      <c r="G7319" t="n">
        <v>12.9</v>
      </c>
      <c r="H7319" t="n">
        <v>0</v>
      </c>
      <c r="I7319" t="n">
        <v>0</v>
      </c>
      <c r="J7319" t="n">
        <v>0</v>
      </c>
      <c r="K7319" t="n">
        <v>0</v>
      </c>
      <c r="L7319" t="n">
        <v>0</v>
      </c>
      <c r="M7319" t="n">
        <v>0</v>
      </c>
      <c r="N7319" t="n">
        <v>0</v>
      </c>
      <c r="O7319" t="n">
        <v>0</v>
      </c>
      <c r="P7319" t="n">
        <v>0</v>
      </c>
      <c r="Q7319" t="n">
        <v>0</v>
      </c>
      <c r="R7319" s="2" t="inlineStr"/>
    </row>
    <row r="7320" ht="15" customHeight="1">
      <c r="A7320" t="inlineStr">
        <is>
          <t>A 60064-2023</t>
        </is>
      </c>
      <c r="B7320" s="1" t="n">
        <v>45258</v>
      </c>
      <c r="C7320" s="1" t="n">
        <v>45798</v>
      </c>
      <c r="D7320" t="inlineStr">
        <is>
          <t>NORRBOTTENS LÄN</t>
        </is>
      </c>
      <c r="E7320" t="inlineStr">
        <is>
          <t>KIRUNA</t>
        </is>
      </c>
      <c r="G7320" t="n">
        <v>19.8</v>
      </c>
      <c r="H7320" t="n">
        <v>0</v>
      </c>
      <c r="I7320" t="n">
        <v>0</v>
      </c>
      <c r="J7320" t="n">
        <v>0</v>
      </c>
      <c r="K7320" t="n">
        <v>0</v>
      </c>
      <c r="L7320" t="n">
        <v>0</v>
      </c>
      <c r="M7320" t="n">
        <v>0</v>
      </c>
      <c r="N7320" t="n">
        <v>0</v>
      </c>
      <c r="O7320" t="n">
        <v>0</v>
      </c>
      <c r="P7320" t="n">
        <v>0</v>
      </c>
      <c r="Q7320" t="n">
        <v>0</v>
      </c>
      <c r="R7320" s="2" t="inlineStr"/>
    </row>
    <row r="7321" ht="15" customHeight="1">
      <c r="A7321" t="inlineStr">
        <is>
          <t>A 60193-2023</t>
        </is>
      </c>
      <c r="B7321" s="1" t="n">
        <v>45258</v>
      </c>
      <c r="C7321" s="1" t="n">
        <v>45798</v>
      </c>
      <c r="D7321" t="inlineStr">
        <is>
          <t>NORRBOTTENS LÄN</t>
        </is>
      </c>
      <c r="E7321" t="inlineStr">
        <is>
          <t>JOKKMOKK</t>
        </is>
      </c>
      <c r="F7321" t="inlineStr">
        <is>
          <t>Allmännings- och besparingsskogar</t>
        </is>
      </c>
      <c r="G7321" t="n">
        <v>11.1</v>
      </c>
      <c r="H7321" t="n">
        <v>0</v>
      </c>
      <c r="I7321" t="n">
        <v>0</v>
      </c>
      <c r="J7321" t="n">
        <v>0</v>
      </c>
      <c r="K7321" t="n">
        <v>0</v>
      </c>
      <c r="L7321" t="n">
        <v>0</v>
      </c>
      <c r="M7321" t="n">
        <v>0</v>
      </c>
      <c r="N7321" t="n">
        <v>0</v>
      </c>
      <c r="O7321" t="n">
        <v>0</v>
      </c>
      <c r="P7321" t="n">
        <v>0</v>
      </c>
      <c r="Q7321" t="n">
        <v>0</v>
      </c>
      <c r="R7321" s="2" t="inlineStr"/>
    </row>
    <row r="7322" ht="15" customHeight="1">
      <c r="A7322" t="inlineStr">
        <is>
          <t>A 60215-2023</t>
        </is>
      </c>
      <c r="B7322" s="1" t="n">
        <v>45258</v>
      </c>
      <c r="C7322" s="1" t="n">
        <v>45798</v>
      </c>
      <c r="D7322" t="inlineStr">
        <is>
          <t>NORRBOTTENS LÄN</t>
        </is>
      </c>
      <c r="E7322" t="inlineStr">
        <is>
          <t>JOKKMOKK</t>
        </is>
      </c>
      <c r="F7322" t="inlineStr">
        <is>
          <t>Allmännings- och besparingsskogar</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60242-2023</t>
        </is>
      </c>
      <c r="B7323" s="1" t="n">
        <v>45258</v>
      </c>
      <c r="C7323" s="1" t="n">
        <v>45798</v>
      </c>
      <c r="D7323" t="inlineStr">
        <is>
          <t>NORRBOTTENS LÄN</t>
        </is>
      </c>
      <c r="E7323" t="inlineStr">
        <is>
          <t>JOKKMOKK</t>
        </is>
      </c>
      <c r="F7323" t="inlineStr">
        <is>
          <t>Allmännings- och besparingsskogar</t>
        </is>
      </c>
      <c r="G7323" t="n">
        <v>9.4</v>
      </c>
      <c r="H7323" t="n">
        <v>0</v>
      </c>
      <c r="I7323" t="n">
        <v>0</v>
      </c>
      <c r="J7323" t="n">
        <v>0</v>
      </c>
      <c r="K7323" t="n">
        <v>0</v>
      </c>
      <c r="L7323" t="n">
        <v>0</v>
      </c>
      <c r="M7323" t="n">
        <v>0</v>
      </c>
      <c r="N7323" t="n">
        <v>0</v>
      </c>
      <c r="O7323" t="n">
        <v>0</v>
      </c>
      <c r="P7323" t="n">
        <v>0</v>
      </c>
      <c r="Q7323" t="n">
        <v>0</v>
      </c>
      <c r="R7323" s="2" t="inlineStr"/>
    </row>
    <row r="7324" ht="15" customHeight="1">
      <c r="A7324" t="inlineStr">
        <is>
          <t>A 60259-2023</t>
        </is>
      </c>
      <c r="B7324" s="1" t="n">
        <v>45258</v>
      </c>
      <c r="C7324" s="1" t="n">
        <v>45798</v>
      </c>
      <c r="D7324" t="inlineStr">
        <is>
          <t>NORRBOTTENS LÄN</t>
        </is>
      </c>
      <c r="E7324" t="inlineStr">
        <is>
          <t>JOKKMOKK</t>
        </is>
      </c>
      <c r="F7324" t="inlineStr">
        <is>
          <t>Allmännings- och besparingsskogar</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60164-2023</t>
        </is>
      </c>
      <c r="B7325" s="1" t="n">
        <v>45258</v>
      </c>
      <c r="C7325" s="1" t="n">
        <v>45798</v>
      </c>
      <c r="D7325" t="inlineStr">
        <is>
          <t>NORRBOTTENS LÄN</t>
        </is>
      </c>
      <c r="E7325" t="inlineStr">
        <is>
          <t>JOKKMOKK</t>
        </is>
      </c>
      <c r="F7325" t="inlineStr">
        <is>
          <t>Allmännings- och besparingsskogar</t>
        </is>
      </c>
      <c r="G7325" t="n">
        <v>14.3</v>
      </c>
      <c r="H7325" t="n">
        <v>0</v>
      </c>
      <c r="I7325" t="n">
        <v>0</v>
      </c>
      <c r="J7325" t="n">
        <v>0</v>
      </c>
      <c r="K7325" t="n">
        <v>0</v>
      </c>
      <c r="L7325" t="n">
        <v>0</v>
      </c>
      <c r="M7325" t="n">
        <v>0</v>
      </c>
      <c r="N7325" t="n">
        <v>0</v>
      </c>
      <c r="O7325" t="n">
        <v>0</v>
      </c>
      <c r="P7325" t="n">
        <v>0</v>
      </c>
      <c r="Q7325" t="n">
        <v>0</v>
      </c>
      <c r="R7325" s="2" t="inlineStr"/>
    </row>
    <row r="7326" ht="15" customHeight="1">
      <c r="A7326" t="inlineStr">
        <is>
          <t>A 60275-2023</t>
        </is>
      </c>
      <c r="B7326" s="1" t="n">
        <v>45258</v>
      </c>
      <c r="C7326" s="1" t="n">
        <v>45798</v>
      </c>
      <c r="D7326" t="inlineStr">
        <is>
          <t>NORRBOTTENS LÄN</t>
        </is>
      </c>
      <c r="E7326" t="inlineStr">
        <is>
          <t>JOKKMOKK</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60318-2023</t>
        </is>
      </c>
      <c r="B7327" s="1" t="n">
        <v>45258</v>
      </c>
      <c r="C7327" s="1" t="n">
        <v>45798</v>
      </c>
      <c r="D7327" t="inlineStr">
        <is>
          <t>NORRBOTTENS LÄN</t>
        </is>
      </c>
      <c r="E7327" t="inlineStr">
        <is>
          <t>PITEÅ</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60322-2023</t>
        </is>
      </c>
      <c r="B7328" s="1" t="n">
        <v>45258</v>
      </c>
      <c r="C7328" s="1" t="n">
        <v>45798</v>
      </c>
      <c r="D7328" t="inlineStr">
        <is>
          <t>NORRBOTTENS LÄN</t>
        </is>
      </c>
      <c r="E7328" t="inlineStr">
        <is>
          <t>ÄLVSBYN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60271-2023</t>
        </is>
      </c>
      <c r="B7329" s="1" t="n">
        <v>45258</v>
      </c>
      <c r="C7329" s="1" t="n">
        <v>45798</v>
      </c>
      <c r="D7329" t="inlineStr">
        <is>
          <t>NORRBOTTENS LÄN</t>
        </is>
      </c>
      <c r="E7329" t="inlineStr">
        <is>
          <t>JOKKMOKK</t>
        </is>
      </c>
      <c r="F7329" t="inlineStr">
        <is>
          <t>Allmännings- och besparingsskogar</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60383-2023</t>
        </is>
      </c>
      <c r="B7330" s="1" t="n">
        <v>45259</v>
      </c>
      <c r="C7330" s="1" t="n">
        <v>45798</v>
      </c>
      <c r="D7330" t="inlineStr">
        <is>
          <t>NORRBOTTENS LÄN</t>
        </is>
      </c>
      <c r="E7330" t="inlineStr">
        <is>
          <t>JOKKMOKK</t>
        </is>
      </c>
      <c r="F7330" t="inlineStr">
        <is>
          <t>Sveaskog</t>
        </is>
      </c>
      <c r="G7330" t="n">
        <v>7.3</v>
      </c>
      <c r="H7330" t="n">
        <v>0</v>
      </c>
      <c r="I7330" t="n">
        <v>0</v>
      </c>
      <c r="J7330" t="n">
        <v>0</v>
      </c>
      <c r="K7330" t="n">
        <v>0</v>
      </c>
      <c r="L7330" t="n">
        <v>0</v>
      </c>
      <c r="M7330" t="n">
        <v>0</v>
      </c>
      <c r="N7330" t="n">
        <v>0</v>
      </c>
      <c r="O7330" t="n">
        <v>0</v>
      </c>
      <c r="P7330" t="n">
        <v>0</v>
      </c>
      <c r="Q7330" t="n">
        <v>0</v>
      </c>
      <c r="R7330" s="2" t="inlineStr"/>
    </row>
    <row r="7331" ht="15" customHeight="1">
      <c r="A7331" t="inlineStr">
        <is>
          <t>A 60403-2023</t>
        </is>
      </c>
      <c r="B7331" s="1" t="n">
        <v>45259</v>
      </c>
      <c r="C7331" s="1" t="n">
        <v>45798</v>
      </c>
      <c r="D7331" t="inlineStr">
        <is>
          <t>NORRBOTTENS LÄN</t>
        </is>
      </c>
      <c r="E7331" t="inlineStr">
        <is>
          <t>KALIX</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60418-2023</t>
        </is>
      </c>
      <c r="B7332" s="1" t="n">
        <v>45259</v>
      </c>
      <c r="C7332" s="1" t="n">
        <v>45798</v>
      </c>
      <c r="D7332" t="inlineStr">
        <is>
          <t>NORRBOTTENS LÄN</t>
        </is>
      </c>
      <c r="E7332" t="inlineStr">
        <is>
          <t>JOKKMOKK</t>
        </is>
      </c>
      <c r="F7332" t="inlineStr">
        <is>
          <t>Allmännings- och besparingsskogar</t>
        </is>
      </c>
      <c r="G7332" t="n">
        <v>12.7</v>
      </c>
      <c r="H7332" t="n">
        <v>0</v>
      </c>
      <c r="I7332" t="n">
        <v>0</v>
      </c>
      <c r="J7332" t="n">
        <v>0</v>
      </c>
      <c r="K7332" t="n">
        <v>0</v>
      </c>
      <c r="L7332" t="n">
        <v>0</v>
      </c>
      <c r="M7332" t="n">
        <v>0</v>
      </c>
      <c r="N7332" t="n">
        <v>0</v>
      </c>
      <c r="O7332" t="n">
        <v>0</v>
      </c>
      <c r="P7332" t="n">
        <v>0</v>
      </c>
      <c r="Q7332" t="n">
        <v>0</v>
      </c>
      <c r="R7332" s="2" t="inlineStr"/>
    </row>
    <row r="7333" ht="15" customHeight="1">
      <c r="A7333" t="inlineStr">
        <is>
          <t>A 60482-2023</t>
        </is>
      </c>
      <c r="B7333" s="1" t="n">
        <v>45259</v>
      </c>
      <c r="C7333" s="1" t="n">
        <v>45798</v>
      </c>
      <c r="D7333" t="inlineStr">
        <is>
          <t>NORRBOTTENS LÄN</t>
        </is>
      </c>
      <c r="E7333" t="inlineStr">
        <is>
          <t>KALIX</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60370-2023</t>
        </is>
      </c>
      <c r="B7334" s="1" t="n">
        <v>45259</v>
      </c>
      <c r="C7334" s="1" t="n">
        <v>45798</v>
      </c>
      <c r="D7334" t="inlineStr">
        <is>
          <t>NORRBOTTENS LÄN</t>
        </is>
      </c>
      <c r="E7334" t="inlineStr">
        <is>
          <t>JOKKMOKK</t>
        </is>
      </c>
      <c r="F7334" t="inlineStr">
        <is>
          <t>Sveaskog</t>
        </is>
      </c>
      <c r="G7334" t="n">
        <v>11.9</v>
      </c>
      <c r="H7334" t="n">
        <v>0</v>
      </c>
      <c r="I7334" t="n">
        <v>0</v>
      </c>
      <c r="J7334" t="n">
        <v>0</v>
      </c>
      <c r="K7334" t="n">
        <v>0</v>
      </c>
      <c r="L7334" t="n">
        <v>0</v>
      </c>
      <c r="M7334" t="n">
        <v>0</v>
      </c>
      <c r="N7334" t="n">
        <v>0</v>
      </c>
      <c r="O7334" t="n">
        <v>0</v>
      </c>
      <c r="P7334" t="n">
        <v>0</v>
      </c>
      <c r="Q7334" t="n">
        <v>0</v>
      </c>
      <c r="R7334" s="2" t="inlineStr"/>
    </row>
    <row r="7335" ht="15" customHeight="1">
      <c r="A7335" t="inlineStr">
        <is>
          <t>A 60374-2023</t>
        </is>
      </c>
      <c r="B7335" s="1" t="n">
        <v>45259</v>
      </c>
      <c r="C7335" s="1" t="n">
        <v>45798</v>
      </c>
      <c r="D7335" t="inlineStr">
        <is>
          <t>NORRBOTTENS LÄN</t>
        </is>
      </c>
      <c r="E7335" t="inlineStr">
        <is>
          <t>JOKKMOKK</t>
        </is>
      </c>
      <c r="F7335" t="inlineStr">
        <is>
          <t>Sveaskog</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60408-2023</t>
        </is>
      </c>
      <c r="B7336" s="1" t="n">
        <v>45259</v>
      </c>
      <c r="C7336" s="1" t="n">
        <v>45798</v>
      </c>
      <c r="D7336" t="inlineStr">
        <is>
          <t>NORRBOTTENS LÄN</t>
        </is>
      </c>
      <c r="E7336" t="inlineStr">
        <is>
          <t>JOKKMOKK</t>
        </is>
      </c>
      <c r="F7336" t="inlineStr">
        <is>
          <t>Allmännings- och besparingsskogar</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60426-2023</t>
        </is>
      </c>
      <c r="B7337" s="1" t="n">
        <v>45259</v>
      </c>
      <c r="C7337" s="1" t="n">
        <v>45798</v>
      </c>
      <c r="D7337" t="inlineStr">
        <is>
          <t>NORRBOTTENS LÄN</t>
        </is>
      </c>
      <c r="E7337" t="inlineStr">
        <is>
          <t>KALIX</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60445-2023</t>
        </is>
      </c>
      <c r="B7338" s="1" t="n">
        <v>45259</v>
      </c>
      <c r="C7338" s="1" t="n">
        <v>45798</v>
      </c>
      <c r="D7338" t="inlineStr">
        <is>
          <t>NORRBOTTENS LÄN</t>
        </is>
      </c>
      <c r="E7338" t="inlineStr">
        <is>
          <t>HAPARANDA</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60464-2023</t>
        </is>
      </c>
      <c r="B7339" s="1" t="n">
        <v>45259</v>
      </c>
      <c r="C7339" s="1" t="n">
        <v>45798</v>
      </c>
      <c r="D7339" t="inlineStr">
        <is>
          <t>NORRBOTTENS LÄN</t>
        </is>
      </c>
      <c r="E7339" t="inlineStr">
        <is>
          <t>KALIX</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60488-2023</t>
        </is>
      </c>
      <c r="B7340" s="1" t="n">
        <v>45259</v>
      </c>
      <c r="C7340" s="1" t="n">
        <v>45798</v>
      </c>
      <c r="D7340" t="inlineStr">
        <is>
          <t>NORRBOTTENS LÄN</t>
        </is>
      </c>
      <c r="E7340" t="inlineStr">
        <is>
          <t>KALIX</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60508-2023</t>
        </is>
      </c>
      <c r="B7341" s="1" t="n">
        <v>45259</v>
      </c>
      <c r="C7341" s="1" t="n">
        <v>45798</v>
      </c>
      <c r="D7341" t="inlineStr">
        <is>
          <t>NORRBOTTENS LÄN</t>
        </is>
      </c>
      <c r="E7341" t="inlineStr">
        <is>
          <t>KALIX</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60516-2023</t>
        </is>
      </c>
      <c r="B7342" s="1" t="n">
        <v>45259</v>
      </c>
      <c r="C7342" s="1" t="n">
        <v>45798</v>
      </c>
      <c r="D7342" t="inlineStr">
        <is>
          <t>NORRBOTTENS LÄN</t>
        </is>
      </c>
      <c r="E7342" t="inlineStr">
        <is>
          <t>KALIX</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60376-2023</t>
        </is>
      </c>
      <c r="B7343" s="1" t="n">
        <v>45259</v>
      </c>
      <c r="C7343" s="1" t="n">
        <v>45798</v>
      </c>
      <c r="D7343" t="inlineStr">
        <is>
          <t>NORRBOTTENS LÄN</t>
        </is>
      </c>
      <c r="E7343" t="inlineStr">
        <is>
          <t>JOKKMOKK</t>
        </is>
      </c>
      <c r="F7343" t="inlineStr">
        <is>
          <t>Allmännings- och besparingsskogar</t>
        </is>
      </c>
      <c r="G7343" t="n">
        <v>13.3</v>
      </c>
      <c r="H7343" t="n">
        <v>0</v>
      </c>
      <c r="I7343" t="n">
        <v>0</v>
      </c>
      <c r="J7343" t="n">
        <v>0</v>
      </c>
      <c r="K7343" t="n">
        <v>0</v>
      </c>
      <c r="L7343" t="n">
        <v>0</v>
      </c>
      <c r="M7343" t="n">
        <v>0</v>
      </c>
      <c r="N7343" t="n">
        <v>0</v>
      </c>
      <c r="O7343" t="n">
        <v>0</v>
      </c>
      <c r="P7343" t="n">
        <v>0</v>
      </c>
      <c r="Q7343" t="n">
        <v>0</v>
      </c>
      <c r="R7343" s="2" t="inlineStr"/>
    </row>
    <row r="7344" ht="15" customHeight="1">
      <c r="A7344" t="inlineStr">
        <is>
          <t>A 60390-2023</t>
        </is>
      </c>
      <c r="B7344" s="1" t="n">
        <v>45259</v>
      </c>
      <c r="C7344" s="1" t="n">
        <v>45798</v>
      </c>
      <c r="D7344" t="inlineStr">
        <is>
          <t>NORRBOTTENS LÄN</t>
        </is>
      </c>
      <c r="E7344" t="inlineStr">
        <is>
          <t>JOKKMOKK</t>
        </is>
      </c>
      <c r="F7344" t="inlineStr">
        <is>
          <t>Sveaskog</t>
        </is>
      </c>
      <c r="G7344" t="n">
        <v>10.9</v>
      </c>
      <c r="H7344" t="n">
        <v>0</v>
      </c>
      <c r="I7344" t="n">
        <v>0</v>
      </c>
      <c r="J7344" t="n">
        <v>0</v>
      </c>
      <c r="K7344" t="n">
        <v>0</v>
      </c>
      <c r="L7344" t="n">
        <v>0</v>
      </c>
      <c r="M7344" t="n">
        <v>0</v>
      </c>
      <c r="N7344" t="n">
        <v>0</v>
      </c>
      <c r="O7344" t="n">
        <v>0</v>
      </c>
      <c r="P7344" t="n">
        <v>0</v>
      </c>
      <c r="Q7344" t="n">
        <v>0</v>
      </c>
      <c r="R7344" s="2" t="inlineStr"/>
    </row>
    <row r="7345" ht="15" customHeight="1">
      <c r="A7345" t="inlineStr">
        <is>
          <t>A 60406-2023</t>
        </is>
      </c>
      <c r="B7345" s="1" t="n">
        <v>45259</v>
      </c>
      <c r="C7345" s="1" t="n">
        <v>45798</v>
      </c>
      <c r="D7345" t="inlineStr">
        <is>
          <t>NORRBOTTENS LÄN</t>
        </is>
      </c>
      <c r="E7345" t="inlineStr">
        <is>
          <t>JOKKMOKK</t>
        </is>
      </c>
      <c r="F7345" t="inlineStr">
        <is>
          <t>Allmännings- och besparingsskogar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60459-2023</t>
        </is>
      </c>
      <c r="B7346" s="1" t="n">
        <v>45259</v>
      </c>
      <c r="C7346" s="1" t="n">
        <v>45798</v>
      </c>
      <c r="D7346" t="inlineStr">
        <is>
          <t>NORRBOTTENS LÄN</t>
        </is>
      </c>
      <c r="E7346" t="inlineStr">
        <is>
          <t>KALIX</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60481-2023</t>
        </is>
      </c>
      <c r="B7347" s="1" t="n">
        <v>45259</v>
      </c>
      <c r="C7347" s="1" t="n">
        <v>45798</v>
      </c>
      <c r="D7347" t="inlineStr">
        <is>
          <t>NORRBOTTENS LÄN</t>
        </is>
      </c>
      <c r="E7347" t="inlineStr">
        <is>
          <t>KALIX</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60401-2023</t>
        </is>
      </c>
      <c r="B7348" s="1" t="n">
        <v>45259</v>
      </c>
      <c r="C7348" s="1" t="n">
        <v>45798</v>
      </c>
      <c r="D7348" t="inlineStr">
        <is>
          <t>NORRBOTTENS LÄN</t>
        </is>
      </c>
      <c r="E7348" t="inlineStr">
        <is>
          <t>JOKKMOKK</t>
        </is>
      </c>
      <c r="F7348" t="inlineStr">
        <is>
          <t>Sveaskog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60416-2023</t>
        </is>
      </c>
      <c r="B7349" s="1" t="n">
        <v>45259</v>
      </c>
      <c r="C7349" s="1" t="n">
        <v>45798</v>
      </c>
      <c r="D7349" t="inlineStr">
        <is>
          <t>NORRBOTTENS LÄN</t>
        </is>
      </c>
      <c r="E7349" t="inlineStr">
        <is>
          <t>JOKKMOKK</t>
        </is>
      </c>
      <c r="F7349" t="inlineStr">
        <is>
          <t>Allmännings- och besparingsskogar</t>
        </is>
      </c>
      <c r="G7349" t="n">
        <v>16.9</v>
      </c>
      <c r="H7349" t="n">
        <v>0</v>
      </c>
      <c r="I7349" t="n">
        <v>0</v>
      </c>
      <c r="J7349" t="n">
        <v>0</v>
      </c>
      <c r="K7349" t="n">
        <v>0</v>
      </c>
      <c r="L7349" t="n">
        <v>0</v>
      </c>
      <c r="M7349" t="n">
        <v>0</v>
      </c>
      <c r="N7349" t="n">
        <v>0</v>
      </c>
      <c r="O7349" t="n">
        <v>0</v>
      </c>
      <c r="P7349" t="n">
        <v>0</v>
      </c>
      <c r="Q7349" t="n">
        <v>0</v>
      </c>
      <c r="R7349" s="2" t="inlineStr"/>
    </row>
    <row r="7350" ht="15" customHeight="1">
      <c r="A7350" t="inlineStr">
        <is>
          <t>A 60500-2023</t>
        </is>
      </c>
      <c r="B7350" s="1" t="n">
        <v>45259</v>
      </c>
      <c r="C7350" s="1" t="n">
        <v>45798</v>
      </c>
      <c r="D7350" t="inlineStr">
        <is>
          <t>NORRBOTTENS LÄN</t>
        </is>
      </c>
      <c r="E7350" t="inlineStr">
        <is>
          <t>ÄLVSBYN</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60534-2023</t>
        </is>
      </c>
      <c r="B7351" s="1" t="n">
        <v>45259</v>
      </c>
      <c r="C7351" s="1" t="n">
        <v>45798</v>
      </c>
      <c r="D7351" t="inlineStr">
        <is>
          <t>NORRBOTTENS LÄN</t>
        </is>
      </c>
      <c r="E7351" t="inlineStr">
        <is>
          <t>KALIX</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60565-2023</t>
        </is>
      </c>
      <c r="B7352" s="1" t="n">
        <v>45259</v>
      </c>
      <c r="C7352" s="1" t="n">
        <v>45798</v>
      </c>
      <c r="D7352" t="inlineStr">
        <is>
          <t>NORRBOTTENS LÄN</t>
        </is>
      </c>
      <c r="E7352" t="inlineStr">
        <is>
          <t>LULEÅ</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60570-2023</t>
        </is>
      </c>
      <c r="B7353" s="1" t="n">
        <v>45259</v>
      </c>
      <c r="C7353" s="1" t="n">
        <v>45798</v>
      </c>
      <c r="D7353" t="inlineStr">
        <is>
          <t>NORRBOTTENS LÄN</t>
        </is>
      </c>
      <c r="E7353" t="inlineStr">
        <is>
          <t>LULEÅ</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60578-2023</t>
        </is>
      </c>
      <c r="B7354" s="1" t="n">
        <v>45260</v>
      </c>
      <c r="C7354" s="1" t="n">
        <v>45798</v>
      </c>
      <c r="D7354" t="inlineStr">
        <is>
          <t>NORRBOTTENS LÄN</t>
        </is>
      </c>
      <c r="E7354" t="inlineStr">
        <is>
          <t>BODEN</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60563-2023</t>
        </is>
      </c>
      <c r="B7355" s="1" t="n">
        <v>45259</v>
      </c>
      <c r="C7355" s="1" t="n">
        <v>45798</v>
      </c>
      <c r="D7355" t="inlineStr">
        <is>
          <t>NORRBOTTENS LÄN</t>
        </is>
      </c>
      <c r="E7355" t="inlineStr">
        <is>
          <t>PITEÅ</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60567-2023</t>
        </is>
      </c>
      <c r="B7356" s="1" t="n">
        <v>45259</v>
      </c>
      <c r="C7356" s="1" t="n">
        <v>45798</v>
      </c>
      <c r="D7356" t="inlineStr">
        <is>
          <t>NORRBOTTENS LÄN</t>
        </is>
      </c>
      <c r="E7356" t="inlineStr">
        <is>
          <t>BODEN</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60571-2023</t>
        </is>
      </c>
      <c r="B7357" s="1" t="n">
        <v>45259</v>
      </c>
      <c r="C7357" s="1" t="n">
        <v>45798</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60584-2023</t>
        </is>
      </c>
      <c r="B7358" s="1" t="n">
        <v>45259</v>
      </c>
      <c r="C7358" s="1" t="n">
        <v>45798</v>
      </c>
      <c r="D7358" t="inlineStr">
        <is>
          <t>NORRBOTTENS LÄN</t>
        </is>
      </c>
      <c r="E7358" t="inlineStr">
        <is>
          <t>GÄLLIVARE</t>
        </is>
      </c>
      <c r="F7358" t="inlineStr">
        <is>
          <t>SCA</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60602-2023</t>
        </is>
      </c>
      <c r="B7359" s="1" t="n">
        <v>45260</v>
      </c>
      <c r="C7359" s="1" t="n">
        <v>45798</v>
      </c>
      <c r="D7359" t="inlineStr">
        <is>
          <t>NORRBOTTENS LÄN</t>
        </is>
      </c>
      <c r="E7359" t="inlineStr">
        <is>
          <t>PITEÅ</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60651-2023</t>
        </is>
      </c>
      <c r="B7360" s="1" t="n">
        <v>45260</v>
      </c>
      <c r="C7360" s="1" t="n">
        <v>45798</v>
      </c>
      <c r="D7360" t="inlineStr">
        <is>
          <t>NORRBOTTENS LÄN</t>
        </is>
      </c>
      <c r="E7360" t="inlineStr">
        <is>
          <t>LULEÅ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60682-2023</t>
        </is>
      </c>
      <c r="B7361" s="1" t="n">
        <v>45260</v>
      </c>
      <c r="C7361" s="1" t="n">
        <v>45798</v>
      </c>
      <c r="D7361" t="inlineStr">
        <is>
          <t>NORRBOTTENS LÄN</t>
        </is>
      </c>
      <c r="E7361" t="inlineStr">
        <is>
          <t>LULEÅ</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60711-2023</t>
        </is>
      </c>
      <c r="B7362" s="1" t="n">
        <v>45260</v>
      </c>
      <c r="C7362" s="1" t="n">
        <v>45798</v>
      </c>
      <c r="D7362" t="inlineStr">
        <is>
          <t>NORRBOTTENS LÄN</t>
        </is>
      </c>
      <c r="E7362" t="inlineStr">
        <is>
          <t>KIRUNA</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60657-2023</t>
        </is>
      </c>
      <c r="B7363" s="1" t="n">
        <v>45260</v>
      </c>
      <c r="C7363" s="1" t="n">
        <v>45798</v>
      </c>
      <c r="D7363" t="inlineStr">
        <is>
          <t>NORRBOTTENS LÄN</t>
        </is>
      </c>
      <c r="E7363" t="inlineStr">
        <is>
          <t>LULEÅ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60683-2023</t>
        </is>
      </c>
      <c r="B7364" s="1" t="n">
        <v>45260</v>
      </c>
      <c r="C7364" s="1" t="n">
        <v>45798</v>
      </c>
      <c r="D7364" t="inlineStr">
        <is>
          <t>NORRBOTTENS LÄN</t>
        </is>
      </c>
      <c r="E7364" t="inlineStr">
        <is>
          <t>LULEÅ</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60835-2023</t>
        </is>
      </c>
      <c r="B7365" s="1" t="n">
        <v>45260</v>
      </c>
      <c r="C7365" s="1" t="n">
        <v>45798</v>
      </c>
      <c r="D7365" t="inlineStr">
        <is>
          <t>NORRBOTTENS LÄN</t>
        </is>
      </c>
      <c r="E7365" t="inlineStr">
        <is>
          <t>PITEÅ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60840-2023</t>
        </is>
      </c>
      <c r="B7366" s="1" t="n">
        <v>45260</v>
      </c>
      <c r="C7366" s="1" t="n">
        <v>45798</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60856-2023</t>
        </is>
      </c>
      <c r="B7367" s="1" t="n">
        <v>45260</v>
      </c>
      <c r="C7367" s="1" t="n">
        <v>45798</v>
      </c>
      <c r="D7367" t="inlineStr">
        <is>
          <t>NORRBOTTENS LÄN</t>
        </is>
      </c>
      <c r="E7367" t="inlineStr">
        <is>
          <t>GÄLLIVARE</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60868-2023</t>
        </is>
      </c>
      <c r="B7368" s="1" t="n">
        <v>45260</v>
      </c>
      <c r="C7368" s="1" t="n">
        <v>45798</v>
      </c>
      <c r="D7368" t="inlineStr">
        <is>
          <t>NORRBOTTENS LÄN</t>
        </is>
      </c>
      <c r="E7368" t="inlineStr">
        <is>
          <t>GÄLLIVARE</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61127-2023</t>
        </is>
      </c>
      <c r="B7369" s="1" t="n">
        <v>45260</v>
      </c>
      <c r="C7369" s="1" t="n">
        <v>45798</v>
      </c>
      <c r="D7369" t="inlineStr">
        <is>
          <t>NORRBOTTENS LÄN</t>
        </is>
      </c>
      <c r="E7369" t="inlineStr">
        <is>
          <t>LULEÅ</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61154-2023</t>
        </is>
      </c>
      <c r="B7370" s="1" t="n">
        <v>45260</v>
      </c>
      <c r="C7370" s="1" t="n">
        <v>45798</v>
      </c>
      <c r="D7370" t="inlineStr">
        <is>
          <t>NORRBOTTENS LÄN</t>
        </is>
      </c>
      <c r="E7370" t="inlineStr">
        <is>
          <t>BODEN</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61128-2023</t>
        </is>
      </c>
      <c r="B7371" s="1" t="n">
        <v>45260</v>
      </c>
      <c r="C7371" s="1" t="n">
        <v>45798</v>
      </c>
      <c r="D7371" t="inlineStr">
        <is>
          <t>NORRBOTTENS LÄN</t>
        </is>
      </c>
      <c r="E7371" t="inlineStr">
        <is>
          <t>BODEN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61156-2023</t>
        </is>
      </c>
      <c r="B7372" s="1" t="n">
        <v>45260</v>
      </c>
      <c r="C7372" s="1" t="n">
        <v>45798</v>
      </c>
      <c r="D7372" t="inlineStr">
        <is>
          <t>NORRBOTTENS LÄN</t>
        </is>
      </c>
      <c r="E7372" t="inlineStr">
        <is>
          <t>BODEN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61155-2023</t>
        </is>
      </c>
      <c r="B7373" s="1" t="n">
        <v>45260</v>
      </c>
      <c r="C7373" s="1" t="n">
        <v>45798</v>
      </c>
      <c r="D7373" t="inlineStr">
        <is>
          <t>NORRBOTTENS LÄN</t>
        </is>
      </c>
      <c r="E7373" t="inlineStr">
        <is>
          <t>BODEN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61241-2023</t>
        </is>
      </c>
      <c r="B7374" s="1" t="n">
        <v>45260</v>
      </c>
      <c r="C7374" s="1" t="n">
        <v>45798</v>
      </c>
      <c r="D7374" t="inlineStr">
        <is>
          <t>NORRBOTTENS LÄN</t>
        </is>
      </c>
      <c r="E7374" t="inlineStr">
        <is>
          <t>BODEN</t>
        </is>
      </c>
      <c r="G7374" t="n">
        <v>33.9</v>
      </c>
      <c r="H7374" t="n">
        <v>0</v>
      </c>
      <c r="I7374" t="n">
        <v>0</v>
      </c>
      <c r="J7374" t="n">
        <v>0</v>
      </c>
      <c r="K7374" t="n">
        <v>0</v>
      </c>
      <c r="L7374" t="n">
        <v>0</v>
      </c>
      <c r="M7374" t="n">
        <v>0</v>
      </c>
      <c r="N7374" t="n">
        <v>0</v>
      </c>
      <c r="O7374" t="n">
        <v>0</v>
      </c>
      <c r="P7374" t="n">
        <v>0</v>
      </c>
      <c r="Q7374" t="n">
        <v>0</v>
      </c>
      <c r="R7374" s="2" t="inlineStr"/>
    </row>
    <row r="7375" ht="15" customHeight="1">
      <c r="A7375" t="inlineStr">
        <is>
          <t>A 61141-2023</t>
        </is>
      </c>
      <c r="B7375" s="1" t="n">
        <v>45260</v>
      </c>
      <c r="C7375" s="1" t="n">
        <v>45798</v>
      </c>
      <c r="D7375" t="inlineStr">
        <is>
          <t>NORRBOTTENS LÄN</t>
        </is>
      </c>
      <c r="E7375" t="inlineStr">
        <is>
          <t>BODEN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60965-2023</t>
        </is>
      </c>
      <c r="B7376" s="1" t="n">
        <v>45261</v>
      </c>
      <c r="C7376" s="1" t="n">
        <v>45798</v>
      </c>
      <c r="D7376" t="inlineStr">
        <is>
          <t>NORRBOTTENS LÄN</t>
        </is>
      </c>
      <c r="E7376" t="inlineStr">
        <is>
          <t>ÖVERKALIX</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60923-2023</t>
        </is>
      </c>
      <c r="B7377" s="1" t="n">
        <v>45261</v>
      </c>
      <c r="C7377" s="1" t="n">
        <v>45798</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60900-2023</t>
        </is>
      </c>
      <c r="B7378" s="1" t="n">
        <v>45261</v>
      </c>
      <c r="C7378" s="1" t="n">
        <v>45798</v>
      </c>
      <c r="D7378" t="inlineStr">
        <is>
          <t>NORRBOTTENS LÄN</t>
        </is>
      </c>
      <c r="E7378" t="inlineStr">
        <is>
          <t>KALIX</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60926-2023</t>
        </is>
      </c>
      <c r="B7379" s="1" t="n">
        <v>45261</v>
      </c>
      <c r="C7379" s="1" t="n">
        <v>45798</v>
      </c>
      <c r="D7379" t="inlineStr">
        <is>
          <t>NORRBOTTENS LÄN</t>
        </is>
      </c>
      <c r="E7379" t="inlineStr">
        <is>
          <t>KALIX</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60930-2023</t>
        </is>
      </c>
      <c r="B7380" s="1" t="n">
        <v>45261</v>
      </c>
      <c r="C7380" s="1" t="n">
        <v>45798</v>
      </c>
      <c r="D7380" t="inlineStr">
        <is>
          <t>NORRBOTTENS LÄN</t>
        </is>
      </c>
      <c r="E7380" t="inlineStr">
        <is>
          <t>JOKKMOKK</t>
        </is>
      </c>
      <c r="F7380" t="inlineStr">
        <is>
          <t>Allmännings- och besparingsskogar</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61016-2023</t>
        </is>
      </c>
      <c r="B7381" s="1" t="n">
        <v>45261</v>
      </c>
      <c r="C7381" s="1" t="n">
        <v>45798</v>
      </c>
      <c r="D7381" t="inlineStr">
        <is>
          <t>NORRBOTTENS LÄN</t>
        </is>
      </c>
      <c r="E7381" t="inlineStr">
        <is>
          <t>PITEÅ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61115-2023</t>
        </is>
      </c>
      <c r="B7382" s="1" t="n">
        <v>45261</v>
      </c>
      <c r="C7382" s="1" t="n">
        <v>45798</v>
      </c>
      <c r="D7382" t="inlineStr">
        <is>
          <t>NORRBOTTENS LÄN</t>
        </is>
      </c>
      <c r="E7382" t="inlineStr">
        <is>
          <t>PITEÅ</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61072-2023</t>
        </is>
      </c>
      <c r="B7383" s="1" t="n">
        <v>45261</v>
      </c>
      <c r="C7383" s="1" t="n">
        <v>45798</v>
      </c>
      <c r="D7383" t="inlineStr">
        <is>
          <t>NORRBOTTENS LÄN</t>
        </is>
      </c>
      <c r="E7383" t="inlineStr">
        <is>
          <t>LULEÅ</t>
        </is>
      </c>
      <c r="G7383" t="n">
        <v>20.5</v>
      </c>
      <c r="H7383" t="n">
        <v>0</v>
      </c>
      <c r="I7383" t="n">
        <v>0</v>
      </c>
      <c r="J7383" t="n">
        <v>0</v>
      </c>
      <c r="K7383" t="n">
        <v>0</v>
      </c>
      <c r="L7383" t="n">
        <v>0</v>
      </c>
      <c r="M7383" t="n">
        <v>0</v>
      </c>
      <c r="N7383" t="n">
        <v>0</v>
      </c>
      <c r="O7383" t="n">
        <v>0</v>
      </c>
      <c r="P7383" t="n">
        <v>0</v>
      </c>
      <c r="Q7383" t="n">
        <v>0</v>
      </c>
      <c r="R7383" s="2" t="inlineStr"/>
    </row>
    <row r="7384" ht="15" customHeight="1">
      <c r="A7384" t="inlineStr">
        <is>
          <t>A 61077-2023</t>
        </is>
      </c>
      <c r="B7384" s="1" t="n">
        <v>45261</v>
      </c>
      <c r="C7384" s="1" t="n">
        <v>45798</v>
      </c>
      <c r="D7384" t="inlineStr">
        <is>
          <t>NORRBOTTENS LÄN</t>
        </is>
      </c>
      <c r="E7384" t="inlineStr">
        <is>
          <t>KALIX</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61133-2023</t>
        </is>
      </c>
      <c r="B7385" s="1" t="n">
        <v>45261</v>
      </c>
      <c r="C7385" s="1" t="n">
        <v>45798</v>
      </c>
      <c r="D7385" t="inlineStr">
        <is>
          <t>NORRBOTTENS LÄN</t>
        </is>
      </c>
      <c r="E7385" t="inlineStr">
        <is>
          <t>PAJALA</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61134-2023</t>
        </is>
      </c>
      <c r="B7386" s="1" t="n">
        <v>45261</v>
      </c>
      <c r="C7386" s="1" t="n">
        <v>45798</v>
      </c>
      <c r="D7386" t="inlineStr">
        <is>
          <t>NORRBOTTENS LÄN</t>
        </is>
      </c>
      <c r="E7386" t="inlineStr">
        <is>
          <t>PAJALA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61139-2023</t>
        </is>
      </c>
      <c r="B7387" s="1" t="n">
        <v>45261</v>
      </c>
      <c r="C7387" s="1" t="n">
        <v>45798</v>
      </c>
      <c r="D7387" t="inlineStr">
        <is>
          <t>NORRBOTTENS LÄN</t>
        </is>
      </c>
      <c r="E7387" t="inlineStr">
        <is>
          <t>GÄLLIVARE</t>
        </is>
      </c>
      <c r="G7387" t="n">
        <v>11.4</v>
      </c>
      <c r="H7387" t="n">
        <v>0</v>
      </c>
      <c r="I7387" t="n">
        <v>0</v>
      </c>
      <c r="J7387" t="n">
        <v>0</v>
      </c>
      <c r="K7387" t="n">
        <v>0</v>
      </c>
      <c r="L7387" t="n">
        <v>0</v>
      </c>
      <c r="M7387" t="n">
        <v>0</v>
      </c>
      <c r="N7387" t="n">
        <v>0</v>
      </c>
      <c r="O7387" t="n">
        <v>0</v>
      </c>
      <c r="P7387" t="n">
        <v>0</v>
      </c>
      <c r="Q7387" t="n">
        <v>0</v>
      </c>
      <c r="R7387" s="2" t="inlineStr"/>
    </row>
    <row r="7388" ht="15" customHeight="1">
      <c r="A7388" t="inlineStr">
        <is>
          <t>A 61579-2023</t>
        </is>
      </c>
      <c r="B7388" s="1" t="n">
        <v>45261</v>
      </c>
      <c r="C7388" s="1" t="n">
        <v>45798</v>
      </c>
      <c r="D7388" t="inlineStr">
        <is>
          <t>NORRBOTTENS LÄN</t>
        </is>
      </c>
      <c r="E7388" t="inlineStr">
        <is>
          <t>HAPARANDA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61570-2023</t>
        </is>
      </c>
      <c r="B7389" s="1" t="n">
        <v>45261</v>
      </c>
      <c r="C7389" s="1" t="n">
        <v>45798</v>
      </c>
      <c r="D7389" t="inlineStr">
        <is>
          <t>NORRBOTTENS LÄN</t>
        </is>
      </c>
      <c r="E7389" t="inlineStr">
        <is>
          <t>HAPARANDA</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61159-2023</t>
        </is>
      </c>
      <c r="B7390" s="1" t="n">
        <v>45262</v>
      </c>
      <c r="C7390" s="1" t="n">
        <v>45798</v>
      </c>
      <c r="D7390" t="inlineStr">
        <is>
          <t>NORRBOTTENS LÄN</t>
        </is>
      </c>
      <c r="E7390" t="inlineStr">
        <is>
          <t>PITEÅ</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61158-2023</t>
        </is>
      </c>
      <c r="B7391" s="1" t="n">
        <v>45262</v>
      </c>
      <c r="C7391" s="1" t="n">
        <v>45798</v>
      </c>
      <c r="D7391" t="inlineStr">
        <is>
          <t>NORRBOTTENS LÄN</t>
        </is>
      </c>
      <c r="E7391" t="inlineStr">
        <is>
          <t>GÄLLIVARE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61185-2023</t>
        </is>
      </c>
      <c r="B7392" s="1" t="n">
        <v>45264</v>
      </c>
      <c r="C7392" s="1" t="n">
        <v>45798</v>
      </c>
      <c r="D7392" t="inlineStr">
        <is>
          <t>NORRBOTTENS LÄN</t>
        </is>
      </c>
      <c r="E7392" t="inlineStr">
        <is>
          <t>BODEN</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61190-2023</t>
        </is>
      </c>
      <c r="B7393" s="1" t="n">
        <v>45264</v>
      </c>
      <c r="C7393" s="1" t="n">
        <v>45798</v>
      </c>
      <c r="D7393" t="inlineStr">
        <is>
          <t>NORRBOTTENS LÄN</t>
        </is>
      </c>
      <c r="E7393" t="inlineStr">
        <is>
          <t>GÄLLIVARE</t>
        </is>
      </c>
      <c r="F7393" t="inlineStr">
        <is>
          <t>Sveaskog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61260-2023</t>
        </is>
      </c>
      <c r="B7394" s="1" t="n">
        <v>45264</v>
      </c>
      <c r="C7394" s="1" t="n">
        <v>45798</v>
      </c>
      <c r="D7394" t="inlineStr">
        <is>
          <t>NORRBOTTENS LÄN</t>
        </is>
      </c>
      <c r="E7394" t="inlineStr">
        <is>
          <t>BODEN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61187-2023</t>
        </is>
      </c>
      <c r="B7395" s="1" t="n">
        <v>45264</v>
      </c>
      <c r="C7395" s="1" t="n">
        <v>45798</v>
      </c>
      <c r="D7395" t="inlineStr">
        <is>
          <t>NORRBOTTENS LÄN</t>
        </is>
      </c>
      <c r="E7395" t="inlineStr">
        <is>
          <t>GÄLLIVARE</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61192-2023</t>
        </is>
      </c>
      <c r="B7396" s="1" t="n">
        <v>45264</v>
      </c>
      <c r="C7396" s="1" t="n">
        <v>45798</v>
      </c>
      <c r="D7396" t="inlineStr">
        <is>
          <t>NORRBOTTENS LÄN</t>
        </is>
      </c>
      <c r="E7396" t="inlineStr">
        <is>
          <t>GÄLLIVARE</t>
        </is>
      </c>
      <c r="F7396" t="inlineStr">
        <is>
          <t>Sveaskog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61196-2023</t>
        </is>
      </c>
      <c r="B7397" s="1" t="n">
        <v>45264</v>
      </c>
      <c r="C7397" s="1" t="n">
        <v>45798</v>
      </c>
      <c r="D7397" t="inlineStr">
        <is>
          <t>NORRBOTTENS LÄN</t>
        </is>
      </c>
      <c r="E7397" t="inlineStr">
        <is>
          <t>PITEÅ</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61354-2023</t>
        </is>
      </c>
      <c r="B7398" s="1" t="n">
        <v>45264</v>
      </c>
      <c r="C7398" s="1" t="n">
        <v>45798</v>
      </c>
      <c r="D7398" t="inlineStr">
        <is>
          <t>NORRBOTTENS LÄN</t>
        </is>
      </c>
      <c r="E7398" t="inlineStr">
        <is>
          <t>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61376-2023</t>
        </is>
      </c>
      <c r="B7399" s="1" t="n">
        <v>45264</v>
      </c>
      <c r="C7399" s="1" t="n">
        <v>45798</v>
      </c>
      <c r="D7399" t="inlineStr">
        <is>
          <t>NORRBOTTENS LÄN</t>
        </is>
      </c>
      <c r="E7399" t="inlineStr">
        <is>
          <t>PITEÅ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61184-2023</t>
        </is>
      </c>
      <c r="B7400" s="1" t="n">
        <v>45264</v>
      </c>
      <c r="C7400" s="1" t="n">
        <v>45798</v>
      </c>
      <c r="D7400" t="inlineStr">
        <is>
          <t>NORRBOTTENS LÄN</t>
        </is>
      </c>
      <c r="E7400" t="inlineStr">
        <is>
          <t>BODEN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61303-2023</t>
        </is>
      </c>
      <c r="B7401" s="1" t="n">
        <v>45264</v>
      </c>
      <c r="C7401" s="1" t="n">
        <v>45798</v>
      </c>
      <c r="D7401" t="inlineStr">
        <is>
          <t>NORRBOTTENS LÄN</t>
        </is>
      </c>
      <c r="E7401" t="inlineStr">
        <is>
          <t>PITEÅ</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61404-2023</t>
        </is>
      </c>
      <c r="B7402" s="1" t="n">
        <v>45264</v>
      </c>
      <c r="C7402" s="1" t="n">
        <v>45798</v>
      </c>
      <c r="D7402" t="inlineStr">
        <is>
          <t>NORRBOTTENS LÄN</t>
        </is>
      </c>
      <c r="E7402" t="inlineStr">
        <is>
          <t>KALIX</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61488-2023</t>
        </is>
      </c>
      <c r="B7403" s="1" t="n">
        <v>45264</v>
      </c>
      <c r="C7403" s="1" t="n">
        <v>45798</v>
      </c>
      <c r="D7403" t="inlineStr">
        <is>
          <t>NORRBOTTENS LÄN</t>
        </is>
      </c>
      <c r="E7403" t="inlineStr">
        <is>
          <t>BODEN</t>
        </is>
      </c>
      <c r="F7403" t="inlineStr">
        <is>
          <t>SCA</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61487-2023</t>
        </is>
      </c>
      <c r="B7404" s="1" t="n">
        <v>45264</v>
      </c>
      <c r="C7404" s="1" t="n">
        <v>45798</v>
      </c>
      <c r="D7404" t="inlineStr">
        <is>
          <t>NORRBOTTENS LÄN</t>
        </is>
      </c>
      <c r="E7404" t="inlineStr">
        <is>
          <t>BODEN</t>
        </is>
      </c>
      <c r="F7404" t="inlineStr">
        <is>
          <t>SCA</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61489-2023</t>
        </is>
      </c>
      <c r="B7405" s="1" t="n">
        <v>45264</v>
      </c>
      <c r="C7405" s="1" t="n">
        <v>45798</v>
      </c>
      <c r="D7405" t="inlineStr">
        <is>
          <t>NORRBOTTENS LÄN</t>
        </is>
      </c>
      <c r="E7405" t="inlineStr">
        <is>
          <t>PITEÅ</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61501-2023</t>
        </is>
      </c>
      <c r="B7406" s="1" t="n">
        <v>45264</v>
      </c>
      <c r="C7406" s="1" t="n">
        <v>45798</v>
      </c>
      <c r="D7406" t="inlineStr">
        <is>
          <t>NORRBOTTENS LÄN</t>
        </is>
      </c>
      <c r="E7406" t="inlineStr">
        <is>
          <t>BODEN</t>
        </is>
      </c>
      <c r="F7406" t="inlineStr">
        <is>
          <t>SCA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61866-2023</t>
        </is>
      </c>
      <c r="B7407" s="1" t="n">
        <v>45264</v>
      </c>
      <c r="C7407" s="1" t="n">
        <v>45798</v>
      </c>
      <c r="D7407" t="inlineStr">
        <is>
          <t>NORRBOTTENS LÄN</t>
        </is>
      </c>
      <c r="E7407" t="inlineStr">
        <is>
          <t>LULEÅ</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61900-2023</t>
        </is>
      </c>
      <c r="B7408" s="1" t="n">
        <v>45264</v>
      </c>
      <c r="C7408" s="1" t="n">
        <v>45798</v>
      </c>
      <c r="D7408" t="inlineStr">
        <is>
          <t>NORRBOTTENS LÄN</t>
        </is>
      </c>
      <c r="E7408" t="inlineStr">
        <is>
          <t>LULEÅ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61858-2023</t>
        </is>
      </c>
      <c r="B7409" s="1" t="n">
        <v>45264</v>
      </c>
      <c r="C7409" s="1" t="n">
        <v>45798</v>
      </c>
      <c r="D7409" t="inlineStr">
        <is>
          <t>NORRBOTTENS LÄN</t>
        </is>
      </c>
      <c r="E7409" t="inlineStr">
        <is>
          <t>PITEÅ</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61891-2023</t>
        </is>
      </c>
      <c r="B7410" s="1" t="n">
        <v>45264</v>
      </c>
      <c r="C7410" s="1" t="n">
        <v>45798</v>
      </c>
      <c r="D7410" t="inlineStr">
        <is>
          <t>NORRBOTTENS LÄN</t>
        </is>
      </c>
      <c r="E7410" t="inlineStr">
        <is>
          <t>LULEÅ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61548-2023</t>
        </is>
      </c>
      <c r="B7411" s="1" t="n">
        <v>45265</v>
      </c>
      <c r="C7411" s="1" t="n">
        <v>45798</v>
      </c>
      <c r="D7411" t="inlineStr">
        <is>
          <t>NORRBOTTENS LÄN</t>
        </is>
      </c>
      <c r="E7411" t="inlineStr">
        <is>
          <t>ÖVERKALIX</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61599-2023</t>
        </is>
      </c>
      <c r="B7412" s="1" t="n">
        <v>45265</v>
      </c>
      <c r="C7412" s="1" t="n">
        <v>45798</v>
      </c>
      <c r="D7412" t="inlineStr">
        <is>
          <t>NORRBOTTENS LÄN</t>
        </is>
      </c>
      <c r="E7412" t="inlineStr">
        <is>
          <t>KALIX</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61604-2023</t>
        </is>
      </c>
      <c r="B7413" s="1" t="n">
        <v>45265</v>
      </c>
      <c r="C7413" s="1" t="n">
        <v>45798</v>
      </c>
      <c r="D7413" t="inlineStr">
        <is>
          <t>NORRBOTTENS LÄN</t>
        </is>
      </c>
      <c r="E7413" t="inlineStr">
        <is>
          <t>KALIX</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61636-2023</t>
        </is>
      </c>
      <c r="B7414" s="1" t="n">
        <v>45265</v>
      </c>
      <c r="C7414" s="1" t="n">
        <v>45798</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61668-2023</t>
        </is>
      </c>
      <c r="B7415" s="1" t="n">
        <v>45265</v>
      </c>
      <c r="C7415" s="1" t="n">
        <v>45798</v>
      </c>
      <c r="D7415" t="inlineStr">
        <is>
          <t>NORRBOTTENS LÄN</t>
        </is>
      </c>
      <c r="E7415" t="inlineStr">
        <is>
          <t>PAJALA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61761-2023</t>
        </is>
      </c>
      <c r="B7416" s="1" t="n">
        <v>45265</v>
      </c>
      <c r="C7416" s="1" t="n">
        <v>45798</v>
      </c>
      <c r="D7416" t="inlineStr">
        <is>
          <t>NORRBOTTENS LÄN</t>
        </is>
      </c>
      <c r="E7416" t="inlineStr">
        <is>
          <t>PAJALA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61516-2023</t>
        </is>
      </c>
      <c r="B7417" s="1" t="n">
        <v>45265</v>
      </c>
      <c r="C7417" s="1" t="n">
        <v>45798</v>
      </c>
      <c r="D7417" t="inlineStr">
        <is>
          <t>NORRBOTTENS LÄN</t>
        </is>
      </c>
      <c r="E7417" t="inlineStr">
        <is>
          <t>ÄLVSBYN</t>
        </is>
      </c>
      <c r="F7417" t="inlineStr">
        <is>
          <t>Sveaskog</t>
        </is>
      </c>
      <c r="G7417" t="n">
        <v>32.6</v>
      </c>
      <c r="H7417" t="n">
        <v>0</v>
      </c>
      <c r="I7417" t="n">
        <v>0</v>
      </c>
      <c r="J7417" t="n">
        <v>0</v>
      </c>
      <c r="K7417" t="n">
        <v>0</v>
      </c>
      <c r="L7417" t="n">
        <v>0</v>
      </c>
      <c r="M7417" t="n">
        <v>0</v>
      </c>
      <c r="N7417" t="n">
        <v>0</v>
      </c>
      <c r="O7417" t="n">
        <v>0</v>
      </c>
      <c r="P7417" t="n">
        <v>0</v>
      </c>
      <c r="Q7417" t="n">
        <v>0</v>
      </c>
      <c r="R7417" s="2" t="inlineStr"/>
    </row>
    <row r="7418" ht="15" customHeight="1">
      <c r="A7418" t="inlineStr">
        <is>
          <t>A 61520-2023</t>
        </is>
      </c>
      <c r="B7418" s="1" t="n">
        <v>45265</v>
      </c>
      <c r="C7418" s="1" t="n">
        <v>45798</v>
      </c>
      <c r="D7418" t="inlineStr">
        <is>
          <t>NORRBOTTENS LÄN</t>
        </is>
      </c>
      <c r="E7418" t="inlineStr">
        <is>
          <t>ÄLVSBYN</t>
        </is>
      </c>
      <c r="F7418" t="inlineStr">
        <is>
          <t>Sveaskog</t>
        </is>
      </c>
      <c r="G7418" t="n">
        <v>38.9</v>
      </c>
      <c r="H7418" t="n">
        <v>0</v>
      </c>
      <c r="I7418" t="n">
        <v>0</v>
      </c>
      <c r="J7418" t="n">
        <v>0</v>
      </c>
      <c r="K7418" t="n">
        <v>0</v>
      </c>
      <c r="L7418" t="n">
        <v>0</v>
      </c>
      <c r="M7418" t="n">
        <v>0</v>
      </c>
      <c r="N7418" t="n">
        <v>0</v>
      </c>
      <c r="O7418" t="n">
        <v>0</v>
      </c>
      <c r="P7418" t="n">
        <v>0</v>
      </c>
      <c r="Q7418" t="n">
        <v>0</v>
      </c>
      <c r="R7418" s="2" t="inlineStr"/>
    </row>
    <row r="7419" ht="15" customHeight="1">
      <c r="A7419" t="inlineStr">
        <is>
          <t>A 61524-2023</t>
        </is>
      </c>
      <c r="B7419" s="1" t="n">
        <v>45265</v>
      </c>
      <c r="C7419" s="1" t="n">
        <v>45798</v>
      </c>
      <c r="D7419" t="inlineStr">
        <is>
          <t>NORRBOTTENS LÄN</t>
        </is>
      </c>
      <c r="E7419" t="inlineStr">
        <is>
          <t>ÄLVSBYN</t>
        </is>
      </c>
      <c r="F7419" t="inlineStr">
        <is>
          <t>Sveaskog</t>
        </is>
      </c>
      <c r="G7419" t="n">
        <v>40</v>
      </c>
      <c r="H7419" t="n">
        <v>0</v>
      </c>
      <c r="I7419" t="n">
        <v>0</v>
      </c>
      <c r="J7419" t="n">
        <v>0</v>
      </c>
      <c r="K7419" t="n">
        <v>0</v>
      </c>
      <c r="L7419" t="n">
        <v>0</v>
      </c>
      <c r="M7419" t="n">
        <v>0</v>
      </c>
      <c r="N7419" t="n">
        <v>0</v>
      </c>
      <c r="O7419" t="n">
        <v>0</v>
      </c>
      <c r="P7419" t="n">
        <v>0</v>
      </c>
      <c r="Q7419" t="n">
        <v>0</v>
      </c>
      <c r="R7419" s="2" t="inlineStr"/>
    </row>
    <row r="7420" ht="15" customHeight="1">
      <c r="A7420" t="inlineStr">
        <is>
          <t>A 61662-2023</t>
        </is>
      </c>
      <c r="B7420" s="1" t="n">
        <v>45265</v>
      </c>
      <c r="C7420" s="1" t="n">
        <v>45798</v>
      </c>
      <c r="D7420" t="inlineStr">
        <is>
          <t>NORRBOTTENS LÄN</t>
        </is>
      </c>
      <c r="E7420" t="inlineStr">
        <is>
          <t>PITEÅ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61509-2023</t>
        </is>
      </c>
      <c r="B7421" s="1" t="n">
        <v>45265</v>
      </c>
      <c r="C7421" s="1" t="n">
        <v>45798</v>
      </c>
      <c r="D7421" t="inlineStr">
        <is>
          <t>NORRBOTTENS LÄN</t>
        </is>
      </c>
      <c r="E7421" t="inlineStr">
        <is>
          <t>BODEN</t>
        </is>
      </c>
      <c r="F7421" t="inlineStr">
        <is>
          <t>Sveaskog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61517-2023</t>
        </is>
      </c>
      <c r="B7422" s="1" t="n">
        <v>45265</v>
      </c>
      <c r="C7422" s="1" t="n">
        <v>45798</v>
      </c>
      <c r="D7422" t="inlineStr">
        <is>
          <t>NORRBOTTENS LÄN</t>
        </is>
      </c>
      <c r="E7422" t="inlineStr">
        <is>
          <t>ÄLVSBYN</t>
        </is>
      </c>
      <c r="F7422" t="inlineStr">
        <is>
          <t>Sveaskog</t>
        </is>
      </c>
      <c r="G7422" t="n">
        <v>40</v>
      </c>
      <c r="H7422" t="n">
        <v>0</v>
      </c>
      <c r="I7422" t="n">
        <v>0</v>
      </c>
      <c r="J7422" t="n">
        <v>0</v>
      </c>
      <c r="K7422" t="n">
        <v>0</v>
      </c>
      <c r="L7422" t="n">
        <v>0</v>
      </c>
      <c r="M7422" t="n">
        <v>0</v>
      </c>
      <c r="N7422" t="n">
        <v>0</v>
      </c>
      <c r="O7422" t="n">
        <v>0</v>
      </c>
      <c r="P7422" t="n">
        <v>0</v>
      </c>
      <c r="Q7422" t="n">
        <v>0</v>
      </c>
      <c r="R7422" s="2" t="inlineStr"/>
    </row>
    <row r="7423" ht="15" customHeight="1">
      <c r="A7423" t="inlineStr">
        <is>
          <t>A 61521-2023</t>
        </is>
      </c>
      <c r="B7423" s="1" t="n">
        <v>45265</v>
      </c>
      <c r="C7423" s="1" t="n">
        <v>45798</v>
      </c>
      <c r="D7423" t="inlineStr">
        <is>
          <t>NORRBOTTENS LÄN</t>
        </is>
      </c>
      <c r="E7423" t="inlineStr">
        <is>
          <t>ÄLVSBYN</t>
        </is>
      </c>
      <c r="F7423" t="inlineStr">
        <is>
          <t>Sveaskog</t>
        </is>
      </c>
      <c r="G7423" t="n">
        <v>13.6</v>
      </c>
      <c r="H7423" t="n">
        <v>0</v>
      </c>
      <c r="I7423" t="n">
        <v>0</v>
      </c>
      <c r="J7423" t="n">
        <v>0</v>
      </c>
      <c r="K7423" t="n">
        <v>0</v>
      </c>
      <c r="L7423" t="n">
        <v>0</v>
      </c>
      <c r="M7423" t="n">
        <v>0</v>
      </c>
      <c r="N7423" t="n">
        <v>0</v>
      </c>
      <c r="O7423" t="n">
        <v>0</v>
      </c>
      <c r="P7423" t="n">
        <v>0</v>
      </c>
      <c r="Q7423" t="n">
        <v>0</v>
      </c>
      <c r="R7423" s="2" t="inlineStr"/>
    </row>
    <row r="7424" ht="15" customHeight="1">
      <c r="A7424" t="inlineStr">
        <is>
          <t>A 61518-2023</t>
        </is>
      </c>
      <c r="B7424" s="1" t="n">
        <v>45265</v>
      </c>
      <c r="C7424" s="1" t="n">
        <v>45798</v>
      </c>
      <c r="D7424" t="inlineStr">
        <is>
          <t>NORRBOTTENS LÄN</t>
        </is>
      </c>
      <c r="E7424" t="inlineStr">
        <is>
          <t>ÄLVSBYN</t>
        </is>
      </c>
      <c r="F7424" t="inlineStr">
        <is>
          <t>Sveaskog</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61522-2023</t>
        </is>
      </c>
      <c r="B7425" s="1" t="n">
        <v>45265</v>
      </c>
      <c r="C7425" s="1" t="n">
        <v>45798</v>
      </c>
      <c r="D7425" t="inlineStr">
        <is>
          <t>NORRBOTTENS LÄN</t>
        </is>
      </c>
      <c r="E7425" t="inlineStr">
        <is>
          <t>ÄLVSBYN</t>
        </is>
      </c>
      <c r="F7425" t="inlineStr">
        <is>
          <t>Sveaskog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61536-2023</t>
        </is>
      </c>
      <c r="B7426" s="1" t="n">
        <v>45265</v>
      </c>
      <c r="C7426" s="1" t="n">
        <v>45798</v>
      </c>
      <c r="D7426" t="inlineStr">
        <is>
          <t>NORRBOTTENS LÄN</t>
        </is>
      </c>
      <c r="E7426" t="inlineStr">
        <is>
          <t>KALIX</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61541-2023</t>
        </is>
      </c>
      <c r="B7427" s="1" t="n">
        <v>45265</v>
      </c>
      <c r="C7427" s="1" t="n">
        <v>45798</v>
      </c>
      <c r="D7427" t="inlineStr">
        <is>
          <t>NORRBOTTENS LÄN</t>
        </is>
      </c>
      <c r="E7427" t="inlineStr">
        <is>
          <t>KALIX</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61660-2023</t>
        </is>
      </c>
      <c r="B7428" s="1" t="n">
        <v>45265</v>
      </c>
      <c r="C7428" s="1" t="n">
        <v>45798</v>
      </c>
      <c r="D7428" t="inlineStr">
        <is>
          <t>NORRBOTTENS LÄN</t>
        </is>
      </c>
      <c r="E7428" t="inlineStr">
        <is>
          <t>PAJALA</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61713-2023</t>
        </is>
      </c>
      <c r="B7429" s="1" t="n">
        <v>45265</v>
      </c>
      <c r="C7429" s="1" t="n">
        <v>45798</v>
      </c>
      <c r="D7429" t="inlineStr">
        <is>
          <t>NORRBOTTENS LÄN</t>
        </is>
      </c>
      <c r="E7429" t="inlineStr">
        <is>
          <t>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61732-2023</t>
        </is>
      </c>
      <c r="B7430" s="1" t="n">
        <v>45265</v>
      </c>
      <c r="C7430" s="1" t="n">
        <v>45798</v>
      </c>
      <c r="D7430" t="inlineStr">
        <is>
          <t>NORRBOTTENS LÄN</t>
        </is>
      </c>
      <c r="E7430" t="inlineStr">
        <is>
          <t>KALIX</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61770-2023</t>
        </is>
      </c>
      <c r="B7431" s="1" t="n">
        <v>45265</v>
      </c>
      <c r="C7431" s="1" t="n">
        <v>45798</v>
      </c>
      <c r="D7431" t="inlineStr">
        <is>
          <t>NORRBOTTENS LÄN</t>
        </is>
      </c>
      <c r="E7431" t="inlineStr">
        <is>
          <t>BODEN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61708-2023</t>
        </is>
      </c>
      <c r="B7432" s="1" t="n">
        <v>45265</v>
      </c>
      <c r="C7432" s="1" t="n">
        <v>45798</v>
      </c>
      <c r="D7432" t="inlineStr">
        <is>
          <t>NORRBOTTENS LÄN</t>
        </is>
      </c>
      <c r="E7432" t="inlineStr">
        <is>
          <t>KALIX</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61720-2023</t>
        </is>
      </c>
      <c r="B7433" s="1" t="n">
        <v>45265</v>
      </c>
      <c r="C7433" s="1" t="n">
        <v>45798</v>
      </c>
      <c r="D7433" t="inlineStr">
        <is>
          <t>NORRBOTTENS LÄN</t>
        </is>
      </c>
      <c r="E7433" t="inlineStr">
        <is>
          <t>KALIX</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61726-2023</t>
        </is>
      </c>
      <c r="B7434" s="1" t="n">
        <v>45265</v>
      </c>
      <c r="C7434" s="1" t="n">
        <v>45798</v>
      </c>
      <c r="D7434" t="inlineStr">
        <is>
          <t>NORRBOTTENS LÄN</t>
        </is>
      </c>
      <c r="E7434" t="inlineStr">
        <is>
          <t>KALIX</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61986-2023</t>
        </is>
      </c>
      <c r="B7435" s="1" t="n">
        <v>45265</v>
      </c>
      <c r="C7435" s="1" t="n">
        <v>45798</v>
      </c>
      <c r="D7435" t="inlineStr">
        <is>
          <t>NORRBOTTENS LÄN</t>
        </is>
      </c>
      <c r="E7435" t="inlineStr">
        <is>
          <t>GÄLLIVARE</t>
        </is>
      </c>
      <c r="G7435" t="n">
        <v>18.6</v>
      </c>
      <c r="H7435" t="n">
        <v>0</v>
      </c>
      <c r="I7435" t="n">
        <v>0</v>
      </c>
      <c r="J7435" t="n">
        <v>0</v>
      </c>
      <c r="K7435" t="n">
        <v>0</v>
      </c>
      <c r="L7435" t="n">
        <v>0</v>
      </c>
      <c r="M7435" t="n">
        <v>0</v>
      </c>
      <c r="N7435" t="n">
        <v>0</v>
      </c>
      <c r="O7435" t="n">
        <v>0</v>
      </c>
      <c r="P7435" t="n">
        <v>0</v>
      </c>
      <c r="Q7435" t="n">
        <v>0</v>
      </c>
      <c r="R7435" s="2" t="inlineStr"/>
    </row>
    <row r="7436" ht="15" customHeight="1">
      <c r="A7436" t="inlineStr">
        <is>
          <t>A 61775-2023</t>
        </is>
      </c>
      <c r="B7436" s="1" t="n">
        <v>45265</v>
      </c>
      <c r="C7436" s="1" t="n">
        <v>45798</v>
      </c>
      <c r="D7436" t="inlineStr">
        <is>
          <t>NORRBOTTENS LÄN</t>
        </is>
      </c>
      <c r="E7436" t="inlineStr">
        <is>
          <t>BODEN</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61783-2023</t>
        </is>
      </c>
      <c r="B7437" s="1" t="n">
        <v>45265</v>
      </c>
      <c r="C7437" s="1" t="n">
        <v>45798</v>
      </c>
      <c r="D7437" t="inlineStr">
        <is>
          <t>NORRBOTTENS LÄN</t>
        </is>
      </c>
      <c r="E7437" t="inlineStr">
        <is>
          <t>GÄLLIVARE</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61982-2023</t>
        </is>
      </c>
      <c r="B7438" s="1" t="n">
        <v>45266</v>
      </c>
      <c r="C7438" s="1" t="n">
        <v>45798</v>
      </c>
      <c r="D7438" t="inlineStr">
        <is>
          <t>NORRBOTTENS LÄN</t>
        </is>
      </c>
      <c r="E7438" t="inlineStr">
        <is>
          <t>GÄLLIVARE</t>
        </is>
      </c>
      <c r="G7438" t="n">
        <v>20.2</v>
      </c>
      <c r="H7438" t="n">
        <v>0</v>
      </c>
      <c r="I7438" t="n">
        <v>0</v>
      </c>
      <c r="J7438" t="n">
        <v>0</v>
      </c>
      <c r="K7438" t="n">
        <v>0</v>
      </c>
      <c r="L7438" t="n">
        <v>0</v>
      </c>
      <c r="M7438" t="n">
        <v>0</v>
      </c>
      <c r="N7438" t="n">
        <v>0</v>
      </c>
      <c r="O7438" t="n">
        <v>0</v>
      </c>
      <c r="P7438" t="n">
        <v>0</v>
      </c>
      <c r="Q7438" t="n">
        <v>0</v>
      </c>
      <c r="R7438" s="2" t="inlineStr"/>
    </row>
    <row r="7439" ht="15" customHeight="1">
      <c r="A7439" t="inlineStr">
        <is>
          <t>A 62005-2023</t>
        </is>
      </c>
      <c r="B7439" s="1" t="n">
        <v>45266</v>
      </c>
      <c r="C7439" s="1" t="n">
        <v>45798</v>
      </c>
      <c r="D7439" t="inlineStr">
        <is>
          <t>NORRBOTTENS LÄN</t>
        </is>
      </c>
      <c r="E7439" t="inlineStr">
        <is>
          <t>PITEÅ</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62018-2023</t>
        </is>
      </c>
      <c r="B7440" s="1" t="n">
        <v>45266</v>
      </c>
      <c r="C7440" s="1" t="n">
        <v>45798</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62011-2023</t>
        </is>
      </c>
      <c r="B7441" s="1" t="n">
        <v>45266</v>
      </c>
      <c r="C7441" s="1" t="n">
        <v>45798</v>
      </c>
      <c r="D7441" t="inlineStr">
        <is>
          <t>NORRBOTTENS LÄN</t>
        </is>
      </c>
      <c r="E7441" t="inlineStr">
        <is>
          <t>LULEÅ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61908-2023</t>
        </is>
      </c>
      <c r="B7442" s="1" t="n">
        <v>45266</v>
      </c>
      <c r="C7442" s="1" t="n">
        <v>45798</v>
      </c>
      <c r="D7442" t="inlineStr">
        <is>
          <t>NORRBOTTENS LÄN</t>
        </is>
      </c>
      <c r="E7442" t="inlineStr">
        <is>
          <t>HAPARANDA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62014-2023</t>
        </is>
      </c>
      <c r="B7443" s="1" t="n">
        <v>45266</v>
      </c>
      <c r="C7443" s="1" t="n">
        <v>45798</v>
      </c>
      <c r="D7443" t="inlineStr">
        <is>
          <t>NORRBOTTENS LÄN</t>
        </is>
      </c>
      <c r="E7443" t="inlineStr">
        <is>
          <t>PITEÅ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62048-2023</t>
        </is>
      </c>
      <c r="B7444" s="1" t="n">
        <v>45266</v>
      </c>
      <c r="C7444" s="1" t="n">
        <v>45798</v>
      </c>
      <c r="D7444" t="inlineStr">
        <is>
          <t>NORRBOTTENS LÄN</t>
        </is>
      </c>
      <c r="E7444" t="inlineStr">
        <is>
          <t>LULEÅ</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62053-2023</t>
        </is>
      </c>
      <c r="B7445" s="1" t="n">
        <v>45266</v>
      </c>
      <c r="C7445" s="1" t="n">
        <v>45798</v>
      </c>
      <c r="D7445" t="inlineStr">
        <is>
          <t>NORRBOTTENS LÄN</t>
        </is>
      </c>
      <c r="E7445" t="inlineStr">
        <is>
          <t>LULEÅ</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62068-2023</t>
        </is>
      </c>
      <c r="B7446" s="1" t="n">
        <v>45266</v>
      </c>
      <c r="C7446" s="1" t="n">
        <v>45798</v>
      </c>
      <c r="D7446" t="inlineStr">
        <is>
          <t>NORRBOTTENS LÄN</t>
        </is>
      </c>
      <c r="E7446" t="inlineStr">
        <is>
          <t>ÄLVSBYN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62139-2023</t>
        </is>
      </c>
      <c r="B7447" s="1" t="n">
        <v>45266</v>
      </c>
      <c r="C7447" s="1" t="n">
        <v>45798</v>
      </c>
      <c r="D7447" t="inlineStr">
        <is>
          <t>NORRBOTTENS LÄN</t>
        </is>
      </c>
      <c r="E7447" t="inlineStr">
        <is>
          <t>KALIX</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62148-2023</t>
        </is>
      </c>
      <c r="B7448" s="1" t="n">
        <v>45266</v>
      </c>
      <c r="C7448" s="1" t="n">
        <v>45798</v>
      </c>
      <c r="D7448" t="inlineStr">
        <is>
          <t>NORRBOTTENS LÄN</t>
        </is>
      </c>
      <c r="E7448" t="inlineStr">
        <is>
          <t>KALIX</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62143-2023</t>
        </is>
      </c>
      <c r="B7449" s="1" t="n">
        <v>45266</v>
      </c>
      <c r="C7449" s="1" t="n">
        <v>45798</v>
      </c>
      <c r="D7449" t="inlineStr">
        <is>
          <t>NORRBOTTENS LÄN</t>
        </is>
      </c>
      <c r="E7449" t="inlineStr">
        <is>
          <t>KALIX</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62157-2023</t>
        </is>
      </c>
      <c r="B7450" s="1" t="n">
        <v>45266</v>
      </c>
      <c r="C7450" s="1" t="n">
        <v>45798</v>
      </c>
      <c r="D7450" t="inlineStr">
        <is>
          <t>NORRBOTTENS LÄN</t>
        </is>
      </c>
      <c r="E7450" t="inlineStr">
        <is>
          <t>KALIX</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62154-2023</t>
        </is>
      </c>
      <c r="B7451" s="1" t="n">
        <v>45266</v>
      </c>
      <c r="C7451" s="1" t="n">
        <v>45798</v>
      </c>
      <c r="D7451" t="inlineStr">
        <is>
          <t>NORRBOTTENS LÄN</t>
        </is>
      </c>
      <c r="E7451" t="inlineStr">
        <is>
          <t>KALIX</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62166-2023</t>
        </is>
      </c>
      <c r="B7452" s="1" t="n">
        <v>45266</v>
      </c>
      <c r="C7452" s="1" t="n">
        <v>45798</v>
      </c>
      <c r="D7452" t="inlineStr">
        <is>
          <t>NORRBOTTENS LÄN</t>
        </is>
      </c>
      <c r="E7452" t="inlineStr">
        <is>
          <t>KALIX</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62409-2023</t>
        </is>
      </c>
      <c r="B7453" s="1" t="n">
        <v>45266</v>
      </c>
      <c r="C7453" s="1" t="n">
        <v>45798</v>
      </c>
      <c r="D7453" t="inlineStr">
        <is>
          <t>NORRBOTTENS LÄN</t>
        </is>
      </c>
      <c r="E7453" t="inlineStr">
        <is>
          <t>ÄLVSBYN</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62161-2023</t>
        </is>
      </c>
      <c r="B7454" s="1" t="n">
        <v>45266</v>
      </c>
      <c r="C7454" s="1" t="n">
        <v>45798</v>
      </c>
      <c r="D7454" t="inlineStr">
        <is>
          <t>NORRBOTTENS LÄN</t>
        </is>
      </c>
      <c r="E7454" t="inlineStr">
        <is>
          <t>KALIX</t>
        </is>
      </c>
      <c r="G7454" t="n">
        <v>17.7</v>
      </c>
      <c r="H7454" t="n">
        <v>0</v>
      </c>
      <c r="I7454" t="n">
        <v>0</v>
      </c>
      <c r="J7454" t="n">
        <v>0</v>
      </c>
      <c r="K7454" t="n">
        <v>0</v>
      </c>
      <c r="L7454" t="n">
        <v>0</v>
      </c>
      <c r="M7454" t="n">
        <v>0</v>
      </c>
      <c r="N7454" t="n">
        <v>0</v>
      </c>
      <c r="O7454" t="n">
        <v>0</v>
      </c>
      <c r="P7454" t="n">
        <v>0</v>
      </c>
      <c r="Q7454" t="n">
        <v>0</v>
      </c>
      <c r="R7454" s="2" t="inlineStr"/>
    </row>
    <row r="7455" ht="15" customHeight="1">
      <c r="A7455" t="inlineStr">
        <is>
          <t>A 62291-2023</t>
        </is>
      </c>
      <c r="B7455" s="1" t="n">
        <v>45266</v>
      </c>
      <c r="C7455" s="1" t="n">
        <v>45798</v>
      </c>
      <c r="D7455" t="inlineStr">
        <is>
          <t>NORRBOTTENS LÄN</t>
        </is>
      </c>
      <c r="E7455" t="inlineStr">
        <is>
          <t>ÖVERTORNEÅ</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62384-2023</t>
        </is>
      </c>
      <c r="B7456" s="1" t="n">
        <v>45266</v>
      </c>
      <c r="C7456" s="1" t="n">
        <v>45798</v>
      </c>
      <c r="D7456" t="inlineStr">
        <is>
          <t>NORRBOTTENS LÄN</t>
        </is>
      </c>
      <c r="E7456" t="inlineStr">
        <is>
          <t>ÖVERKALIX</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62406-2023</t>
        </is>
      </c>
      <c r="B7457" s="1" t="n">
        <v>45266</v>
      </c>
      <c r="C7457" s="1" t="n">
        <v>45798</v>
      </c>
      <c r="D7457" t="inlineStr">
        <is>
          <t>NORRBOTTENS LÄN</t>
        </is>
      </c>
      <c r="E7457" t="inlineStr">
        <is>
          <t>ÄLVSBYN</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62135-2023</t>
        </is>
      </c>
      <c r="B7458" s="1" t="n">
        <v>45266</v>
      </c>
      <c r="C7458" s="1" t="n">
        <v>45798</v>
      </c>
      <c r="D7458" t="inlineStr">
        <is>
          <t>NORRBOTTENS LÄN</t>
        </is>
      </c>
      <c r="E7458" t="inlineStr">
        <is>
          <t>KALIX</t>
        </is>
      </c>
      <c r="G7458" t="n">
        <v>8.9</v>
      </c>
      <c r="H7458" t="n">
        <v>0</v>
      </c>
      <c r="I7458" t="n">
        <v>0</v>
      </c>
      <c r="J7458" t="n">
        <v>0</v>
      </c>
      <c r="K7458" t="n">
        <v>0</v>
      </c>
      <c r="L7458" t="n">
        <v>0</v>
      </c>
      <c r="M7458" t="n">
        <v>0</v>
      </c>
      <c r="N7458" t="n">
        <v>0</v>
      </c>
      <c r="O7458" t="n">
        <v>0</v>
      </c>
      <c r="P7458" t="n">
        <v>0</v>
      </c>
      <c r="Q7458" t="n">
        <v>0</v>
      </c>
      <c r="R7458" s="2" t="inlineStr"/>
    </row>
    <row r="7459" ht="15" customHeight="1">
      <c r="A7459" t="inlineStr">
        <is>
          <t>A 62150-2023</t>
        </is>
      </c>
      <c r="B7459" s="1" t="n">
        <v>45266</v>
      </c>
      <c r="C7459" s="1" t="n">
        <v>45798</v>
      </c>
      <c r="D7459" t="inlineStr">
        <is>
          <t>NORRBOTTENS LÄN</t>
        </is>
      </c>
      <c r="E7459" t="inlineStr">
        <is>
          <t>KALIX</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62165-2023</t>
        </is>
      </c>
      <c r="B7460" s="1" t="n">
        <v>45266</v>
      </c>
      <c r="C7460" s="1" t="n">
        <v>45798</v>
      </c>
      <c r="D7460" t="inlineStr">
        <is>
          <t>NORRBOTTENS LÄN</t>
        </is>
      </c>
      <c r="E7460" t="inlineStr">
        <is>
          <t>KALIX</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62395-2023</t>
        </is>
      </c>
      <c r="B7461" s="1" t="n">
        <v>45266</v>
      </c>
      <c r="C7461" s="1" t="n">
        <v>45798</v>
      </c>
      <c r="D7461" t="inlineStr">
        <is>
          <t>NORRBOTTENS LÄN</t>
        </is>
      </c>
      <c r="E7461" t="inlineStr">
        <is>
          <t>ÄLVSBYN</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62128-2023</t>
        </is>
      </c>
      <c r="B7462" s="1" t="n">
        <v>45267</v>
      </c>
      <c r="C7462" s="1" t="n">
        <v>45798</v>
      </c>
      <c r="D7462" t="inlineStr">
        <is>
          <t>NORRBOTTENS LÄN</t>
        </is>
      </c>
      <c r="E7462" t="inlineStr">
        <is>
          <t>PITEÅ</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62396-2023</t>
        </is>
      </c>
      <c r="B7463" s="1" t="n">
        <v>45268</v>
      </c>
      <c r="C7463" s="1" t="n">
        <v>45798</v>
      </c>
      <c r="D7463" t="inlineStr">
        <is>
          <t>NORRBOTTENS LÄN</t>
        </is>
      </c>
      <c r="E7463" t="inlineStr">
        <is>
          <t>BODEN</t>
        </is>
      </c>
      <c r="G7463" t="n">
        <v>18.2</v>
      </c>
      <c r="H7463" t="n">
        <v>0</v>
      </c>
      <c r="I7463" t="n">
        <v>0</v>
      </c>
      <c r="J7463" t="n">
        <v>0</v>
      </c>
      <c r="K7463" t="n">
        <v>0</v>
      </c>
      <c r="L7463" t="n">
        <v>0</v>
      </c>
      <c r="M7463" t="n">
        <v>0</v>
      </c>
      <c r="N7463" t="n">
        <v>0</v>
      </c>
      <c r="O7463" t="n">
        <v>0</v>
      </c>
      <c r="P7463" t="n">
        <v>0</v>
      </c>
      <c r="Q7463" t="n">
        <v>0</v>
      </c>
      <c r="R7463" s="2" t="inlineStr"/>
    </row>
    <row r="7464" ht="15" customHeight="1">
      <c r="A7464" t="inlineStr">
        <is>
          <t>A 62548-2023</t>
        </is>
      </c>
      <c r="B7464" s="1" t="n">
        <v>45268</v>
      </c>
      <c r="C7464" s="1" t="n">
        <v>45798</v>
      </c>
      <c r="D7464" t="inlineStr">
        <is>
          <t>NORRBOTTENS LÄN</t>
        </is>
      </c>
      <c r="E7464" t="inlineStr">
        <is>
          <t>ÖVERKALIX</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62556-2023</t>
        </is>
      </c>
      <c r="B7465" s="1" t="n">
        <v>45268</v>
      </c>
      <c r="C7465" s="1" t="n">
        <v>45798</v>
      </c>
      <c r="D7465" t="inlineStr">
        <is>
          <t>NORRBOTTENS LÄN</t>
        </is>
      </c>
      <c r="E7465" t="inlineStr">
        <is>
          <t>ÖVERKALIX</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62549-2023</t>
        </is>
      </c>
      <c r="B7466" s="1" t="n">
        <v>45268</v>
      </c>
      <c r="C7466" s="1" t="n">
        <v>45798</v>
      </c>
      <c r="D7466" t="inlineStr">
        <is>
          <t>NORRBOTTENS LÄN</t>
        </is>
      </c>
      <c r="E7466" t="inlineStr">
        <is>
          <t>ÖVERKALIX</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62561-2023</t>
        </is>
      </c>
      <c r="B7467" s="1" t="n">
        <v>45268</v>
      </c>
      <c r="C7467" s="1" t="n">
        <v>45798</v>
      </c>
      <c r="D7467" t="inlineStr">
        <is>
          <t>NORRBOTTENS LÄN</t>
        </is>
      </c>
      <c r="E7467" t="inlineStr">
        <is>
          <t>ÖVERKALIX</t>
        </is>
      </c>
      <c r="F7467" t="inlineStr">
        <is>
          <t>SCA</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62443-2023</t>
        </is>
      </c>
      <c r="B7468" s="1" t="n">
        <v>45268</v>
      </c>
      <c r="C7468" s="1" t="n">
        <v>45798</v>
      </c>
      <c r="D7468" t="inlineStr">
        <is>
          <t>NORRBOTTENS LÄN</t>
        </is>
      </c>
      <c r="E7468" t="inlineStr">
        <is>
          <t>KALIX</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62536-2023</t>
        </is>
      </c>
      <c r="B7469" s="1" t="n">
        <v>45268</v>
      </c>
      <c r="C7469" s="1" t="n">
        <v>45798</v>
      </c>
      <c r="D7469" t="inlineStr">
        <is>
          <t>NORRBOTTENS LÄN</t>
        </is>
      </c>
      <c r="E7469" t="inlineStr">
        <is>
          <t>PAJALA</t>
        </is>
      </c>
      <c r="F7469" t="inlineStr">
        <is>
          <t>Sveaskog</t>
        </is>
      </c>
      <c r="G7469" t="n">
        <v>26.2</v>
      </c>
      <c r="H7469" t="n">
        <v>0</v>
      </c>
      <c r="I7469" t="n">
        <v>0</v>
      </c>
      <c r="J7469" t="n">
        <v>0</v>
      </c>
      <c r="K7469" t="n">
        <v>0</v>
      </c>
      <c r="L7469" t="n">
        <v>0</v>
      </c>
      <c r="M7469" t="n">
        <v>0</v>
      </c>
      <c r="N7469" t="n">
        <v>0</v>
      </c>
      <c r="O7469" t="n">
        <v>0</v>
      </c>
      <c r="P7469" t="n">
        <v>0</v>
      </c>
      <c r="Q7469" t="n">
        <v>0</v>
      </c>
      <c r="R7469" s="2" t="inlineStr"/>
    </row>
    <row r="7470" ht="15" customHeight="1">
      <c r="A7470" t="inlineStr">
        <is>
          <t>A 62550-2023</t>
        </is>
      </c>
      <c r="B7470" s="1" t="n">
        <v>45268</v>
      </c>
      <c r="C7470" s="1" t="n">
        <v>45798</v>
      </c>
      <c r="D7470" t="inlineStr">
        <is>
          <t>NORRBOTTENS LÄN</t>
        </is>
      </c>
      <c r="E7470" t="inlineStr">
        <is>
          <t>ÄLVSBYN</t>
        </is>
      </c>
      <c r="G7470" t="n">
        <v>16.3</v>
      </c>
      <c r="H7470" t="n">
        <v>0</v>
      </c>
      <c r="I7470" t="n">
        <v>0</v>
      </c>
      <c r="J7470" t="n">
        <v>0</v>
      </c>
      <c r="K7470" t="n">
        <v>0</v>
      </c>
      <c r="L7470" t="n">
        <v>0</v>
      </c>
      <c r="M7470" t="n">
        <v>0</v>
      </c>
      <c r="N7470" t="n">
        <v>0</v>
      </c>
      <c r="O7470" t="n">
        <v>0</v>
      </c>
      <c r="P7470" t="n">
        <v>0</v>
      </c>
      <c r="Q7470" t="n">
        <v>0</v>
      </c>
      <c r="R7470" s="2" t="inlineStr"/>
    </row>
    <row r="7471" ht="15" customHeight="1">
      <c r="A7471" t="inlineStr">
        <is>
          <t>A 62757-2023</t>
        </is>
      </c>
      <c r="B7471" s="1" t="n">
        <v>45268</v>
      </c>
      <c r="C7471" s="1" t="n">
        <v>45798</v>
      </c>
      <c r="D7471" t="inlineStr">
        <is>
          <t>NORRBOTTENS LÄN</t>
        </is>
      </c>
      <c r="E7471" t="inlineStr">
        <is>
          <t>ÄLVSBYN</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62746-2023</t>
        </is>
      </c>
      <c r="B7472" s="1" t="n">
        <v>45268</v>
      </c>
      <c r="C7472" s="1" t="n">
        <v>45798</v>
      </c>
      <c r="D7472" t="inlineStr">
        <is>
          <t>NORRBOTTENS LÄN</t>
        </is>
      </c>
      <c r="E7472" t="inlineStr">
        <is>
          <t>ÄLVSBYN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62811-2023</t>
        </is>
      </c>
      <c r="B7473" s="1" t="n">
        <v>45268</v>
      </c>
      <c r="C7473" s="1" t="n">
        <v>45798</v>
      </c>
      <c r="D7473" t="inlineStr">
        <is>
          <t>NORRBOTTENS LÄN</t>
        </is>
      </c>
      <c r="E7473" t="inlineStr">
        <is>
          <t>ARJEPLOG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62813-2023</t>
        </is>
      </c>
      <c r="B7474" s="1" t="n">
        <v>45268</v>
      </c>
      <c r="C7474" s="1" t="n">
        <v>45798</v>
      </c>
      <c r="D7474" t="inlineStr">
        <is>
          <t>NORRBOTTENS LÄN</t>
        </is>
      </c>
      <c r="E7474" t="inlineStr">
        <is>
          <t>ARJEPLOG</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62801-2023</t>
        </is>
      </c>
      <c r="B7475" s="1" t="n">
        <v>45268</v>
      </c>
      <c r="C7475" s="1" t="n">
        <v>45798</v>
      </c>
      <c r="D7475" t="inlineStr">
        <is>
          <t>NORRBOTTENS LÄN</t>
        </is>
      </c>
      <c r="E7475" t="inlineStr">
        <is>
          <t>ARJEPLOG</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62576-2023</t>
        </is>
      </c>
      <c r="B7476" s="1" t="n">
        <v>45270</v>
      </c>
      <c r="C7476" s="1" t="n">
        <v>45798</v>
      </c>
      <c r="D7476" t="inlineStr">
        <is>
          <t>NORRBOTTENS LÄN</t>
        </is>
      </c>
      <c r="E7476" t="inlineStr">
        <is>
          <t>PAJALA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62580-2023</t>
        </is>
      </c>
      <c r="B7477" s="1" t="n">
        <v>45270</v>
      </c>
      <c r="C7477" s="1" t="n">
        <v>45798</v>
      </c>
      <c r="D7477" t="inlineStr">
        <is>
          <t>NORRBOTTENS LÄN</t>
        </is>
      </c>
      <c r="E7477" t="inlineStr">
        <is>
          <t>PAJALA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62696-2023</t>
        </is>
      </c>
      <c r="B7478" s="1" t="n">
        <v>45271</v>
      </c>
      <c r="C7478" s="1" t="n">
        <v>45798</v>
      </c>
      <c r="D7478" t="inlineStr">
        <is>
          <t>NORRBOTTENS LÄN</t>
        </is>
      </c>
      <c r="E7478" t="inlineStr">
        <is>
          <t>ÄLVSBYN</t>
        </is>
      </c>
      <c r="F7478" t="inlineStr">
        <is>
          <t>Övriga Aktiebolag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62829-2023</t>
        </is>
      </c>
      <c r="B7479" s="1" t="n">
        <v>45271</v>
      </c>
      <c r="C7479" s="1" t="n">
        <v>45798</v>
      </c>
      <c r="D7479" t="inlineStr">
        <is>
          <t>NORRBOTTENS LÄN</t>
        </is>
      </c>
      <c r="E7479" t="inlineStr">
        <is>
          <t>PAJALA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62820-2023</t>
        </is>
      </c>
      <c r="B7480" s="1" t="n">
        <v>45271</v>
      </c>
      <c r="C7480" s="1" t="n">
        <v>45798</v>
      </c>
      <c r="D7480" t="inlineStr">
        <is>
          <t>NORRBOTTENS LÄN</t>
        </is>
      </c>
      <c r="E7480" t="inlineStr">
        <is>
          <t>PITEÅ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62828-2023</t>
        </is>
      </c>
      <c r="B7481" s="1" t="n">
        <v>45271</v>
      </c>
      <c r="C7481" s="1" t="n">
        <v>45798</v>
      </c>
      <c r="D7481" t="inlineStr">
        <is>
          <t>NORRBOTTENS LÄN</t>
        </is>
      </c>
      <c r="E7481" t="inlineStr">
        <is>
          <t>PAJALA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62826-2023</t>
        </is>
      </c>
      <c r="B7482" s="1" t="n">
        <v>45271</v>
      </c>
      <c r="C7482" s="1" t="n">
        <v>45798</v>
      </c>
      <c r="D7482" t="inlineStr">
        <is>
          <t>NORRBOTTENS LÄN</t>
        </is>
      </c>
      <c r="E7482" t="inlineStr">
        <is>
          <t>ÖVERTORNEÅ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62830-2023</t>
        </is>
      </c>
      <c r="B7483" s="1" t="n">
        <v>45271</v>
      </c>
      <c r="C7483" s="1" t="n">
        <v>45798</v>
      </c>
      <c r="D7483" t="inlineStr">
        <is>
          <t>NORRBOTTENS LÄN</t>
        </is>
      </c>
      <c r="E7483" t="inlineStr">
        <is>
          <t>PAJALA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62788-2023</t>
        </is>
      </c>
      <c r="B7484" s="1" t="n">
        <v>45271</v>
      </c>
      <c r="C7484" s="1" t="n">
        <v>45798</v>
      </c>
      <c r="D7484" t="inlineStr">
        <is>
          <t>NORRBOTTENS LÄN</t>
        </is>
      </c>
      <c r="E7484" t="inlineStr">
        <is>
          <t>GÄLLIVARE</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62819-2023</t>
        </is>
      </c>
      <c r="B7485" s="1" t="n">
        <v>45271</v>
      </c>
      <c r="C7485" s="1" t="n">
        <v>45798</v>
      </c>
      <c r="D7485" t="inlineStr">
        <is>
          <t>NORRBOTTENS LÄN</t>
        </is>
      </c>
      <c r="E7485" t="inlineStr">
        <is>
          <t>PITEÅ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62881-2023</t>
        </is>
      </c>
      <c r="B7486" s="1" t="n">
        <v>45272</v>
      </c>
      <c r="C7486" s="1" t="n">
        <v>45798</v>
      </c>
      <c r="D7486" t="inlineStr">
        <is>
          <t>NORRBOTTENS LÄN</t>
        </is>
      </c>
      <c r="E7486" t="inlineStr">
        <is>
          <t>PAJALA</t>
        </is>
      </c>
      <c r="F7486" t="inlineStr">
        <is>
          <t>Sveaskog</t>
        </is>
      </c>
      <c r="G7486" t="n">
        <v>18.8</v>
      </c>
      <c r="H7486" t="n">
        <v>0</v>
      </c>
      <c r="I7486" t="n">
        <v>0</v>
      </c>
      <c r="J7486" t="n">
        <v>0</v>
      </c>
      <c r="K7486" t="n">
        <v>0</v>
      </c>
      <c r="L7486" t="n">
        <v>0</v>
      </c>
      <c r="M7486" t="n">
        <v>0</v>
      </c>
      <c r="N7486" t="n">
        <v>0</v>
      </c>
      <c r="O7486" t="n">
        <v>0</v>
      </c>
      <c r="P7486" t="n">
        <v>0</v>
      </c>
      <c r="Q7486" t="n">
        <v>0</v>
      </c>
      <c r="R7486" s="2" t="inlineStr"/>
    </row>
    <row r="7487" ht="15" customHeight="1">
      <c r="A7487" t="inlineStr">
        <is>
          <t>A 62916-2023</t>
        </is>
      </c>
      <c r="B7487" s="1" t="n">
        <v>45272</v>
      </c>
      <c r="C7487" s="1" t="n">
        <v>45798</v>
      </c>
      <c r="D7487" t="inlineStr">
        <is>
          <t>NORRBOTTENS LÄN</t>
        </is>
      </c>
      <c r="E7487" t="inlineStr">
        <is>
          <t>KALIX</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62990-2023</t>
        </is>
      </c>
      <c r="B7488" s="1" t="n">
        <v>45272</v>
      </c>
      <c r="C7488" s="1" t="n">
        <v>45798</v>
      </c>
      <c r="D7488" t="inlineStr">
        <is>
          <t>NORRBOTTENS LÄN</t>
        </is>
      </c>
      <c r="E7488" t="inlineStr">
        <is>
          <t>PAJALA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62880-2023</t>
        </is>
      </c>
      <c r="B7489" s="1" t="n">
        <v>45272</v>
      </c>
      <c r="C7489" s="1" t="n">
        <v>45798</v>
      </c>
      <c r="D7489" t="inlineStr">
        <is>
          <t>NORRBOTTENS LÄN</t>
        </is>
      </c>
      <c r="E7489" t="inlineStr">
        <is>
          <t>ÄLVSBYN</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62894-2023</t>
        </is>
      </c>
      <c r="B7490" s="1" t="n">
        <v>45272</v>
      </c>
      <c r="C7490" s="1" t="n">
        <v>45798</v>
      </c>
      <c r="D7490" t="inlineStr">
        <is>
          <t>NORRBOTTENS LÄN</t>
        </is>
      </c>
      <c r="E7490" t="inlineStr">
        <is>
          <t>BODEN</t>
        </is>
      </c>
      <c r="G7490" t="n">
        <v>8.9</v>
      </c>
      <c r="H7490" t="n">
        <v>0</v>
      </c>
      <c r="I7490" t="n">
        <v>0</v>
      </c>
      <c r="J7490" t="n">
        <v>0</v>
      </c>
      <c r="K7490" t="n">
        <v>0</v>
      </c>
      <c r="L7490" t="n">
        <v>0</v>
      </c>
      <c r="M7490" t="n">
        <v>0</v>
      </c>
      <c r="N7490" t="n">
        <v>0</v>
      </c>
      <c r="O7490" t="n">
        <v>0</v>
      </c>
      <c r="P7490" t="n">
        <v>0</v>
      </c>
      <c r="Q7490" t="n">
        <v>0</v>
      </c>
      <c r="R7490" s="2" t="inlineStr"/>
    </row>
    <row r="7491" ht="15" customHeight="1">
      <c r="A7491" t="inlineStr">
        <is>
          <t>A 62970-2023</t>
        </is>
      </c>
      <c r="B7491" s="1" t="n">
        <v>45272</v>
      </c>
      <c r="C7491" s="1" t="n">
        <v>45798</v>
      </c>
      <c r="D7491" t="inlineStr">
        <is>
          <t>NORRBOTTENS LÄN</t>
        </is>
      </c>
      <c r="E7491" t="inlineStr">
        <is>
          <t>KALIX</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62949-2023</t>
        </is>
      </c>
      <c r="B7492" s="1" t="n">
        <v>45272</v>
      </c>
      <c r="C7492" s="1" t="n">
        <v>45798</v>
      </c>
      <c r="D7492" t="inlineStr">
        <is>
          <t>NORRBOTTENS LÄN</t>
        </is>
      </c>
      <c r="E7492" t="inlineStr">
        <is>
          <t>GÄLLIVARE</t>
        </is>
      </c>
      <c r="F7492" t="inlineStr">
        <is>
          <t>Sveaskog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62989-2023</t>
        </is>
      </c>
      <c r="B7493" s="1" t="n">
        <v>45272</v>
      </c>
      <c r="C7493" s="1" t="n">
        <v>45798</v>
      </c>
      <c r="D7493" t="inlineStr">
        <is>
          <t>NORRBOTTENS LÄN</t>
        </is>
      </c>
      <c r="E7493" t="inlineStr">
        <is>
          <t>PAJALA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63056-2023</t>
        </is>
      </c>
      <c r="B7494" s="1" t="n">
        <v>45272</v>
      </c>
      <c r="C7494" s="1" t="n">
        <v>45798</v>
      </c>
      <c r="D7494" t="inlineStr">
        <is>
          <t>NORRBOTTENS LÄN</t>
        </is>
      </c>
      <c r="E7494" t="inlineStr">
        <is>
          <t>ÖVERTORNEÅ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63157-2023</t>
        </is>
      </c>
      <c r="B7495" s="1" t="n">
        <v>45273</v>
      </c>
      <c r="C7495" s="1" t="n">
        <v>45798</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63182-2023</t>
        </is>
      </c>
      <c r="B7496" s="1" t="n">
        <v>45273</v>
      </c>
      <c r="C7496" s="1" t="n">
        <v>45798</v>
      </c>
      <c r="D7496" t="inlineStr">
        <is>
          <t>NORRBOTTENS LÄN</t>
        </is>
      </c>
      <c r="E7496" t="inlineStr">
        <is>
          <t>PITEÅ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63189-2023</t>
        </is>
      </c>
      <c r="B7497" s="1" t="n">
        <v>45273</v>
      </c>
      <c r="C7497" s="1" t="n">
        <v>45798</v>
      </c>
      <c r="D7497" t="inlineStr">
        <is>
          <t>NORRBOTTENS LÄN</t>
        </is>
      </c>
      <c r="E7497" t="inlineStr">
        <is>
          <t>PITEÅ</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63221-2023</t>
        </is>
      </c>
      <c r="B7498" s="1" t="n">
        <v>45273</v>
      </c>
      <c r="C7498" s="1" t="n">
        <v>45798</v>
      </c>
      <c r="D7498" t="inlineStr">
        <is>
          <t>NORRBOTTENS LÄN</t>
        </is>
      </c>
      <c r="E7498" t="inlineStr">
        <is>
          <t>PITEÅ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63164-2023</t>
        </is>
      </c>
      <c r="B7499" s="1" t="n">
        <v>45273</v>
      </c>
      <c r="C7499" s="1" t="n">
        <v>45798</v>
      </c>
      <c r="D7499" t="inlineStr">
        <is>
          <t>NORRBOTTENS LÄN</t>
        </is>
      </c>
      <c r="E7499" t="inlineStr">
        <is>
          <t>KALIX</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63197-2023</t>
        </is>
      </c>
      <c r="B7500" s="1" t="n">
        <v>45273</v>
      </c>
      <c r="C7500" s="1" t="n">
        <v>45798</v>
      </c>
      <c r="D7500" t="inlineStr">
        <is>
          <t>NORRBOTTENS LÄN</t>
        </is>
      </c>
      <c r="E7500" t="inlineStr">
        <is>
          <t>PITEÅ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63224-2023</t>
        </is>
      </c>
      <c r="B7501" s="1" t="n">
        <v>45273</v>
      </c>
      <c r="C7501" s="1" t="n">
        <v>45798</v>
      </c>
      <c r="D7501" t="inlineStr">
        <is>
          <t>NORRBOTTENS LÄN</t>
        </is>
      </c>
      <c r="E7501" t="inlineStr">
        <is>
          <t>PITEÅ</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63159-2023</t>
        </is>
      </c>
      <c r="B7502" s="1" t="n">
        <v>45273</v>
      </c>
      <c r="C7502" s="1" t="n">
        <v>45798</v>
      </c>
      <c r="D7502" t="inlineStr">
        <is>
          <t>NORRBOTTENS LÄN</t>
        </is>
      </c>
      <c r="E7502" t="inlineStr">
        <is>
          <t>HAPARANDA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63179-2023</t>
        </is>
      </c>
      <c r="B7503" s="1" t="n">
        <v>45273</v>
      </c>
      <c r="C7503" s="1" t="n">
        <v>45798</v>
      </c>
      <c r="D7503" t="inlineStr">
        <is>
          <t>NORRBOTTENS LÄN</t>
        </is>
      </c>
      <c r="E7503" t="inlineStr">
        <is>
          <t>PITEÅ</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63285-2023</t>
        </is>
      </c>
      <c r="B7504" s="1" t="n">
        <v>45273</v>
      </c>
      <c r="C7504" s="1" t="n">
        <v>45798</v>
      </c>
      <c r="D7504" t="inlineStr">
        <is>
          <t>NORRBOTTENS LÄN</t>
        </is>
      </c>
      <c r="E7504" t="inlineStr">
        <is>
          <t>ÖVERTORNEÅ</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63260-2023</t>
        </is>
      </c>
      <c r="B7505" s="1" t="n">
        <v>45273</v>
      </c>
      <c r="C7505" s="1" t="n">
        <v>45798</v>
      </c>
      <c r="D7505" t="inlineStr">
        <is>
          <t>NORRBOTTENS LÄN</t>
        </is>
      </c>
      <c r="E7505" t="inlineStr">
        <is>
          <t>LULEÅ</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63235-2023</t>
        </is>
      </c>
      <c r="B7506" s="1" t="n">
        <v>45273</v>
      </c>
      <c r="C7506" s="1" t="n">
        <v>45798</v>
      </c>
      <c r="D7506" t="inlineStr">
        <is>
          <t>NORRBOTTENS LÄN</t>
        </is>
      </c>
      <c r="E7506" t="inlineStr">
        <is>
          <t>PITEÅ</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63382-2023</t>
        </is>
      </c>
      <c r="B7507" s="1" t="n">
        <v>45274</v>
      </c>
      <c r="C7507" s="1" t="n">
        <v>45798</v>
      </c>
      <c r="D7507" t="inlineStr">
        <is>
          <t>NORRBOTTENS LÄN</t>
        </is>
      </c>
      <c r="E7507" t="inlineStr">
        <is>
          <t>ARVIDSJAUR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63475-2023</t>
        </is>
      </c>
      <c r="B7508" s="1" t="n">
        <v>45274</v>
      </c>
      <c r="C7508" s="1" t="n">
        <v>45798</v>
      </c>
      <c r="D7508" t="inlineStr">
        <is>
          <t>NORRBOTTENS LÄN</t>
        </is>
      </c>
      <c r="E7508" t="inlineStr">
        <is>
          <t>ÖVERTORNEÅ</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63491-2023</t>
        </is>
      </c>
      <c r="B7509" s="1" t="n">
        <v>45274</v>
      </c>
      <c r="C7509" s="1" t="n">
        <v>45798</v>
      </c>
      <c r="D7509" t="inlineStr">
        <is>
          <t>NORRBOTTENS LÄN</t>
        </is>
      </c>
      <c r="E7509" t="inlineStr">
        <is>
          <t>ÖVERKALIX</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63527-2023</t>
        </is>
      </c>
      <c r="B7510" s="1" t="n">
        <v>45274</v>
      </c>
      <c r="C7510" s="1" t="n">
        <v>45798</v>
      </c>
      <c r="D7510" t="inlineStr">
        <is>
          <t>NORRBOTTENS LÄN</t>
        </is>
      </c>
      <c r="E7510" t="inlineStr">
        <is>
          <t>ÖVERTORNEÅ</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63526-2023</t>
        </is>
      </c>
      <c r="B7511" s="1" t="n">
        <v>45274</v>
      </c>
      <c r="C7511" s="1" t="n">
        <v>45798</v>
      </c>
      <c r="D7511" t="inlineStr">
        <is>
          <t>NORRBOTTENS LÄN</t>
        </is>
      </c>
      <c r="E7511" t="inlineStr">
        <is>
          <t>ÖVERTORNEÅ</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63607-2023</t>
        </is>
      </c>
      <c r="B7512" s="1" t="n">
        <v>45275</v>
      </c>
      <c r="C7512" s="1" t="n">
        <v>45798</v>
      </c>
      <c r="D7512" t="inlineStr">
        <is>
          <t>NORRBOTTENS LÄN</t>
        </is>
      </c>
      <c r="E7512" t="inlineStr">
        <is>
          <t>HAPARANDA</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63705-2023</t>
        </is>
      </c>
      <c r="B7513" s="1" t="n">
        <v>45275</v>
      </c>
      <c r="C7513" s="1" t="n">
        <v>45798</v>
      </c>
      <c r="D7513" t="inlineStr">
        <is>
          <t>NORRBOTTENS LÄN</t>
        </is>
      </c>
      <c r="E7513" t="inlineStr">
        <is>
          <t>BODEN</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63772-2023</t>
        </is>
      </c>
      <c r="B7514" s="1" t="n">
        <v>45275</v>
      </c>
      <c r="C7514" s="1" t="n">
        <v>45798</v>
      </c>
      <c r="D7514" t="inlineStr">
        <is>
          <t>NORRBOTTENS LÄN</t>
        </is>
      </c>
      <c r="E7514" t="inlineStr">
        <is>
          <t>PAJALA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63760-2023</t>
        </is>
      </c>
      <c r="B7515" s="1" t="n">
        <v>45278</v>
      </c>
      <c r="C7515" s="1" t="n">
        <v>45798</v>
      </c>
      <c r="D7515" t="inlineStr">
        <is>
          <t>NORRBOTTENS LÄN</t>
        </is>
      </c>
      <c r="E7515" t="inlineStr">
        <is>
          <t>JOKKMOKK</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63758-2023</t>
        </is>
      </c>
      <c r="B7516" s="1" t="n">
        <v>45278</v>
      </c>
      <c r="C7516" s="1" t="n">
        <v>45798</v>
      </c>
      <c r="D7516" t="inlineStr">
        <is>
          <t>NORRBOTTENS LÄN</t>
        </is>
      </c>
      <c r="E7516" t="inlineStr">
        <is>
          <t>JOKKMOKK</t>
        </is>
      </c>
      <c r="F7516" t="inlineStr">
        <is>
          <t>Övriga Aktiebolag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63801-2023</t>
        </is>
      </c>
      <c r="B7517" s="1" t="n">
        <v>45278</v>
      </c>
      <c r="C7517" s="1" t="n">
        <v>45798</v>
      </c>
      <c r="D7517" t="inlineStr">
        <is>
          <t>NORRBOTTENS LÄN</t>
        </is>
      </c>
      <c r="E7517" t="inlineStr">
        <is>
          <t>LULEÅ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63841-2023</t>
        </is>
      </c>
      <c r="B7518" s="1" t="n">
        <v>45278</v>
      </c>
      <c r="C7518" s="1" t="n">
        <v>45798</v>
      </c>
      <c r="D7518" t="inlineStr">
        <is>
          <t>NORRBOTTENS LÄN</t>
        </is>
      </c>
      <c r="E7518" t="inlineStr">
        <is>
          <t>HAPARANDA</t>
        </is>
      </c>
      <c r="G7518" t="n">
        <v>14.2</v>
      </c>
      <c r="H7518" t="n">
        <v>0</v>
      </c>
      <c r="I7518" t="n">
        <v>0</v>
      </c>
      <c r="J7518" t="n">
        <v>0</v>
      </c>
      <c r="K7518" t="n">
        <v>0</v>
      </c>
      <c r="L7518" t="n">
        <v>0</v>
      </c>
      <c r="M7518" t="n">
        <v>0</v>
      </c>
      <c r="N7518" t="n">
        <v>0</v>
      </c>
      <c r="O7518" t="n">
        <v>0</v>
      </c>
      <c r="P7518" t="n">
        <v>0</v>
      </c>
      <c r="Q7518" t="n">
        <v>0</v>
      </c>
      <c r="R7518" s="2" t="inlineStr"/>
    </row>
    <row r="7519" ht="15" customHeight="1">
      <c r="A7519" t="inlineStr">
        <is>
          <t>A 63800-2023</t>
        </is>
      </c>
      <c r="B7519" s="1" t="n">
        <v>45278</v>
      </c>
      <c r="C7519" s="1" t="n">
        <v>45798</v>
      </c>
      <c r="D7519" t="inlineStr">
        <is>
          <t>NORRBOTTENS LÄN</t>
        </is>
      </c>
      <c r="E7519" t="inlineStr">
        <is>
          <t>HAPARANDA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63850-2023</t>
        </is>
      </c>
      <c r="B7520" s="1" t="n">
        <v>45278</v>
      </c>
      <c r="C7520" s="1" t="n">
        <v>45798</v>
      </c>
      <c r="D7520" t="inlineStr">
        <is>
          <t>NORRBOTTENS LÄN</t>
        </is>
      </c>
      <c r="E7520" t="inlineStr">
        <is>
          <t>HAPARANDA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63909-2023</t>
        </is>
      </c>
      <c r="B7521" s="1" t="n">
        <v>45278</v>
      </c>
      <c r="C7521" s="1" t="n">
        <v>45798</v>
      </c>
      <c r="D7521" t="inlineStr">
        <is>
          <t>NORRBOTTENS LÄN</t>
        </is>
      </c>
      <c r="E7521" t="inlineStr">
        <is>
          <t>LULEÅ</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63937-2023</t>
        </is>
      </c>
      <c r="B7522" s="1" t="n">
        <v>45278</v>
      </c>
      <c r="C7522" s="1" t="n">
        <v>45798</v>
      </c>
      <c r="D7522" t="inlineStr">
        <is>
          <t>NORRBOTTENS LÄN</t>
        </is>
      </c>
      <c r="E7522" t="inlineStr">
        <is>
          <t>PAJALA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63949-2023</t>
        </is>
      </c>
      <c r="B7523" s="1" t="n">
        <v>45278</v>
      </c>
      <c r="C7523" s="1" t="n">
        <v>45798</v>
      </c>
      <c r="D7523" t="inlineStr">
        <is>
          <t>NORRBOTTENS LÄN</t>
        </is>
      </c>
      <c r="E7523" t="inlineStr">
        <is>
          <t>HAPARANDA</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63953-2023</t>
        </is>
      </c>
      <c r="B7524" s="1" t="n">
        <v>45278</v>
      </c>
      <c r="C7524" s="1" t="n">
        <v>45798</v>
      </c>
      <c r="D7524" t="inlineStr">
        <is>
          <t>NORRBOTTENS LÄN</t>
        </is>
      </c>
      <c r="E7524" t="inlineStr">
        <is>
          <t>ÄLVSBYN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63965-2023</t>
        </is>
      </c>
      <c r="B7525" s="1" t="n">
        <v>45278</v>
      </c>
      <c r="C7525" s="1" t="n">
        <v>45798</v>
      </c>
      <c r="D7525" t="inlineStr">
        <is>
          <t>NORRBOTTENS LÄN</t>
        </is>
      </c>
      <c r="E7525" t="inlineStr">
        <is>
          <t>KALIX</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63938-2023</t>
        </is>
      </c>
      <c r="B7526" s="1" t="n">
        <v>45278</v>
      </c>
      <c r="C7526" s="1" t="n">
        <v>45798</v>
      </c>
      <c r="D7526" t="inlineStr">
        <is>
          <t>NORRBOTTENS LÄN</t>
        </is>
      </c>
      <c r="E7526" t="inlineStr">
        <is>
          <t>JOKKMOKK</t>
        </is>
      </c>
      <c r="F7526" t="inlineStr">
        <is>
          <t>Sveaskog</t>
        </is>
      </c>
      <c r="G7526" t="n">
        <v>40</v>
      </c>
      <c r="H7526" t="n">
        <v>0</v>
      </c>
      <c r="I7526" t="n">
        <v>0</v>
      </c>
      <c r="J7526" t="n">
        <v>0</v>
      </c>
      <c r="K7526" t="n">
        <v>0</v>
      </c>
      <c r="L7526" t="n">
        <v>0</v>
      </c>
      <c r="M7526" t="n">
        <v>0</v>
      </c>
      <c r="N7526" t="n">
        <v>0</v>
      </c>
      <c r="O7526" t="n">
        <v>0</v>
      </c>
      <c r="P7526" t="n">
        <v>0</v>
      </c>
      <c r="Q7526" t="n">
        <v>0</v>
      </c>
      <c r="R7526" s="2" t="inlineStr"/>
    </row>
    <row r="7527" ht="15" customHeight="1">
      <c r="A7527" t="inlineStr">
        <is>
          <t>A 63954-2023</t>
        </is>
      </c>
      <c r="B7527" s="1" t="n">
        <v>45278</v>
      </c>
      <c r="C7527" s="1" t="n">
        <v>45798</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63970-2023</t>
        </is>
      </c>
      <c r="B7528" s="1" t="n">
        <v>45278</v>
      </c>
      <c r="C7528" s="1" t="n">
        <v>45798</v>
      </c>
      <c r="D7528" t="inlineStr">
        <is>
          <t>NORRBOTTENS LÄN</t>
        </is>
      </c>
      <c r="E7528" t="inlineStr">
        <is>
          <t>KALIX</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63875-2023</t>
        </is>
      </c>
      <c r="B7529" s="1" t="n">
        <v>45278</v>
      </c>
      <c r="C7529" s="1" t="n">
        <v>45798</v>
      </c>
      <c r="D7529" t="inlineStr">
        <is>
          <t>NORRBOTTENS LÄN</t>
        </is>
      </c>
      <c r="E7529" t="inlineStr">
        <is>
          <t>PITEÅ</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63927-2023</t>
        </is>
      </c>
      <c r="B7530" s="1" t="n">
        <v>45278</v>
      </c>
      <c r="C7530" s="1" t="n">
        <v>45798</v>
      </c>
      <c r="D7530" t="inlineStr">
        <is>
          <t>NORRBOTTENS LÄN</t>
        </is>
      </c>
      <c r="E7530" t="inlineStr">
        <is>
          <t>ÄLVSBYN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63824-2023</t>
        </is>
      </c>
      <c r="B7531" s="1" t="n">
        <v>45278</v>
      </c>
      <c r="C7531" s="1" t="n">
        <v>45798</v>
      </c>
      <c r="D7531" t="inlineStr">
        <is>
          <t>NORRBOTTENS LÄN</t>
        </is>
      </c>
      <c r="E7531" t="inlineStr">
        <is>
          <t>BODEN</t>
        </is>
      </c>
      <c r="F7531" t="inlineStr">
        <is>
          <t>Sveaskog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63828-2023</t>
        </is>
      </c>
      <c r="B7532" s="1" t="n">
        <v>45278</v>
      </c>
      <c r="C7532" s="1" t="n">
        <v>45798</v>
      </c>
      <c r="D7532" t="inlineStr">
        <is>
          <t>NORRBOTTENS LÄN</t>
        </is>
      </c>
      <c r="E7532" t="inlineStr">
        <is>
          <t>ARVIDSJAUR</t>
        </is>
      </c>
      <c r="F7532" t="inlineStr">
        <is>
          <t>Sveaskog</t>
        </is>
      </c>
      <c r="G7532" t="n">
        <v>28.4</v>
      </c>
      <c r="H7532" t="n">
        <v>0</v>
      </c>
      <c r="I7532" t="n">
        <v>0</v>
      </c>
      <c r="J7532" t="n">
        <v>0</v>
      </c>
      <c r="K7532" t="n">
        <v>0</v>
      </c>
      <c r="L7532" t="n">
        <v>0</v>
      </c>
      <c r="M7532" t="n">
        <v>0</v>
      </c>
      <c r="N7532" t="n">
        <v>0</v>
      </c>
      <c r="O7532" t="n">
        <v>0</v>
      </c>
      <c r="P7532" t="n">
        <v>0</v>
      </c>
      <c r="Q7532" t="n">
        <v>0</v>
      </c>
      <c r="R7532" s="2" t="inlineStr"/>
    </row>
    <row r="7533" ht="15" customHeight="1">
      <c r="A7533" t="inlineStr">
        <is>
          <t>A 63844-2023</t>
        </is>
      </c>
      <c r="B7533" s="1" t="n">
        <v>45278</v>
      </c>
      <c r="C7533" s="1" t="n">
        <v>45798</v>
      </c>
      <c r="D7533" t="inlineStr">
        <is>
          <t>NORRBOTTENS LÄN</t>
        </is>
      </c>
      <c r="E7533" t="inlineStr">
        <is>
          <t>HAPARANDA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63848-2023</t>
        </is>
      </c>
      <c r="B7534" s="1" t="n">
        <v>45278</v>
      </c>
      <c r="C7534" s="1" t="n">
        <v>45798</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63864-2023</t>
        </is>
      </c>
      <c r="B7535" s="1" t="n">
        <v>45278</v>
      </c>
      <c r="C7535" s="1" t="n">
        <v>45798</v>
      </c>
      <c r="D7535" t="inlineStr">
        <is>
          <t>NORRBOTTENS LÄN</t>
        </is>
      </c>
      <c r="E7535" t="inlineStr">
        <is>
          <t>LULEÅ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64021-2023</t>
        </is>
      </c>
      <c r="B7536" s="1" t="n">
        <v>45278</v>
      </c>
      <c r="C7536" s="1" t="n">
        <v>45798</v>
      </c>
      <c r="D7536" t="inlineStr">
        <is>
          <t>NORRBOTTENS LÄN</t>
        </is>
      </c>
      <c r="E7536" t="inlineStr">
        <is>
          <t>ÖVERTORNEÅ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64122-2023</t>
        </is>
      </c>
      <c r="B7537" s="1" t="n">
        <v>45279</v>
      </c>
      <c r="C7537" s="1" t="n">
        <v>45798</v>
      </c>
      <c r="D7537" t="inlineStr">
        <is>
          <t>NORRBOTTENS LÄN</t>
        </is>
      </c>
      <c r="E7537" t="inlineStr">
        <is>
          <t>HAPARANDA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64119-2023</t>
        </is>
      </c>
      <c r="B7538" s="1" t="n">
        <v>45279</v>
      </c>
      <c r="C7538" s="1" t="n">
        <v>45798</v>
      </c>
      <c r="D7538" t="inlineStr">
        <is>
          <t>NORRBOTTENS LÄN</t>
        </is>
      </c>
      <c r="E7538" t="inlineStr">
        <is>
          <t>HAPARANDA</t>
        </is>
      </c>
      <c r="G7538" t="n">
        <v>13.3</v>
      </c>
      <c r="H7538" t="n">
        <v>0</v>
      </c>
      <c r="I7538" t="n">
        <v>0</v>
      </c>
      <c r="J7538" t="n">
        <v>0</v>
      </c>
      <c r="K7538" t="n">
        <v>0</v>
      </c>
      <c r="L7538" t="n">
        <v>0</v>
      </c>
      <c r="M7538" t="n">
        <v>0</v>
      </c>
      <c r="N7538" t="n">
        <v>0</v>
      </c>
      <c r="O7538" t="n">
        <v>0</v>
      </c>
      <c r="P7538" t="n">
        <v>0</v>
      </c>
      <c r="Q7538" t="n">
        <v>0</v>
      </c>
      <c r="R7538" s="2" t="inlineStr"/>
    </row>
    <row r="7539" ht="15" customHeight="1">
      <c r="A7539" t="inlineStr">
        <is>
          <t>A 64166-2023</t>
        </is>
      </c>
      <c r="B7539" s="1" t="n">
        <v>45279</v>
      </c>
      <c r="C7539" s="1" t="n">
        <v>45798</v>
      </c>
      <c r="D7539" t="inlineStr">
        <is>
          <t>NORRBOTTENS LÄN</t>
        </is>
      </c>
      <c r="E7539" t="inlineStr">
        <is>
          <t>PITEÅ</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64238-2023</t>
        </is>
      </c>
      <c r="B7540" s="1" t="n">
        <v>45279</v>
      </c>
      <c r="C7540" s="1" t="n">
        <v>45798</v>
      </c>
      <c r="D7540" t="inlineStr">
        <is>
          <t>NORRBOTTENS LÄN</t>
        </is>
      </c>
      <c r="E7540" t="inlineStr">
        <is>
          <t>GÄLLIVARE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64242-2023</t>
        </is>
      </c>
      <c r="B7541" s="1" t="n">
        <v>45279</v>
      </c>
      <c r="C7541" s="1" t="n">
        <v>45798</v>
      </c>
      <c r="D7541" t="inlineStr">
        <is>
          <t>NORRBOTTENS LÄN</t>
        </is>
      </c>
      <c r="E7541" t="inlineStr">
        <is>
          <t>LULEÅ</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64237-2023</t>
        </is>
      </c>
      <c r="B7542" s="1" t="n">
        <v>45279</v>
      </c>
      <c r="C7542" s="1" t="n">
        <v>45798</v>
      </c>
      <c r="D7542" t="inlineStr">
        <is>
          <t>NORRBOTTENS LÄN</t>
        </is>
      </c>
      <c r="E7542" t="inlineStr">
        <is>
          <t>GÄLLIVARE</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64241-2023</t>
        </is>
      </c>
      <c r="B7543" s="1" t="n">
        <v>45279</v>
      </c>
      <c r="C7543" s="1" t="n">
        <v>45798</v>
      </c>
      <c r="D7543" t="inlineStr">
        <is>
          <t>NORRBOTTENS LÄN</t>
        </is>
      </c>
      <c r="E7543" t="inlineStr">
        <is>
          <t>ÖVERTORNEÅ</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64253-2023</t>
        </is>
      </c>
      <c r="B7544" s="1" t="n">
        <v>45279</v>
      </c>
      <c r="C7544" s="1" t="n">
        <v>45798</v>
      </c>
      <c r="D7544" t="inlineStr">
        <is>
          <t>NORRBOTTENS LÄN</t>
        </is>
      </c>
      <c r="E7544" t="inlineStr">
        <is>
          <t>ÖVERTORNEÅ</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64139-2023</t>
        </is>
      </c>
      <c r="B7545" s="1" t="n">
        <v>45279</v>
      </c>
      <c r="C7545" s="1" t="n">
        <v>45798</v>
      </c>
      <c r="D7545" t="inlineStr">
        <is>
          <t>NORRBOTTENS LÄN</t>
        </is>
      </c>
      <c r="E7545" t="inlineStr">
        <is>
          <t>HAPARANDA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64239-2023</t>
        </is>
      </c>
      <c r="B7546" s="1" t="n">
        <v>45279</v>
      </c>
      <c r="C7546" s="1" t="n">
        <v>45798</v>
      </c>
      <c r="D7546" t="inlineStr">
        <is>
          <t>NORRBOTTENS LÄN</t>
        </is>
      </c>
      <c r="E7546" t="inlineStr">
        <is>
          <t>GÄLLIVARE</t>
        </is>
      </c>
      <c r="G7546" t="n">
        <v>11.1</v>
      </c>
      <c r="H7546" t="n">
        <v>0</v>
      </c>
      <c r="I7546" t="n">
        <v>0</v>
      </c>
      <c r="J7546" t="n">
        <v>0</v>
      </c>
      <c r="K7546" t="n">
        <v>0</v>
      </c>
      <c r="L7546" t="n">
        <v>0</v>
      </c>
      <c r="M7546" t="n">
        <v>0</v>
      </c>
      <c r="N7546" t="n">
        <v>0</v>
      </c>
      <c r="O7546" t="n">
        <v>0</v>
      </c>
      <c r="P7546" t="n">
        <v>0</v>
      </c>
      <c r="Q7546" t="n">
        <v>0</v>
      </c>
      <c r="R7546" s="2" t="inlineStr"/>
    </row>
    <row r="7547" ht="15" customHeight="1">
      <c r="A7547" t="inlineStr">
        <is>
          <t>A 64243-2023</t>
        </is>
      </c>
      <c r="B7547" s="1" t="n">
        <v>45279</v>
      </c>
      <c r="C7547" s="1" t="n">
        <v>45798</v>
      </c>
      <c r="D7547" t="inlineStr">
        <is>
          <t>NORRBOTTENS LÄN</t>
        </is>
      </c>
      <c r="E7547" t="inlineStr">
        <is>
          <t>ÖVERTORNEÅ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64261-2023</t>
        </is>
      </c>
      <c r="B7548" s="1" t="n">
        <v>45279</v>
      </c>
      <c r="C7548" s="1" t="n">
        <v>45798</v>
      </c>
      <c r="D7548" t="inlineStr">
        <is>
          <t>NORRBOTTENS LÄN</t>
        </is>
      </c>
      <c r="E7548" t="inlineStr">
        <is>
          <t>GÄLLIVARE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64232-2023</t>
        </is>
      </c>
      <c r="B7549" s="1" t="n">
        <v>45279</v>
      </c>
      <c r="C7549" s="1" t="n">
        <v>45798</v>
      </c>
      <c r="D7549" t="inlineStr">
        <is>
          <t>NORRBOTTENS LÄN</t>
        </is>
      </c>
      <c r="E7549" t="inlineStr">
        <is>
          <t>GÄLLIVARE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64240-2023</t>
        </is>
      </c>
      <c r="B7550" s="1" t="n">
        <v>45279</v>
      </c>
      <c r="C7550" s="1" t="n">
        <v>45798</v>
      </c>
      <c r="D7550" t="inlineStr">
        <is>
          <t>NORRBOTTENS LÄN</t>
        </is>
      </c>
      <c r="E7550" t="inlineStr">
        <is>
          <t>LULEÅ</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64252-2023</t>
        </is>
      </c>
      <c r="B7551" s="1" t="n">
        <v>45279</v>
      </c>
      <c r="C7551" s="1" t="n">
        <v>45798</v>
      </c>
      <c r="D7551" t="inlineStr">
        <is>
          <t>NORRBOTTENS LÄN</t>
        </is>
      </c>
      <c r="E7551" t="inlineStr">
        <is>
          <t>ÖVERTORNEÅ</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64307-2023</t>
        </is>
      </c>
      <c r="B7552" s="1" t="n">
        <v>45279</v>
      </c>
      <c r="C7552" s="1" t="n">
        <v>45798</v>
      </c>
      <c r="D7552" t="inlineStr">
        <is>
          <t>NORRBOTTENS LÄN</t>
        </is>
      </c>
      <c r="E7552" t="inlineStr">
        <is>
          <t>PITEÅ</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64262-2023</t>
        </is>
      </c>
      <c r="B7553" s="1" t="n">
        <v>45279</v>
      </c>
      <c r="C7553" s="1" t="n">
        <v>45798</v>
      </c>
      <c r="D7553" t="inlineStr">
        <is>
          <t>NORRBOTTENS LÄN</t>
        </is>
      </c>
      <c r="E7553" t="inlineStr">
        <is>
          <t>GÄLLIVARE</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64260-2023</t>
        </is>
      </c>
      <c r="B7554" s="1" t="n">
        <v>45279</v>
      </c>
      <c r="C7554" s="1" t="n">
        <v>45798</v>
      </c>
      <c r="D7554" t="inlineStr">
        <is>
          <t>NORRBOTTENS LÄN</t>
        </is>
      </c>
      <c r="E7554" t="inlineStr">
        <is>
          <t>GÄLLIVARE</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64301-2023</t>
        </is>
      </c>
      <c r="B7555" s="1" t="n">
        <v>45279</v>
      </c>
      <c r="C7555" s="1" t="n">
        <v>45798</v>
      </c>
      <c r="D7555" t="inlineStr">
        <is>
          <t>NORRBOTTENS LÄN</t>
        </is>
      </c>
      <c r="E7555" t="inlineStr">
        <is>
          <t>PITEÅ</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64335-2023</t>
        </is>
      </c>
      <c r="B7556" s="1" t="n">
        <v>45280</v>
      </c>
      <c r="C7556" s="1" t="n">
        <v>45798</v>
      </c>
      <c r="D7556" t="inlineStr">
        <is>
          <t>NORRBOTTENS LÄN</t>
        </is>
      </c>
      <c r="E7556" t="inlineStr">
        <is>
          <t>KALIX</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64333-2023</t>
        </is>
      </c>
      <c r="B7557" s="1" t="n">
        <v>45280</v>
      </c>
      <c r="C7557" s="1" t="n">
        <v>45798</v>
      </c>
      <c r="D7557" t="inlineStr">
        <is>
          <t>NORRBOTTENS LÄN</t>
        </is>
      </c>
      <c r="E7557" t="inlineStr">
        <is>
          <t>KALIX</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64360-2023</t>
        </is>
      </c>
      <c r="B7558" s="1" t="n">
        <v>45280</v>
      </c>
      <c r="C7558" s="1" t="n">
        <v>45798</v>
      </c>
      <c r="D7558" t="inlineStr">
        <is>
          <t>NORRBOTTENS LÄN</t>
        </is>
      </c>
      <c r="E7558" t="inlineStr">
        <is>
          <t>GÄLLIVARE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64398-2023</t>
        </is>
      </c>
      <c r="B7559" s="1" t="n">
        <v>45280</v>
      </c>
      <c r="C7559" s="1" t="n">
        <v>45798</v>
      </c>
      <c r="D7559" t="inlineStr">
        <is>
          <t>NORRBOTTENS LÄN</t>
        </is>
      </c>
      <c r="E7559" t="inlineStr">
        <is>
          <t>LULEÅ</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64372-2023</t>
        </is>
      </c>
      <c r="B7560" s="1" t="n">
        <v>45280</v>
      </c>
      <c r="C7560" s="1" t="n">
        <v>45798</v>
      </c>
      <c r="D7560" t="inlineStr">
        <is>
          <t>NORRBOTTENS LÄN</t>
        </is>
      </c>
      <c r="E7560" t="inlineStr">
        <is>
          <t>GÄLLIVARE</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64402-2023</t>
        </is>
      </c>
      <c r="B7561" s="1" t="n">
        <v>45280</v>
      </c>
      <c r="C7561" s="1" t="n">
        <v>45798</v>
      </c>
      <c r="D7561" t="inlineStr">
        <is>
          <t>NORRBOTTENS LÄN</t>
        </is>
      </c>
      <c r="E7561" t="inlineStr">
        <is>
          <t>LULEÅ</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64403-2023</t>
        </is>
      </c>
      <c r="B7562" s="1" t="n">
        <v>45280</v>
      </c>
      <c r="C7562" s="1" t="n">
        <v>45798</v>
      </c>
      <c r="D7562" t="inlineStr">
        <is>
          <t>NORRBOTTENS LÄN</t>
        </is>
      </c>
      <c r="E7562" t="inlineStr">
        <is>
          <t>ÄLVSBYN</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64407-2023</t>
        </is>
      </c>
      <c r="B7563" s="1" t="n">
        <v>45280</v>
      </c>
      <c r="C7563" s="1" t="n">
        <v>45798</v>
      </c>
      <c r="D7563" t="inlineStr">
        <is>
          <t>NORRBOTTENS LÄN</t>
        </is>
      </c>
      <c r="E7563" t="inlineStr">
        <is>
          <t>ÄLVSBYN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64472-2023</t>
        </is>
      </c>
      <c r="B7564" s="1" t="n">
        <v>45280</v>
      </c>
      <c r="C7564" s="1" t="n">
        <v>45798</v>
      </c>
      <c r="D7564" t="inlineStr">
        <is>
          <t>NORRBOTTENS LÄN</t>
        </is>
      </c>
      <c r="E7564" t="inlineStr">
        <is>
          <t>ÄLVSBYN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64470-2023</t>
        </is>
      </c>
      <c r="B7565" s="1" t="n">
        <v>45280</v>
      </c>
      <c r="C7565" s="1" t="n">
        <v>45798</v>
      </c>
      <c r="D7565" t="inlineStr">
        <is>
          <t>NORRBOTTENS LÄN</t>
        </is>
      </c>
      <c r="E7565" t="inlineStr">
        <is>
          <t>ÄLVSBYN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64471-2023</t>
        </is>
      </c>
      <c r="B7566" s="1" t="n">
        <v>45280</v>
      </c>
      <c r="C7566" s="1" t="n">
        <v>45798</v>
      </c>
      <c r="D7566" t="inlineStr">
        <is>
          <t>NORRBOTTENS LÄN</t>
        </is>
      </c>
      <c r="E7566" t="inlineStr">
        <is>
          <t>ÄLVSBYN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64473-2023</t>
        </is>
      </c>
      <c r="B7567" s="1" t="n">
        <v>45280</v>
      </c>
      <c r="C7567" s="1" t="n">
        <v>45798</v>
      </c>
      <c r="D7567" t="inlineStr">
        <is>
          <t>NORRBOTTENS LÄN</t>
        </is>
      </c>
      <c r="E7567" t="inlineStr">
        <is>
          <t>ÄLVSBYN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64524-2023</t>
        </is>
      </c>
      <c r="B7568" s="1" t="n">
        <v>45281</v>
      </c>
      <c r="C7568" s="1" t="n">
        <v>45798</v>
      </c>
      <c r="D7568" t="inlineStr">
        <is>
          <t>NORRBOTTENS LÄN</t>
        </is>
      </c>
      <c r="E7568" t="inlineStr">
        <is>
          <t>ÖVERKALIX</t>
        </is>
      </c>
      <c r="F7568" t="inlineStr">
        <is>
          <t>Sveaskog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64554-2023</t>
        </is>
      </c>
      <c r="B7569" s="1" t="n">
        <v>45281</v>
      </c>
      <c r="C7569" s="1" t="n">
        <v>45798</v>
      </c>
      <c r="D7569" t="inlineStr">
        <is>
          <t>NORRBOTTENS LÄN</t>
        </is>
      </c>
      <c r="E7569" t="inlineStr">
        <is>
          <t>ÖVERTORNEÅ</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64634-2023</t>
        </is>
      </c>
      <c r="B7570" s="1" t="n">
        <v>45281</v>
      </c>
      <c r="C7570" s="1" t="n">
        <v>45798</v>
      </c>
      <c r="D7570" t="inlineStr">
        <is>
          <t>NORRBOTTENS LÄN</t>
        </is>
      </c>
      <c r="E7570" t="inlineStr">
        <is>
          <t>KALIX</t>
        </is>
      </c>
      <c r="G7570" t="n">
        <v>18.6</v>
      </c>
      <c r="H7570" t="n">
        <v>0</v>
      </c>
      <c r="I7570" t="n">
        <v>0</v>
      </c>
      <c r="J7570" t="n">
        <v>0</v>
      </c>
      <c r="K7570" t="n">
        <v>0</v>
      </c>
      <c r="L7570" t="n">
        <v>0</v>
      </c>
      <c r="M7570" t="n">
        <v>0</v>
      </c>
      <c r="N7570" t="n">
        <v>0</v>
      </c>
      <c r="O7570" t="n">
        <v>0</v>
      </c>
      <c r="P7570" t="n">
        <v>0</v>
      </c>
      <c r="Q7570" t="n">
        <v>0</v>
      </c>
      <c r="R7570" s="2" t="inlineStr"/>
    </row>
    <row r="7571" ht="15" customHeight="1">
      <c r="A7571" t="inlineStr">
        <is>
          <t>A 64649-2023</t>
        </is>
      </c>
      <c r="B7571" s="1" t="n">
        <v>45281</v>
      </c>
      <c r="C7571" s="1" t="n">
        <v>45798</v>
      </c>
      <c r="D7571" t="inlineStr">
        <is>
          <t>NORRBOTTENS LÄN</t>
        </is>
      </c>
      <c r="E7571" t="inlineStr">
        <is>
          <t>BODEN</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64653-2023</t>
        </is>
      </c>
      <c r="B7572" s="1" t="n">
        <v>45281</v>
      </c>
      <c r="C7572" s="1" t="n">
        <v>45798</v>
      </c>
      <c r="D7572" t="inlineStr">
        <is>
          <t>NORRBOTTENS LÄN</t>
        </is>
      </c>
      <c r="E7572" t="inlineStr">
        <is>
          <t>BODEN</t>
        </is>
      </c>
      <c r="F7572" t="inlineStr">
        <is>
          <t>Sveaskog</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64571-2023</t>
        </is>
      </c>
      <c r="B7573" s="1" t="n">
        <v>45281</v>
      </c>
      <c r="C7573" s="1" t="n">
        <v>45798</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64832-2023</t>
        </is>
      </c>
      <c r="B7574" s="1" t="n">
        <v>45281</v>
      </c>
      <c r="C7574" s="1" t="n">
        <v>45798</v>
      </c>
      <c r="D7574" t="inlineStr">
        <is>
          <t>NORRBOTTENS LÄN</t>
        </is>
      </c>
      <c r="E7574" t="inlineStr">
        <is>
          <t>ARJEPLOG</t>
        </is>
      </c>
      <c r="G7574" t="n">
        <v>43.6</v>
      </c>
      <c r="H7574" t="n">
        <v>0</v>
      </c>
      <c r="I7574" t="n">
        <v>0</v>
      </c>
      <c r="J7574" t="n">
        <v>0</v>
      </c>
      <c r="K7574" t="n">
        <v>0</v>
      </c>
      <c r="L7574" t="n">
        <v>0</v>
      </c>
      <c r="M7574" t="n">
        <v>0</v>
      </c>
      <c r="N7574" t="n">
        <v>0</v>
      </c>
      <c r="O7574" t="n">
        <v>0</v>
      </c>
      <c r="P7574" t="n">
        <v>0</v>
      </c>
      <c r="Q7574" t="n">
        <v>0</v>
      </c>
      <c r="R7574" s="2" t="inlineStr"/>
    </row>
    <row r="7575" ht="15" customHeight="1">
      <c r="A7575" t="inlineStr">
        <is>
          <t>A 64809-2023</t>
        </is>
      </c>
      <c r="B7575" s="1" t="n">
        <v>45281</v>
      </c>
      <c r="C7575" s="1" t="n">
        <v>45798</v>
      </c>
      <c r="D7575" t="inlineStr">
        <is>
          <t>NORRBOTTENS LÄN</t>
        </is>
      </c>
      <c r="E7575" t="inlineStr">
        <is>
          <t>ARJEPLOG</t>
        </is>
      </c>
      <c r="G7575" t="n">
        <v>17.8</v>
      </c>
      <c r="H7575" t="n">
        <v>0</v>
      </c>
      <c r="I7575" t="n">
        <v>0</v>
      </c>
      <c r="J7575" t="n">
        <v>0</v>
      </c>
      <c r="K7575" t="n">
        <v>0</v>
      </c>
      <c r="L7575" t="n">
        <v>0</v>
      </c>
      <c r="M7575" t="n">
        <v>0</v>
      </c>
      <c r="N7575" t="n">
        <v>0</v>
      </c>
      <c r="O7575" t="n">
        <v>0</v>
      </c>
      <c r="P7575" t="n">
        <v>0</v>
      </c>
      <c r="Q7575" t="n">
        <v>0</v>
      </c>
      <c r="R7575" s="2" t="inlineStr"/>
    </row>
    <row r="7576" ht="15" customHeight="1">
      <c r="A7576" t="inlineStr">
        <is>
          <t>A 64826-2023</t>
        </is>
      </c>
      <c r="B7576" s="1" t="n">
        <v>45281</v>
      </c>
      <c r="C7576" s="1" t="n">
        <v>45798</v>
      </c>
      <c r="D7576" t="inlineStr">
        <is>
          <t>NORRBOTTENS LÄN</t>
        </is>
      </c>
      <c r="E7576" t="inlineStr">
        <is>
          <t>ARJEPLOG</t>
        </is>
      </c>
      <c r="F7576" t="inlineStr">
        <is>
          <t>Sveaskog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64822-2023</t>
        </is>
      </c>
      <c r="B7577" s="1" t="n">
        <v>45281</v>
      </c>
      <c r="C7577" s="1" t="n">
        <v>45798</v>
      </c>
      <c r="D7577" t="inlineStr">
        <is>
          <t>NORRBOTTENS LÄN</t>
        </is>
      </c>
      <c r="E7577" t="inlineStr">
        <is>
          <t>ARJEPLOG</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64840-2023</t>
        </is>
      </c>
      <c r="B7578" s="1" t="n">
        <v>45281</v>
      </c>
      <c r="C7578" s="1" t="n">
        <v>45798</v>
      </c>
      <c r="D7578" t="inlineStr">
        <is>
          <t>NORRBOTTENS LÄN</t>
        </is>
      </c>
      <c r="E7578" t="inlineStr">
        <is>
          <t>ARJEPLOG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64816-2023</t>
        </is>
      </c>
      <c r="B7579" s="1" t="n">
        <v>45281</v>
      </c>
      <c r="C7579" s="1" t="n">
        <v>45798</v>
      </c>
      <c r="D7579" t="inlineStr">
        <is>
          <t>NORRBOTTENS LÄN</t>
        </is>
      </c>
      <c r="E7579" t="inlineStr">
        <is>
          <t>ARJEPLOG</t>
        </is>
      </c>
      <c r="G7579" t="n">
        <v>13.4</v>
      </c>
      <c r="H7579" t="n">
        <v>0</v>
      </c>
      <c r="I7579" t="n">
        <v>0</v>
      </c>
      <c r="J7579" t="n">
        <v>0</v>
      </c>
      <c r="K7579" t="n">
        <v>0</v>
      </c>
      <c r="L7579" t="n">
        <v>0</v>
      </c>
      <c r="M7579" t="n">
        <v>0</v>
      </c>
      <c r="N7579" t="n">
        <v>0</v>
      </c>
      <c r="O7579" t="n">
        <v>0</v>
      </c>
      <c r="P7579" t="n">
        <v>0</v>
      </c>
      <c r="Q7579" t="n">
        <v>0</v>
      </c>
      <c r="R7579" s="2" t="inlineStr"/>
    </row>
    <row r="7580" ht="15" customHeight="1">
      <c r="A7580" t="inlineStr">
        <is>
          <t>A 64837-2023</t>
        </is>
      </c>
      <c r="B7580" s="1" t="n">
        <v>45281</v>
      </c>
      <c r="C7580" s="1" t="n">
        <v>45798</v>
      </c>
      <c r="D7580" t="inlineStr">
        <is>
          <t>NORRBOTTENS LÄN</t>
        </is>
      </c>
      <c r="E7580" t="inlineStr">
        <is>
          <t>ARJEPLOG</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64797-2023</t>
        </is>
      </c>
      <c r="B7581" s="1" t="n">
        <v>45282</v>
      </c>
      <c r="C7581" s="1" t="n">
        <v>45798</v>
      </c>
      <c r="D7581" t="inlineStr">
        <is>
          <t>NORRBOTTENS LÄN</t>
        </is>
      </c>
      <c r="E7581" t="inlineStr">
        <is>
          <t>ÖVERKALIX</t>
        </is>
      </c>
      <c r="F7581" t="inlineStr">
        <is>
          <t>Sveaskog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64872-2023</t>
        </is>
      </c>
      <c r="B7582" s="1" t="n">
        <v>45282</v>
      </c>
      <c r="C7582" s="1" t="n">
        <v>45798</v>
      </c>
      <c r="D7582" t="inlineStr">
        <is>
          <t>NORRBOTTENS LÄN</t>
        </is>
      </c>
      <c r="E7582" t="inlineStr">
        <is>
          <t>ÄLVSBYN</t>
        </is>
      </c>
      <c r="F7582" t="inlineStr">
        <is>
          <t>Övriga Aktiebolag</t>
        </is>
      </c>
      <c r="G7582" t="n">
        <v>12.6</v>
      </c>
      <c r="H7582" t="n">
        <v>0</v>
      </c>
      <c r="I7582" t="n">
        <v>0</v>
      </c>
      <c r="J7582" t="n">
        <v>0</v>
      </c>
      <c r="K7582" t="n">
        <v>0</v>
      </c>
      <c r="L7582" t="n">
        <v>0</v>
      </c>
      <c r="M7582" t="n">
        <v>0</v>
      </c>
      <c r="N7582" t="n">
        <v>0</v>
      </c>
      <c r="O7582" t="n">
        <v>0</v>
      </c>
      <c r="P7582" t="n">
        <v>0</v>
      </c>
      <c r="Q7582" t="n">
        <v>0</v>
      </c>
      <c r="R7582" s="2" t="inlineStr"/>
    </row>
    <row r="7583" ht="15" customHeight="1">
      <c r="A7583" t="inlineStr">
        <is>
          <t>A 64876-2023</t>
        </is>
      </c>
      <c r="B7583" s="1" t="n">
        <v>45282</v>
      </c>
      <c r="C7583" s="1" t="n">
        <v>45798</v>
      </c>
      <c r="D7583" t="inlineStr">
        <is>
          <t>NORRBOTTENS LÄN</t>
        </is>
      </c>
      <c r="E7583" t="inlineStr">
        <is>
          <t>ÄLVSBYN</t>
        </is>
      </c>
      <c r="F7583" t="inlineStr">
        <is>
          <t>Övriga Aktiebolag</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64882-2023</t>
        </is>
      </c>
      <c r="B7584" s="1" t="n">
        <v>45282</v>
      </c>
      <c r="C7584" s="1" t="n">
        <v>45798</v>
      </c>
      <c r="D7584" t="inlineStr">
        <is>
          <t>NORRBOTTENS LÄN</t>
        </is>
      </c>
      <c r="E7584" t="inlineStr">
        <is>
          <t>ÄLVSBYN</t>
        </is>
      </c>
      <c r="F7584" t="inlineStr">
        <is>
          <t>Övriga Aktiebolag</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64938-2023</t>
        </is>
      </c>
      <c r="B7585" s="1" t="n">
        <v>45282</v>
      </c>
      <c r="C7585" s="1" t="n">
        <v>45798</v>
      </c>
      <c r="D7585" t="inlineStr">
        <is>
          <t>NORRBOTTENS LÄN</t>
        </is>
      </c>
      <c r="E7585" t="inlineStr">
        <is>
          <t>KALIX</t>
        </is>
      </c>
      <c r="G7585" t="n">
        <v>29.1</v>
      </c>
      <c r="H7585" t="n">
        <v>0</v>
      </c>
      <c r="I7585" t="n">
        <v>0</v>
      </c>
      <c r="J7585" t="n">
        <v>0</v>
      </c>
      <c r="K7585" t="n">
        <v>0</v>
      </c>
      <c r="L7585" t="n">
        <v>0</v>
      </c>
      <c r="M7585" t="n">
        <v>0</v>
      </c>
      <c r="N7585" t="n">
        <v>0</v>
      </c>
      <c r="O7585" t="n">
        <v>0</v>
      </c>
      <c r="P7585" t="n">
        <v>0</v>
      </c>
      <c r="Q7585" t="n">
        <v>0</v>
      </c>
      <c r="R7585" s="2" t="inlineStr"/>
    </row>
    <row r="7586" ht="15" customHeight="1">
      <c r="A7586" t="inlineStr">
        <is>
          <t>A 64939-2023</t>
        </is>
      </c>
      <c r="B7586" s="1" t="n">
        <v>45282</v>
      </c>
      <c r="C7586" s="1" t="n">
        <v>45798</v>
      </c>
      <c r="D7586" t="inlineStr">
        <is>
          <t>NORRBOTTENS LÄN</t>
        </is>
      </c>
      <c r="E7586" t="inlineStr">
        <is>
          <t>KALIX</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64893-2023</t>
        </is>
      </c>
      <c r="B7587" s="1" t="n">
        <v>45282</v>
      </c>
      <c r="C7587" s="1" t="n">
        <v>45798</v>
      </c>
      <c r="D7587" t="inlineStr">
        <is>
          <t>NORRBOTTENS LÄN</t>
        </is>
      </c>
      <c r="E7587" t="inlineStr">
        <is>
          <t>BODEN</t>
        </is>
      </c>
      <c r="F7587" t="inlineStr">
        <is>
          <t>Övriga Aktiebolag</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64960-2023</t>
        </is>
      </c>
      <c r="B7588" s="1" t="n">
        <v>45282</v>
      </c>
      <c r="C7588" s="1" t="n">
        <v>45798</v>
      </c>
      <c r="D7588" t="inlineStr">
        <is>
          <t>NORRBOTTENS LÄN</t>
        </is>
      </c>
      <c r="E7588" t="inlineStr">
        <is>
          <t>PITEÅ</t>
        </is>
      </c>
      <c r="F7588" t="inlineStr">
        <is>
          <t>SCA</t>
        </is>
      </c>
      <c r="G7588" t="n">
        <v>12.5</v>
      </c>
      <c r="H7588" t="n">
        <v>0</v>
      </c>
      <c r="I7588" t="n">
        <v>0</v>
      </c>
      <c r="J7588" t="n">
        <v>0</v>
      </c>
      <c r="K7588" t="n">
        <v>0</v>
      </c>
      <c r="L7588" t="n">
        <v>0</v>
      </c>
      <c r="M7588" t="n">
        <v>0</v>
      </c>
      <c r="N7588" t="n">
        <v>0</v>
      </c>
      <c r="O7588" t="n">
        <v>0</v>
      </c>
      <c r="P7588" t="n">
        <v>0</v>
      </c>
      <c r="Q7588" t="n">
        <v>0</v>
      </c>
      <c r="R7588" s="2" t="inlineStr"/>
    </row>
    <row r="7589" ht="15" customHeight="1">
      <c r="A7589" t="inlineStr">
        <is>
          <t>A 64972-2023</t>
        </is>
      </c>
      <c r="B7589" s="1" t="n">
        <v>45285</v>
      </c>
      <c r="C7589" s="1" t="n">
        <v>45798</v>
      </c>
      <c r="D7589" t="inlineStr">
        <is>
          <t>NORRBOTTENS LÄN</t>
        </is>
      </c>
      <c r="E7589" t="inlineStr">
        <is>
          <t>PITEÅ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64974-2023</t>
        </is>
      </c>
      <c r="B7590" s="1" t="n">
        <v>45285</v>
      </c>
      <c r="C7590" s="1" t="n">
        <v>45798</v>
      </c>
      <c r="D7590" t="inlineStr">
        <is>
          <t>NORRBOTTENS LÄN</t>
        </is>
      </c>
      <c r="E7590" t="inlineStr">
        <is>
          <t>PITEÅ</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64971-2023</t>
        </is>
      </c>
      <c r="B7591" s="1" t="n">
        <v>45285</v>
      </c>
      <c r="C7591" s="1" t="n">
        <v>45798</v>
      </c>
      <c r="D7591" t="inlineStr">
        <is>
          <t>NORRBOTTENS LÄN</t>
        </is>
      </c>
      <c r="E7591" t="inlineStr">
        <is>
          <t>PITEÅ</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64975-2023</t>
        </is>
      </c>
      <c r="B7592" s="1" t="n">
        <v>45285</v>
      </c>
      <c r="C7592" s="1" t="n">
        <v>45798</v>
      </c>
      <c r="D7592" t="inlineStr">
        <is>
          <t>NORRBOTTENS LÄN</t>
        </is>
      </c>
      <c r="E7592" t="inlineStr">
        <is>
          <t>BODEN</t>
        </is>
      </c>
      <c r="G7592" t="n">
        <v>9.4</v>
      </c>
      <c r="H7592" t="n">
        <v>0</v>
      </c>
      <c r="I7592" t="n">
        <v>0</v>
      </c>
      <c r="J7592" t="n">
        <v>0</v>
      </c>
      <c r="K7592" t="n">
        <v>0</v>
      </c>
      <c r="L7592" t="n">
        <v>0</v>
      </c>
      <c r="M7592" t="n">
        <v>0</v>
      </c>
      <c r="N7592" t="n">
        <v>0</v>
      </c>
      <c r="O7592" t="n">
        <v>0</v>
      </c>
      <c r="P7592" t="n">
        <v>0</v>
      </c>
      <c r="Q7592" t="n">
        <v>0</v>
      </c>
      <c r="R7592" s="2" t="inlineStr"/>
    </row>
    <row r="7593" ht="15" customHeight="1">
      <c r="A7593" t="inlineStr">
        <is>
          <t>A 64973-2023</t>
        </is>
      </c>
      <c r="B7593" s="1" t="n">
        <v>45285</v>
      </c>
      <c r="C7593" s="1" t="n">
        <v>45798</v>
      </c>
      <c r="D7593" t="inlineStr">
        <is>
          <t>NORRBOTTENS LÄN</t>
        </is>
      </c>
      <c r="E7593" t="inlineStr">
        <is>
          <t>PITEÅ</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65014-2023</t>
        </is>
      </c>
      <c r="B7594" s="1" t="n">
        <v>45287</v>
      </c>
      <c r="C7594" s="1" t="n">
        <v>45798</v>
      </c>
      <c r="D7594" t="inlineStr">
        <is>
          <t>NORRBOTTENS LÄN</t>
        </is>
      </c>
      <c r="E7594" t="inlineStr">
        <is>
          <t>PITEÅ</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65015-2023</t>
        </is>
      </c>
      <c r="B7595" s="1" t="n">
        <v>45287</v>
      </c>
      <c r="C7595" s="1" t="n">
        <v>45798</v>
      </c>
      <c r="D7595" t="inlineStr">
        <is>
          <t>NORRBOTTENS LÄN</t>
        </is>
      </c>
      <c r="E7595" t="inlineStr">
        <is>
          <t>PITEÅ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65185-2023</t>
        </is>
      </c>
      <c r="B7596" s="1" t="n">
        <v>45289</v>
      </c>
      <c r="C7596" s="1" t="n">
        <v>45798</v>
      </c>
      <c r="D7596" t="inlineStr">
        <is>
          <t>NORRBOTTENS LÄN</t>
        </is>
      </c>
      <c r="E7596" t="inlineStr">
        <is>
          <t>PITEÅ</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65182-2023</t>
        </is>
      </c>
      <c r="B7597" s="1" t="n">
        <v>45288</v>
      </c>
      <c r="C7597" s="1" t="n">
        <v>45798</v>
      </c>
      <c r="D7597" t="inlineStr">
        <is>
          <t>NORRBOTTENS LÄN</t>
        </is>
      </c>
      <c r="E7597" t="inlineStr">
        <is>
          <t>ÖVERTORNEÅ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65233-2023</t>
        </is>
      </c>
      <c r="B7598" s="1" t="n">
        <v>45289</v>
      </c>
      <c r="C7598" s="1" t="n">
        <v>45798</v>
      </c>
      <c r="D7598" t="inlineStr">
        <is>
          <t>NORRBOTTENS LÄN</t>
        </is>
      </c>
      <c r="E7598" t="inlineStr">
        <is>
          <t>JOKKMOKK</t>
        </is>
      </c>
      <c r="G7598" t="n">
        <v>37.3</v>
      </c>
      <c r="H7598" t="n">
        <v>0</v>
      </c>
      <c r="I7598" t="n">
        <v>0</v>
      </c>
      <c r="J7598" t="n">
        <v>0</v>
      </c>
      <c r="K7598" t="n">
        <v>0</v>
      </c>
      <c r="L7598" t="n">
        <v>0</v>
      </c>
      <c r="M7598" t="n">
        <v>0</v>
      </c>
      <c r="N7598" t="n">
        <v>0</v>
      </c>
      <c r="O7598" t="n">
        <v>0</v>
      </c>
      <c r="P7598" t="n">
        <v>0</v>
      </c>
      <c r="Q7598" t="n">
        <v>0</v>
      </c>
      <c r="R7598" s="2" t="inlineStr"/>
    </row>
    <row r="7599" ht="15" customHeight="1">
      <c r="A7599" t="inlineStr">
        <is>
          <t>A 65241-2023</t>
        </is>
      </c>
      <c r="B7599" s="1" t="n">
        <v>45289</v>
      </c>
      <c r="C7599" s="1" t="n">
        <v>45798</v>
      </c>
      <c r="D7599" t="inlineStr">
        <is>
          <t>NORRBOTTENS LÄN</t>
        </is>
      </c>
      <c r="E7599" t="inlineStr">
        <is>
          <t>BODEN</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65234-2023</t>
        </is>
      </c>
      <c r="B7600" s="1" t="n">
        <v>45289</v>
      </c>
      <c r="C7600" s="1" t="n">
        <v>45798</v>
      </c>
      <c r="D7600" t="inlineStr">
        <is>
          <t>NORRBOTTENS LÄN</t>
        </is>
      </c>
      <c r="E7600" t="inlineStr">
        <is>
          <t>BODEN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94-2024</t>
        </is>
      </c>
      <c r="B7601" s="1" t="n">
        <v>45293</v>
      </c>
      <c r="C7601" s="1" t="n">
        <v>45798</v>
      </c>
      <c r="D7601" t="inlineStr">
        <is>
          <t>NORRBOTTENS LÄN</t>
        </is>
      </c>
      <c r="E7601" t="inlineStr">
        <is>
          <t>JOKKMOKK</t>
        </is>
      </c>
      <c r="G7601" t="n">
        <v>24.5</v>
      </c>
      <c r="H7601" t="n">
        <v>0</v>
      </c>
      <c r="I7601" t="n">
        <v>0</v>
      </c>
      <c r="J7601" t="n">
        <v>0</v>
      </c>
      <c r="K7601" t="n">
        <v>0</v>
      </c>
      <c r="L7601" t="n">
        <v>0</v>
      </c>
      <c r="M7601" t="n">
        <v>0</v>
      </c>
      <c r="N7601" t="n">
        <v>0</v>
      </c>
      <c r="O7601" t="n">
        <v>0</v>
      </c>
      <c r="P7601" t="n">
        <v>0</v>
      </c>
      <c r="Q7601" t="n">
        <v>0</v>
      </c>
      <c r="R7601" s="2" t="inlineStr"/>
    </row>
    <row r="7602" ht="15" customHeight="1">
      <c r="A7602" t="inlineStr">
        <is>
          <t>A 49-2024</t>
        </is>
      </c>
      <c r="B7602" s="1" t="n">
        <v>45293</v>
      </c>
      <c r="C7602" s="1" t="n">
        <v>45798</v>
      </c>
      <c r="D7602" t="inlineStr">
        <is>
          <t>NORRBOTTENS LÄN</t>
        </is>
      </c>
      <c r="E7602" t="inlineStr">
        <is>
          <t>ÖVERKALIX</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138-2024</t>
        </is>
      </c>
      <c r="B7603" s="1" t="n">
        <v>45293</v>
      </c>
      <c r="C7603" s="1" t="n">
        <v>45798</v>
      </c>
      <c r="D7603" t="inlineStr">
        <is>
          <t>NORRBOTTENS LÄN</t>
        </is>
      </c>
      <c r="E7603" t="inlineStr">
        <is>
          <t>ÖVERTORNEÅ</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93-2024</t>
        </is>
      </c>
      <c r="B7604" s="1" t="n">
        <v>45293</v>
      </c>
      <c r="C7604" s="1" t="n">
        <v>45798</v>
      </c>
      <c r="D7604" t="inlineStr">
        <is>
          <t>NORRBOTTENS LÄN</t>
        </is>
      </c>
      <c r="E7604" t="inlineStr">
        <is>
          <t>KIRUNA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105-2024</t>
        </is>
      </c>
      <c r="B7605" s="1" t="n">
        <v>45293</v>
      </c>
      <c r="C7605" s="1" t="n">
        <v>45798</v>
      </c>
      <c r="D7605" t="inlineStr">
        <is>
          <t>NORRBOTTENS LÄN</t>
        </is>
      </c>
      <c r="E7605" t="inlineStr">
        <is>
          <t>LULEÅ</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148-2024</t>
        </is>
      </c>
      <c r="B7606" s="1" t="n">
        <v>45293</v>
      </c>
      <c r="C7606" s="1" t="n">
        <v>45798</v>
      </c>
      <c r="D7606" t="inlineStr">
        <is>
          <t>NORRBOTTENS LÄN</t>
        </is>
      </c>
      <c r="E7606" t="inlineStr">
        <is>
          <t>ÖVERTORNEÅ</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104-2024</t>
        </is>
      </c>
      <c r="B7607" s="1" t="n">
        <v>45293</v>
      </c>
      <c r="C7607" s="1" t="n">
        <v>45798</v>
      </c>
      <c r="D7607" t="inlineStr">
        <is>
          <t>NORRBOTTENS LÄN</t>
        </is>
      </c>
      <c r="E7607" t="inlineStr">
        <is>
          <t>LULEÅ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218-2024</t>
        </is>
      </c>
      <c r="B7608" s="1" t="n">
        <v>45293</v>
      </c>
      <c r="C7608" s="1" t="n">
        <v>45798</v>
      </c>
      <c r="D7608" t="inlineStr">
        <is>
          <t>NORRBOTTENS LÄN</t>
        </is>
      </c>
      <c r="E7608" t="inlineStr">
        <is>
          <t>ARVIDSJAUR</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217-2024</t>
        </is>
      </c>
      <c r="B7609" s="1" t="n">
        <v>45293</v>
      </c>
      <c r="C7609" s="1" t="n">
        <v>45798</v>
      </c>
      <c r="D7609" t="inlineStr">
        <is>
          <t>NORRBOTTENS LÄN</t>
        </is>
      </c>
      <c r="E7609" t="inlineStr">
        <is>
          <t>ARVIDSJAUR</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116-2024</t>
        </is>
      </c>
      <c r="B7610" s="1" t="n">
        <v>45294</v>
      </c>
      <c r="C7610" s="1" t="n">
        <v>45798</v>
      </c>
      <c r="D7610" t="inlineStr">
        <is>
          <t>NORRBOTTENS LÄN</t>
        </is>
      </c>
      <c r="E7610" t="inlineStr">
        <is>
          <t>JOKKMOKK</t>
        </is>
      </c>
      <c r="F7610" t="inlineStr">
        <is>
          <t>Sveaskog</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246-2024</t>
        </is>
      </c>
      <c r="B7611" s="1" t="n">
        <v>45294</v>
      </c>
      <c r="C7611" s="1" t="n">
        <v>45798</v>
      </c>
      <c r="D7611" t="inlineStr">
        <is>
          <t>NORRBOTTENS LÄN</t>
        </is>
      </c>
      <c r="E7611" t="inlineStr">
        <is>
          <t>GÄLLIVARE</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294-2024</t>
        </is>
      </c>
      <c r="B7612" s="1" t="n">
        <v>45294</v>
      </c>
      <c r="C7612" s="1" t="n">
        <v>45798</v>
      </c>
      <c r="D7612" t="inlineStr">
        <is>
          <t>NORRBOTTENS LÄN</t>
        </is>
      </c>
      <c r="E7612" t="inlineStr">
        <is>
          <t>LULEÅ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243-2024</t>
        </is>
      </c>
      <c r="B7613" s="1" t="n">
        <v>45294</v>
      </c>
      <c r="C7613" s="1" t="n">
        <v>45798</v>
      </c>
      <c r="D7613" t="inlineStr">
        <is>
          <t>NORRBOTTENS LÄN</t>
        </is>
      </c>
      <c r="E7613" t="inlineStr">
        <is>
          <t>GÄLLIVARE</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296-2024</t>
        </is>
      </c>
      <c r="B7614" s="1" t="n">
        <v>45294</v>
      </c>
      <c r="C7614" s="1" t="n">
        <v>45798</v>
      </c>
      <c r="D7614" t="inlineStr">
        <is>
          <t>NORRBOTTENS LÄN</t>
        </is>
      </c>
      <c r="E7614" t="inlineStr">
        <is>
          <t>JOKKMOKK</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283-2024</t>
        </is>
      </c>
      <c r="B7615" s="1" t="n">
        <v>45295</v>
      </c>
      <c r="C7615" s="1" t="n">
        <v>45798</v>
      </c>
      <c r="D7615" t="inlineStr">
        <is>
          <t>NORRBOTTENS LÄN</t>
        </is>
      </c>
      <c r="E7615" t="inlineStr">
        <is>
          <t>KALIX</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287-2024</t>
        </is>
      </c>
      <c r="B7616" s="1" t="n">
        <v>45295</v>
      </c>
      <c r="C7616" s="1" t="n">
        <v>45798</v>
      </c>
      <c r="D7616" t="inlineStr">
        <is>
          <t>NORRBOTTENS LÄN</t>
        </is>
      </c>
      <c r="E7616" t="inlineStr">
        <is>
          <t>KALIX</t>
        </is>
      </c>
      <c r="F7616" t="inlineStr">
        <is>
          <t>Sveaskog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291-2024</t>
        </is>
      </c>
      <c r="B7617" s="1" t="n">
        <v>45295</v>
      </c>
      <c r="C7617" s="1" t="n">
        <v>45798</v>
      </c>
      <c r="D7617" t="inlineStr">
        <is>
          <t>NORRBOTTENS LÄN</t>
        </is>
      </c>
      <c r="E7617" t="inlineStr">
        <is>
          <t>KALIX</t>
        </is>
      </c>
      <c r="F7617" t="inlineStr">
        <is>
          <t>Sveaskog</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285-2024</t>
        </is>
      </c>
      <c r="B7618" s="1" t="n">
        <v>45295</v>
      </c>
      <c r="C7618" s="1" t="n">
        <v>45798</v>
      </c>
      <c r="D7618" t="inlineStr">
        <is>
          <t>NORRBOTTENS LÄN</t>
        </is>
      </c>
      <c r="E7618" t="inlineStr">
        <is>
          <t>KALIX</t>
        </is>
      </c>
      <c r="F7618" t="inlineStr">
        <is>
          <t>Sveaskog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404-2024</t>
        </is>
      </c>
      <c r="B7619" s="1" t="n">
        <v>45296</v>
      </c>
      <c r="C7619" s="1" t="n">
        <v>45798</v>
      </c>
      <c r="D7619" t="inlineStr">
        <is>
          <t>NORRBOTTENS LÄN</t>
        </is>
      </c>
      <c r="E7619" t="inlineStr">
        <is>
          <t>ÄLVSBYN</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454-2024</t>
        </is>
      </c>
      <c r="B7620" s="1" t="n">
        <v>45296</v>
      </c>
      <c r="C7620" s="1" t="n">
        <v>45798</v>
      </c>
      <c r="D7620" t="inlineStr">
        <is>
          <t>NORRBOTTENS LÄN</t>
        </is>
      </c>
      <c r="E7620" t="inlineStr">
        <is>
          <t>LULEÅ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460-2024</t>
        </is>
      </c>
      <c r="B7621" s="1" t="n">
        <v>45297</v>
      </c>
      <c r="C7621" s="1" t="n">
        <v>45798</v>
      </c>
      <c r="D7621" t="inlineStr">
        <is>
          <t>NORRBOTTENS LÄN</t>
        </is>
      </c>
      <c r="E7621" t="inlineStr">
        <is>
          <t>PAJALA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594-2024</t>
        </is>
      </c>
      <c r="B7622" s="1" t="n">
        <v>45299</v>
      </c>
      <c r="C7622" s="1" t="n">
        <v>45798</v>
      </c>
      <c r="D7622" t="inlineStr">
        <is>
          <t>NORRBOTTENS LÄN</t>
        </is>
      </c>
      <c r="E7622" t="inlineStr">
        <is>
          <t>ÄLVSBYN</t>
        </is>
      </c>
      <c r="F7622" t="inlineStr">
        <is>
          <t>Sveaskog</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581-2024</t>
        </is>
      </c>
      <c r="B7623" s="1" t="n">
        <v>45299</v>
      </c>
      <c r="C7623" s="1" t="n">
        <v>45798</v>
      </c>
      <c r="D7623" t="inlineStr">
        <is>
          <t>NORRBOTTENS LÄN</t>
        </is>
      </c>
      <c r="E7623" t="inlineStr">
        <is>
          <t>BODEN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658-2024</t>
        </is>
      </c>
      <c r="B7624" s="1" t="n">
        <v>45299</v>
      </c>
      <c r="C7624" s="1" t="n">
        <v>45798</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659-2024</t>
        </is>
      </c>
      <c r="B7625" s="1" t="n">
        <v>45299</v>
      </c>
      <c r="C7625" s="1" t="n">
        <v>45798</v>
      </c>
      <c r="D7625" t="inlineStr">
        <is>
          <t>NORRBOTTENS LÄN</t>
        </is>
      </c>
      <c r="E7625" t="inlineStr">
        <is>
          <t>KALIX</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644-2024</t>
        </is>
      </c>
      <c r="B7626" s="1" t="n">
        <v>45299</v>
      </c>
      <c r="C7626" s="1" t="n">
        <v>45798</v>
      </c>
      <c r="D7626" t="inlineStr">
        <is>
          <t>NORRBOTTENS LÄN</t>
        </is>
      </c>
      <c r="E7626" t="inlineStr">
        <is>
          <t>PITEÅ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855-2024</t>
        </is>
      </c>
      <c r="B7627" s="1" t="n">
        <v>45300</v>
      </c>
      <c r="C7627" s="1" t="n">
        <v>45798</v>
      </c>
      <c r="D7627" t="inlineStr">
        <is>
          <t>NORRBOTTENS LÄN</t>
        </is>
      </c>
      <c r="E7627" t="inlineStr">
        <is>
          <t>ÖVERTORNEÅ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849-2024</t>
        </is>
      </c>
      <c r="B7628" s="1" t="n">
        <v>45300</v>
      </c>
      <c r="C7628" s="1" t="n">
        <v>45798</v>
      </c>
      <c r="D7628" t="inlineStr">
        <is>
          <t>NORRBOTTENS LÄN</t>
        </is>
      </c>
      <c r="E7628" t="inlineStr">
        <is>
          <t>BODEN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1049-2024</t>
        </is>
      </c>
      <c r="B7629" s="1" t="n">
        <v>45301</v>
      </c>
      <c r="C7629" s="1" t="n">
        <v>45798</v>
      </c>
      <c r="D7629" t="inlineStr">
        <is>
          <t>NORRBOTTENS LÄN</t>
        </is>
      </c>
      <c r="E7629" t="inlineStr">
        <is>
          <t>BODEN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1081-2024</t>
        </is>
      </c>
      <c r="B7630" s="1" t="n">
        <v>45301</v>
      </c>
      <c r="C7630" s="1" t="n">
        <v>45798</v>
      </c>
      <c r="D7630" t="inlineStr">
        <is>
          <t>NORRBOTTENS LÄN</t>
        </is>
      </c>
      <c r="E7630" t="inlineStr">
        <is>
          <t>BODEN</t>
        </is>
      </c>
      <c r="F7630" t="inlineStr">
        <is>
          <t>Övriga statliga verk och myndigheter</t>
        </is>
      </c>
      <c r="G7630" t="n">
        <v>10.4</v>
      </c>
      <c r="H7630" t="n">
        <v>0</v>
      </c>
      <c r="I7630" t="n">
        <v>0</v>
      </c>
      <c r="J7630" t="n">
        <v>0</v>
      </c>
      <c r="K7630" t="n">
        <v>0</v>
      </c>
      <c r="L7630" t="n">
        <v>0</v>
      </c>
      <c r="M7630" t="n">
        <v>0</v>
      </c>
      <c r="N7630" t="n">
        <v>0</v>
      </c>
      <c r="O7630" t="n">
        <v>0</v>
      </c>
      <c r="P7630" t="n">
        <v>0</v>
      </c>
      <c r="Q7630" t="n">
        <v>0</v>
      </c>
      <c r="R7630" s="2" t="inlineStr"/>
    </row>
    <row r="7631" ht="15" customHeight="1">
      <c r="A7631" t="inlineStr">
        <is>
          <t>A 1138-2024</t>
        </is>
      </c>
      <c r="B7631" s="1" t="n">
        <v>45302</v>
      </c>
      <c r="C7631" s="1" t="n">
        <v>45798</v>
      </c>
      <c r="D7631" t="inlineStr">
        <is>
          <t>NORRBOTTENS LÄN</t>
        </is>
      </c>
      <c r="E7631" t="inlineStr">
        <is>
          <t>LULEÅ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1200-2024</t>
        </is>
      </c>
      <c r="B7632" s="1" t="n">
        <v>45302</v>
      </c>
      <c r="C7632" s="1" t="n">
        <v>45798</v>
      </c>
      <c r="D7632" t="inlineStr">
        <is>
          <t>NORRBOTTENS LÄN</t>
        </is>
      </c>
      <c r="E7632" t="inlineStr">
        <is>
          <t>ÄLVSBYN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1238-2024</t>
        </is>
      </c>
      <c r="B7633" s="1" t="n">
        <v>45302</v>
      </c>
      <c r="C7633" s="1" t="n">
        <v>45798</v>
      </c>
      <c r="D7633" t="inlineStr">
        <is>
          <t>NORRBOTTENS LÄN</t>
        </is>
      </c>
      <c r="E7633" t="inlineStr">
        <is>
          <t>ÄLVSBYN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1258-2024</t>
        </is>
      </c>
      <c r="B7634" s="1" t="n">
        <v>45302</v>
      </c>
      <c r="C7634" s="1" t="n">
        <v>45798</v>
      </c>
      <c r="D7634" t="inlineStr">
        <is>
          <t>NORRBOTTENS LÄN</t>
        </is>
      </c>
      <c r="E7634" t="inlineStr">
        <is>
          <t>ÖVERKALIX</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1174-2024</t>
        </is>
      </c>
      <c r="B7635" s="1" t="n">
        <v>45302</v>
      </c>
      <c r="C7635" s="1" t="n">
        <v>45798</v>
      </c>
      <c r="D7635" t="inlineStr">
        <is>
          <t>NORRBOTTENS LÄN</t>
        </is>
      </c>
      <c r="E7635" t="inlineStr">
        <is>
          <t>BODEN</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1233-2024</t>
        </is>
      </c>
      <c r="B7636" s="1" t="n">
        <v>45302</v>
      </c>
      <c r="C7636" s="1" t="n">
        <v>45798</v>
      </c>
      <c r="D7636" t="inlineStr">
        <is>
          <t>NORRBOTTENS LÄN</t>
        </is>
      </c>
      <c r="E7636" t="inlineStr">
        <is>
          <t>KALIX</t>
        </is>
      </c>
      <c r="G7636" t="n">
        <v>13.5</v>
      </c>
      <c r="H7636" t="n">
        <v>0</v>
      </c>
      <c r="I7636" t="n">
        <v>0</v>
      </c>
      <c r="J7636" t="n">
        <v>0</v>
      </c>
      <c r="K7636" t="n">
        <v>0</v>
      </c>
      <c r="L7636" t="n">
        <v>0</v>
      </c>
      <c r="M7636" t="n">
        <v>0</v>
      </c>
      <c r="N7636" t="n">
        <v>0</v>
      </c>
      <c r="O7636" t="n">
        <v>0</v>
      </c>
      <c r="P7636" t="n">
        <v>0</v>
      </c>
      <c r="Q7636" t="n">
        <v>0</v>
      </c>
      <c r="R7636" s="2" t="inlineStr"/>
    </row>
    <row r="7637" ht="15" customHeight="1">
      <c r="A7637" t="inlineStr">
        <is>
          <t>A 1207-2024</t>
        </is>
      </c>
      <c r="B7637" s="1" t="n">
        <v>45302</v>
      </c>
      <c r="C7637" s="1" t="n">
        <v>45798</v>
      </c>
      <c r="D7637" t="inlineStr">
        <is>
          <t>NORRBOTTENS LÄN</t>
        </is>
      </c>
      <c r="E7637" t="inlineStr">
        <is>
          <t>ÄLVSBYN</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1312-2024</t>
        </is>
      </c>
      <c r="B7638" s="1" t="n">
        <v>45303</v>
      </c>
      <c r="C7638" s="1" t="n">
        <v>45798</v>
      </c>
      <c r="D7638" t="inlineStr">
        <is>
          <t>NORRBOTTENS LÄN</t>
        </is>
      </c>
      <c r="E7638" t="inlineStr">
        <is>
          <t>LULEÅ</t>
        </is>
      </c>
      <c r="F7638" t="inlineStr">
        <is>
          <t>Kyrkan</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1446-2024</t>
        </is>
      </c>
      <c r="B7639" s="1" t="n">
        <v>45303</v>
      </c>
      <c r="C7639" s="1" t="n">
        <v>45798</v>
      </c>
      <c r="D7639" t="inlineStr">
        <is>
          <t>NORRBOTTENS LÄN</t>
        </is>
      </c>
      <c r="E7639" t="inlineStr">
        <is>
          <t>HAPARANDA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1445-2024</t>
        </is>
      </c>
      <c r="B7640" s="1" t="n">
        <v>45303</v>
      </c>
      <c r="C7640" s="1" t="n">
        <v>45798</v>
      </c>
      <c r="D7640" t="inlineStr">
        <is>
          <t>NORRBOTTENS LÄN</t>
        </is>
      </c>
      <c r="E7640" t="inlineStr">
        <is>
          <t>HAPARANDA</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1355-2024</t>
        </is>
      </c>
      <c r="B7641" s="1" t="n">
        <v>45303</v>
      </c>
      <c r="C7641" s="1" t="n">
        <v>45798</v>
      </c>
      <c r="D7641" t="inlineStr">
        <is>
          <t>NORRBOTTENS LÄN</t>
        </is>
      </c>
      <c r="E7641" t="inlineStr">
        <is>
          <t>ARVIDSJAUR</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1486-2024</t>
        </is>
      </c>
      <c r="B7642" s="1" t="n">
        <v>45305</v>
      </c>
      <c r="C7642" s="1" t="n">
        <v>45798</v>
      </c>
      <c r="D7642" t="inlineStr">
        <is>
          <t>NORRBOTTENS LÄN</t>
        </is>
      </c>
      <c r="E7642" t="inlineStr">
        <is>
          <t>ÄLVSBYN</t>
        </is>
      </c>
      <c r="G7642" t="n">
        <v>92.09999999999999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1518-2024</t>
        </is>
      </c>
      <c r="B7643" s="1" t="n">
        <v>45306</v>
      </c>
      <c r="C7643" s="1" t="n">
        <v>45798</v>
      </c>
      <c r="D7643" t="inlineStr">
        <is>
          <t>NORRBOTTENS LÄN</t>
        </is>
      </c>
      <c r="E7643" t="inlineStr">
        <is>
          <t>LULEÅ</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1517-2024</t>
        </is>
      </c>
      <c r="B7644" s="1" t="n">
        <v>45306</v>
      </c>
      <c r="C7644" s="1" t="n">
        <v>45798</v>
      </c>
      <c r="D7644" t="inlineStr">
        <is>
          <t>NORRBOTTENS LÄN</t>
        </is>
      </c>
      <c r="E7644" t="inlineStr">
        <is>
          <t>LULEÅ</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1622-2024</t>
        </is>
      </c>
      <c r="B7645" s="1" t="n">
        <v>45306</v>
      </c>
      <c r="C7645" s="1" t="n">
        <v>45798</v>
      </c>
      <c r="D7645" t="inlineStr">
        <is>
          <t>NORRBOTTENS LÄN</t>
        </is>
      </c>
      <c r="E7645" t="inlineStr">
        <is>
          <t>GÄLLIVARE</t>
        </is>
      </c>
      <c r="F7645" t="inlineStr">
        <is>
          <t>Sveaskog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1621-2024</t>
        </is>
      </c>
      <c r="B7646" s="1" t="n">
        <v>45306</v>
      </c>
      <c r="C7646" s="1" t="n">
        <v>45798</v>
      </c>
      <c r="D7646" t="inlineStr">
        <is>
          <t>NORRBOTTENS LÄN</t>
        </is>
      </c>
      <c r="E7646" t="inlineStr">
        <is>
          <t>GÄLLIVARE</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1615-2024</t>
        </is>
      </c>
      <c r="B7647" s="1" t="n">
        <v>45306</v>
      </c>
      <c r="C7647" s="1" t="n">
        <v>45798</v>
      </c>
      <c r="D7647" t="inlineStr">
        <is>
          <t>NORRBOTTENS LÄN</t>
        </is>
      </c>
      <c r="E7647" t="inlineStr">
        <is>
          <t>JOKKMOKK</t>
        </is>
      </c>
      <c r="G7647" t="n">
        <v>10.8</v>
      </c>
      <c r="H7647" t="n">
        <v>0</v>
      </c>
      <c r="I7647" t="n">
        <v>0</v>
      </c>
      <c r="J7647" t="n">
        <v>0</v>
      </c>
      <c r="K7647" t="n">
        <v>0</v>
      </c>
      <c r="L7647" t="n">
        <v>0</v>
      </c>
      <c r="M7647" t="n">
        <v>0</v>
      </c>
      <c r="N7647" t="n">
        <v>0</v>
      </c>
      <c r="O7647" t="n">
        <v>0</v>
      </c>
      <c r="P7647" t="n">
        <v>0</v>
      </c>
      <c r="Q7647" t="n">
        <v>0</v>
      </c>
      <c r="R7647" s="2" t="inlineStr"/>
    </row>
    <row r="7648" ht="15" customHeight="1">
      <c r="A7648" t="inlineStr">
        <is>
          <t>A 1623-2024</t>
        </is>
      </c>
      <c r="B7648" s="1" t="n">
        <v>45306</v>
      </c>
      <c r="C7648" s="1" t="n">
        <v>45798</v>
      </c>
      <c r="D7648" t="inlineStr">
        <is>
          <t>NORRBOTTENS LÄN</t>
        </is>
      </c>
      <c r="E7648" t="inlineStr">
        <is>
          <t>ÖVERTORNEÅ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1640-2024</t>
        </is>
      </c>
      <c r="B7649" s="1" t="n">
        <v>45306</v>
      </c>
      <c r="C7649" s="1" t="n">
        <v>45798</v>
      </c>
      <c r="D7649" t="inlineStr">
        <is>
          <t>NORRBOTTENS LÄN</t>
        </is>
      </c>
      <c r="E7649" t="inlineStr">
        <is>
          <t>ÖVERTORNEÅ</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1845-2024</t>
        </is>
      </c>
      <c r="B7650" s="1" t="n">
        <v>45307</v>
      </c>
      <c r="C7650" s="1" t="n">
        <v>45798</v>
      </c>
      <c r="D7650" t="inlineStr">
        <is>
          <t>NORRBOTTENS LÄN</t>
        </is>
      </c>
      <c r="E7650" t="inlineStr">
        <is>
          <t>ARVIDSJAUR</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1730-2024</t>
        </is>
      </c>
      <c r="B7651" s="1" t="n">
        <v>45307</v>
      </c>
      <c r="C7651" s="1" t="n">
        <v>45798</v>
      </c>
      <c r="D7651" t="inlineStr">
        <is>
          <t>NORRBOTTENS LÄN</t>
        </is>
      </c>
      <c r="E7651" t="inlineStr">
        <is>
          <t>PAJALA</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1908-2024</t>
        </is>
      </c>
      <c r="B7652" s="1" t="n">
        <v>45308</v>
      </c>
      <c r="C7652" s="1" t="n">
        <v>45798</v>
      </c>
      <c r="D7652" t="inlineStr">
        <is>
          <t>NORRBOTTENS LÄN</t>
        </is>
      </c>
      <c r="E7652" t="inlineStr">
        <is>
          <t>PITEÅ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1911-2024</t>
        </is>
      </c>
      <c r="B7653" s="1" t="n">
        <v>45308</v>
      </c>
      <c r="C7653" s="1" t="n">
        <v>45798</v>
      </c>
      <c r="D7653" t="inlineStr">
        <is>
          <t>NORRBOTTENS LÄN</t>
        </is>
      </c>
      <c r="E7653" t="inlineStr">
        <is>
          <t>PITEÅ</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2009-2024</t>
        </is>
      </c>
      <c r="B7654" s="1" t="n">
        <v>45308</v>
      </c>
      <c r="C7654" s="1" t="n">
        <v>45798</v>
      </c>
      <c r="D7654" t="inlineStr">
        <is>
          <t>NORRBOTTENS LÄN</t>
        </is>
      </c>
      <c r="E7654" t="inlineStr">
        <is>
          <t>ÖVERKALIX</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2003-2024</t>
        </is>
      </c>
      <c r="B7655" s="1" t="n">
        <v>45308</v>
      </c>
      <c r="C7655" s="1" t="n">
        <v>45798</v>
      </c>
      <c r="D7655" t="inlineStr">
        <is>
          <t>NORRBOTTENS LÄN</t>
        </is>
      </c>
      <c r="E7655" t="inlineStr">
        <is>
          <t>ÖVERKALIX</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2037-2024</t>
        </is>
      </c>
      <c r="B7656" s="1" t="n">
        <v>45308</v>
      </c>
      <c r="C7656" s="1" t="n">
        <v>45798</v>
      </c>
      <c r="D7656" t="inlineStr">
        <is>
          <t>NORRBOTTENS LÄN</t>
        </is>
      </c>
      <c r="E7656" t="inlineStr">
        <is>
          <t>ARVIDSJAUR</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2000-2024</t>
        </is>
      </c>
      <c r="B7657" s="1" t="n">
        <v>45308</v>
      </c>
      <c r="C7657" s="1" t="n">
        <v>45798</v>
      </c>
      <c r="D7657" t="inlineStr">
        <is>
          <t>NORRBOTTENS LÄN</t>
        </is>
      </c>
      <c r="E7657" t="inlineStr">
        <is>
          <t>KALIX</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2069-2024</t>
        </is>
      </c>
      <c r="B7658" s="1" t="n">
        <v>45309</v>
      </c>
      <c r="C7658" s="1" t="n">
        <v>45798</v>
      </c>
      <c r="D7658" t="inlineStr">
        <is>
          <t>NORRBOTTENS LÄN</t>
        </is>
      </c>
      <c r="E7658" t="inlineStr">
        <is>
          <t>BODEN</t>
        </is>
      </c>
      <c r="F7658" t="inlineStr">
        <is>
          <t>Naturvårdsverket</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2116-2024</t>
        </is>
      </c>
      <c r="B7659" s="1" t="n">
        <v>45309</v>
      </c>
      <c r="C7659" s="1" t="n">
        <v>45798</v>
      </c>
      <c r="D7659" t="inlineStr">
        <is>
          <t>NORRBOTTENS LÄN</t>
        </is>
      </c>
      <c r="E7659" t="inlineStr">
        <is>
          <t>ARVIDSJAUR</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2135-2024</t>
        </is>
      </c>
      <c r="B7660" s="1" t="n">
        <v>45309</v>
      </c>
      <c r="C7660" s="1" t="n">
        <v>45798</v>
      </c>
      <c r="D7660" t="inlineStr">
        <is>
          <t>NORRBOTTENS LÄN</t>
        </is>
      </c>
      <c r="E7660" t="inlineStr">
        <is>
          <t>GÄLLIVARE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2215-2024</t>
        </is>
      </c>
      <c r="B7661" s="1" t="n">
        <v>45309</v>
      </c>
      <c r="C7661" s="1" t="n">
        <v>45798</v>
      </c>
      <c r="D7661" t="inlineStr">
        <is>
          <t>NORRBOTTENS LÄN</t>
        </is>
      </c>
      <c r="E7661" t="inlineStr">
        <is>
          <t>LULEÅ</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2209-2024</t>
        </is>
      </c>
      <c r="B7662" s="1" t="n">
        <v>45309</v>
      </c>
      <c r="C7662" s="1" t="n">
        <v>45798</v>
      </c>
      <c r="D7662" t="inlineStr">
        <is>
          <t>NORRBOTTENS LÄN</t>
        </is>
      </c>
      <c r="E7662" t="inlineStr">
        <is>
          <t>LULEÅ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2180-2024</t>
        </is>
      </c>
      <c r="B7663" s="1" t="n">
        <v>45309</v>
      </c>
      <c r="C7663" s="1" t="n">
        <v>45798</v>
      </c>
      <c r="D7663" t="inlineStr">
        <is>
          <t>NORRBOTTENS LÄN</t>
        </is>
      </c>
      <c r="E7663" t="inlineStr">
        <is>
          <t>KALIX</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2208-2024</t>
        </is>
      </c>
      <c r="B7664" s="1" t="n">
        <v>45309</v>
      </c>
      <c r="C7664" s="1" t="n">
        <v>45798</v>
      </c>
      <c r="D7664" t="inlineStr">
        <is>
          <t>NORRBOTTENS LÄN</t>
        </is>
      </c>
      <c r="E7664" t="inlineStr">
        <is>
          <t>LULEÅ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2093-2024</t>
        </is>
      </c>
      <c r="B7665" s="1" t="n">
        <v>45309</v>
      </c>
      <c r="C7665" s="1" t="n">
        <v>45798</v>
      </c>
      <c r="D7665" t="inlineStr">
        <is>
          <t>NORRBOTTENS LÄN</t>
        </is>
      </c>
      <c r="E7665" t="inlineStr">
        <is>
          <t>LULEÅ</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2219-2024</t>
        </is>
      </c>
      <c r="B7666" s="1" t="n">
        <v>45309</v>
      </c>
      <c r="C7666" s="1" t="n">
        <v>45798</v>
      </c>
      <c r="D7666" t="inlineStr">
        <is>
          <t>NORRBOTTENS LÄN</t>
        </is>
      </c>
      <c r="E7666" t="inlineStr">
        <is>
          <t>PITEÅ</t>
        </is>
      </c>
      <c r="G7666" t="n">
        <v>6.4</v>
      </c>
      <c r="H7666" t="n">
        <v>0</v>
      </c>
      <c r="I7666" t="n">
        <v>0</v>
      </c>
      <c r="J7666" t="n">
        <v>0</v>
      </c>
      <c r="K7666" t="n">
        <v>0</v>
      </c>
      <c r="L7666" t="n">
        <v>0</v>
      </c>
      <c r="M7666" t="n">
        <v>0</v>
      </c>
      <c r="N7666" t="n">
        <v>0</v>
      </c>
      <c r="O7666" t="n">
        <v>0</v>
      </c>
      <c r="P7666" t="n">
        <v>0</v>
      </c>
      <c r="Q7666" t="n">
        <v>0</v>
      </c>
      <c r="R7666" s="2" t="inlineStr"/>
    </row>
    <row r="7667" ht="15" customHeight="1">
      <c r="A7667" t="inlineStr">
        <is>
          <t>A 2216-2024</t>
        </is>
      </c>
      <c r="B7667" s="1" t="n">
        <v>45309</v>
      </c>
      <c r="C7667" s="1" t="n">
        <v>45798</v>
      </c>
      <c r="D7667" t="inlineStr">
        <is>
          <t>NORRBOTTENS LÄN</t>
        </is>
      </c>
      <c r="E7667" t="inlineStr">
        <is>
          <t>LULEÅ</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2217-2024</t>
        </is>
      </c>
      <c r="B7668" s="1" t="n">
        <v>45309</v>
      </c>
      <c r="C7668" s="1" t="n">
        <v>45798</v>
      </c>
      <c r="D7668" t="inlineStr">
        <is>
          <t>NORRBOTTENS LÄN</t>
        </is>
      </c>
      <c r="E7668" t="inlineStr">
        <is>
          <t>LULEÅ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2225-2024</t>
        </is>
      </c>
      <c r="B7669" s="1" t="n">
        <v>45309</v>
      </c>
      <c r="C7669" s="1" t="n">
        <v>45798</v>
      </c>
      <c r="D7669" t="inlineStr">
        <is>
          <t>NORRBOTTENS LÄN</t>
        </is>
      </c>
      <c r="E7669" t="inlineStr">
        <is>
          <t>ÖVERKALIX</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2234-2024</t>
        </is>
      </c>
      <c r="B7670" s="1" t="n">
        <v>45309</v>
      </c>
      <c r="C7670" s="1" t="n">
        <v>45798</v>
      </c>
      <c r="D7670" t="inlineStr">
        <is>
          <t>NORRBOTTENS LÄN</t>
        </is>
      </c>
      <c r="E7670" t="inlineStr">
        <is>
          <t>PAJALA</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2235-2024</t>
        </is>
      </c>
      <c r="B7671" s="1" t="n">
        <v>45309</v>
      </c>
      <c r="C7671" s="1" t="n">
        <v>45798</v>
      </c>
      <c r="D7671" t="inlineStr">
        <is>
          <t>NORRBOTTENS LÄN</t>
        </is>
      </c>
      <c r="E7671" t="inlineStr">
        <is>
          <t>PAJALA</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2286-2024</t>
        </is>
      </c>
      <c r="B7672" s="1" t="n">
        <v>45310</v>
      </c>
      <c r="C7672" s="1" t="n">
        <v>45798</v>
      </c>
      <c r="D7672" t="inlineStr">
        <is>
          <t>NORRBOTTENS LÄN</t>
        </is>
      </c>
      <c r="E7672" t="inlineStr">
        <is>
          <t>ARVIDSJAUR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2324-2024</t>
        </is>
      </c>
      <c r="B7673" s="1" t="n">
        <v>45310</v>
      </c>
      <c r="C7673" s="1" t="n">
        <v>45798</v>
      </c>
      <c r="D7673" t="inlineStr">
        <is>
          <t>NORRBOTTENS LÄN</t>
        </is>
      </c>
      <c r="E7673" t="inlineStr">
        <is>
          <t>ÄLVSBYN</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2321-2024</t>
        </is>
      </c>
      <c r="B7674" s="1" t="n">
        <v>45310</v>
      </c>
      <c r="C7674" s="1" t="n">
        <v>45798</v>
      </c>
      <c r="D7674" t="inlineStr">
        <is>
          <t>NORRBOTTENS LÄN</t>
        </is>
      </c>
      <c r="E7674" t="inlineStr">
        <is>
          <t>ÄLVSBYN</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2397-2024</t>
        </is>
      </c>
      <c r="B7675" s="1" t="n">
        <v>45310</v>
      </c>
      <c r="C7675" s="1" t="n">
        <v>45798</v>
      </c>
      <c r="D7675" t="inlineStr">
        <is>
          <t>NORRBOTTENS LÄN</t>
        </is>
      </c>
      <c r="E7675" t="inlineStr">
        <is>
          <t>PITEÅ</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2395-2024</t>
        </is>
      </c>
      <c r="B7676" s="1" t="n">
        <v>45310</v>
      </c>
      <c r="C7676" s="1" t="n">
        <v>45798</v>
      </c>
      <c r="D7676" t="inlineStr">
        <is>
          <t>NORRBOTTENS LÄN</t>
        </is>
      </c>
      <c r="E7676" t="inlineStr">
        <is>
          <t>PITEÅ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2426-2024</t>
        </is>
      </c>
      <c r="B7677" s="1" t="n">
        <v>45310</v>
      </c>
      <c r="C7677" s="1" t="n">
        <v>45798</v>
      </c>
      <c r="D7677" t="inlineStr">
        <is>
          <t>NORRBOTTENS LÄN</t>
        </is>
      </c>
      <c r="E7677" t="inlineStr">
        <is>
          <t>BODEN</t>
        </is>
      </c>
      <c r="F7677" t="inlineStr">
        <is>
          <t>SCA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2439-2024</t>
        </is>
      </c>
      <c r="B7678" s="1" t="n">
        <v>45311</v>
      </c>
      <c r="C7678" s="1" t="n">
        <v>45798</v>
      </c>
      <c r="D7678" t="inlineStr">
        <is>
          <t>NORRBOTTENS LÄN</t>
        </is>
      </c>
      <c r="E7678" t="inlineStr">
        <is>
          <t>PITEÅ</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2450-2024</t>
        </is>
      </c>
      <c r="B7679" s="1" t="n">
        <v>45311</v>
      </c>
      <c r="C7679" s="1" t="n">
        <v>45798</v>
      </c>
      <c r="D7679" t="inlineStr">
        <is>
          <t>NORRBOTTENS LÄN</t>
        </is>
      </c>
      <c r="E7679" t="inlineStr">
        <is>
          <t>PITEÅ</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2452-2024</t>
        </is>
      </c>
      <c r="B7680" s="1" t="n">
        <v>45312</v>
      </c>
      <c r="C7680" s="1" t="n">
        <v>45798</v>
      </c>
      <c r="D7680" t="inlineStr">
        <is>
          <t>NORRBOTTENS LÄN</t>
        </is>
      </c>
      <c r="E7680" t="inlineStr">
        <is>
          <t>PITEÅ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2453-2024</t>
        </is>
      </c>
      <c r="B7681" s="1" t="n">
        <v>45312</v>
      </c>
      <c r="C7681" s="1" t="n">
        <v>45798</v>
      </c>
      <c r="D7681" t="inlineStr">
        <is>
          <t>NORRBOTTENS LÄN</t>
        </is>
      </c>
      <c r="E7681" t="inlineStr">
        <is>
          <t>PITEÅ</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2550-2024</t>
        </is>
      </c>
      <c r="B7682" s="1" t="n">
        <v>45313</v>
      </c>
      <c r="C7682" s="1" t="n">
        <v>45798</v>
      </c>
      <c r="D7682" t="inlineStr">
        <is>
          <t>NORRBOTTENS LÄN</t>
        </is>
      </c>
      <c r="E7682" t="inlineStr">
        <is>
          <t>PITEÅ</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2583-2024</t>
        </is>
      </c>
      <c r="B7683" s="1" t="n">
        <v>45313</v>
      </c>
      <c r="C7683" s="1" t="n">
        <v>45798</v>
      </c>
      <c r="D7683" t="inlineStr">
        <is>
          <t>NORRBOTTENS LÄN</t>
        </is>
      </c>
      <c r="E7683" t="inlineStr">
        <is>
          <t>BODEN</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2682-2024</t>
        </is>
      </c>
      <c r="B7684" s="1" t="n">
        <v>45314</v>
      </c>
      <c r="C7684" s="1" t="n">
        <v>45798</v>
      </c>
      <c r="D7684" t="inlineStr">
        <is>
          <t>NORRBOTTENS LÄN</t>
        </is>
      </c>
      <c r="E7684" t="inlineStr">
        <is>
          <t>BODEN</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2705-2024</t>
        </is>
      </c>
      <c r="B7685" s="1" t="n">
        <v>45314</v>
      </c>
      <c r="C7685" s="1" t="n">
        <v>45798</v>
      </c>
      <c r="D7685" t="inlineStr">
        <is>
          <t>NORRBOTTENS LÄN</t>
        </is>
      </c>
      <c r="E7685" t="inlineStr">
        <is>
          <t>KALIX</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2823-2024</t>
        </is>
      </c>
      <c r="B7686" s="1" t="n">
        <v>45314</v>
      </c>
      <c r="C7686" s="1" t="n">
        <v>45798</v>
      </c>
      <c r="D7686" t="inlineStr">
        <is>
          <t>NORRBOTTENS LÄN</t>
        </is>
      </c>
      <c r="E7686" t="inlineStr">
        <is>
          <t>PAJALA</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2842-2024</t>
        </is>
      </c>
      <c r="B7687" s="1" t="n">
        <v>45315</v>
      </c>
      <c r="C7687" s="1" t="n">
        <v>45798</v>
      </c>
      <c r="D7687" t="inlineStr">
        <is>
          <t>NORRBOTTENS LÄN</t>
        </is>
      </c>
      <c r="E7687" t="inlineStr">
        <is>
          <t>PITEÅ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2898-2024</t>
        </is>
      </c>
      <c r="B7688" s="1" t="n">
        <v>45315</v>
      </c>
      <c r="C7688" s="1" t="n">
        <v>45798</v>
      </c>
      <c r="D7688" t="inlineStr">
        <is>
          <t>NORRBOTTENS LÄN</t>
        </is>
      </c>
      <c r="E7688" t="inlineStr">
        <is>
          <t>ARVIDSJAUR</t>
        </is>
      </c>
      <c r="F7688" t="inlineStr">
        <is>
          <t>Allmännings- och besparingsskogar</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2847-2024</t>
        </is>
      </c>
      <c r="B7689" s="1" t="n">
        <v>45315</v>
      </c>
      <c r="C7689" s="1" t="n">
        <v>45798</v>
      </c>
      <c r="D7689" t="inlineStr">
        <is>
          <t>NORRBOTTENS LÄN</t>
        </is>
      </c>
      <c r="E7689" t="inlineStr">
        <is>
          <t>PITEÅ</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2908-2024</t>
        </is>
      </c>
      <c r="B7690" s="1" t="n">
        <v>45315</v>
      </c>
      <c r="C7690" s="1" t="n">
        <v>45798</v>
      </c>
      <c r="D7690" t="inlineStr">
        <is>
          <t>NORRBOTTENS LÄN</t>
        </is>
      </c>
      <c r="E7690" t="inlineStr">
        <is>
          <t>ARVIDSJAUR</t>
        </is>
      </c>
      <c r="F7690" t="inlineStr">
        <is>
          <t>Allmännings- och besparingsskogar</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2989-2024</t>
        </is>
      </c>
      <c r="B7691" s="1" t="n">
        <v>45315</v>
      </c>
      <c r="C7691" s="1" t="n">
        <v>45798</v>
      </c>
      <c r="D7691" t="inlineStr">
        <is>
          <t>NORRBOTTENS LÄN</t>
        </is>
      </c>
      <c r="E7691" t="inlineStr">
        <is>
          <t>KALIX</t>
        </is>
      </c>
      <c r="G7691" t="n">
        <v>17.6</v>
      </c>
      <c r="H7691" t="n">
        <v>0</v>
      </c>
      <c r="I7691" t="n">
        <v>0</v>
      </c>
      <c r="J7691" t="n">
        <v>0</v>
      </c>
      <c r="K7691" t="n">
        <v>0</v>
      </c>
      <c r="L7691" t="n">
        <v>0</v>
      </c>
      <c r="M7691" t="n">
        <v>0</v>
      </c>
      <c r="N7691" t="n">
        <v>0</v>
      </c>
      <c r="O7691" t="n">
        <v>0</v>
      </c>
      <c r="P7691" t="n">
        <v>0</v>
      </c>
      <c r="Q7691" t="n">
        <v>0</v>
      </c>
      <c r="R7691" s="2" t="inlineStr"/>
    </row>
    <row r="7692" ht="15" customHeight="1">
      <c r="A7692" t="inlineStr">
        <is>
          <t>A 2993-2024</t>
        </is>
      </c>
      <c r="B7692" s="1" t="n">
        <v>45315</v>
      </c>
      <c r="C7692" s="1" t="n">
        <v>45798</v>
      </c>
      <c r="D7692" t="inlineStr">
        <is>
          <t>NORRBOTTENS LÄN</t>
        </is>
      </c>
      <c r="E7692" t="inlineStr">
        <is>
          <t>ÖVERKALIX</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3000-2024</t>
        </is>
      </c>
      <c r="B7693" s="1" t="n">
        <v>45315</v>
      </c>
      <c r="C7693" s="1" t="n">
        <v>45798</v>
      </c>
      <c r="D7693" t="inlineStr">
        <is>
          <t>NORRBOTTENS LÄN</t>
        </is>
      </c>
      <c r="E7693" t="inlineStr">
        <is>
          <t>PAJALA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2992-2024</t>
        </is>
      </c>
      <c r="B7694" s="1" t="n">
        <v>45315</v>
      </c>
      <c r="C7694" s="1" t="n">
        <v>45798</v>
      </c>
      <c r="D7694" t="inlineStr">
        <is>
          <t>NORRBOTTENS LÄN</t>
        </is>
      </c>
      <c r="E7694" t="inlineStr">
        <is>
          <t>ÖVERKALIX</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3006-2024</t>
        </is>
      </c>
      <c r="B7695" s="1" t="n">
        <v>45315</v>
      </c>
      <c r="C7695" s="1" t="n">
        <v>45798</v>
      </c>
      <c r="D7695" t="inlineStr">
        <is>
          <t>NORRBOTTENS LÄN</t>
        </is>
      </c>
      <c r="E7695" t="inlineStr">
        <is>
          <t>ARJEPLOG</t>
        </is>
      </c>
      <c r="G7695" t="n">
        <v>9.1</v>
      </c>
      <c r="H7695" t="n">
        <v>0</v>
      </c>
      <c r="I7695" t="n">
        <v>0</v>
      </c>
      <c r="J7695" t="n">
        <v>0</v>
      </c>
      <c r="K7695" t="n">
        <v>0</v>
      </c>
      <c r="L7695" t="n">
        <v>0</v>
      </c>
      <c r="M7695" t="n">
        <v>0</v>
      </c>
      <c r="N7695" t="n">
        <v>0</v>
      </c>
      <c r="O7695" t="n">
        <v>0</v>
      </c>
      <c r="P7695" t="n">
        <v>0</v>
      </c>
      <c r="Q7695" t="n">
        <v>0</v>
      </c>
      <c r="R7695" s="2" t="inlineStr"/>
    </row>
    <row r="7696" ht="15" customHeight="1">
      <c r="A7696" t="inlineStr">
        <is>
          <t>A 2998-2024</t>
        </is>
      </c>
      <c r="B7696" s="1" t="n">
        <v>45315</v>
      </c>
      <c r="C7696" s="1" t="n">
        <v>45798</v>
      </c>
      <c r="D7696" t="inlineStr">
        <is>
          <t>NORRBOTTENS LÄN</t>
        </is>
      </c>
      <c r="E7696" t="inlineStr">
        <is>
          <t>PAJALA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2970-2024</t>
        </is>
      </c>
      <c r="B7697" s="1" t="n">
        <v>45315</v>
      </c>
      <c r="C7697" s="1" t="n">
        <v>45798</v>
      </c>
      <c r="D7697" t="inlineStr">
        <is>
          <t>NORRBOTTENS LÄN</t>
        </is>
      </c>
      <c r="E7697" t="inlineStr">
        <is>
          <t>ARVIDSJAUR</t>
        </is>
      </c>
      <c r="F7697" t="inlineStr">
        <is>
          <t>Allmännings- och besparingsskogar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2962-2024</t>
        </is>
      </c>
      <c r="B7698" s="1" t="n">
        <v>45315</v>
      </c>
      <c r="C7698" s="1" t="n">
        <v>45798</v>
      </c>
      <c r="D7698" t="inlineStr">
        <is>
          <t>NORRBOTTENS LÄN</t>
        </is>
      </c>
      <c r="E7698" t="inlineStr">
        <is>
          <t>ARVIDSJAUR</t>
        </is>
      </c>
      <c r="F7698" t="inlineStr">
        <is>
          <t>Allmännings- och besparingsskogar</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3019-2024</t>
        </is>
      </c>
      <c r="B7699" s="1" t="n">
        <v>45315</v>
      </c>
      <c r="C7699" s="1" t="n">
        <v>45798</v>
      </c>
      <c r="D7699" t="inlineStr">
        <is>
          <t>NORRBOTTENS LÄN</t>
        </is>
      </c>
      <c r="E7699" t="inlineStr">
        <is>
          <t>BODEN</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2905-2024</t>
        </is>
      </c>
      <c r="B7700" s="1" t="n">
        <v>45315</v>
      </c>
      <c r="C7700" s="1" t="n">
        <v>45798</v>
      </c>
      <c r="D7700" t="inlineStr">
        <is>
          <t>NORRBOTTENS LÄN</t>
        </is>
      </c>
      <c r="E7700" t="inlineStr">
        <is>
          <t>ARVIDSJAUR</t>
        </is>
      </c>
      <c r="F7700" t="inlineStr">
        <is>
          <t>Allmännings- och besparingsskogar</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2895-2024</t>
        </is>
      </c>
      <c r="B7701" s="1" t="n">
        <v>45315</v>
      </c>
      <c r="C7701" s="1" t="n">
        <v>45798</v>
      </c>
      <c r="D7701" t="inlineStr">
        <is>
          <t>NORRBOTTENS LÄN</t>
        </is>
      </c>
      <c r="E7701" t="inlineStr">
        <is>
          <t>ARVIDSJAUR</t>
        </is>
      </c>
      <c r="F7701" t="inlineStr">
        <is>
          <t>Allmännings- och besparingsskogar</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2889-2024</t>
        </is>
      </c>
      <c r="B7702" s="1" t="n">
        <v>45315</v>
      </c>
      <c r="C7702" s="1" t="n">
        <v>45798</v>
      </c>
      <c r="D7702" t="inlineStr">
        <is>
          <t>NORRBOTTENS LÄN</t>
        </is>
      </c>
      <c r="E7702" t="inlineStr">
        <is>
          <t>PITEÅ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3034-2024</t>
        </is>
      </c>
      <c r="B7703" s="1" t="n">
        <v>45316</v>
      </c>
      <c r="C7703" s="1" t="n">
        <v>45798</v>
      </c>
      <c r="D7703" t="inlineStr">
        <is>
          <t>NORRBOTTENS LÄN</t>
        </is>
      </c>
      <c r="E7703" t="inlineStr">
        <is>
          <t>ARVIDSJAUR</t>
        </is>
      </c>
      <c r="F7703" t="inlineStr">
        <is>
          <t>Allmännings- och besparingsskogar</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3025-2024</t>
        </is>
      </c>
      <c r="B7704" s="1" t="n">
        <v>45316</v>
      </c>
      <c r="C7704" s="1" t="n">
        <v>45798</v>
      </c>
      <c r="D7704" t="inlineStr">
        <is>
          <t>NORRBOTTENS LÄN</t>
        </is>
      </c>
      <c r="E7704" t="inlineStr">
        <is>
          <t>GÄLLIVARE</t>
        </is>
      </c>
      <c r="F7704" t="inlineStr">
        <is>
          <t>Sveaskog</t>
        </is>
      </c>
      <c r="G7704" t="n">
        <v>16.9</v>
      </c>
      <c r="H7704" t="n">
        <v>0</v>
      </c>
      <c r="I7704" t="n">
        <v>0</v>
      </c>
      <c r="J7704" t="n">
        <v>0</v>
      </c>
      <c r="K7704" t="n">
        <v>0</v>
      </c>
      <c r="L7704" t="n">
        <v>0</v>
      </c>
      <c r="M7704" t="n">
        <v>0</v>
      </c>
      <c r="N7704" t="n">
        <v>0</v>
      </c>
      <c r="O7704" t="n">
        <v>0</v>
      </c>
      <c r="P7704" t="n">
        <v>0</v>
      </c>
      <c r="Q7704" t="n">
        <v>0</v>
      </c>
      <c r="R7704" s="2" t="inlineStr"/>
    </row>
    <row r="7705" ht="15" customHeight="1">
      <c r="A7705" t="inlineStr">
        <is>
          <t>A 3090-2024</t>
        </is>
      </c>
      <c r="B7705" s="1" t="n">
        <v>45316</v>
      </c>
      <c r="C7705" s="1" t="n">
        <v>45798</v>
      </c>
      <c r="D7705" t="inlineStr">
        <is>
          <t>NORRBOTTENS LÄN</t>
        </is>
      </c>
      <c r="E7705" t="inlineStr">
        <is>
          <t>BODEN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3146-2024</t>
        </is>
      </c>
      <c r="B7706" s="1" t="n">
        <v>45316</v>
      </c>
      <c r="C7706" s="1" t="n">
        <v>45798</v>
      </c>
      <c r="D7706" t="inlineStr">
        <is>
          <t>NORRBOTTENS LÄN</t>
        </is>
      </c>
      <c r="E7706" t="inlineStr">
        <is>
          <t>BODEN</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3170-2024</t>
        </is>
      </c>
      <c r="B7707" s="1" t="n">
        <v>45316</v>
      </c>
      <c r="C7707" s="1" t="n">
        <v>45798</v>
      </c>
      <c r="D7707" t="inlineStr">
        <is>
          <t>NORRBOTTENS LÄN</t>
        </is>
      </c>
      <c r="E7707" t="inlineStr">
        <is>
          <t>KALIX</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3203-2024</t>
        </is>
      </c>
      <c r="B7708" s="1" t="n">
        <v>45316</v>
      </c>
      <c r="C7708" s="1" t="n">
        <v>45798</v>
      </c>
      <c r="D7708" t="inlineStr">
        <is>
          <t>NORRBOTTENS LÄN</t>
        </is>
      </c>
      <c r="E7708" t="inlineStr">
        <is>
          <t>ARVIDSJAUR</t>
        </is>
      </c>
      <c r="F7708" t="inlineStr">
        <is>
          <t>Allmännings- och besparingsskogar</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3207-2024</t>
        </is>
      </c>
      <c r="B7709" s="1" t="n">
        <v>45316</v>
      </c>
      <c r="C7709" s="1" t="n">
        <v>45798</v>
      </c>
      <c r="D7709" t="inlineStr">
        <is>
          <t>NORRBOTTENS LÄN</t>
        </is>
      </c>
      <c r="E7709" t="inlineStr">
        <is>
          <t>ARVIDSJAUR</t>
        </is>
      </c>
      <c r="F7709" t="inlineStr">
        <is>
          <t>Allmännings- och besparingsskogar</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3215-2024</t>
        </is>
      </c>
      <c r="B7710" s="1" t="n">
        <v>45316</v>
      </c>
      <c r="C7710" s="1" t="n">
        <v>45798</v>
      </c>
      <c r="D7710" t="inlineStr">
        <is>
          <t>NORRBOTTENS LÄN</t>
        </is>
      </c>
      <c r="E7710" t="inlineStr">
        <is>
          <t>PITEÅ</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3096-2024</t>
        </is>
      </c>
      <c r="B7711" s="1" t="n">
        <v>45316</v>
      </c>
      <c r="C7711" s="1" t="n">
        <v>45798</v>
      </c>
      <c r="D7711" t="inlineStr">
        <is>
          <t>NORRBOTTENS LÄN</t>
        </is>
      </c>
      <c r="E7711" t="inlineStr">
        <is>
          <t>GÄLLIVARE</t>
        </is>
      </c>
      <c r="F7711" t="inlineStr">
        <is>
          <t>Sveaskog</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3201-2024</t>
        </is>
      </c>
      <c r="B7712" s="1" t="n">
        <v>45316</v>
      </c>
      <c r="C7712" s="1" t="n">
        <v>45798</v>
      </c>
      <c r="D7712" t="inlineStr">
        <is>
          <t>NORRBOTTENS LÄN</t>
        </is>
      </c>
      <c r="E7712" t="inlineStr">
        <is>
          <t>ARVIDSJAUR</t>
        </is>
      </c>
      <c r="F7712" t="inlineStr">
        <is>
          <t>Allmännings- och besparingsskogar</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3209-2024</t>
        </is>
      </c>
      <c r="B7713" s="1" t="n">
        <v>45316</v>
      </c>
      <c r="C7713" s="1" t="n">
        <v>45798</v>
      </c>
      <c r="D7713" t="inlineStr">
        <is>
          <t>NORRBOTTENS LÄN</t>
        </is>
      </c>
      <c r="E7713" t="inlineStr">
        <is>
          <t>LULEÅ</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3153-2024</t>
        </is>
      </c>
      <c r="B7714" s="1" t="n">
        <v>45316</v>
      </c>
      <c r="C7714" s="1" t="n">
        <v>45798</v>
      </c>
      <c r="D7714" t="inlineStr">
        <is>
          <t>NORRBOTTENS LÄN</t>
        </is>
      </c>
      <c r="E7714" t="inlineStr">
        <is>
          <t>PAJALA</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3165-2024</t>
        </is>
      </c>
      <c r="B7715" s="1" t="n">
        <v>45316</v>
      </c>
      <c r="C7715" s="1" t="n">
        <v>45798</v>
      </c>
      <c r="D7715" t="inlineStr">
        <is>
          <t>NORRBOTTENS LÄN</t>
        </is>
      </c>
      <c r="E7715" t="inlineStr">
        <is>
          <t>ARVIDSJAUR</t>
        </is>
      </c>
      <c r="F7715" t="inlineStr">
        <is>
          <t>Allmännings- och besparingsskogar</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3206-2024</t>
        </is>
      </c>
      <c r="B7716" s="1" t="n">
        <v>45316</v>
      </c>
      <c r="C7716" s="1" t="n">
        <v>45798</v>
      </c>
      <c r="D7716" t="inlineStr">
        <is>
          <t>NORRBOTTENS LÄN</t>
        </is>
      </c>
      <c r="E7716" t="inlineStr">
        <is>
          <t>ARVIDSJAUR</t>
        </is>
      </c>
      <c r="F7716" t="inlineStr">
        <is>
          <t>Allmännings- och besparingsskogar</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3218-2024</t>
        </is>
      </c>
      <c r="B7717" s="1" t="n">
        <v>45316</v>
      </c>
      <c r="C7717" s="1" t="n">
        <v>45798</v>
      </c>
      <c r="D7717" t="inlineStr">
        <is>
          <t>NORRBOTTENS LÄN</t>
        </is>
      </c>
      <c r="E7717" t="inlineStr">
        <is>
          <t>PITEÅ</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3220-2024</t>
        </is>
      </c>
      <c r="B7718" s="1" t="n">
        <v>45316</v>
      </c>
      <c r="C7718" s="1" t="n">
        <v>45798</v>
      </c>
      <c r="D7718" t="inlineStr">
        <is>
          <t>NORRBOTTENS LÄN</t>
        </is>
      </c>
      <c r="E7718" t="inlineStr">
        <is>
          <t>PITEÅ</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3258-2024</t>
        </is>
      </c>
      <c r="B7719" s="1" t="n">
        <v>45316</v>
      </c>
      <c r="C7719" s="1" t="n">
        <v>45798</v>
      </c>
      <c r="D7719" t="inlineStr">
        <is>
          <t>NORRBOTTENS LÄN</t>
        </is>
      </c>
      <c r="E7719" t="inlineStr">
        <is>
          <t>ARVIDSJAUR</t>
        </is>
      </c>
      <c r="F7719" t="inlineStr">
        <is>
          <t>Allmännings- och besparingsskogar</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3274-2024</t>
        </is>
      </c>
      <c r="B7720" s="1" t="n">
        <v>45316</v>
      </c>
      <c r="C7720" s="1" t="n">
        <v>45798</v>
      </c>
      <c r="D7720" t="inlineStr">
        <is>
          <t>NORRBOTTENS LÄN</t>
        </is>
      </c>
      <c r="E7720" t="inlineStr">
        <is>
          <t>ARVIDSJAUR</t>
        </is>
      </c>
      <c r="F7720" t="inlineStr">
        <is>
          <t>Allmännings- och besparingsskogar</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3266-2024</t>
        </is>
      </c>
      <c r="B7721" s="1" t="n">
        <v>45316</v>
      </c>
      <c r="C7721" s="1" t="n">
        <v>45798</v>
      </c>
      <c r="D7721" t="inlineStr">
        <is>
          <t>NORRBOTTENS LÄN</t>
        </is>
      </c>
      <c r="E7721" t="inlineStr">
        <is>
          <t>ARVIDSJAUR</t>
        </is>
      </c>
      <c r="F7721" t="inlineStr">
        <is>
          <t>Allmännings- och besparingsskogar</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3262-2024</t>
        </is>
      </c>
      <c r="B7722" s="1" t="n">
        <v>45316</v>
      </c>
      <c r="C7722" s="1" t="n">
        <v>45798</v>
      </c>
      <c r="D7722" t="inlineStr">
        <is>
          <t>NORRBOTTENS LÄN</t>
        </is>
      </c>
      <c r="E7722" t="inlineStr">
        <is>
          <t>ARVIDSJAUR</t>
        </is>
      </c>
      <c r="F7722" t="inlineStr">
        <is>
          <t>Allmännings- och besparingsskogar</t>
        </is>
      </c>
      <c r="G7722" t="n">
        <v>13.7</v>
      </c>
      <c r="H7722" t="n">
        <v>0</v>
      </c>
      <c r="I7722" t="n">
        <v>0</v>
      </c>
      <c r="J7722" t="n">
        <v>0</v>
      </c>
      <c r="K7722" t="n">
        <v>0</v>
      </c>
      <c r="L7722" t="n">
        <v>0</v>
      </c>
      <c r="M7722" t="n">
        <v>0</v>
      </c>
      <c r="N7722" t="n">
        <v>0</v>
      </c>
      <c r="O7722" t="n">
        <v>0</v>
      </c>
      <c r="P7722" t="n">
        <v>0</v>
      </c>
      <c r="Q7722" t="n">
        <v>0</v>
      </c>
      <c r="R7722" s="2" t="inlineStr"/>
    </row>
    <row r="7723" ht="15" customHeight="1">
      <c r="A7723" t="inlineStr">
        <is>
          <t>A 3265-2024</t>
        </is>
      </c>
      <c r="B7723" s="1" t="n">
        <v>45316</v>
      </c>
      <c r="C7723" s="1" t="n">
        <v>45798</v>
      </c>
      <c r="D7723" t="inlineStr">
        <is>
          <t>NORRBOTTENS LÄN</t>
        </is>
      </c>
      <c r="E7723" t="inlineStr">
        <is>
          <t>ARVIDSJAUR</t>
        </is>
      </c>
      <c r="F7723" t="inlineStr">
        <is>
          <t>Allmännings- och besparingsskogar</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3299-2024</t>
        </is>
      </c>
      <c r="B7724" s="1" t="n">
        <v>45316</v>
      </c>
      <c r="C7724" s="1" t="n">
        <v>45798</v>
      </c>
      <c r="D7724" t="inlineStr">
        <is>
          <t>NORRBOTTENS LÄN</t>
        </is>
      </c>
      <c r="E7724" t="inlineStr">
        <is>
          <t>ARVIDSJAUR</t>
        </is>
      </c>
      <c r="F7724" t="inlineStr">
        <is>
          <t>Allmännings- och besparingsskogar</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3286-2024</t>
        </is>
      </c>
      <c r="B7725" s="1" t="n">
        <v>45317</v>
      </c>
      <c r="C7725" s="1" t="n">
        <v>45798</v>
      </c>
      <c r="D7725" t="inlineStr">
        <is>
          <t>NORRBOTTENS LÄN</t>
        </is>
      </c>
      <c r="E7725" t="inlineStr">
        <is>
          <t>LULEÅ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3343-2024</t>
        </is>
      </c>
      <c r="B7726" s="1" t="n">
        <v>45317</v>
      </c>
      <c r="C7726" s="1" t="n">
        <v>45798</v>
      </c>
      <c r="D7726" t="inlineStr">
        <is>
          <t>NORRBOTTENS LÄN</t>
        </is>
      </c>
      <c r="E7726" t="inlineStr">
        <is>
          <t>ARVIDSJAUR</t>
        </is>
      </c>
      <c r="G7726" t="n">
        <v>10.9</v>
      </c>
      <c r="H7726" t="n">
        <v>0</v>
      </c>
      <c r="I7726" t="n">
        <v>0</v>
      </c>
      <c r="J7726" t="n">
        <v>0</v>
      </c>
      <c r="K7726" t="n">
        <v>0</v>
      </c>
      <c r="L7726" t="n">
        <v>0</v>
      </c>
      <c r="M7726" t="n">
        <v>0</v>
      </c>
      <c r="N7726" t="n">
        <v>0</v>
      </c>
      <c r="O7726" t="n">
        <v>0</v>
      </c>
      <c r="P7726" t="n">
        <v>0</v>
      </c>
      <c r="Q7726" t="n">
        <v>0</v>
      </c>
      <c r="R7726" s="2" t="inlineStr"/>
    </row>
    <row r="7727" ht="15" customHeight="1">
      <c r="A7727" t="inlineStr">
        <is>
          <t>A 3360-2024</t>
        </is>
      </c>
      <c r="B7727" s="1" t="n">
        <v>45317</v>
      </c>
      <c r="C7727" s="1" t="n">
        <v>45798</v>
      </c>
      <c r="D7727" t="inlineStr">
        <is>
          <t>NORRBOTTENS LÄN</t>
        </is>
      </c>
      <c r="E7727" t="inlineStr">
        <is>
          <t>ARJEPLOG</t>
        </is>
      </c>
      <c r="G7727" t="n">
        <v>9.300000000000001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3509-2024</t>
        </is>
      </c>
      <c r="B7728" s="1" t="n">
        <v>45320</v>
      </c>
      <c r="C7728" s="1" t="n">
        <v>45798</v>
      </c>
      <c r="D7728" t="inlineStr">
        <is>
          <t>NORRBOTTENS LÄN</t>
        </is>
      </c>
      <c r="E7728" t="inlineStr">
        <is>
          <t>ÄLVSBYN</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3504-2024</t>
        </is>
      </c>
      <c r="B7729" s="1" t="n">
        <v>45320</v>
      </c>
      <c r="C7729" s="1" t="n">
        <v>45798</v>
      </c>
      <c r="D7729" t="inlineStr">
        <is>
          <t>NORRBOTTENS LÄN</t>
        </is>
      </c>
      <c r="E7729" t="inlineStr">
        <is>
          <t>PITEÅ</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3521-2024</t>
        </is>
      </c>
      <c r="B7730" s="1" t="n">
        <v>45320</v>
      </c>
      <c r="C7730" s="1" t="n">
        <v>45798</v>
      </c>
      <c r="D7730" t="inlineStr">
        <is>
          <t>NORRBOTTENS LÄN</t>
        </is>
      </c>
      <c r="E7730" t="inlineStr">
        <is>
          <t>PITEÅ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3542-2024</t>
        </is>
      </c>
      <c r="B7731" s="1" t="n">
        <v>45320</v>
      </c>
      <c r="C7731" s="1" t="n">
        <v>45798</v>
      </c>
      <c r="D7731" t="inlineStr">
        <is>
          <t>NORRBOTTENS LÄN</t>
        </is>
      </c>
      <c r="E7731" t="inlineStr">
        <is>
          <t>GÄLLIVARE</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3558-2024</t>
        </is>
      </c>
      <c r="B7732" s="1" t="n">
        <v>45320</v>
      </c>
      <c r="C7732" s="1" t="n">
        <v>45798</v>
      </c>
      <c r="D7732" t="inlineStr">
        <is>
          <t>NORRBOTTENS LÄN</t>
        </is>
      </c>
      <c r="E7732" t="inlineStr">
        <is>
          <t>LULEÅ</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3574-2024</t>
        </is>
      </c>
      <c r="B7733" s="1" t="n">
        <v>45320</v>
      </c>
      <c r="C7733" s="1" t="n">
        <v>45798</v>
      </c>
      <c r="D7733" t="inlineStr">
        <is>
          <t>NORRBOTTENS LÄN</t>
        </is>
      </c>
      <c r="E7733" t="inlineStr">
        <is>
          <t>GÄLLIVARE</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3680-2024</t>
        </is>
      </c>
      <c r="B7734" s="1" t="n">
        <v>45321</v>
      </c>
      <c r="C7734" s="1" t="n">
        <v>45798</v>
      </c>
      <c r="D7734" t="inlineStr">
        <is>
          <t>NORRBOTTENS LÄN</t>
        </is>
      </c>
      <c r="E7734" t="inlineStr">
        <is>
          <t>KALIX</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3701-2024</t>
        </is>
      </c>
      <c r="B7735" s="1" t="n">
        <v>45321</v>
      </c>
      <c r="C7735" s="1" t="n">
        <v>45798</v>
      </c>
      <c r="D7735" t="inlineStr">
        <is>
          <t>NORRBOTTENS LÄN</t>
        </is>
      </c>
      <c r="E7735" t="inlineStr">
        <is>
          <t>ÖVERKALIX</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3704-2024</t>
        </is>
      </c>
      <c r="B7736" s="1" t="n">
        <v>45321</v>
      </c>
      <c r="C7736" s="1" t="n">
        <v>45798</v>
      </c>
      <c r="D7736" t="inlineStr">
        <is>
          <t>NORRBOTTENS LÄN</t>
        </is>
      </c>
      <c r="E7736" t="inlineStr">
        <is>
          <t>ÖVERKALIX</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3747-2024</t>
        </is>
      </c>
      <c r="B7737" s="1" t="n">
        <v>45321</v>
      </c>
      <c r="C7737" s="1" t="n">
        <v>45798</v>
      </c>
      <c r="D7737" t="inlineStr">
        <is>
          <t>NORRBOTTENS LÄN</t>
        </is>
      </c>
      <c r="E7737" t="inlineStr">
        <is>
          <t>KALIX</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3984-2024</t>
        </is>
      </c>
      <c r="B7738" s="1" t="n">
        <v>45322</v>
      </c>
      <c r="C7738" s="1" t="n">
        <v>45798</v>
      </c>
      <c r="D7738" t="inlineStr">
        <is>
          <t>NORRBOTTENS LÄN</t>
        </is>
      </c>
      <c r="E7738" t="inlineStr">
        <is>
          <t>ÄLVSBYN</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3985-2024</t>
        </is>
      </c>
      <c r="B7739" s="1" t="n">
        <v>45322</v>
      </c>
      <c r="C7739" s="1" t="n">
        <v>45798</v>
      </c>
      <c r="D7739" t="inlineStr">
        <is>
          <t>NORRBOTTENS LÄN</t>
        </is>
      </c>
      <c r="E7739" t="inlineStr">
        <is>
          <t>LULEÅ</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4046-2024</t>
        </is>
      </c>
      <c r="B7740" s="1" t="n">
        <v>45323</v>
      </c>
      <c r="C7740" s="1" t="n">
        <v>45798</v>
      </c>
      <c r="D7740" t="inlineStr">
        <is>
          <t>NORRBOTTENS LÄN</t>
        </is>
      </c>
      <c r="E7740" t="inlineStr">
        <is>
          <t>PITEÅ</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4091-2024</t>
        </is>
      </c>
      <c r="B7741" s="1" t="n">
        <v>45323</v>
      </c>
      <c r="C7741" s="1" t="n">
        <v>45798</v>
      </c>
      <c r="D7741" t="inlineStr">
        <is>
          <t>NORRBOTTENS LÄN</t>
        </is>
      </c>
      <c r="E7741" t="inlineStr">
        <is>
          <t>GÄLLIVARE</t>
        </is>
      </c>
      <c r="F7741" t="inlineStr">
        <is>
          <t>Sveaskog</t>
        </is>
      </c>
      <c r="G7741" t="n">
        <v>10.4</v>
      </c>
      <c r="H7741" t="n">
        <v>0</v>
      </c>
      <c r="I7741" t="n">
        <v>0</v>
      </c>
      <c r="J7741" t="n">
        <v>0</v>
      </c>
      <c r="K7741" t="n">
        <v>0</v>
      </c>
      <c r="L7741" t="n">
        <v>0</v>
      </c>
      <c r="M7741" t="n">
        <v>0</v>
      </c>
      <c r="N7741" t="n">
        <v>0</v>
      </c>
      <c r="O7741" t="n">
        <v>0</v>
      </c>
      <c r="P7741" t="n">
        <v>0</v>
      </c>
      <c r="Q7741" t="n">
        <v>0</v>
      </c>
      <c r="R7741" s="2" t="inlineStr"/>
    </row>
    <row r="7742" ht="15" customHeight="1">
      <c r="A7742" t="inlineStr">
        <is>
          <t>A 4111-2024</t>
        </is>
      </c>
      <c r="B7742" s="1" t="n">
        <v>45323</v>
      </c>
      <c r="C7742" s="1" t="n">
        <v>45798</v>
      </c>
      <c r="D7742" t="inlineStr">
        <is>
          <t>NORRBOTTENS LÄN</t>
        </is>
      </c>
      <c r="E7742" t="inlineStr">
        <is>
          <t>ÖVERKALIX</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4115-2024</t>
        </is>
      </c>
      <c r="B7743" s="1" t="n">
        <v>45323</v>
      </c>
      <c r="C7743" s="1" t="n">
        <v>45798</v>
      </c>
      <c r="D7743" t="inlineStr">
        <is>
          <t>NORRBOTTENS LÄN</t>
        </is>
      </c>
      <c r="E7743" t="inlineStr">
        <is>
          <t>LULEÅ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4123-2024</t>
        </is>
      </c>
      <c r="B7744" s="1" t="n">
        <v>45323</v>
      </c>
      <c r="C7744" s="1" t="n">
        <v>45798</v>
      </c>
      <c r="D7744" t="inlineStr">
        <is>
          <t>NORRBOTTENS LÄN</t>
        </is>
      </c>
      <c r="E7744" t="inlineStr">
        <is>
          <t>LULEÅ</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4127-2024</t>
        </is>
      </c>
      <c r="B7745" s="1" t="n">
        <v>45323</v>
      </c>
      <c r="C7745" s="1" t="n">
        <v>45798</v>
      </c>
      <c r="D7745" t="inlineStr">
        <is>
          <t>NORRBOTTENS LÄN</t>
        </is>
      </c>
      <c r="E7745" t="inlineStr">
        <is>
          <t>PITEÅ</t>
        </is>
      </c>
      <c r="F7745" t="inlineStr">
        <is>
          <t>Sveaskog</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4049-2024</t>
        </is>
      </c>
      <c r="B7746" s="1" t="n">
        <v>45323</v>
      </c>
      <c r="C7746" s="1" t="n">
        <v>45798</v>
      </c>
      <c r="D7746" t="inlineStr">
        <is>
          <t>NORRBOTTENS LÄN</t>
        </is>
      </c>
      <c r="E7746" t="inlineStr">
        <is>
          <t>PITEÅ</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4053-2024</t>
        </is>
      </c>
      <c r="B7747" s="1" t="n">
        <v>45323</v>
      </c>
      <c r="C7747" s="1" t="n">
        <v>45798</v>
      </c>
      <c r="D7747" t="inlineStr">
        <is>
          <t>NORRBOTTENS LÄN</t>
        </is>
      </c>
      <c r="E7747" t="inlineStr">
        <is>
          <t>BODEN</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4086-2024</t>
        </is>
      </c>
      <c r="B7748" s="1" t="n">
        <v>45323</v>
      </c>
      <c r="C7748" s="1" t="n">
        <v>45798</v>
      </c>
      <c r="D7748" t="inlineStr">
        <is>
          <t>NORRBOTTENS LÄN</t>
        </is>
      </c>
      <c r="E7748" t="inlineStr">
        <is>
          <t>PITEÅ</t>
        </is>
      </c>
      <c r="G7748" t="n">
        <v>11.3</v>
      </c>
      <c r="H7748" t="n">
        <v>0</v>
      </c>
      <c r="I7748" t="n">
        <v>0</v>
      </c>
      <c r="J7748" t="n">
        <v>0</v>
      </c>
      <c r="K7748" t="n">
        <v>0</v>
      </c>
      <c r="L7748" t="n">
        <v>0</v>
      </c>
      <c r="M7748" t="n">
        <v>0</v>
      </c>
      <c r="N7748" t="n">
        <v>0</v>
      </c>
      <c r="O7748" t="n">
        <v>0</v>
      </c>
      <c r="P7748" t="n">
        <v>0</v>
      </c>
      <c r="Q7748" t="n">
        <v>0</v>
      </c>
      <c r="R7748" s="2" t="inlineStr"/>
    </row>
    <row r="7749" ht="15" customHeight="1">
      <c r="A7749" t="inlineStr">
        <is>
          <t>A 4094-2024</t>
        </is>
      </c>
      <c r="B7749" s="1" t="n">
        <v>45323</v>
      </c>
      <c r="C7749" s="1" t="n">
        <v>45798</v>
      </c>
      <c r="D7749" t="inlineStr">
        <is>
          <t>NORRBOTTENS LÄN</t>
        </is>
      </c>
      <c r="E7749" t="inlineStr">
        <is>
          <t>PITEÅ</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4114-2024</t>
        </is>
      </c>
      <c r="B7750" s="1" t="n">
        <v>45323</v>
      </c>
      <c r="C7750" s="1" t="n">
        <v>45798</v>
      </c>
      <c r="D7750" t="inlineStr">
        <is>
          <t>NORRBOTTENS LÄN</t>
        </is>
      </c>
      <c r="E7750" t="inlineStr">
        <is>
          <t>ÖVERKALIX</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4122-2024</t>
        </is>
      </c>
      <c r="B7751" s="1" t="n">
        <v>45323</v>
      </c>
      <c r="C7751" s="1" t="n">
        <v>45798</v>
      </c>
      <c r="D7751" t="inlineStr">
        <is>
          <t>NORRBOTTENS LÄN</t>
        </is>
      </c>
      <c r="E7751" t="inlineStr">
        <is>
          <t>PITEÅ</t>
        </is>
      </c>
      <c r="F7751" t="inlineStr">
        <is>
          <t>Sveaskog</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4055-2024</t>
        </is>
      </c>
      <c r="B7752" s="1" t="n">
        <v>45323</v>
      </c>
      <c r="C7752" s="1" t="n">
        <v>45798</v>
      </c>
      <c r="D7752" t="inlineStr">
        <is>
          <t>NORRBOTTENS LÄN</t>
        </is>
      </c>
      <c r="E7752" t="inlineStr">
        <is>
          <t>BODEN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4096-2024</t>
        </is>
      </c>
      <c r="B7753" s="1" t="n">
        <v>45323</v>
      </c>
      <c r="C7753" s="1" t="n">
        <v>45798</v>
      </c>
      <c r="D7753" t="inlineStr">
        <is>
          <t>NORRBOTTENS LÄN</t>
        </is>
      </c>
      <c r="E7753" t="inlineStr">
        <is>
          <t>PITEÅ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4100-2024</t>
        </is>
      </c>
      <c r="B7754" s="1" t="n">
        <v>45323</v>
      </c>
      <c r="C7754" s="1" t="n">
        <v>45798</v>
      </c>
      <c r="D7754" t="inlineStr">
        <is>
          <t>NORRBOTTENS LÄN</t>
        </is>
      </c>
      <c r="E7754" t="inlineStr">
        <is>
          <t>PITEÅ</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4136-2024</t>
        </is>
      </c>
      <c r="B7755" s="1" t="n">
        <v>45323</v>
      </c>
      <c r="C7755" s="1" t="n">
        <v>45798</v>
      </c>
      <c r="D7755" t="inlineStr">
        <is>
          <t>NORRBOTTENS LÄN</t>
        </is>
      </c>
      <c r="E7755" t="inlineStr">
        <is>
          <t>JOKKMOKK</t>
        </is>
      </c>
      <c r="G7755" t="n">
        <v>27.3</v>
      </c>
      <c r="H7755" t="n">
        <v>0</v>
      </c>
      <c r="I7755" t="n">
        <v>0</v>
      </c>
      <c r="J7755" t="n">
        <v>0</v>
      </c>
      <c r="K7755" t="n">
        <v>0</v>
      </c>
      <c r="L7755" t="n">
        <v>0</v>
      </c>
      <c r="M7755" t="n">
        <v>0</v>
      </c>
      <c r="N7755" t="n">
        <v>0</v>
      </c>
      <c r="O7755" t="n">
        <v>0</v>
      </c>
      <c r="P7755" t="n">
        <v>0</v>
      </c>
      <c r="Q7755" t="n">
        <v>0</v>
      </c>
      <c r="R7755" s="2" t="inlineStr"/>
    </row>
    <row r="7756" ht="15" customHeight="1">
      <c r="A7756" t="inlineStr">
        <is>
          <t>A 4109-2024</t>
        </is>
      </c>
      <c r="B7756" s="1" t="n">
        <v>45323</v>
      </c>
      <c r="C7756" s="1" t="n">
        <v>45798</v>
      </c>
      <c r="D7756" t="inlineStr">
        <is>
          <t>NORRBOTTENS LÄN</t>
        </is>
      </c>
      <c r="E7756" t="inlineStr">
        <is>
          <t>GÄLLIVARE</t>
        </is>
      </c>
      <c r="F7756" t="inlineStr">
        <is>
          <t>Sveaskog</t>
        </is>
      </c>
      <c r="G7756" t="n">
        <v>32.7</v>
      </c>
      <c r="H7756" t="n">
        <v>0</v>
      </c>
      <c r="I7756" t="n">
        <v>0</v>
      </c>
      <c r="J7756" t="n">
        <v>0</v>
      </c>
      <c r="K7756" t="n">
        <v>0</v>
      </c>
      <c r="L7756" t="n">
        <v>0</v>
      </c>
      <c r="M7756" t="n">
        <v>0</v>
      </c>
      <c r="N7756" t="n">
        <v>0</v>
      </c>
      <c r="O7756" t="n">
        <v>0</v>
      </c>
      <c r="P7756" t="n">
        <v>0</v>
      </c>
      <c r="Q7756" t="n">
        <v>0</v>
      </c>
      <c r="R7756" s="2" t="inlineStr"/>
    </row>
    <row r="7757" ht="15" customHeight="1">
      <c r="A7757" t="inlineStr">
        <is>
          <t>A 4129-2024</t>
        </is>
      </c>
      <c r="B7757" s="1" t="n">
        <v>45323</v>
      </c>
      <c r="C7757" s="1" t="n">
        <v>45798</v>
      </c>
      <c r="D7757" t="inlineStr">
        <is>
          <t>NORRBOTTENS LÄN</t>
        </is>
      </c>
      <c r="E7757" t="inlineStr">
        <is>
          <t>PITEÅ</t>
        </is>
      </c>
      <c r="F7757" t="inlineStr">
        <is>
          <t>Sveaskog</t>
        </is>
      </c>
      <c r="G7757" t="n">
        <v>37.1</v>
      </c>
      <c r="H7757" t="n">
        <v>0</v>
      </c>
      <c r="I7757" t="n">
        <v>0</v>
      </c>
      <c r="J7757" t="n">
        <v>0</v>
      </c>
      <c r="K7757" t="n">
        <v>0</v>
      </c>
      <c r="L7757" t="n">
        <v>0</v>
      </c>
      <c r="M7757" t="n">
        <v>0</v>
      </c>
      <c r="N7757" t="n">
        <v>0</v>
      </c>
      <c r="O7757" t="n">
        <v>0</v>
      </c>
      <c r="P7757" t="n">
        <v>0</v>
      </c>
      <c r="Q7757" t="n">
        <v>0</v>
      </c>
      <c r="R7757" s="2" t="inlineStr"/>
    </row>
    <row r="7758" ht="15" customHeight="1">
      <c r="A7758" t="inlineStr">
        <is>
          <t>A 4137-2024</t>
        </is>
      </c>
      <c r="B7758" s="1" t="n">
        <v>45323</v>
      </c>
      <c r="C7758" s="1" t="n">
        <v>45798</v>
      </c>
      <c r="D7758" t="inlineStr">
        <is>
          <t>NORRBOTTENS LÄN</t>
        </is>
      </c>
      <c r="E7758" t="inlineStr">
        <is>
          <t>LULEÅ</t>
        </is>
      </c>
      <c r="G7758" t="n">
        <v>13.1</v>
      </c>
      <c r="H7758" t="n">
        <v>0</v>
      </c>
      <c r="I7758" t="n">
        <v>0</v>
      </c>
      <c r="J7758" t="n">
        <v>0</v>
      </c>
      <c r="K7758" t="n">
        <v>0</v>
      </c>
      <c r="L7758" t="n">
        <v>0</v>
      </c>
      <c r="M7758" t="n">
        <v>0</v>
      </c>
      <c r="N7758" t="n">
        <v>0</v>
      </c>
      <c r="O7758" t="n">
        <v>0</v>
      </c>
      <c r="P7758" t="n">
        <v>0</v>
      </c>
      <c r="Q7758" t="n">
        <v>0</v>
      </c>
      <c r="R7758" s="2" t="inlineStr"/>
    </row>
    <row r="7759" ht="15" customHeight="1">
      <c r="A7759" t="inlineStr">
        <is>
          <t>A 4242-2024</t>
        </is>
      </c>
      <c r="B7759" s="1" t="n">
        <v>45324</v>
      </c>
      <c r="C7759" s="1" t="n">
        <v>45798</v>
      </c>
      <c r="D7759" t="inlineStr">
        <is>
          <t>NORRBOTTENS LÄN</t>
        </is>
      </c>
      <c r="E7759" t="inlineStr">
        <is>
          <t>PITEÅ</t>
        </is>
      </c>
      <c r="F7759" t="inlineStr">
        <is>
          <t>Sveaskog</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4232-2024</t>
        </is>
      </c>
      <c r="B7760" s="1" t="n">
        <v>45324</v>
      </c>
      <c r="C7760" s="1" t="n">
        <v>45798</v>
      </c>
      <c r="D7760" t="inlineStr">
        <is>
          <t>NORRBOTTENS LÄN</t>
        </is>
      </c>
      <c r="E7760" t="inlineStr">
        <is>
          <t>PITEÅ</t>
        </is>
      </c>
      <c r="F7760" t="inlineStr">
        <is>
          <t>Sveaskog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4245-2024</t>
        </is>
      </c>
      <c r="B7761" s="1" t="n">
        <v>45324</v>
      </c>
      <c r="C7761" s="1" t="n">
        <v>45798</v>
      </c>
      <c r="D7761" t="inlineStr">
        <is>
          <t>NORRBOTTENS LÄN</t>
        </is>
      </c>
      <c r="E7761" t="inlineStr">
        <is>
          <t>PITEÅ</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4539-2024</t>
        </is>
      </c>
      <c r="B7762" s="1" t="n">
        <v>45327</v>
      </c>
      <c r="C7762" s="1" t="n">
        <v>45798</v>
      </c>
      <c r="D7762" t="inlineStr">
        <is>
          <t>NORRBOTTENS LÄN</t>
        </is>
      </c>
      <c r="E7762" t="inlineStr">
        <is>
          <t>ARVIDSJAUR</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4553-2024</t>
        </is>
      </c>
      <c r="B7763" s="1" t="n">
        <v>45327</v>
      </c>
      <c r="C7763" s="1" t="n">
        <v>45798</v>
      </c>
      <c r="D7763" t="inlineStr">
        <is>
          <t>NORRBOTTENS LÄN</t>
        </is>
      </c>
      <c r="E7763" t="inlineStr">
        <is>
          <t>LULEÅ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4554-2024</t>
        </is>
      </c>
      <c r="B7764" s="1" t="n">
        <v>45327</v>
      </c>
      <c r="C7764" s="1" t="n">
        <v>45798</v>
      </c>
      <c r="D7764" t="inlineStr">
        <is>
          <t>NORRBOTTENS LÄN</t>
        </is>
      </c>
      <c r="E7764" t="inlineStr">
        <is>
          <t>LULEÅ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4558-2024</t>
        </is>
      </c>
      <c r="B7765" s="1" t="n">
        <v>45327</v>
      </c>
      <c r="C7765" s="1" t="n">
        <v>45798</v>
      </c>
      <c r="D7765" t="inlineStr">
        <is>
          <t>NORRBOTTENS LÄN</t>
        </is>
      </c>
      <c r="E7765" t="inlineStr">
        <is>
          <t>LULEÅ</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4559-2024</t>
        </is>
      </c>
      <c r="B7766" s="1" t="n">
        <v>45327</v>
      </c>
      <c r="C7766" s="1" t="n">
        <v>45798</v>
      </c>
      <c r="D7766" t="inlineStr">
        <is>
          <t>NORRBOTTENS LÄN</t>
        </is>
      </c>
      <c r="E7766" t="inlineStr">
        <is>
          <t>LULEÅ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4636-2024</t>
        </is>
      </c>
      <c r="B7767" s="1" t="n">
        <v>45328</v>
      </c>
      <c r="C7767" s="1" t="n">
        <v>45798</v>
      </c>
      <c r="D7767" t="inlineStr">
        <is>
          <t>NORRBOTTENS LÄN</t>
        </is>
      </c>
      <c r="E7767" t="inlineStr">
        <is>
          <t>LULEÅ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4627-2024</t>
        </is>
      </c>
      <c r="B7768" s="1" t="n">
        <v>45328</v>
      </c>
      <c r="C7768" s="1" t="n">
        <v>45798</v>
      </c>
      <c r="D7768" t="inlineStr">
        <is>
          <t>NORRBOTTENS LÄN</t>
        </is>
      </c>
      <c r="E7768" t="inlineStr">
        <is>
          <t>LULEÅ</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4643-2024</t>
        </is>
      </c>
      <c r="B7769" s="1" t="n">
        <v>45328</v>
      </c>
      <c r="C7769" s="1" t="n">
        <v>45798</v>
      </c>
      <c r="D7769" t="inlineStr">
        <is>
          <t>NORRBOTTENS LÄN</t>
        </is>
      </c>
      <c r="E7769" t="inlineStr">
        <is>
          <t>LULEÅ</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4690-2024</t>
        </is>
      </c>
      <c r="B7770" s="1" t="n">
        <v>45328</v>
      </c>
      <c r="C7770" s="1" t="n">
        <v>45798</v>
      </c>
      <c r="D7770" t="inlineStr">
        <is>
          <t>NORRBOTTENS LÄN</t>
        </is>
      </c>
      <c r="E7770" t="inlineStr">
        <is>
          <t>ÄLVSBYN</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4726-2024</t>
        </is>
      </c>
      <c r="B7771" s="1" t="n">
        <v>45328</v>
      </c>
      <c r="C7771" s="1" t="n">
        <v>45798</v>
      </c>
      <c r="D7771" t="inlineStr">
        <is>
          <t>NORRBOTTENS LÄN</t>
        </is>
      </c>
      <c r="E7771" t="inlineStr">
        <is>
          <t>GÄLLIVARE</t>
        </is>
      </c>
      <c r="F7771" t="inlineStr">
        <is>
          <t>Sveaskog</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4720-2024</t>
        </is>
      </c>
      <c r="B7772" s="1" t="n">
        <v>45328</v>
      </c>
      <c r="C7772" s="1" t="n">
        <v>45798</v>
      </c>
      <c r="D7772" t="inlineStr">
        <is>
          <t>NORRBOTTENS LÄN</t>
        </is>
      </c>
      <c r="E7772" t="inlineStr">
        <is>
          <t>GÄLLIVARE</t>
        </is>
      </c>
      <c r="F7772" t="inlineStr">
        <is>
          <t>Sveaskog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4768-2024</t>
        </is>
      </c>
      <c r="B7773" s="1" t="n">
        <v>45328</v>
      </c>
      <c r="C7773" s="1" t="n">
        <v>45798</v>
      </c>
      <c r="D7773" t="inlineStr">
        <is>
          <t>NORRBOTTENS LÄN</t>
        </is>
      </c>
      <c r="E7773" t="inlineStr">
        <is>
          <t>LULEÅ</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4731-2024</t>
        </is>
      </c>
      <c r="B7774" s="1" t="n">
        <v>45328</v>
      </c>
      <c r="C7774" s="1" t="n">
        <v>45798</v>
      </c>
      <c r="D7774" t="inlineStr">
        <is>
          <t>NORRBOTTENS LÄN</t>
        </is>
      </c>
      <c r="E7774" t="inlineStr">
        <is>
          <t>PAJALA</t>
        </is>
      </c>
      <c r="F7774" t="inlineStr">
        <is>
          <t>Sveaskog</t>
        </is>
      </c>
      <c r="G7774" t="n">
        <v>15.6</v>
      </c>
      <c r="H7774" t="n">
        <v>0</v>
      </c>
      <c r="I7774" t="n">
        <v>0</v>
      </c>
      <c r="J7774" t="n">
        <v>0</v>
      </c>
      <c r="K7774" t="n">
        <v>0</v>
      </c>
      <c r="L7774" t="n">
        <v>0</v>
      </c>
      <c r="M7774" t="n">
        <v>0</v>
      </c>
      <c r="N7774" t="n">
        <v>0</v>
      </c>
      <c r="O7774" t="n">
        <v>0</v>
      </c>
      <c r="P7774" t="n">
        <v>0</v>
      </c>
      <c r="Q7774" t="n">
        <v>0</v>
      </c>
      <c r="R7774" s="2" t="inlineStr"/>
    </row>
    <row r="7775" ht="15" customHeight="1">
      <c r="A7775" t="inlineStr">
        <is>
          <t>A 4771-2024</t>
        </is>
      </c>
      <c r="B7775" s="1" t="n">
        <v>45328</v>
      </c>
      <c r="C7775" s="1" t="n">
        <v>45798</v>
      </c>
      <c r="D7775" t="inlineStr">
        <is>
          <t>NORRBOTTENS LÄN</t>
        </is>
      </c>
      <c r="E7775" t="inlineStr">
        <is>
          <t>LULEÅ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4765-2024</t>
        </is>
      </c>
      <c r="B7776" s="1" t="n">
        <v>45328</v>
      </c>
      <c r="C7776" s="1" t="n">
        <v>45798</v>
      </c>
      <c r="D7776" t="inlineStr">
        <is>
          <t>NORRBOTTENS LÄN</t>
        </is>
      </c>
      <c r="E7776" t="inlineStr">
        <is>
          <t>LULEÅ</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4769-2024</t>
        </is>
      </c>
      <c r="B7777" s="1" t="n">
        <v>45328</v>
      </c>
      <c r="C7777" s="1" t="n">
        <v>45798</v>
      </c>
      <c r="D7777" t="inlineStr">
        <is>
          <t>NORRBOTTENS LÄN</t>
        </is>
      </c>
      <c r="E7777" t="inlineStr">
        <is>
          <t>LULEÅ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4934-2024</t>
        </is>
      </c>
      <c r="B7778" s="1" t="n">
        <v>45329</v>
      </c>
      <c r="C7778" s="1" t="n">
        <v>45798</v>
      </c>
      <c r="D7778" t="inlineStr">
        <is>
          <t>NORRBOTTENS LÄN</t>
        </is>
      </c>
      <c r="E7778" t="inlineStr">
        <is>
          <t>ARVIDSJAUR</t>
        </is>
      </c>
      <c r="F7778" t="inlineStr">
        <is>
          <t>Sveaskog</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5030-2024</t>
        </is>
      </c>
      <c r="B7779" s="1" t="n">
        <v>45329</v>
      </c>
      <c r="C7779" s="1" t="n">
        <v>45798</v>
      </c>
      <c r="D7779" t="inlineStr">
        <is>
          <t>NORRBOTTENS LÄN</t>
        </is>
      </c>
      <c r="E7779" t="inlineStr">
        <is>
          <t>ÖVERTORNEÅ</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4937-2024</t>
        </is>
      </c>
      <c r="B7780" s="1" t="n">
        <v>45329</v>
      </c>
      <c r="C7780" s="1" t="n">
        <v>45798</v>
      </c>
      <c r="D7780" t="inlineStr">
        <is>
          <t>NORRBOTTENS LÄN</t>
        </is>
      </c>
      <c r="E7780" t="inlineStr">
        <is>
          <t>ARVIDSJAUR</t>
        </is>
      </c>
      <c r="F7780" t="inlineStr">
        <is>
          <t>Sveaskog</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4989-2024</t>
        </is>
      </c>
      <c r="B7781" s="1" t="n">
        <v>45329</v>
      </c>
      <c r="C7781" s="1" t="n">
        <v>45798</v>
      </c>
      <c r="D7781" t="inlineStr">
        <is>
          <t>NORRBOTTENS LÄN</t>
        </is>
      </c>
      <c r="E7781" t="inlineStr">
        <is>
          <t>ARVIDSJAUR</t>
        </is>
      </c>
      <c r="F7781" t="inlineStr">
        <is>
          <t>Sveaskog</t>
        </is>
      </c>
      <c r="G7781" t="n">
        <v>57.4</v>
      </c>
      <c r="H7781" t="n">
        <v>0</v>
      </c>
      <c r="I7781" t="n">
        <v>0</v>
      </c>
      <c r="J7781" t="n">
        <v>0</v>
      </c>
      <c r="K7781" t="n">
        <v>0</v>
      </c>
      <c r="L7781" t="n">
        <v>0</v>
      </c>
      <c r="M7781" t="n">
        <v>0</v>
      </c>
      <c r="N7781" t="n">
        <v>0</v>
      </c>
      <c r="O7781" t="n">
        <v>0</v>
      </c>
      <c r="P7781" t="n">
        <v>0</v>
      </c>
      <c r="Q7781" t="n">
        <v>0</v>
      </c>
      <c r="R7781" s="2" t="inlineStr"/>
    </row>
    <row r="7782" ht="15" customHeight="1">
      <c r="A7782" t="inlineStr">
        <is>
          <t>A 5009-2024</t>
        </is>
      </c>
      <c r="B7782" s="1" t="n">
        <v>45329</v>
      </c>
      <c r="C7782" s="1" t="n">
        <v>45798</v>
      </c>
      <c r="D7782" t="inlineStr">
        <is>
          <t>NORRBOTTENS LÄN</t>
        </is>
      </c>
      <c r="E7782" t="inlineStr">
        <is>
          <t>PITEÅ</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4935-2024</t>
        </is>
      </c>
      <c r="B7783" s="1" t="n">
        <v>45329</v>
      </c>
      <c r="C7783" s="1" t="n">
        <v>45798</v>
      </c>
      <c r="D7783" t="inlineStr">
        <is>
          <t>NORRBOTTENS LÄN</t>
        </is>
      </c>
      <c r="E7783" t="inlineStr">
        <is>
          <t>ARVIDSJAUR</t>
        </is>
      </c>
      <c r="F7783" t="inlineStr">
        <is>
          <t>Sveaskog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5048-2024</t>
        </is>
      </c>
      <c r="B7784" s="1" t="n">
        <v>45329</v>
      </c>
      <c r="C7784" s="1" t="n">
        <v>45798</v>
      </c>
      <c r="D7784" t="inlineStr">
        <is>
          <t>NORRBOTTENS LÄN</t>
        </is>
      </c>
      <c r="E7784" t="inlineStr">
        <is>
          <t>LULEÅ</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5047-2024</t>
        </is>
      </c>
      <c r="B7785" s="1" t="n">
        <v>45329</v>
      </c>
      <c r="C7785" s="1" t="n">
        <v>45798</v>
      </c>
      <c r="D7785" t="inlineStr">
        <is>
          <t>NORRBOTTENS LÄN</t>
        </is>
      </c>
      <c r="E7785" t="inlineStr">
        <is>
          <t>LULEÅ</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5099-2024</t>
        </is>
      </c>
      <c r="B7786" s="1" t="n">
        <v>45330</v>
      </c>
      <c r="C7786" s="1" t="n">
        <v>45798</v>
      </c>
      <c r="D7786" t="inlineStr">
        <is>
          <t>NORRBOTTENS LÄN</t>
        </is>
      </c>
      <c r="E7786" t="inlineStr">
        <is>
          <t>BODEN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5100-2024</t>
        </is>
      </c>
      <c r="B7787" s="1" t="n">
        <v>45330</v>
      </c>
      <c r="C7787" s="1" t="n">
        <v>45798</v>
      </c>
      <c r="D7787" t="inlineStr">
        <is>
          <t>NORRBOTTENS LÄN</t>
        </is>
      </c>
      <c r="E7787" t="inlineStr">
        <is>
          <t>HAPARANDA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5137-2024</t>
        </is>
      </c>
      <c r="B7788" s="1" t="n">
        <v>45330</v>
      </c>
      <c r="C7788" s="1" t="n">
        <v>45798</v>
      </c>
      <c r="D7788" t="inlineStr">
        <is>
          <t>NORRBOTTENS LÄN</t>
        </is>
      </c>
      <c r="E7788" t="inlineStr">
        <is>
          <t>LULEÅ</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5210-2024</t>
        </is>
      </c>
      <c r="B7789" s="1" t="n">
        <v>45330</v>
      </c>
      <c r="C7789" s="1" t="n">
        <v>45798</v>
      </c>
      <c r="D7789" t="inlineStr">
        <is>
          <t>NORRBOTTENS LÄN</t>
        </is>
      </c>
      <c r="E7789" t="inlineStr">
        <is>
          <t>ARVIDSJAUR</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5150-2024</t>
        </is>
      </c>
      <c r="B7790" s="1" t="n">
        <v>45330</v>
      </c>
      <c r="C7790" s="1" t="n">
        <v>45798</v>
      </c>
      <c r="D7790" t="inlineStr">
        <is>
          <t>NORRBOTTENS LÄN</t>
        </is>
      </c>
      <c r="E7790" t="inlineStr">
        <is>
          <t>LULEÅ</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5193-2024</t>
        </is>
      </c>
      <c r="B7791" s="1" t="n">
        <v>45330</v>
      </c>
      <c r="C7791" s="1" t="n">
        <v>45798</v>
      </c>
      <c r="D7791" t="inlineStr">
        <is>
          <t>NORRBOTTENS LÄN</t>
        </is>
      </c>
      <c r="E7791" t="inlineStr">
        <is>
          <t>BODEN</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5197-2024</t>
        </is>
      </c>
      <c r="B7792" s="1" t="n">
        <v>45330</v>
      </c>
      <c r="C7792" s="1" t="n">
        <v>45798</v>
      </c>
      <c r="D7792" t="inlineStr">
        <is>
          <t>NORRBOTTENS LÄN</t>
        </is>
      </c>
      <c r="E7792" t="inlineStr">
        <is>
          <t>ARVIDSJAUR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5227-2024</t>
        </is>
      </c>
      <c r="B7793" s="1" t="n">
        <v>45330</v>
      </c>
      <c r="C7793" s="1" t="n">
        <v>45798</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5378-2024</t>
        </is>
      </c>
      <c r="B7794" s="1" t="n">
        <v>45331</v>
      </c>
      <c r="C7794" s="1" t="n">
        <v>45798</v>
      </c>
      <c r="D7794" t="inlineStr">
        <is>
          <t>NORRBOTTENS LÄN</t>
        </is>
      </c>
      <c r="E7794" t="inlineStr">
        <is>
          <t>ÄLVSBYN</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5389-2024</t>
        </is>
      </c>
      <c r="B7795" s="1" t="n">
        <v>45331</v>
      </c>
      <c r="C7795" s="1" t="n">
        <v>45798</v>
      </c>
      <c r="D7795" t="inlineStr">
        <is>
          <t>NORRBOTTENS LÄN</t>
        </is>
      </c>
      <c r="E7795" t="inlineStr">
        <is>
          <t>ÄLVSBYN</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5411-2024</t>
        </is>
      </c>
      <c r="B7796" s="1" t="n">
        <v>45331</v>
      </c>
      <c r="C7796" s="1" t="n">
        <v>45798</v>
      </c>
      <c r="D7796" t="inlineStr">
        <is>
          <t>NORRBOTTENS LÄN</t>
        </is>
      </c>
      <c r="E7796" t="inlineStr">
        <is>
          <t>KIRUNA</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5419-2024</t>
        </is>
      </c>
      <c r="B7797" s="1" t="n">
        <v>45331</v>
      </c>
      <c r="C7797" s="1" t="n">
        <v>45798</v>
      </c>
      <c r="D7797" t="inlineStr">
        <is>
          <t>NORRBOTTENS LÄN</t>
        </is>
      </c>
      <c r="E7797" t="inlineStr">
        <is>
          <t>ÄLVSBYN</t>
        </is>
      </c>
      <c r="G7797" t="n">
        <v>11.9</v>
      </c>
      <c r="H7797" t="n">
        <v>0</v>
      </c>
      <c r="I7797" t="n">
        <v>0</v>
      </c>
      <c r="J7797" t="n">
        <v>0</v>
      </c>
      <c r="K7797" t="n">
        <v>0</v>
      </c>
      <c r="L7797" t="n">
        <v>0</v>
      </c>
      <c r="M7797" t="n">
        <v>0</v>
      </c>
      <c r="N7797" t="n">
        <v>0</v>
      </c>
      <c r="O7797" t="n">
        <v>0</v>
      </c>
      <c r="P7797" t="n">
        <v>0</v>
      </c>
      <c r="Q7797" t="n">
        <v>0</v>
      </c>
      <c r="R7797" s="2" t="inlineStr"/>
    </row>
    <row r="7798" ht="15" customHeight="1">
      <c r="A7798" t="inlineStr">
        <is>
          <t>A 5502-2024</t>
        </is>
      </c>
      <c r="B7798" s="1" t="n">
        <v>45331</v>
      </c>
      <c r="C7798" s="1" t="n">
        <v>45798</v>
      </c>
      <c r="D7798" t="inlineStr">
        <is>
          <t>NORRBOTTENS LÄN</t>
        </is>
      </c>
      <c r="E7798" t="inlineStr">
        <is>
          <t>PITEÅ</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5476-2024</t>
        </is>
      </c>
      <c r="B7799" s="1" t="n">
        <v>45333</v>
      </c>
      <c r="C7799" s="1" t="n">
        <v>45798</v>
      </c>
      <c r="D7799" t="inlineStr">
        <is>
          <t>NORRBOTTENS LÄN</t>
        </is>
      </c>
      <c r="E7799" t="inlineStr">
        <is>
          <t>KIRUNA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5525-2024</t>
        </is>
      </c>
      <c r="B7800" s="1" t="n">
        <v>45334</v>
      </c>
      <c r="C7800" s="1" t="n">
        <v>45798</v>
      </c>
      <c r="D7800" t="inlineStr">
        <is>
          <t>NORRBOTTENS LÄN</t>
        </is>
      </c>
      <c r="E7800" t="inlineStr">
        <is>
          <t>PITEÅ</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5524-2024</t>
        </is>
      </c>
      <c r="B7801" s="1" t="n">
        <v>45334</v>
      </c>
      <c r="C7801" s="1" t="n">
        <v>45798</v>
      </c>
      <c r="D7801" t="inlineStr">
        <is>
          <t>NORRBOTTENS LÄN</t>
        </is>
      </c>
      <c r="E7801" t="inlineStr">
        <is>
          <t>PITEÅ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5533-2024</t>
        </is>
      </c>
      <c r="B7802" s="1" t="n">
        <v>45334</v>
      </c>
      <c r="C7802" s="1" t="n">
        <v>45798</v>
      </c>
      <c r="D7802" t="inlineStr">
        <is>
          <t>NORRBOTTENS LÄN</t>
        </is>
      </c>
      <c r="E7802" t="inlineStr">
        <is>
          <t>KIRUNA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5646-2024</t>
        </is>
      </c>
      <c r="B7803" s="1" t="n">
        <v>45334</v>
      </c>
      <c r="C7803" s="1" t="n">
        <v>45798</v>
      </c>
      <c r="D7803" t="inlineStr">
        <is>
          <t>NORRBOTTENS LÄN</t>
        </is>
      </c>
      <c r="E7803" t="inlineStr">
        <is>
          <t>ÄLVSBYN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5650-2024</t>
        </is>
      </c>
      <c r="B7804" s="1" t="n">
        <v>45334</v>
      </c>
      <c r="C7804" s="1" t="n">
        <v>45798</v>
      </c>
      <c r="D7804" t="inlineStr">
        <is>
          <t>NORRBOTTENS LÄN</t>
        </is>
      </c>
      <c r="E7804" t="inlineStr">
        <is>
          <t>ÄLVSBYN</t>
        </is>
      </c>
      <c r="G7804" t="n">
        <v>11.8</v>
      </c>
      <c r="H7804" t="n">
        <v>0</v>
      </c>
      <c r="I7804" t="n">
        <v>0</v>
      </c>
      <c r="J7804" t="n">
        <v>0</v>
      </c>
      <c r="K7804" t="n">
        <v>0</v>
      </c>
      <c r="L7804" t="n">
        <v>0</v>
      </c>
      <c r="M7804" t="n">
        <v>0</v>
      </c>
      <c r="N7804" t="n">
        <v>0</v>
      </c>
      <c r="O7804" t="n">
        <v>0</v>
      </c>
      <c r="P7804" t="n">
        <v>0</v>
      </c>
      <c r="Q7804" t="n">
        <v>0</v>
      </c>
      <c r="R7804" s="2" t="inlineStr"/>
    </row>
    <row r="7805" ht="15" customHeight="1">
      <c r="A7805" t="inlineStr">
        <is>
          <t>A 5615-2024</t>
        </is>
      </c>
      <c r="B7805" s="1" t="n">
        <v>45334</v>
      </c>
      <c r="C7805" s="1" t="n">
        <v>45798</v>
      </c>
      <c r="D7805" t="inlineStr">
        <is>
          <t>NORRBOTTENS LÄN</t>
        </is>
      </c>
      <c r="E7805" t="inlineStr">
        <is>
          <t>LULEÅ</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5624-2024</t>
        </is>
      </c>
      <c r="B7806" s="1" t="n">
        <v>45334</v>
      </c>
      <c r="C7806" s="1" t="n">
        <v>45798</v>
      </c>
      <c r="D7806" t="inlineStr">
        <is>
          <t>NORRBOTTENS LÄN</t>
        </is>
      </c>
      <c r="E7806" t="inlineStr">
        <is>
          <t>GÄLLIVARE</t>
        </is>
      </c>
      <c r="G7806" t="n">
        <v>13.8</v>
      </c>
      <c r="H7806" t="n">
        <v>0</v>
      </c>
      <c r="I7806" t="n">
        <v>0</v>
      </c>
      <c r="J7806" t="n">
        <v>0</v>
      </c>
      <c r="K7806" t="n">
        <v>0</v>
      </c>
      <c r="L7806" t="n">
        <v>0</v>
      </c>
      <c r="M7806" t="n">
        <v>0</v>
      </c>
      <c r="N7806" t="n">
        <v>0</v>
      </c>
      <c r="O7806" t="n">
        <v>0</v>
      </c>
      <c r="P7806" t="n">
        <v>0</v>
      </c>
      <c r="Q7806" t="n">
        <v>0</v>
      </c>
      <c r="R7806" s="2" t="inlineStr"/>
    </row>
    <row r="7807" ht="15" customHeight="1">
      <c r="A7807" t="inlineStr">
        <is>
          <t>A 5628-2024</t>
        </is>
      </c>
      <c r="B7807" s="1" t="n">
        <v>45334</v>
      </c>
      <c r="C7807" s="1" t="n">
        <v>45798</v>
      </c>
      <c r="D7807" t="inlineStr">
        <is>
          <t>NORRBOTTENS LÄN</t>
        </is>
      </c>
      <c r="E7807" t="inlineStr">
        <is>
          <t>ÄLVSBYN</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5632-2024</t>
        </is>
      </c>
      <c r="B7808" s="1" t="n">
        <v>45334</v>
      </c>
      <c r="C7808" s="1" t="n">
        <v>45798</v>
      </c>
      <c r="D7808" t="inlineStr">
        <is>
          <t>NORRBOTTENS LÄN</t>
        </is>
      </c>
      <c r="E7808" t="inlineStr">
        <is>
          <t>GÄLLIVARE</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5732-2024</t>
        </is>
      </c>
      <c r="B7809" s="1" t="n">
        <v>45334</v>
      </c>
      <c r="C7809" s="1" t="n">
        <v>45798</v>
      </c>
      <c r="D7809" t="inlineStr">
        <is>
          <t>NORRBOTTENS LÄN</t>
        </is>
      </c>
      <c r="E7809" t="inlineStr">
        <is>
          <t>ÄLVSBYN</t>
        </is>
      </c>
      <c r="F7809" t="inlineStr">
        <is>
          <t>SCA</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5729-2024</t>
        </is>
      </c>
      <c r="B7810" s="1" t="n">
        <v>45334</v>
      </c>
      <c r="C7810" s="1" t="n">
        <v>45798</v>
      </c>
      <c r="D7810" t="inlineStr">
        <is>
          <t>NORRBOTTENS LÄN</t>
        </is>
      </c>
      <c r="E7810" t="inlineStr">
        <is>
          <t>PAJALA</t>
        </is>
      </c>
      <c r="G7810" t="n">
        <v>22.5</v>
      </c>
      <c r="H7810" t="n">
        <v>0</v>
      </c>
      <c r="I7810" t="n">
        <v>0</v>
      </c>
      <c r="J7810" t="n">
        <v>0</v>
      </c>
      <c r="K7810" t="n">
        <v>0</v>
      </c>
      <c r="L7810" t="n">
        <v>0</v>
      </c>
      <c r="M7810" t="n">
        <v>0</v>
      </c>
      <c r="N7810" t="n">
        <v>0</v>
      </c>
      <c r="O7810" t="n">
        <v>0</v>
      </c>
      <c r="P7810" t="n">
        <v>0</v>
      </c>
      <c r="Q7810" t="n">
        <v>0</v>
      </c>
      <c r="R7810" s="2" t="inlineStr"/>
    </row>
    <row r="7811" ht="15" customHeight="1">
      <c r="A7811" t="inlineStr">
        <is>
          <t>A 5733-2024</t>
        </is>
      </c>
      <c r="B7811" s="1" t="n">
        <v>45334</v>
      </c>
      <c r="C7811" s="1" t="n">
        <v>45798</v>
      </c>
      <c r="D7811" t="inlineStr">
        <is>
          <t>NORRBOTTENS LÄN</t>
        </is>
      </c>
      <c r="E7811" t="inlineStr">
        <is>
          <t>ÄLVSBYN</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5702-2024</t>
        </is>
      </c>
      <c r="B7812" s="1" t="n">
        <v>45334</v>
      </c>
      <c r="C7812" s="1" t="n">
        <v>45798</v>
      </c>
      <c r="D7812" t="inlineStr">
        <is>
          <t>NORRBOTTENS LÄN</t>
        </is>
      </c>
      <c r="E7812" t="inlineStr">
        <is>
          <t>ARVIDSJAUR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5730-2024</t>
        </is>
      </c>
      <c r="B7813" s="1" t="n">
        <v>45334</v>
      </c>
      <c r="C7813" s="1" t="n">
        <v>45798</v>
      </c>
      <c r="D7813" t="inlineStr">
        <is>
          <t>NORRBOTTENS LÄN</t>
        </is>
      </c>
      <c r="E7813" t="inlineStr">
        <is>
          <t>PAJALA</t>
        </is>
      </c>
      <c r="G7813" t="n">
        <v>26.2</v>
      </c>
      <c r="H7813" t="n">
        <v>0</v>
      </c>
      <c r="I7813" t="n">
        <v>0</v>
      </c>
      <c r="J7813" t="n">
        <v>0</v>
      </c>
      <c r="K7813" t="n">
        <v>0</v>
      </c>
      <c r="L7813" t="n">
        <v>0</v>
      </c>
      <c r="M7813" t="n">
        <v>0</v>
      </c>
      <c r="N7813" t="n">
        <v>0</v>
      </c>
      <c r="O7813" t="n">
        <v>0</v>
      </c>
      <c r="P7813" t="n">
        <v>0</v>
      </c>
      <c r="Q7813" t="n">
        <v>0</v>
      </c>
      <c r="R7813" s="2" t="inlineStr"/>
    </row>
    <row r="7814" ht="15" customHeight="1">
      <c r="A7814" t="inlineStr">
        <is>
          <t>A 5739-2024</t>
        </is>
      </c>
      <c r="B7814" s="1" t="n">
        <v>45334</v>
      </c>
      <c r="C7814" s="1" t="n">
        <v>45798</v>
      </c>
      <c r="D7814" t="inlineStr">
        <is>
          <t>NORRBOTTENS LÄN</t>
        </is>
      </c>
      <c r="E7814" t="inlineStr">
        <is>
          <t>PAJALA</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5723-2024</t>
        </is>
      </c>
      <c r="B7815" s="1" t="n">
        <v>45334</v>
      </c>
      <c r="C7815" s="1" t="n">
        <v>45798</v>
      </c>
      <c r="D7815" t="inlineStr">
        <is>
          <t>NORRBOTTENS LÄN</t>
        </is>
      </c>
      <c r="E7815" t="inlineStr">
        <is>
          <t>ÖVERKALIX</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5731-2024</t>
        </is>
      </c>
      <c r="B7816" s="1" t="n">
        <v>45334</v>
      </c>
      <c r="C7816" s="1" t="n">
        <v>45798</v>
      </c>
      <c r="D7816" t="inlineStr">
        <is>
          <t>NORRBOTTENS LÄN</t>
        </is>
      </c>
      <c r="E7816" t="inlineStr">
        <is>
          <t>PAJALA</t>
        </is>
      </c>
      <c r="G7816" t="n">
        <v>11.3</v>
      </c>
      <c r="H7816" t="n">
        <v>0</v>
      </c>
      <c r="I7816" t="n">
        <v>0</v>
      </c>
      <c r="J7816" t="n">
        <v>0</v>
      </c>
      <c r="K7816" t="n">
        <v>0</v>
      </c>
      <c r="L7816" t="n">
        <v>0</v>
      </c>
      <c r="M7816" t="n">
        <v>0</v>
      </c>
      <c r="N7816" t="n">
        <v>0</v>
      </c>
      <c r="O7816" t="n">
        <v>0</v>
      </c>
      <c r="P7816" t="n">
        <v>0</v>
      </c>
      <c r="Q7816" t="n">
        <v>0</v>
      </c>
      <c r="R7816" s="2" t="inlineStr"/>
    </row>
    <row r="7817" ht="15" customHeight="1">
      <c r="A7817" t="inlineStr">
        <is>
          <t>A 5769-2024</t>
        </is>
      </c>
      <c r="B7817" s="1" t="n">
        <v>45335</v>
      </c>
      <c r="C7817" s="1" t="n">
        <v>45798</v>
      </c>
      <c r="D7817" t="inlineStr">
        <is>
          <t>NORRBOTTENS LÄN</t>
        </is>
      </c>
      <c r="E7817" t="inlineStr">
        <is>
          <t>PITEÅ</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5785-2024</t>
        </is>
      </c>
      <c r="B7818" s="1" t="n">
        <v>45335</v>
      </c>
      <c r="C7818" s="1" t="n">
        <v>45798</v>
      </c>
      <c r="D7818" t="inlineStr">
        <is>
          <t>NORRBOTTENS LÄN</t>
        </is>
      </c>
      <c r="E7818" t="inlineStr">
        <is>
          <t>KALIX</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5791-2024</t>
        </is>
      </c>
      <c r="B7819" s="1" t="n">
        <v>45335</v>
      </c>
      <c r="C7819" s="1" t="n">
        <v>45798</v>
      </c>
      <c r="D7819" t="inlineStr">
        <is>
          <t>NORRBOTTENS LÄN</t>
        </is>
      </c>
      <c r="E7819" t="inlineStr">
        <is>
          <t>KALIX</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6034-2024</t>
        </is>
      </c>
      <c r="B7820" s="1" t="n">
        <v>45336</v>
      </c>
      <c r="C7820" s="1" t="n">
        <v>45798</v>
      </c>
      <c r="D7820" t="inlineStr">
        <is>
          <t>NORRBOTTENS LÄN</t>
        </is>
      </c>
      <c r="E7820" t="inlineStr">
        <is>
          <t>HAPARANDA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6084-2024</t>
        </is>
      </c>
      <c r="B7821" s="1" t="n">
        <v>45336</v>
      </c>
      <c r="C7821" s="1" t="n">
        <v>45798</v>
      </c>
      <c r="D7821" t="inlineStr">
        <is>
          <t>NORRBOTTENS LÄN</t>
        </is>
      </c>
      <c r="E7821" t="inlineStr">
        <is>
          <t>BODEN</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6197-2024</t>
        </is>
      </c>
      <c r="B7822" s="1" t="n">
        <v>45337</v>
      </c>
      <c r="C7822" s="1" t="n">
        <v>45798</v>
      </c>
      <c r="D7822" t="inlineStr">
        <is>
          <t>NORRBOTTENS LÄN</t>
        </is>
      </c>
      <c r="E7822" t="inlineStr">
        <is>
          <t>ÄLVSBYN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6268-2024</t>
        </is>
      </c>
      <c r="B7823" s="1" t="n">
        <v>45337</v>
      </c>
      <c r="C7823" s="1" t="n">
        <v>45798</v>
      </c>
      <c r="D7823" t="inlineStr">
        <is>
          <t>NORRBOTTENS LÄN</t>
        </is>
      </c>
      <c r="E7823" t="inlineStr">
        <is>
          <t>GÄLLIVARE</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6272-2024</t>
        </is>
      </c>
      <c r="B7824" s="1" t="n">
        <v>45337</v>
      </c>
      <c r="C7824" s="1" t="n">
        <v>45798</v>
      </c>
      <c r="D7824" t="inlineStr">
        <is>
          <t>NORRBOTTENS LÄN</t>
        </is>
      </c>
      <c r="E7824" t="inlineStr">
        <is>
          <t>GÄLLIVARE</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6271-2024</t>
        </is>
      </c>
      <c r="B7825" s="1" t="n">
        <v>45337</v>
      </c>
      <c r="C7825" s="1" t="n">
        <v>45798</v>
      </c>
      <c r="D7825" t="inlineStr">
        <is>
          <t>NORRBOTTENS LÄN</t>
        </is>
      </c>
      <c r="E7825" t="inlineStr">
        <is>
          <t>GÄLLIVARE</t>
        </is>
      </c>
      <c r="G7825" t="n">
        <v>14.7</v>
      </c>
      <c r="H7825" t="n">
        <v>0</v>
      </c>
      <c r="I7825" t="n">
        <v>0</v>
      </c>
      <c r="J7825" t="n">
        <v>0</v>
      </c>
      <c r="K7825" t="n">
        <v>0</v>
      </c>
      <c r="L7825" t="n">
        <v>0</v>
      </c>
      <c r="M7825" t="n">
        <v>0</v>
      </c>
      <c r="N7825" t="n">
        <v>0</v>
      </c>
      <c r="O7825" t="n">
        <v>0</v>
      </c>
      <c r="P7825" t="n">
        <v>0</v>
      </c>
      <c r="Q7825" t="n">
        <v>0</v>
      </c>
      <c r="R7825" s="2" t="inlineStr"/>
    </row>
    <row r="7826" ht="15" customHeight="1">
      <c r="A7826" t="inlineStr">
        <is>
          <t>A 6396-2024</t>
        </is>
      </c>
      <c r="B7826" s="1" t="n">
        <v>45338</v>
      </c>
      <c r="C7826" s="1" t="n">
        <v>45798</v>
      </c>
      <c r="D7826" t="inlineStr">
        <is>
          <t>NORRBOTTENS LÄN</t>
        </is>
      </c>
      <c r="E7826" t="inlineStr">
        <is>
          <t>BODEN</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6382-2024</t>
        </is>
      </c>
      <c r="B7827" s="1" t="n">
        <v>45338</v>
      </c>
      <c r="C7827" s="1" t="n">
        <v>45798</v>
      </c>
      <c r="D7827" t="inlineStr">
        <is>
          <t>NORRBOTTENS LÄN</t>
        </is>
      </c>
      <c r="E7827" t="inlineStr">
        <is>
          <t>BODEN</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6472-2024</t>
        </is>
      </c>
      <c r="B7828" s="1" t="n">
        <v>45338</v>
      </c>
      <c r="C7828" s="1" t="n">
        <v>45798</v>
      </c>
      <c r="D7828" t="inlineStr">
        <is>
          <t>NORRBOTTENS LÄN</t>
        </is>
      </c>
      <c r="E7828" t="inlineStr">
        <is>
          <t>KALIX</t>
        </is>
      </c>
      <c r="F7828" t="inlineStr">
        <is>
          <t>SCA</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6471-2024</t>
        </is>
      </c>
      <c r="B7829" s="1" t="n">
        <v>45338</v>
      </c>
      <c r="C7829" s="1" t="n">
        <v>45798</v>
      </c>
      <c r="D7829" t="inlineStr">
        <is>
          <t>NORRBOTTENS LÄN</t>
        </is>
      </c>
      <c r="E7829" t="inlineStr">
        <is>
          <t>KALIX</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6552-2024</t>
        </is>
      </c>
      <c r="B7830" s="1" t="n">
        <v>45341</v>
      </c>
      <c r="C7830" s="1" t="n">
        <v>45798</v>
      </c>
      <c r="D7830" t="inlineStr">
        <is>
          <t>NORRBOTTENS LÄN</t>
        </is>
      </c>
      <c r="E7830" t="inlineStr">
        <is>
          <t>LULEÅ</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6517-2024</t>
        </is>
      </c>
      <c r="B7831" s="1" t="n">
        <v>45341</v>
      </c>
      <c r="C7831" s="1" t="n">
        <v>45798</v>
      </c>
      <c r="D7831" t="inlineStr">
        <is>
          <t>NORRBOTTENS LÄN</t>
        </is>
      </c>
      <c r="E7831" t="inlineStr">
        <is>
          <t>BODEN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6574-2024</t>
        </is>
      </c>
      <c r="B7832" s="1" t="n">
        <v>45341</v>
      </c>
      <c r="C7832" s="1" t="n">
        <v>45798</v>
      </c>
      <c r="D7832" t="inlineStr">
        <is>
          <t>NORRBOTTENS LÄN</t>
        </is>
      </c>
      <c r="E7832" t="inlineStr">
        <is>
          <t>ARVIDSJAUR</t>
        </is>
      </c>
      <c r="F7832" t="inlineStr">
        <is>
          <t>Sveaskog</t>
        </is>
      </c>
      <c r="G7832" t="n">
        <v>27.1</v>
      </c>
      <c r="H7832" t="n">
        <v>0</v>
      </c>
      <c r="I7832" t="n">
        <v>0</v>
      </c>
      <c r="J7832" t="n">
        <v>0</v>
      </c>
      <c r="K7832" t="n">
        <v>0</v>
      </c>
      <c r="L7832" t="n">
        <v>0</v>
      </c>
      <c r="M7832" t="n">
        <v>0</v>
      </c>
      <c r="N7832" t="n">
        <v>0</v>
      </c>
      <c r="O7832" t="n">
        <v>0</v>
      </c>
      <c r="P7832" t="n">
        <v>0</v>
      </c>
      <c r="Q7832" t="n">
        <v>0</v>
      </c>
      <c r="R7832" s="2" t="inlineStr"/>
    </row>
    <row r="7833" ht="15" customHeight="1">
      <c r="A7833" t="inlineStr">
        <is>
          <t>A 6595-2024</t>
        </is>
      </c>
      <c r="B7833" s="1" t="n">
        <v>45341</v>
      </c>
      <c r="C7833" s="1" t="n">
        <v>45798</v>
      </c>
      <c r="D7833" t="inlineStr">
        <is>
          <t>NORRBOTTENS LÄN</t>
        </is>
      </c>
      <c r="E7833" t="inlineStr">
        <is>
          <t>LULEÅ</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6606-2024</t>
        </is>
      </c>
      <c r="B7834" s="1" t="n">
        <v>45341</v>
      </c>
      <c r="C7834" s="1" t="n">
        <v>45798</v>
      </c>
      <c r="D7834" t="inlineStr">
        <is>
          <t>NORRBOTTENS LÄN</t>
        </is>
      </c>
      <c r="E7834" t="inlineStr">
        <is>
          <t>BODEN</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6570-2024</t>
        </is>
      </c>
      <c r="B7835" s="1" t="n">
        <v>45341</v>
      </c>
      <c r="C7835" s="1" t="n">
        <v>45798</v>
      </c>
      <c r="D7835" t="inlineStr">
        <is>
          <t>NORRBOTTENS LÄN</t>
        </is>
      </c>
      <c r="E7835" t="inlineStr">
        <is>
          <t>LULEÅ</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6596-2024</t>
        </is>
      </c>
      <c r="B7836" s="1" t="n">
        <v>45341</v>
      </c>
      <c r="C7836" s="1" t="n">
        <v>45798</v>
      </c>
      <c r="D7836" t="inlineStr">
        <is>
          <t>NORRBOTTENS LÄN</t>
        </is>
      </c>
      <c r="E7836" t="inlineStr">
        <is>
          <t>LULEÅ</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6638-2024</t>
        </is>
      </c>
      <c r="B7837" s="1" t="n">
        <v>45341</v>
      </c>
      <c r="C7837" s="1" t="n">
        <v>45798</v>
      </c>
      <c r="D7837" t="inlineStr">
        <is>
          <t>NORRBOTTENS LÄN</t>
        </is>
      </c>
      <c r="E7837" t="inlineStr">
        <is>
          <t>BODEN</t>
        </is>
      </c>
      <c r="F7837" t="inlineStr">
        <is>
          <t>Övriga statliga verk och myndigheter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6621-2024</t>
        </is>
      </c>
      <c r="B7838" s="1" t="n">
        <v>45341</v>
      </c>
      <c r="C7838" s="1" t="n">
        <v>45798</v>
      </c>
      <c r="D7838" t="inlineStr">
        <is>
          <t>NORRBOTTENS LÄN</t>
        </is>
      </c>
      <c r="E7838" t="inlineStr">
        <is>
          <t>GÄLLIVARE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6739-2024</t>
        </is>
      </c>
      <c r="B7839" s="1" t="n">
        <v>45342</v>
      </c>
      <c r="C7839" s="1" t="n">
        <v>45798</v>
      </c>
      <c r="D7839" t="inlineStr">
        <is>
          <t>NORRBOTTENS LÄN</t>
        </is>
      </c>
      <c r="E7839" t="inlineStr">
        <is>
          <t>LULEÅ</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6718-2024</t>
        </is>
      </c>
      <c r="B7840" s="1" t="n">
        <v>45342</v>
      </c>
      <c r="C7840" s="1" t="n">
        <v>45798</v>
      </c>
      <c r="D7840" t="inlineStr">
        <is>
          <t>NORRBOTTENS LÄN</t>
        </is>
      </c>
      <c r="E7840" t="inlineStr">
        <is>
          <t>LULEÅ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6841-2024</t>
        </is>
      </c>
      <c r="B7841" s="1" t="n">
        <v>45342</v>
      </c>
      <c r="C7841" s="1" t="n">
        <v>45798</v>
      </c>
      <c r="D7841" t="inlineStr">
        <is>
          <t>NORRBOTTENS LÄN</t>
        </is>
      </c>
      <c r="E7841" t="inlineStr">
        <is>
          <t>LULEÅ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6864-2024</t>
        </is>
      </c>
      <c r="B7842" s="1" t="n">
        <v>45342</v>
      </c>
      <c r="C7842" s="1" t="n">
        <v>45798</v>
      </c>
      <c r="D7842" t="inlineStr">
        <is>
          <t>NORRBOTTENS LÄN</t>
        </is>
      </c>
      <c r="E7842" t="inlineStr">
        <is>
          <t>ÄLVSBYN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6899-2024</t>
        </is>
      </c>
      <c r="B7843" s="1" t="n">
        <v>45342</v>
      </c>
      <c r="C7843" s="1" t="n">
        <v>45798</v>
      </c>
      <c r="D7843" t="inlineStr">
        <is>
          <t>NORRBOTTENS LÄN</t>
        </is>
      </c>
      <c r="E7843" t="inlineStr">
        <is>
          <t>ÄLVSBYN</t>
        </is>
      </c>
      <c r="F7843" t="inlineStr">
        <is>
          <t>SCA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6862-2024</t>
        </is>
      </c>
      <c r="B7844" s="1" t="n">
        <v>45342</v>
      </c>
      <c r="C7844" s="1" t="n">
        <v>45798</v>
      </c>
      <c r="D7844" t="inlineStr">
        <is>
          <t>NORRBOTTENS LÄN</t>
        </is>
      </c>
      <c r="E7844" t="inlineStr">
        <is>
          <t>ARVIDSJAUR</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6866-2024</t>
        </is>
      </c>
      <c r="B7845" s="1" t="n">
        <v>45342</v>
      </c>
      <c r="C7845" s="1" t="n">
        <v>45798</v>
      </c>
      <c r="D7845" t="inlineStr">
        <is>
          <t>NORRBOTTENS LÄN</t>
        </is>
      </c>
      <c r="E7845" t="inlineStr">
        <is>
          <t>ÄLVSBYN</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6890-2024</t>
        </is>
      </c>
      <c r="B7846" s="1" t="n">
        <v>45342</v>
      </c>
      <c r="C7846" s="1" t="n">
        <v>45798</v>
      </c>
      <c r="D7846" t="inlineStr">
        <is>
          <t>NORRBOTTENS LÄN</t>
        </is>
      </c>
      <c r="E7846" t="inlineStr">
        <is>
          <t>PITEÅ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6920-2024</t>
        </is>
      </c>
      <c r="B7847" s="1" t="n">
        <v>45343</v>
      </c>
      <c r="C7847" s="1" t="n">
        <v>45798</v>
      </c>
      <c r="D7847" t="inlineStr">
        <is>
          <t>NORRBOTTENS LÄN</t>
        </is>
      </c>
      <c r="E7847" t="inlineStr">
        <is>
          <t>PITEÅ</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6988-2024</t>
        </is>
      </c>
      <c r="B7848" s="1" t="n">
        <v>45343</v>
      </c>
      <c r="C7848" s="1" t="n">
        <v>45798</v>
      </c>
      <c r="D7848" t="inlineStr">
        <is>
          <t>NORRBOTTENS LÄN</t>
        </is>
      </c>
      <c r="E7848" t="inlineStr">
        <is>
          <t>PITEÅ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7115-2024</t>
        </is>
      </c>
      <c r="B7849" s="1" t="n">
        <v>45343</v>
      </c>
      <c r="C7849" s="1" t="n">
        <v>45798</v>
      </c>
      <c r="D7849" t="inlineStr">
        <is>
          <t>NORRBOTTENS LÄN</t>
        </is>
      </c>
      <c r="E7849" t="inlineStr">
        <is>
          <t>ÄLVSBYN</t>
        </is>
      </c>
      <c r="F7849" t="inlineStr">
        <is>
          <t>SCA</t>
        </is>
      </c>
      <c r="G7849" t="n">
        <v>15.1</v>
      </c>
      <c r="H7849" t="n">
        <v>0</v>
      </c>
      <c r="I7849" t="n">
        <v>0</v>
      </c>
      <c r="J7849" t="n">
        <v>0</v>
      </c>
      <c r="K7849" t="n">
        <v>0</v>
      </c>
      <c r="L7849" t="n">
        <v>0</v>
      </c>
      <c r="M7849" t="n">
        <v>0</v>
      </c>
      <c r="N7849" t="n">
        <v>0</v>
      </c>
      <c r="O7849" t="n">
        <v>0</v>
      </c>
      <c r="P7849" t="n">
        <v>0</v>
      </c>
      <c r="Q7849" t="n">
        <v>0</v>
      </c>
      <c r="R7849" s="2" t="inlineStr"/>
    </row>
    <row r="7850" ht="15" customHeight="1">
      <c r="A7850" t="inlineStr">
        <is>
          <t>A 7197-2024</t>
        </is>
      </c>
      <c r="B7850" s="1" t="n">
        <v>45344</v>
      </c>
      <c r="C7850" s="1" t="n">
        <v>45798</v>
      </c>
      <c r="D7850" t="inlineStr">
        <is>
          <t>NORRBOTTENS LÄN</t>
        </is>
      </c>
      <c r="E7850" t="inlineStr">
        <is>
          <t>GÄLLIVARE</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7242-2024</t>
        </is>
      </c>
      <c r="B7851" s="1" t="n">
        <v>45344</v>
      </c>
      <c r="C7851" s="1" t="n">
        <v>45798</v>
      </c>
      <c r="D7851" t="inlineStr">
        <is>
          <t>NORRBOTTENS LÄN</t>
        </is>
      </c>
      <c r="E7851" t="inlineStr">
        <is>
          <t>GÄLLIVARE</t>
        </is>
      </c>
      <c r="G7851" t="n">
        <v>11.7</v>
      </c>
      <c r="H7851" t="n">
        <v>0</v>
      </c>
      <c r="I7851" t="n">
        <v>0</v>
      </c>
      <c r="J7851" t="n">
        <v>0</v>
      </c>
      <c r="K7851" t="n">
        <v>0</v>
      </c>
      <c r="L7851" t="n">
        <v>0</v>
      </c>
      <c r="M7851" t="n">
        <v>0</v>
      </c>
      <c r="N7851" t="n">
        <v>0</v>
      </c>
      <c r="O7851" t="n">
        <v>0</v>
      </c>
      <c r="P7851" t="n">
        <v>0</v>
      </c>
      <c r="Q7851" t="n">
        <v>0</v>
      </c>
      <c r="R7851" s="2" t="inlineStr"/>
    </row>
    <row r="7852" ht="15" customHeight="1">
      <c r="A7852" t="inlineStr">
        <is>
          <t>A 7266-2024</t>
        </is>
      </c>
      <c r="B7852" s="1" t="n">
        <v>45344</v>
      </c>
      <c r="C7852" s="1" t="n">
        <v>45798</v>
      </c>
      <c r="D7852" t="inlineStr">
        <is>
          <t>NORRBOTTENS LÄN</t>
        </is>
      </c>
      <c r="E7852" t="inlineStr">
        <is>
          <t>ÄLVSBYN</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7289-2024</t>
        </is>
      </c>
      <c r="B7853" s="1" t="n">
        <v>45344</v>
      </c>
      <c r="C7853" s="1" t="n">
        <v>45798</v>
      </c>
      <c r="D7853" t="inlineStr">
        <is>
          <t>NORRBOTTENS LÄN</t>
        </is>
      </c>
      <c r="E7853" t="inlineStr">
        <is>
          <t>ÄLVSBYN</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7306-2024</t>
        </is>
      </c>
      <c r="B7854" s="1" t="n">
        <v>45344</v>
      </c>
      <c r="C7854" s="1" t="n">
        <v>45798</v>
      </c>
      <c r="D7854" t="inlineStr">
        <is>
          <t>NORRBOTTENS LÄN</t>
        </is>
      </c>
      <c r="E7854" t="inlineStr">
        <is>
          <t>LULEÅ</t>
        </is>
      </c>
      <c r="G7854" t="n">
        <v>29.2</v>
      </c>
      <c r="H7854" t="n">
        <v>0</v>
      </c>
      <c r="I7854" t="n">
        <v>0</v>
      </c>
      <c r="J7854" t="n">
        <v>0</v>
      </c>
      <c r="K7854" t="n">
        <v>0</v>
      </c>
      <c r="L7854" t="n">
        <v>0</v>
      </c>
      <c r="M7854" t="n">
        <v>0</v>
      </c>
      <c r="N7854" t="n">
        <v>0</v>
      </c>
      <c r="O7854" t="n">
        <v>0</v>
      </c>
      <c r="P7854" t="n">
        <v>0</v>
      </c>
      <c r="Q7854" t="n">
        <v>0</v>
      </c>
      <c r="R7854" s="2" t="inlineStr"/>
    </row>
    <row r="7855" ht="15" customHeight="1">
      <c r="A7855" t="inlineStr">
        <is>
          <t>A 7458-2024</t>
        </is>
      </c>
      <c r="B7855" s="1" t="n">
        <v>45345</v>
      </c>
      <c r="C7855" s="1" t="n">
        <v>45798</v>
      </c>
      <c r="D7855" t="inlineStr">
        <is>
          <t>NORRBOTTENS LÄN</t>
        </is>
      </c>
      <c r="E7855" t="inlineStr">
        <is>
          <t>PITEÅ</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7459-2024</t>
        </is>
      </c>
      <c r="B7856" s="1" t="n">
        <v>45345</v>
      </c>
      <c r="C7856" s="1" t="n">
        <v>45798</v>
      </c>
      <c r="D7856" t="inlineStr">
        <is>
          <t>NORRBOTTENS LÄN</t>
        </is>
      </c>
      <c r="E7856" t="inlineStr">
        <is>
          <t>PITEÅ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7457-2024</t>
        </is>
      </c>
      <c r="B7857" s="1" t="n">
        <v>45345</v>
      </c>
      <c r="C7857" s="1" t="n">
        <v>45798</v>
      </c>
      <c r="D7857" t="inlineStr">
        <is>
          <t>NORRBOTTENS LÄN</t>
        </is>
      </c>
      <c r="E7857" t="inlineStr">
        <is>
          <t>PITEÅ</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7461-2024</t>
        </is>
      </c>
      <c r="B7858" s="1" t="n">
        <v>45345</v>
      </c>
      <c r="C7858" s="1" t="n">
        <v>45798</v>
      </c>
      <c r="D7858" t="inlineStr">
        <is>
          <t>NORRBOTTENS LÄN</t>
        </is>
      </c>
      <c r="E7858" t="inlineStr">
        <is>
          <t>PITEÅ</t>
        </is>
      </c>
      <c r="G7858" t="n">
        <v>14.7</v>
      </c>
      <c r="H7858" t="n">
        <v>0</v>
      </c>
      <c r="I7858" t="n">
        <v>0</v>
      </c>
      <c r="J7858" t="n">
        <v>0</v>
      </c>
      <c r="K7858" t="n">
        <v>0</v>
      </c>
      <c r="L7858" t="n">
        <v>0</v>
      </c>
      <c r="M7858" t="n">
        <v>0</v>
      </c>
      <c r="N7858" t="n">
        <v>0</v>
      </c>
      <c r="O7858" t="n">
        <v>0</v>
      </c>
      <c r="P7858" t="n">
        <v>0</v>
      </c>
      <c r="Q7858" t="n">
        <v>0</v>
      </c>
      <c r="R7858" s="2" t="inlineStr"/>
    </row>
    <row r="7859" ht="15" customHeight="1">
      <c r="A7859" t="inlineStr">
        <is>
          <t>A 7382-2024</t>
        </is>
      </c>
      <c r="B7859" s="1" t="n">
        <v>45345</v>
      </c>
      <c r="C7859" s="1" t="n">
        <v>45798</v>
      </c>
      <c r="D7859" t="inlineStr">
        <is>
          <t>NORRBOTTENS LÄN</t>
        </is>
      </c>
      <c r="E7859" t="inlineStr">
        <is>
          <t>LULEÅ</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7442-2024</t>
        </is>
      </c>
      <c r="B7860" s="1" t="n">
        <v>45345</v>
      </c>
      <c r="C7860" s="1" t="n">
        <v>45798</v>
      </c>
      <c r="D7860" t="inlineStr">
        <is>
          <t>NORRBOTTENS LÄN</t>
        </is>
      </c>
      <c r="E7860" t="inlineStr">
        <is>
          <t>BODEN</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7479-2024</t>
        </is>
      </c>
      <c r="B7861" s="1" t="n">
        <v>45345</v>
      </c>
      <c r="C7861" s="1" t="n">
        <v>45798</v>
      </c>
      <c r="D7861" t="inlineStr">
        <is>
          <t>NORRBOTTENS LÄN</t>
        </is>
      </c>
      <c r="E7861" t="inlineStr">
        <is>
          <t>ÄLVSBYN</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7503-2024</t>
        </is>
      </c>
      <c r="B7862" s="1" t="n">
        <v>45347</v>
      </c>
      <c r="C7862" s="1" t="n">
        <v>45798</v>
      </c>
      <c r="D7862" t="inlineStr">
        <is>
          <t>NORRBOTTENS LÄN</t>
        </is>
      </c>
      <c r="E7862" t="inlineStr">
        <is>
          <t>PITEÅ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7502-2024</t>
        </is>
      </c>
      <c r="B7863" s="1" t="n">
        <v>45347</v>
      </c>
      <c r="C7863" s="1" t="n">
        <v>45798</v>
      </c>
      <c r="D7863" t="inlineStr">
        <is>
          <t>NORRBOTTENS LÄN</t>
        </is>
      </c>
      <c r="E7863" t="inlineStr">
        <is>
          <t>PITEÅ</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7504-2024</t>
        </is>
      </c>
      <c r="B7864" s="1" t="n">
        <v>45347</v>
      </c>
      <c r="C7864" s="1" t="n">
        <v>45798</v>
      </c>
      <c r="D7864" t="inlineStr">
        <is>
          <t>NORRBOTTENS LÄN</t>
        </is>
      </c>
      <c r="E7864" t="inlineStr">
        <is>
          <t>PITEÅ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7552-2024</t>
        </is>
      </c>
      <c r="B7865" s="1" t="n">
        <v>45348</v>
      </c>
      <c r="C7865" s="1" t="n">
        <v>45798</v>
      </c>
      <c r="D7865" t="inlineStr">
        <is>
          <t>NORRBOTTENS LÄN</t>
        </is>
      </c>
      <c r="E7865" t="inlineStr">
        <is>
          <t>PITEÅ</t>
        </is>
      </c>
      <c r="F7865" t="inlineStr">
        <is>
          <t>Sveaskog</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7555-2024</t>
        </is>
      </c>
      <c r="B7866" s="1" t="n">
        <v>45348</v>
      </c>
      <c r="C7866" s="1" t="n">
        <v>45798</v>
      </c>
      <c r="D7866" t="inlineStr">
        <is>
          <t>NORRBOTTENS LÄN</t>
        </is>
      </c>
      <c r="E7866" t="inlineStr">
        <is>
          <t>PITEÅ</t>
        </is>
      </c>
      <c r="F7866" t="inlineStr">
        <is>
          <t>Sveaskog</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7553-2024</t>
        </is>
      </c>
      <c r="B7867" s="1" t="n">
        <v>45348</v>
      </c>
      <c r="C7867" s="1" t="n">
        <v>45798</v>
      </c>
      <c r="D7867" t="inlineStr">
        <is>
          <t>NORRBOTTENS LÄN</t>
        </is>
      </c>
      <c r="E7867" t="inlineStr">
        <is>
          <t>PITEÅ</t>
        </is>
      </c>
      <c r="F7867" t="inlineStr">
        <is>
          <t>Sveaskog</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7790-2024</t>
        </is>
      </c>
      <c r="B7868" s="1" t="n">
        <v>45348</v>
      </c>
      <c r="C7868" s="1" t="n">
        <v>45798</v>
      </c>
      <c r="D7868" t="inlineStr">
        <is>
          <t>NORRBOTTENS LÄN</t>
        </is>
      </c>
      <c r="E7868" t="inlineStr">
        <is>
          <t>ARVIDSJAUR</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7785-2024</t>
        </is>
      </c>
      <c r="B7869" s="1" t="n">
        <v>45348</v>
      </c>
      <c r="C7869" s="1" t="n">
        <v>45798</v>
      </c>
      <c r="D7869" t="inlineStr">
        <is>
          <t>NORRBOTTENS LÄN</t>
        </is>
      </c>
      <c r="E7869" t="inlineStr">
        <is>
          <t>ARJEPLOG</t>
        </is>
      </c>
      <c r="G7869" t="n">
        <v>26.7</v>
      </c>
      <c r="H7869" t="n">
        <v>0</v>
      </c>
      <c r="I7869" t="n">
        <v>0</v>
      </c>
      <c r="J7869" t="n">
        <v>0</v>
      </c>
      <c r="K7869" t="n">
        <v>0</v>
      </c>
      <c r="L7869" t="n">
        <v>0</v>
      </c>
      <c r="M7869" t="n">
        <v>0</v>
      </c>
      <c r="N7869" t="n">
        <v>0</v>
      </c>
      <c r="O7869" t="n">
        <v>0</v>
      </c>
      <c r="P7869" t="n">
        <v>0</v>
      </c>
      <c r="Q7869" t="n">
        <v>0</v>
      </c>
      <c r="R7869" s="2" t="inlineStr"/>
    </row>
    <row r="7870" ht="15" customHeight="1">
      <c r="A7870" t="inlineStr">
        <is>
          <t>A 7715-2024</t>
        </is>
      </c>
      <c r="B7870" s="1" t="n">
        <v>45349</v>
      </c>
      <c r="C7870" s="1" t="n">
        <v>45798</v>
      </c>
      <c r="D7870" t="inlineStr">
        <is>
          <t>NORRBOTTENS LÄN</t>
        </is>
      </c>
      <c r="E7870" t="inlineStr">
        <is>
          <t>JOKKMOKK</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7845-2024</t>
        </is>
      </c>
      <c r="B7871" s="1" t="n">
        <v>45349</v>
      </c>
      <c r="C7871" s="1" t="n">
        <v>45798</v>
      </c>
      <c r="D7871" t="inlineStr">
        <is>
          <t>NORRBOTTENS LÄN</t>
        </is>
      </c>
      <c r="E7871" t="inlineStr">
        <is>
          <t>JOKKMOKK</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7958-2024</t>
        </is>
      </c>
      <c r="B7872" s="1" t="n">
        <v>45349</v>
      </c>
      <c r="C7872" s="1" t="n">
        <v>45798</v>
      </c>
      <c r="D7872" t="inlineStr">
        <is>
          <t>NORRBOTTENS LÄN</t>
        </is>
      </c>
      <c r="E7872" t="inlineStr">
        <is>
          <t>PITEÅ</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8171-2024</t>
        </is>
      </c>
      <c r="B7873" s="1" t="n">
        <v>45349</v>
      </c>
      <c r="C7873" s="1" t="n">
        <v>45798</v>
      </c>
      <c r="D7873" t="inlineStr">
        <is>
          <t>NORRBOTTENS LÄN</t>
        </is>
      </c>
      <c r="E7873" t="inlineStr">
        <is>
          <t>BODEN</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7964-2024</t>
        </is>
      </c>
      <c r="B7874" s="1" t="n">
        <v>45349</v>
      </c>
      <c r="C7874" s="1" t="n">
        <v>45798</v>
      </c>
      <c r="D7874" t="inlineStr">
        <is>
          <t>NORRBOTTENS LÄN</t>
        </is>
      </c>
      <c r="E7874" t="inlineStr">
        <is>
          <t>PITEÅ</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8179-2024</t>
        </is>
      </c>
      <c r="B7875" s="1" t="n">
        <v>45349</v>
      </c>
      <c r="C7875" s="1" t="n">
        <v>45798</v>
      </c>
      <c r="D7875" t="inlineStr">
        <is>
          <t>NORRBOTTENS LÄN</t>
        </is>
      </c>
      <c r="E7875" t="inlineStr">
        <is>
          <t>PAJALA</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7888-2024</t>
        </is>
      </c>
      <c r="B7876" s="1" t="n">
        <v>45350</v>
      </c>
      <c r="C7876" s="1" t="n">
        <v>45798</v>
      </c>
      <c r="D7876" t="inlineStr">
        <is>
          <t>NORRBOTTENS LÄN</t>
        </is>
      </c>
      <c r="E7876" t="inlineStr">
        <is>
          <t>PITEÅ</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7901-2024</t>
        </is>
      </c>
      <c r="B7877" s="1" t="n">
        <v>45350</v>
      </c>
      <c r="C7877" s="1" t="n">
        <v>45798</v>
      </c>
      <c r="D7877" t="inlineStr">
        <is>
          <t>NORRBOTTENS LÄN</t>
        </is>
      </c>
      <c r="E7877" t="inlineStr">
        <is>
          <t>PITEÅ</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7905-2024</t>
        </is>
      </c>
      <c r="B7878" s="1" t="n">
        <v>45350</v>
      </c>
      <c r="C7878" s="1" t="n">
        <v>45798</v>
      </c>
      <c r="D7878" t="inlineStr">
        <is>
          <t>NORRBOTTENS LÄN</t>
        </is>
      </c>
      <c r="E7878" t="inlineStr">
        <is>
          <t>PITEÅ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7950-2024</t>
        </is>
      </c>
      <c r="B7879" s="1" t="n">
        <v>45350</v>
      </c>
      <c r="C7879" s="1" t="n">
        <v>45798</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7913-2024</t>
        </is>
      </c>
      <c r="B7880" s="1" t="n">
        <v>45350</v>
      </c>
      <c r="C7880" s="1" t="n">
        <v>45798</v>
      </c>
      <c r="D7880" t="inlineStr">
        <is>
          <t>NORRBOTTENS LÄN</t>
        </is>
      </c>
      <c r="E7880" t="inlineStr">
        <is>
          <t>PAJALA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8029-2024</t>
        </is>
      </c>
      <c r="B7881" s="1" t="n">
        <v>45350</v>
      </c>
      <c r="C7881" s="1" t="n">
        <v>45798</v>
      </c>
      <c r="D7881" t="inlineStr">
        <is>
          <t>NORRBOTTENS LÄN</t>
        </is>
      </c>
      <c r="E7881" t="inlineStr">
        <is>
          <t>BODEN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8028-2024</t>
        </is>
      </c>
      <c r="B7882" s="1" t="n">
        <v>45350</v>
      </c>
      <c r="C7882" s="1" t="n">
        <v>45798</v>
      </c>
      <c r="D7882" t="inlineStr">
        <is>
          <t>NORRBOTTENS LÄN</t>
        </is>
      </c>
      <c r="E7882" t="inlineStr">
        <is>
          <t>BODEN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8022-2024</t>
        </is>
      </c>
      <c r="B7883" s="1" t="n">
        <v>45350</v>
      </c>
      <c r="C7883" s="1" t="n">
        <v>45798</v>
      </c>
      <c r="D7883" t="inlineStr">
        <is>
          <t>NORRBOTTENS LÄN</t>
        </is>
      </c>
      <c r="E7883" t="inlineStr">
        <is>
          <t>LULEÅ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8026-2024</t>
        </is>
      </c>
      <c r="B7884" s="1" t="n">
        <v>45350</v>
      </c>
      <c r="C7884" s="1" t="n">
        <v>45798</v>
      </c>
      <c r="D7884" t="inlineStr">
        <is>
          <t>NORRBOTTENS LÄN</t>
        </is>
      </c>
      <c r="E7884" t="inlineStr">
        <is>
          <t>PITEÅ</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7894-2024</t>
        </is>
      </c>
      <c r="B7885" s="1" t="n">
        <v>45350</v>
      </c>
      <c r="C7885" s="1" t="n">
        <v>45798</v>
      </c>
      <c r="D7885" t="inlineStr">
        <is>
          <t>NORRBOTTENS LÄN</t>
        </is>
      </c>
      <c r="E7885" t="inlineStr">
        <is>
          <t>PITEÅ</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8023-2024</t>
        </is>
      </c>
      <c r="B7886" s="1" t="n">
        <v>45350</v>
      </c>
      <c r="C7886" s="1" t="n">
        <v>45798</v>
      </c>
      <c r="D7886" t="inlineStr">
        <is>
          <t>NORRBOTTENS LÄN</t>
        </is>
      </c>
      <c r="E7886" t="inlineStr">
        <is>
          <t>PITEÅ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8154-2024</t>
        </is>
      </c>
      <c r="B7887" s="1" t="n">
        <v>45351</v>
      </c>
      <c r="C7887" s="1" t="n">
        <v>45798</v>
      </c>
      <c r="D7887" t="inlineStr">
        <is>
          <t>NORRBOTTENS LÄN</t>
        </is>
      </c>
      <c r="E7887" t="inlineStr">
        <is>
          <t>PITEÅ</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8157-2024</t>
        </is>
      </c>
      <c r="B7888" s="1" t="n">
        <v>45351</v>
      </c>
      <c r="C7888" s="1" t="n">
        <v>45798</v>
      </c>
      <c r="D7888" t="inlineStr">
        <is>
          <t>NORRBOTTENS LÄN</t>
        </is>
      </c>
      <c r="E7888" t="inlineStr">
        <is>
          <t>PITEÅ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8073-2024</t>
        </is>
      </c>
      <c r="B7889" s="1" t="n">
        <v>45351</v>
      </c>
      <c r="C7889" s="1" t="n">
        <v>45798</v>
      </c>
      <c r="D7889" t="inlineStr">
        <is>
          <t>NORRBOTTENS LÄN</t>
        </is>
      </c>
      <c r="E7889" t="inlineStr">
        <is>
          <t>JOKKMOKK</t>
        </is>
      </c>
      <c r="G7889" t="n">
        <v>15.6</v>
      </c>
      <c r="H7889" t="n">
        <v>0</v>
      </c>
      <c r="I7889" t="n">
        <v>0</v>
      </c>
      <c r="J7889" t="n">
        <v>0</v>
      </c>
      <c r="K7889" t="n">
        <v>0</v>
      </c>
      <c r="L7889" t="n">
        <v>0</v>
      </c>
      <c r="M7889" t="n">
        <v>0</v>
      </c>
      <c r="N7889" t="n">
        <v>0</v>
      </c>
      <c r="O7889" t="n">
        <v>0</v>
      </c>
      <c r="P7889" t="n">
        <v>0</v>
      </c>
      <c r="Q7889" t="n">
        <v>0</v>
      </c>
      <c r="R7889" s="2" t="inlineStr"/>
    </row>
    <row r="7890" ht="15" customHeight="1">
      <c r="A7890" t="inlineStr">
        <is>
          <t>A 8212-2024</t>
        </is>
      </c>
      <c r="B7890" s="1" t="n">
        <v>45351</v>
      </c>
      <c r="C7890" s="1" t="n">
        <v>45798</v>
      </c>
      <c r="D7890" t="inlineStr">
        <is>
          <t>NORRBOTTENS LÄN</t>
        </is>
      </c>
      <c r="E7890" t="inlineStr">
        <is>
          <t>PAJALA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8228-2024</t>
        </is>
      </c>
      <c r="B7891" s="1" t="n">
        <v>45351</v>
      </c>
      <c r="C7891" s="1" t="n">
        <v>45798</v>
      </c>
      <c r="D7891" t="inlineStr">
        <is>
          <t>NORRBOTTENS LÄN</t>
        </is>
      </c>
      <c r="E7891" t="inlineStr">
        <is>
          <t>LULEÅ</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8232-2024</t>
        </is>
      </c>
      <c r="B7892" s="1" t="n">
        <v>45351</v>
      </c>
      <c r="C7892" s="1" t="n">
        <v>45798</v>
      </c>
      <c r="D7892" t="inlineStr">
        <is>
          <t>NORRBOTTENS LÄN</t>
        </is>
      </c>
      <c r="E7892" t="inlineStr">
        <is>
          <t>BODEN</t>
        </is>
      </c>
      <c r="G7892" t="n">
        <v>16.8</v>
      </c>
      <c r="H7892" t="n">
        <v>0</v>
      </c>
      <c r="I7892" t="n">
        <v>0</v>
      </c>
      <c r="J7892" t="n">
        <v>0</v>
      </c>
      <c r="K7892" t="n">
        <v>0</v>
      </c>
      <c r="L7892" t="n">
        <v>0</v>
      </c>
      <c r="M7892" t="n">
        <v>0</v>
      </c>
      <c r="N7892" t="n">
        <v>0</v>
      </c>
      <c r="O7892" t="n">
        <v>0</v>
      </c>
      <c r="P7892" t="n">
        <v>0</v>
      </c>
      <c r="Q7892" t="n">
        <v>0</v>
      </c>
      <c r="R7892" s="2" t="inlineStr"/>
    </row>
    <row r="7893" ht="15" customHeight="1">
      <c r="A7893" t="inlineStr">
        <is>
          <t>A 8509-2024</t>
        </is>
      </c>
      <c r="B7893" s="1" t="n">
        <v>45351</v>
      </c>
      <c r="C7893" s="1" t="n">
        <v>45798</v>
      </c>
      <c r="D7893" t="inlineStr">
        <is>
          <t>NORRBOTTENS LÄN</t>
        </is>
      </c>
      <c r="E7893" t="inlineStr">
        <is>
          <t>ÖVERTORNEÅ</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8352-2024</t>
        </is>
      </c>
      <c r="B7894" s="1" t="n">
        <v>45351</v>
      </c>
      <c r="C7894" s="1" t="n">
        <v>45798</v>
      </c>
      <c r="D7894" t="inlineStr">
        <is>
          <t>NORRBOTTENS LÄN</t>
        </is>
      </c>
      <c r="E7894" t="inlineStr">
        <is>
          <t>GÄLLIVARE</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8514-2024</t>
        </is>
      </c>
      <c r="B7895" s="1" t="n">
        <v>45351</v>
      </c>
      <c r="C7895" s="1" t="n">
        <v>45798</v>
      </c>
      <c r="D7895" t="inlineStr">
        <is>
          <t>NORRBOTTENS LÄN</t>
        </is>
      </c>
      <c r="E7895" t="inlineStr">
        <is>
          <t>ÖVERTORNEÅ</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8229-2024</t>
        </is>
      </c>
      <c r="B7896" s="1" t="n">
        <v>45351</v>
      </c>
      <c r="C7896" s="1" t="n">
        <v>45798</v>
      </c>
      <c r="D7896" t="inlineStr">
        <is>
          <t>NORRBOTTENS LÄN</t>
        </is>
      </c>
      <c r="E7896" t="inlineStr">
        <is>
          <t>LULEÅ</t>
        </is>
      </c>
      <c r="G7896" t="n">
        <v>14.8</v>
      </c>
      <c r="H7896" t="n">
        <v>0</v>
      </c>
      <c r="I7896" t="n">
        <v>0</v>
      </c>
      <c r="J7896" t="n">
        <v>0</v>
      </c>
      <c r="K7896" t="n">
        <v>0</v>
      </c>
      <c r="L7896" t="n">
        <v>0</v>
      </c>
      <c r="M7896" t="n">
        <v>0</v>
      </c>
      <c r="N7896" t="n">
        <v>0</v>
      </c>
      <c r="O7896" t="n">
        <v>0</v>
      </c>
      <c r="P7896" t="n">
        <v>0</v>
      </c>
      <c r="Q7896" t="n">
        <v>0</v>
      </c>
      <c r="R7896" s="2" t="inlineStr"/>
    </row>
    <row r="7897" ht="15" customHeight="1">
      <c r="A7897" t="inlineStr">
        <is>
          <t>A 8359-2024</t>
        </is>
      </c>
      <c r="B7897" s="1" t="n">
        <v>45351</v>
      </c>
      <c r="C7897" s="1" t="n">
        <v>45798</v>
      </c>
      <c r="D7897" t="inlineStr">
        <is>
          <t>NORRBOTTENS LÄN</t>
        </is>
      </c>
      <c r="E7897" t="inlineStr">
        <is>
          <t>GÄLLIVARE</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8476-2024</t>
        </is>
      </c>
      <c r="B7898" s="1" t="n">
        <v>45351</v>
      </c>
      <c r="C7898" s="1" t="n">
        <v>45798</v>
      </c>
      <c r="D7898" t="inlineStr">
        <is>
          <t>NORRBOTTENS LÄN</t>
        </is>
      </c>
      <c r="E7898" t="inlineStr">
        <is>
          <t>ÖVERTORNEÅ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8508-2024</t>
        </is>
      </c>
      <c r="B7899" s="1" t="n">
        <v>45351</v>
      </c>
      <c r="C7899" s="1" t="n">
        <v>45798</v>
      </c>
      <c r="D7899" t="inlineStr">
        <is>
          <t>NORRBOTTENS LÄN</t>
        </is>
      </c>
      <c r="E7899" t="inlineStr">
        <is>
          <t>ÄLVSBYN</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8517-2024</t>
        </is>
      </c>
      <c r="B7900" s="1" t="n">
        <v>45351</v>
      </c>
      <c r="C7900" s="1" t="n">
        <v>45798</v>
      </c>
      <c r="D7900" t="inlineStr">
        <is>
          <t>NORRBOTTENS LÄN</t>
        </is>
      </c>
      <c r="E7900" t="inlineStr">
        <is>
          <t>ÄLVSBYN</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8553-2024</t>
        </is>
      </c>
      <c r="B7901" s="1" t="n">
        <v>45351</v>
      </c>
      <c r="C7901" s="1" t="n">
        <v>45798</v>
      </c>
      <c r="D7901" t="inlineStr">
        <is>
          <t>NORRBOTTENS LÄN</t>
        </is>
      </c>
      <c r="E7901" t="inlineStr">
        <is>
          <t>PAJALA</t>
        </is>
      </c>
      <c r="G7901" t="n">
        <v>9</v>
      </c>
      <c r="H7901" t="n">
        <v>0</v>
      </c>
      <c r="I7901" t="n">
        <v>0</v>
      </c>
      <c r="J7901" t="n">
        <v>0</v>
      </c>
      <c r="K7901" t="n">
        <v>0</v>
      </c>
      <c r="L7901" t="n">
        <v>0</v>
      </c>
      <c r="M7901" t="n">
        <v>0</v>
      </c>
      <c r="N7901" t="n">
        <v>0</v>
      </c>
      <c r="O7901" t="n">
        <v>0</v>
      </c>
      <c r="P7901" t="n">
        <v>0</v>
      </c>
      <c r="Q7901" t="n">
        <v>0</v>
      </c>
      <c r="R7901" s="2" t="inlineStr"/>
    </row>
    <row r="7902" ht="15" customHeight="1">
      <c r="A7902" t="inlineStr">
        <is>
          <t>A 8348-2024</t>
        </is>
      </c>
      <c r="B7902" s="1" t="n">
        <v>45351</v>
      </c>
      <c r="C7902" s="1" t="n">
        <v>45798</v>
      </c>
      <c r="D7902" t="inlineStr">
        <is>
          <t>NORRBOTTENS LÄN</t>
        </is>
      </c>
      <c r="E7902" t="inlineStr">
        <is>
          <t>GÄLLIVARE</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8530-2024</t>
        </is>
      </c>
      <c r="B7903" s="1" t="n">
        <v>45351</v>
      </c>
      <c r="C7903" s="1" t="n">
        <v>45798</v>
      </c>
      <c r="D7903" t="inlineStr">
        <is>
          <t>NORRBOTTENS LÄN</t>
        </is>
      </c>
      <c r="E7903" t="inlineStr">
        <is>
          <t>PAJALA</t>
        </is>
      </c>
      <c r="G7903" t="n">
        <v>37.9</v>
      </c>
      <c r="H7903" t="n">
        <v>0</v>
      </c>
      <c r="I7903" t="n">
        <v>0</v>
      </c>
      <c r="J7903" t="n">
        <v>0</v>
      </c>
      <c r="K7903" t="n">
        <v>0</v>
      </c>
      <c r="L7903" t="n">
        <v>0</v>
      </c>
      <c r="M7903" t="n">
        <v>0</v>
      </c>
      <c r="N7903" t="n">
        <v>0</v>
      </c>
      <c r="O7903" t="n">
        <v>0</v>
      </c>
      <c r="P7903" t="n">
        <v>0</v>
      </c>
      <c r="Q7903" t="n">
        <v>0</v>
      </c>
      <c r="R7903" s="2" t="inlineStr"/>
    </row>
    <row r="7904" ht="15" customHeight="1">
      <c r="A7904" t="inlineStr">
        <is>
          <t>A 8313-2024</t>
        </is>
      </c>
      <c r="B7904" s="1" t="n">
        <v>45352</v>
      </c>
      <c r="C7904" s="1" t="n">
        <v>45798</v>
      </c>
      <c r="D7904" t="inlineStr">
        <is>
          <t>NORRBOTTENS LÄN</t>
        </is>
      </c>
      <c r="E7904" t="inlineStr">
        <is>
          <t>KALIX</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8296-2024</t>
        </is>
      </c>
      <c r="B7905" s="1" t="n">
        <v>45352</v>
      </c>
      <c r="C7905" s="1" t="n">
        <v>45798</v>
      </c>
      <c r="D7905" t="inlineStr">
        <is>
          <t>NORRBOTTENS LÄN</t>
        </is>
      </c>
      <c r="E7905" t="inlineStr">
        <is>
          <t>PAJALA</t>
        </is>
      </c>
      <c r="G7905" t="n">
        <v>22.2</v>
      </c>
      <c r="H7905" t="n">
        <v>0</v>
      </c>
      <c r="I7905" t="n">
        <v>0</v>
      </c>
      <c r="J7905" t="n">
        <v>0</v>
      </c>
      <c r="K7905" t="n">
        <v>0</v>
      </c>
      <c r="L7905" t="n">
        <v>0</v>
      </c>
      <c r="M7905" t="n">
        <v>0</v>
      </c>
      <c r="N7905" t="n">
        <v>0</v>
      </c>
      <c r="O7905" t="n">
        <v>0</v>
      </c>
      <c r="P7905" t="n">
        <v>0</v>
      </c>
      <c r="Q7905" t="n">
        <v>0</v>
      </c>
      <c r="R7905" s="2" t="inlineStr"/>
    </row>
    <row r="7906" ht="15" customHeight="1">
      <c r="A7906" t="inlineStr">
        <is>
          <t>A 8634-2024</t>
        </is>
      </c>
      <c r="B7906" s="1" t="n">
        <v>45356</v>
      </c>
      <c r="C7906" s="1" t="n">
        <v>45798</v>
      </c>
      <c r="D7906" t="inlineStr">
        <is>
          <t>NORRBOTTENS LÄN</t>
        </is>
      </c>
      <c r="E7906" t="inlineStr">
        <is>
          <t>JOKKMOKK</t>
        </is>
      </c>
      <c r="G7906" t="n">
        <v>17.1</v>
      </c>
      <c r="H7906" t="n">
        <v>0</v>
      </c>
      <c r="I7906" t="n">
        <v>0</v>
      </c>
      <c r="J7906" t="n">
        <v>0</v>
      </c>
      <c r="K7906" t="n">
        <v>0</v>
      </c>
      <c r="L7906" t="n">
        <v>0</v>
      </c>
      <c r="M7906" t="n">
        <v>0</v>
      </c>
      <c r="N7906" t="n">
        <v>0</v>
      </c>
      <c r="O7906" t="n">
        <v>0</v>
      </c>
      <c r="P7906" t="n">
        <v>0</v>
      </c>
      <c r="Q7906" t="n">
        <v>0</v>
      </c>
      <c r="R7906" s="2" t="inlineStr"/>
    </row>
    <row r="7907" ht="15" customHeight="1">
      <c r="A7907" t="inlineStr">
        <is>
          <t>A 8567-2024</t>
        </is>
      </c>
      <c r="B7907" s="1" t="n">
        <v>45355</v>
      </c>
      <c r="C7907" s="1" t="n">
        <v>45798</v>
      </c>
      <c r="D7907" t="inlineStr">
        <is>
          <t>NORRBOTTENS LÄN</t>
        </is>
      </c>
      <c r="E7907" t="inlineStr">
        <is>
          <t>KALIX</t>
        </is>
      </c>
      <c r="G7907" t="n">
        <v>9.1</v>
      </c>
      <c r="H7907" t="n">
        <v>0</v>
      </c>
      <c r="I7907" t="n">
        <v>0</v>
      </c>
      <c r="J7907" t="n">
        <v>0</v>
      </c>
      <c r="K7907" t="n">
        <v>0</v>
      </c>
      <c r="L7907" t="n">
        <v>0</v>
      </c>
      <c r="M7907" t="n">
        <v>0</v>
      </c>
      <c r="N7907" t="n">
        <v>0</v>
      </c>
      <c r="O7907" t="n">
        <v>0</v>
      </c>
      <c r="P7907" t="n">
        <v>0</v>
      </c>
      <c r="Q7907" t="n">
        <v>0</v>
      </c>
      <c r="R7907" s="2" t="inlineStr"/>
    </row>
    <row r="7908" ht="15" customHeight="1">
      <c r="A7908" t="inlineStr">
        <is>
          <t>A 8836-2024</t>
        </is>
      </c>
      <c r="B7908" s="1" t="n">
        <v>45355</v>
      </c>
      <c r="C7908" s="1" t="n">
        <v>45798</v>
      </c>
      <c r="D7908" t="inlineStr">
        <is>
          <t>NORRBOTTENS LÄN</t>
        </is>
      </c>
      <c r="E7908" t="inlineStr">
        <is>
          <t>HAPARANDA</t>
        </is>
      </c>
      <c r="G7908" t="n">
        <v>27.1</v>
      </c>
      <c r="H7908" t="n">
        <v>0</v>
      </c>
      <c r="I7908" t="n">
        <v>0</v>
      </c>
      <c r="J7908" t="n">
        <v>0</v>
      </c>
      <c r="K7908" t="n">
        <v>0</v>
      </c>
      <c r="L7908" t="n">
        <v>0</v>
      </c>
      <c r="M7908" t="n">
        <v>0</v>
      </c>
      <c r="N7908" t="n">
        <v>0</v>
      </c>
      <c r="O7908" t="n">
        <v>0</v>
      </c>
      <c r="P7908" t="n">
        <v>0</v>
      </c>
      <c r="Q7908" t="n">
        <v>0</v>
      </c>
      <c r="R7908" s="2" t="inlineStr"/>
    </row>
    <row r="7909" ht="15" customHeight="1">
      <c r="A7909" t="inlineStr">
        <is>
          <t>A 8638-2024</t>
        </is>
      </c>
      <c r="B7909" s="1" t="n">
        <v>45356</v>
      </c>
      <c r="C7909" s="1" t="n">
        <v>45798</v>
      </c>
      <c r="D7909" t="inlineStr">
        <is>
          <t>NORRBOTTENS LÄN</t>
        </is>
      </c>
      <c r="E7909" t="inlineStr">
        <is>
          <t>ÄLVSBYN</t>
        </is>
      </c>
      <c r="F7909" t="inlineStr">
        <is>
          <t>SCA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8646-2024</t>
        </is>
      </c>
      <c r="B7910" s="1" t="n">
        <v>45356</v>
      </c>
      <c r="C7910" s="1" t="n">
        <v>45798</v>
      </c>
      <c r="D7910" t="inlineStr">
        <is>
          <t>NORRBOTTENS LÄN</t>
        </is>
      </c>
      <c r="E7910" t="inlineStr">
        <is>
          <t>ÄLVSBYN</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8769-2024</t>
        </is>
      </c>
      <c r="B7911" s="1" t="n">
        <v>45356</v>
      </c>
      <c r="C7911" s="1" t="n">
        <v>45798</v>
      </c>
      <c r="D7911" t="inlineStr">
        <is>
          <t>NORRBOTTENS LÄN</t>
        </is>
      </c>
      <c r="E7911" t="inlineStr">
        <is>
          <t>PITEÅ</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8763-2024</t>
        </is>
      </c>
      <c r="B7912" s="1" t="n">
        <v>45356</v>
      </c>
      <c r="C7912" s="1" t="n">
        <v>45798</v>
      </c>
      <c r="D7912" t="inlineStr">
        <is>
          <t>NORRBOTTENS LÄN</t>
        </is>
      </c>
      <c r="E7912" t="inlineStr">
        <is>
          <t>PITEÅ</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8858-2024</t>
        </is>
      </c>
      <c r="B7913" s="1" t="n">
        <v>45356</v>
      </c>
      <c r="C7913" s="1" t="n">
        <v>45798</v>
      </c>
      <c r="D7913" t="inlineStr">
        <is>
          <t>NORRBOTTENS LÄN</t>
        </is>
      </c>
      <c r="E7913" t="inlineStr">
        <is>
          <t>PAJALA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8862-2024</t>
        </is>
      </c>
      <c r="B7914" s="1" t="n">
        <v>45357</v>
      </c>
      <c r="C7914" s="1" t="n">
        <v>45798</v>
      </c>
      <c r="D7914" t="inlineStr">
        <is>
          <t>NORRBOTTENS LÄN</t>
        </is>
      </c>
      <c r="E7914" t="inlineStr">
        <is>
          <t>LULEÅ</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8870-2024</t>
        </is>
      </c>
      <c r="B7915" s="1" t="n">
        <v>45356</v>
      </c>
      <c r="C7915" s="1" t="n">
        <v>45798</v>
      </c>
      <c r="D7915" t="inlineStr">
        <is>
          <t>NORRBOTTENS LÄN</t>
        </is>
      </c>
      <c r="E7915" t="inlineStr">
        <is>
          <t>BODEN</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8875-2024</t>
        </is>
      </c>
      <c r="B7916" s="1" t="n">
        <v>45357</v>
      </c>
      <c r="C7916" s="1" t="n">
        <v>45798</v>
      </c>
      <c r="D7916" t="inlineStr">
        <is>
          <t>NORRBOTTENS LÄN</t>
        </is>
      </c>
      <c r="E7916" t="inlineStr">
        <is>
          <t>PITEÅ</t>
        </is>
      </c>
      <c r="G7916" t="n">
        <v>11.3</v>
      </c>
      <c r="H7916" t="n">
        <v>0</v>
      </c>
      <c r="I7916" t="n">
        <v>0</v>
      </c>
      <c r="J7916" t="n">
        <v>0</v>
      </c>
      <c r="K7916" t="n">
        <v>0</v>
      </c>
      <c r="L7916" t="n">
        <v>0</v>
      </c>
      <c r="M7916" t="n">
        <v>0</v>
      </c>
      <c r="N7916" t="n">
        <v>0</v>
      </c>
      <c r="O7916" t="n">
        <v>0</v>
      </c>
      <c r="P7916" t="n">
        <v>0</v>
      </c>
      <c r="Q7916" t="n">
        <v>0</v>
      </c>
      <c r="R7916" s="2" t="inlineStr"/>
    </row>
    <row r="7917" ht="15" customHeight="1">
      <c r="A7917" t="inlineStr">
        <is>
          <t>A 8855-2024</t>
        </is>
      </c>
      <c r="B7917" s="1" t="n">
        <v>45356</v>
      </c>
      <c r="C7917" s="1" t="n">
        <v>45798</v>
      </c>
      <c r="D7917" t="inlineStr">
        <is>
          <t>NORRBOTTENS LÄN</t>
        </is>
      </c>
      <c r="E7917" t="inlineStr">
        <is>
          <t>PITEÅ</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8859-2024</t>
        </is>
      </c>
      <c r="B7918" s="1" t="n">
        <v>45357</v>
      </c>
      <c r="C7918" s="1" t="n">
        <v>45798</v>
      </c>
      <c r="D7918" t="inlineStr">
        <is>
          <t>NORRBOTTENS LÄN</t>
        </is>
      </c>
      <c r="E7918" t="inlineStr">
        <is>
          <t>PAJALA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8867-2024</t>
        </is>
      </c>
      <c r="B7919" s="1" t="n">
        <v>45357</v>
      </c>
      <c r="C7919" s="1" t="n">
        <v>45798</v>
      </c>
      <c r="D7919" t="inlineStr">
        <is>
          <t>NORRBOTTENS LÄN</t>
        </is>
      </c>
      <c r="E7919" t="inlineStr">
        <is>
          <t>ÄLVSBYN</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8871-2024</t>
        </is>
      </c>
      <c r="B7920" s="1" t="n">
        <v>45356</v>
      </c>
      <c r="C7920" s="1" t="n">
        <v>45798</v>
      </c>
      <c r="D7920" t="inlineStr">
        <is>
          <t>NORRBOTTENS LÄN</t>
        </is>
      </c>
      <c r="E7920" t="inlineStr">
        <is>
          <t>BODEN</t>
        </is>
      </c>
      <c r="G7920" t="n">
        <v>16.1</v>
      </c>
      <c r="H7920" t="n">
        <v>0</v>
      </c>
      <c r="I7920" t="n">
        <v>0</v>
      </c>
      <c r="J7920" t="n">
        <v>0</v>
      </c>
      <c r="K7920" t="n">
        <v>0</v>
      </c>
      <c r="L7920" t="n">
        <v>0</v>
      </c>
      <c r="M7920" t="n">
        <v>0</v>
      </c>
      <c r="N7920" t="n">
        <v>0</v>
      </c>
      <c r="O7920" t="n">
        <v>0</v>
      </c>
      <c r="P7920" t="n">
        <v>0</v>
      </c>
      <c r="Q7920" t="n">
        <v>0</v>
      </c>
      <c r="R7920" s="2" t="inlineStr"/>
    </row>
    <row r="7921" ht="15" customHeight="1">
      <c r="A7921" t="inlineStr">
        <is>
          <t>A 9011-2024</t>
        </is>
      </c>
      <c r="B7921" s="1" t="n">
        <v>45356</v>
      </c>
      <c r="C7921" s="1" t="n">
        <v>45798</v>
      </c>
      <c r="D7921" t="inlineStr">
        <is>
          <t>NORRBOTTENS LÄN</t>
        </is>
      </c>
      <c r="E7921" t="inlineStr">
        <is>
          <t>PITEÅ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8782-2024</t>
        </is>
      </c>
      <c r="B7922" s="1" t="n">
        <v>45356</v>
      </c>
      <c r="C7922" s="1" t="n">
        <v>45798</v>
      </c>
      <c r="D7922" t="inlineStr">
        <is>
          <t>NORRBOTTENS LÄN</t>
        </is>
      </c>
      <c r="E7922" t="inlineStr">
        <is>
          <t>BODEN</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8869-2024</t>
        </is>
      </c>
      <c r="B7923" s="1" t="n">
        <v>45357</v>
      </c>
      <c r="C7923" s="1" t="n">
        <v>45798</v>
      </c>
      <c r="D7923" t="inlineStr">
        <is>
          <t>NORRBOTTENS LÄN</t>
        </is>
      </c>
      <c r="E7923" t="inlineStr">
        <is>
          <t>BODEN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8873-2024</t>
        </is>
      </c>
      <c r="B7924" s="1" t="n">
        <v>45356</v>
      </c>
      <c r="C7924" s="1" t="n">
        <v>45798</v>
      </c>
      <c r="D7924" t="inlineStr">
        <is>
          <t>NORRBOTTENS LÄN</t>
        </is>
      </c>
      <c r="E7924" t="inlineStr">
        <is>
          <t>BODEN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9004-2024</t>
        </is>
      </c>
      <c r="B7925" s="1" t="n">
        <v>45356</v>
      </c>
      <c r="C7925" s="1" t="n">
        <v>45798</v>
      </c>
      <c r="D7925" t="inlineStr">
        <is>
          <t>NORRBOTTENS LÄN</t>
        </is>
      </c>
      <c r="E7925" t="inlineStr">
        <is>
          <t>PITEÅ</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9017-2024</t>
        </is>
      </c>
      <c r="B7926" s="1" t="n">
        <v>45356</v>
      </c>
      <c r="C7926" s="1" t="n">
        <v>45798</v>
      </c>
      <c r="D7926" t="inlineStr">
        <is>
          <t>NORRBOTTENS LÄN</t>
        </is>
      </c>
      <c r="E7926" t="inlineStr">
        <is>
          <t>ÄLVSBYN</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9041-2024</t>
        </is>
      </c>
      <c r="B7927" s="1" t="n">
        <v>45356</v>
      </c>
      <c r="C7927" s="1" t="n">
        <v>45798</v>
      </c>
      <c r="D7927" t="inlineStr">
        <is>
          <t>NORRBOTTENS LÄN</t>
        </is>
      </c>
      <c r="E7927" t="inlineStr">
        <is>
          <t>PITEÅ</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8868-2024</t>
        </is>
      </c>
      <c r="B7928" s="1" t="n">
        <v>45357</v>
      </c>
      <c r="C7928" s="1" t="n">
        <v>45798</v>
      </c>
      <c r="D7928" t="inlineStr">
        <is>
          <t>NORRBOTTENS LÄN</t>
        </is>
      </c>
      <c r="E7928" t="inlineStr">
        <is>
          <t>BODEN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8872-2024</t>
        </is>
      </c>
      <c r="B7929" s="1" t="n">
        <v>45356</v>
      </c>
      <c r="C7929" s="1" t="n">
        <v>45798</v>
      </c>
      <c r="D7929" t="inlineStr">
        <is>
          <t>NORRBOTTENS LÄN</t>
        </is>
      </c>
      <c r="E7929" t="inlineStr">
        <is>
          <t>BODEN</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9000-2024</t>
        </is>
      </c>
      <c r="B7930" s="1" t="n">
        <v>45356</v>
      </c>
      <c r="C7930" s="1" t="n">
        <v>45798</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9022-2024</t>
        </is>
      </c>
      <c r="B7931" s="1" t="n">
        <v>45356</v>
      </c>
      <c r="C7931" s="1" t="n">
        <v>45798</v>
      </c>
      <c r="D7931" t="inlineStr">
        <is>
          <t>NORRBOTTENS LÄN</t>
        </is>
      </c>
      <c r="E7931" t="inlineStr">
        <is>
          <t>ÄLVSBYN</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9010-2024</t>
        </is>
      </c>
      <c r="B7932" s="1" t="n">
        <v>45357</v>
      </c>
      <c r="C7932" s="1" t="n">
        <v>45798</v>
      </c>
      <c r="D7932" t="inlineStr">
        <is>
          <t>NORRBOTTENS LÄN</t>
        </is>
      </c>
      <c r="E7932" t="inlineStr">
        <is>
          <t>HAPARANDA</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8937-2024</t>
        </is>
      </c>
      <c r="B7933" s="1" t="n">
        <v>45357</v>
      </c>
      <c r="C7933" s="1" t="n">
        <v>45798</v>
      </c>
      <c r="D7933" t="inlineStr">
        <is>
          <t>NORRBOTTENS LÄN</t>
        </is>
      </c>
      <c r="E7933" t="inlineStr">
        <is>
          <t>GÄLLIVARE</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9104-2024</t>
        </is>
      </c>
      <c r="B7934" s="1" t="n">
        <v>45357</v>
      </c>
      <c r="C7934" s="1" t="n">
        <v>45798</v>
      </c>
      <c r="D7934" t="inlineStr">
        <is>
          <t>NORRBOTTENS LÄN</t>
        </is>
      </c>
      <c r="E7934" t="inlineStr">
        <is>
          <t>LULEÅ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9112-2024</t>
        </is>
      </c>
      <c r="B7935" s="1" t="n">
        <v>45358</v>
      </c>
      <c r="C7935" s="1" t="n">
        <v>45798</v>
      </c>
      <c r="D7935" t="inlineStr">
        <is>
          <t>NORRBOTTENS LÄN</t>
        </is>
      </c>
      <c r="E7935" t="inlineStr">
        <is>
          <t>PITEÅ</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9166-2024</t>
        </is>
      </c>
      <c r="B7936" s="1" t="n">
        <v>45358</v>
      </c>
      <c r="C7936" s="1" t="n">
        <v>45798</v>
      </c>
      <c r="D7936" t="inlineStr">
        <is>
          <t>NORRBOTTENS LÄN</t>
        </is>
      </c>
      <c r="E7936" t="inlineStr">
        <is>
          <t>LULEÅ</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9318-2024</t>
        </is>
      </c>
      <c r="B7937" s="1" t="n">
        <v>45358</v>
      </c>
      <c r="C7937" s="1" t="n">
        <v>45798</v>
      </c>
      <c r="D7937" t="inlineStr">
        <is>
          <t>NORRBOTTENS LÄN</t>
        </is>
      </c>
      <c r="E7937" t="inlineStr">
        <is>
          <t>BODEN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9322-2024</t>
        </is>
      </c>
      <c r="B7938" s="1" t="n">
        <v>45358</v>
      </c>
      <c r="C7938" s="1" t="n">
        <v>45798</v>
      </c>
      <c r="D7938" t="inlineStr">
        <is>
          <t>NORRBOTTENS LÄN</t>
        </is>
      </c>
      <c r="E7938" t="inlineStr">
        <is>
          <t>BODEN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9319-2024</t>
        </is>
      </c>
      <c r="B7939" s="1" t="n">
        <v>45358</v>
      </c>
      <c r="C7939" s="1" t="n">
        <v>45798</v>
      </c>
      <c r="D7939" t="inlineStr">
        <is>
          <t>NORRBOTTENS LÄN</t>
        </is>
      </c>
      <c r="E7939" t="inlineStr">
        <is>
          <t>BODEN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9320-2024</t>
        </is>
      </c>
      <c r="B7940" s="1" t="n">
        <v>45358</v>
      </c>
      <c r="C7940" s="1" t="n">
        <v>45798</v>
      </c>
      <c r="D7940" t="inlineStr">
        <is>
          <t>NORRBOTTENS LÄN</t>
        </is>
      </c>
      <c r="E7940" t="inlineStr">
        <is>
          <t>BODEN</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9321-2024</t>
        </is>
      </c>
      <c r="B7941" s="1" t="n">
        <v>45358</v>
      </c>
      <c r="C7941" s="1" t="n">
        <v>45798</v>
      </c>
      <c r="D7941" t="inlineStr">
        <is>
          <t>NORRBOTTENS LÄN</t>
        </is>
      </c>
      <c r="E7941" t="inlineStr">
        <is>
          <t>BODEN</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9518-2024</t>
        </is>
      </c>
      <c r="B7942" s="1" t="n">
        <v>45359</v>
      </c>
      <c r="C7942" s="1" t="n">
        <v>45798</v>
      </c>
      <c r="D7942" t="inlineStr">
        <is>
          <t>NORRBOTTENS LÄN</t>
        </is>
      </c>
      <c r="E7942" t="inlineStr">
        <is>
          <t>HAPARANDA</t>
        </is>
      </c>
      <c r="G7942" t="n">
        <v>8.199999999999999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9488-2024</t>
        </is>
      </c>
      <c r="B7943" s="1" t="n">
        <v>45359</v>
      </c>
      <c r="C7943" s="1" t="n">
        <v>45798</v>
      </c>
      <c r="D7943" t="inlineStr">
        <is>
          <t>NORRBOTTENS LÄN</t>
        </is>
      </c>
      <c r="E7943" t="inlineStr">
        <is>
          <t>HAPARANDA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9501-2024</t>
        </is>
      </c>
      <c r="B7944" s="1" t="n">
        <v>45359</v>
      </c>
      <c r="C7944" s="1" t="n">
        <v>45798</v>
      </c>
      <c r="D7944" t="inlineStr">
        <is>
          <t>NORRBOTTENS LÄN</t>
        </is>
      </c>
      <c r="E7944" t="inlineStr">
        <is>
          <t>HAPARANDA</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9398-2024</t>
        </is>
      </c>
      <c r="B7945" s="1" t="n">
        <v>45359</v>
      </c>
      <c r="C7945" s="1" t="n">
        <v>45798</v>
      </c>
      <c r="D7945" t="inlineStr">
        <is>
          <t>NORRBOTTENS LÄN</t>
        </is>
      </c>
      <c r="E7945" t="inlineStr">
        <is>
          <t>HAPARANDA</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9585-2024</t>
        </is>
      </c>
      <c r="B7946" s="1" t="n">
        <v>45360</v>
      </c>
      <c r="C7946" s="1" t="n">
        <v>45798</v>
      </c>
      <c r="D7946" t="inlineStr">
        <is>
          <t>NORRBOTTENS LÄN</t>
        </is>
      </c>
      <c r="E7946" t="inlineStr">
        <is>
          <t>PAJALA</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9605-2024</t>
        </is>
      </c>
      <c r="B7947" s="1" t="n">
        <v>45361</v>
      </c>
      <c r="C7947" s="1" t="n">
        <v>45798</v>
      </c>
      <c r="D7947" t="inlineStr">
        <is>
          <t>NORRBOTTENS LÄN</t>
        </is>
      </c>
      <c r="E7947" t="inlineStr">
        <is>
          <t>KIRUNA</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9621-2024</t>
        </is>
      </c>
      <c r="B7948" s="1" t="n">
        <v>45361</v>
      </c>
      <c r="C7948" s="1" t="n">
        <v>45798</v>
      </c>
      <c r="D7948" t="inlineStr">
        <is>
          <t>NORRBOTTENS LÄN</t>
        </is>
      </c>
      <c r="E7948" t="inlineStr">
        <is>
          <t>ARVIDSJAUR</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9700-2024</t>
        </is>
      </c>
      <c r="B7949" s="1" t="n">
        <v>45362</v>
      </c>
      <c r="C7949" s="1" t="n">
        <v>45798</v>
      </c>
      <c r="D7949" t="inlineStr">
        <is>
          <t>NORRBOTTENS LÄN</t>
        </is>
      </c>
      <c r="E7949" t="inlineStr">
        <is>
          <t>PAJALA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9650-2024</t>
        </is>
      </c>
      <c r="B7950" s="1" t="n">
        <v>45362</v>
      </c>
      <c r="C7950" s="1" t="n">
        <v>45798</v>
      </c>
      <c r="D7950" t="inlineStr">
        <is>
          <t>NORRBOTTENS LÄN</t>
        </is>
      </c>
      <c r="E7950" t="inlineStr">
        <is>
          <t>GÄLLIVARE</t>
        </is>
      </c>
      <c r="F7950" t="inlineStr">
        <is>
          <t>Sveaskog</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9655-2024</t>
        </is>
      </c>
      <c r="B7951" s="1" t="n">
        <v>45362</v>
      </c>
      <c r="C7951" s="1" t="n">
        <v>45798</v>
      </c>
      <c r="D7951" t="inlineStr">
        <is>
          <t>NORRBOTTENS LÄN</t>
        </is>
      </c>
      <c r="E7951" t="inlineStr">
        <is>
          <t>GÄLLIVARE</t>
        </is>
      </c>
      <c r="F7951" t="inlineStr">
        <is>
          <t>Sveaskog</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9776-2024</t>
        </is>
      </c>
      <c r="B7952" s="1" t="n">
        <v>45362</v>
      </c>
      <c r="C7952" s="1" t="n">
        <v>45798</v>
      </c>
      <c r="D7952" t="inlineStr">
        <is>
          <t>NORRBOTTENS LÄN</t>
        </is>
      </c>
      <c r="E7952" t="inlineStr">
        <is>
          <t>LULEÅ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9838-2024</t>
        </is>
      </c>
      <c r="B7953" s="1" t="n">
        <v>45362</v>
      </c>
      <c r="C7953" s="1" t="n">
        <v>45798</v>
      </c>
      <c r="D7953" t="inlineStr">
        <is>
          <t>NORRBOTTENS LÄN</t>
        </is>
      </c>
      <c r="E7953" t="inlineStr">
        <is>
          <t>PAJALA</t>
        </is>
      </c>
      <c r="F7953" t="inlineStr">
        <is>
          <t>Allmännings- och besparingsskogar</t>
        </is>
      </c>
      <c r="G7953" t="n">
        <v>22.5</v>
      </c>
      <c r="H7953" t="n">
        <v>0</v>
      </c>
      <c r="I7953" t="n">
        <v>0</v>
      </c>
      <c r="J7953" t="n">
        <v>0</v>
      </c>
      <c r="K7953" t="n">
        <v>0</v>
      </c>
      <c r="L7953" t="n">
        <v>0</v>
      </c>
      <c r="M7953" t="n">
        <v>0</v>
      </c>
      <c r="N7953" t="n">
        <v>0</v>
      </c>
      <c r="O7953" t="n">
        <v>0</v>
      </c>
      <c r="P7953" t="n">
        <v>0</v>
      </c>
      <c r="Q7953" t="n">
        <v>0</v>
      </c>
      <c r="R7953" s="2" t="inlineStr"/>
    </row>
    <row r="7954" ht="15" customHeight="1">
      <c r="A7954" t="inlineStr">
        <is>
          <t>A 9840-2024</t>
        </is>
      </c>
      <c r="B7954" s="1" t="n">
        <v>45362</v>
      </c>
      <c r="C7954" s="1" t="n">
        <v>45798</v>
      </c>
      <c r="D7954" t="inlineStr">
        <is>
          <t>NORRBOTTENS LÄN</t>
        </is>
      </c>
      <c r="E7954" t="inlineStr">
        <is>
          <t>ARJEPLOG</t>
        </is>
      </c>
      <c r="G7954" t="n">
        <v>12.9</v>
      </c>
      <c r="H7954" t="n">
        <v>0</v>
      </c>
      <c r="I7954" t="n">
        <v>0</v>
      </c>
      <c r="J7954" t="n">
        <v>0</v>
      </c>
      <c r="K7954" t="n">
        <v>0</v>
      </c>
      <c r="L7954" t="n">
        <v>0</v>
      </c>
      <c r="M7954" t="n">
        <v>0</v>
      </c>
      <c r="N7954" t="n">
        <v>0</v>
      </c>
      <c r="O7954" t="n">
        <v>0</v>
      </c>
      <c r="P7954" t="n">
        <v>0</v>
      </c>
      <c r="Q7954" t="n">
        <v>0</v>
      </c>
      <c r="R7954" s="2" t="inlineStr"/>
    </row>
    <row r="7955" ht="15" customHeight="1">
      <c r="A7955" t="inlineStr">
        <is>
          <t>A 9849-2024</t>
        </is>
      </c>
      <c r="B7955" s="1" t="n">
        <v>45363</v>
      </c>
      <c r="C7955" s="1" t="n">
        <v>45798</v>
      </c>
      <c r="D7955" t="inlineStr">
        <is>
          <t>NORRBOTTENS LÄN</t>
        </is>
      </c>
      <c r="E7955" t="inlineStr">
        <is>
          <t>ÖVERKALIX</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9861-2024</t>
        </is>
      </c>
      <c r="B7956" s="1" t="n">
        <v>45363</v>
      </c>
      <c r="C7956" s="1" t="n">
        <v>45798</v>
      </c>
      <c r="D7956" t="inlineStr">
        <is>
          <t>NORRBOTTENS LÄN</t>
        </is>
      </c>
      <c r="E7956" t="inlineStr">
        <is>
          <t>ÖVERKALIX</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9882-2024</t>
        </is>
      </c>
      <c r="B7957" s="1" t="n">
        <v>45363</v>
      </c>
      <c r="C7957" s="1" t="n">
        <v>45798</v>
      </c>
      <c r="D7957" t="inlineStr">
        <is>
          <t>NORRBOTTENS LÄN</t>
        </is>
      </c>
      <c r="E7957" t="inlineStr">
        <is>
          <t>PAJALA</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9887-2024</t>
        </is>
      </c>
      <c r="B7958" s="1" t="n">
        <v>45363</v>
      </c>
      <c r="C7958" s="1" t="n">
        <v>45798</v>
      </c>
      <c r="D7958" t="inlineStr">
        <is>
          <t>NORRBOTTENS LÄN</t>
        </is>
      </c>
      <c r="E7958" t="inlineStr">
        <is>
          <t>KALIX</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9833-2024</t>
        </is>
      </c>
      <c r="B7959" s="1" t="n">
        <v>45363</v>
      </c>
      <c r="C7959" s="1" t="n">
        <v>45798</v>
      </c>
      <c r="D7959" t="inlineStr">
        <is>
          <t>NORRBOTTENS LÄN</t>
        </is>
      </c>
      <c r="E7959" t="inlineStr">
        <is>
          <t>PITEÅ</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9860-2024</t>
        </is>
      </c>
      <c r="B7960" s="1" t="n">
        <v>45363</v>
      </c>
      <c r="C7960" s="1" t="n">
        <v>45798</v>
      </c>
      <c r="D7960" t="inlineStr">
        <is>
          <t>NORRBOTTENS LÄN</t>
        </is>
      </c>
      <c r="E7960" t="inlineStr">
        <is>
          <t>ÖVERKALIX</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10021-2024</t>
        </is>
      </c>
      <c r="B7961" s="1" t="n">
        <v>45364</v>
      </c>
      <c r="C7961" s="1" t="n">
        <v>45798</v>
      </c>
      <c r="D7961" t="inlineStr">
        <is>
          <t>NORRBOTTENS LÄN</t>
        </is>
      </c>
      <c r="E7961" t="inlineStr">
        <is>
          <t>PITEÅ</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10022-2024</t>
        </is>
      </c>
      <c r="B7962" s="1" t="n">
        <v>45364</v>
      </c>
      <c r="C7962" s="1" t="n">
        <v>45798</v>
      </c>
      <c r="D7962" t="inlineStr">
        <is>
          <t>NORRBOTTENS LÄN</t>
        </is>
      </c>
      <c r="E7962" t="inlineStr">
        <is>
          <t>PITEÅ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10057-2024</t>
        </is>
      </c>
      <c r="B7963" s="1" t="n">
        <v>45364</v>
      </c>
      <c r="C7963" s="1" t="n">
        <v>45798</v>
      </c>
      <c r="D7963" t="inlineStr">
        <is>
          <t>NORRBOTTENS LÄN</t>
        </is>
      </c>
      <c r="E7963" t="inlineStr">
        <is>
          <t>PITEÅ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10130-2024</t>
        </is>
      </c>
      <c r="B7964" s="1" t="n">
        <v>45364</v>
      </c>
      <c r="C7964" s="1" t="n">
        <v>45798</v>
      </c>
      <c r="D7964" t="inlineStr">
        <is>
          <t>NORRBOTTENS LÄN</t>
        </is>
      </c>
      <c r="E7964" t="inlineStr">
        <is>
          <t>ARVIDSJAUR</t>
        </is>
      </c>
      <c r="F7964" t="inlineStr">
        <is>
          <t>Sveaskog</t>
        </is>
      </c>
      <c r="G7964" t="n">
        <v>22.5</v>
      </c>
      <c r="H7964" t="n">
        <v>0</v>
      </c>
      <c r="I7964" t="n">
        <v>0</v>
      </c>
      <c r="J7964" t="n">
        <v>0</v>
      </c>
      <c r="K7964" t="n">
        <v>0</v>
      </c>
      <c r="L7964" t="n">
        <v>0</v>
      </c>
      <c r="M7964" t="n">
        <v>0</v>
      </c>
      <c r="N7964" t="n">
        <v>0</v>
      </c>
      <c r="O7964" t="n">
        <v>0</v>
      </c>
      <c r="P7964" t="n">
        <v>0</v>
      </c>
      <c r="Q7964" t="n">
        <v>0</v>
      </c>
      <c r="R7964" s="2" t="inlineStr"/>
    </row>
    <row r="7965" ht="15" customHeight="1">
      <c r="A7965" t="inlineStr">
        <is>
          <t>A 10126-2024</t>
        </is>
      </c>
      <c r="B7965" s="1" t="n">
        <v>45364</v>
      </c>
      <c r="C7965" s="1" t="n">
        <v>45798</v>
      </c>
      <c r="D7965" t="inlineStr">
        <is>
          <t>NORRBOTTENS LÄN</t>
        </is>
      </c>
      <c r="E7965" t="inlineStr">
        <is>
          <t>ARVIDSJAUR</t>
        </is>
      </c>
      <c r="F7965" t="inlineStr">
        <is>
          <t>Sveaskog</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10071-2024</t>
        </is>
      </c>
      <c r="B7966" s="1" t="n">
        <v>45364</v>
      </c>
      <c r="C7966" s="1" t="n">
        <v>45798</v>
      </c>
      <c r="D7966" t="inlineStr">
        <is>
          <t>NORRBOTTENS LÄN</t>
        </is>
      </c>
      <c r="E7966" t="inlineStr">
        <is>
          <t>KALIX</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10040-2024</t>
        </is>
      </c>
      <c r="B7967" s="1" t="n">
        <v>45364</v>
      </c>
      <c r="C7967" s="1" t="n">
        <v>45798</v>
      </c>
      <c r="D7967" t="inlineStr">
        <is>
          <t>NORRBOTTENS LÄN</t>
        </is>
      </c>
      <c r="E7967" t="inlineStr">
        <is>
          <t>ÄLVSBYN</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10192-2024</t>
        </is>
      </c>
      <c r="B7968" s="1" t="n">
        <v>45364</v>
      </c>
      <c r="C7968" s="1" t="n">
        <v>45798</v>
      </c>
      <c r="D7968" t="inlineStr">
        <is>
          <t>NORRBOTTENS LÄN</t>
        </is>
      </c>
      <c r="E7968" t="inlineStr">
        <is>
          <t>ÖVERTORNEÅ</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10193-2024</t>
        </is>
      </c>
      <c r="B7969" s="1" t="n">
        <v>45364</v>
      </c>
      <c r="C7969" s="1" t="n">
        <v>45798</v>
      </c>
      <c r="D7969" t="inlineStr">
        <is>
          <t>NORRBOTTENS LÄN</t>
        </is>
      </c>
      <c r="E7969" t="inlineStr">
        <is>
          <t>ÖVERTORNEÅ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10206-2024</t>
        </is>
      </c>
      <c r="B7970" s="1" t="n">
        <v>45364</v>
      </c>
      <c r="C7970" s="1" t="n">
        <v>45798</v>
      </c>
      <c r="D7970" t="inlineStr">
        <is>
          <t>NORRBOTTENS LÄN</t>
        </is>
      </c>
      <c r="E7970" t="inlineStr">
        <is>
          <t>ÄLVSBYN</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10219-2024</t>
        </is>
      </c>
      <c r="B7971" s="1" t="n">
        <v>45364</v>
      </c>
      <c r="C7971" s="1" t="n">
        <v>45798</v>
      </c>
      <c r="D7971" t="inlineStr">
        <is>
          <t>NORRBOTTENS LÄN</t>
        </is>
      </c>
      <c r="E7971" t="inlineStr">
        <is>
          <t>GÄLLIVARE</t>
        </is>
      </c>
      <c r="F7971" t="inlineStr">
        <is>
          <t>SCA</t>
        </is>
      </c>
      <c r="G7971" t="n">
        <v>16.5</v>
      </c>
      <c r="H7971" t="n">
        <v>0</v>
      </c>
      <c r="I7971" t="n">
        <v>0</v>
      </c>
      <c r="J7971" t="n">
        <v>0</v>
      </c>
      <c r="K7971" t="n">
        <v>0</v>
      </c>
      <c r="L7971" t="n">
        <v>0</v>
      </c>
      <c r="M7971" t="n">
        <v>0</v>
      </c>
      <c r="N7971" t="n">
        <v>0</v>
      </c>
      <c r="O7971" t="n">
        <v>0</v>
      </c>
      <c r="P7971" t="n">
        <v>0</v>
      </c>
      <c r="Q7971" t="n">
        <v>0</v>
      </c>
      <c r="R7971" s="2" t="inlineStr"/>
    </row>
    <row r="7972" ht="15" customHeight="1">
      <c r="A7972" t="inlineStr">
        <is>
          <t>A 10249-2024</t>
        </is>
      </c>
      <c r="B7972" s="1" t="n">
        <v>45365</v>
      </c>
      <c r="C7972" s="1" t="n">
        <v>45798</v>
      </c>
      <c r="D7972" t="inlineStr">
        <is>
          <t>NORRBOTTENS LÄN</t>
        </is>
      </c>
      <c r="E7972" t="inlineStr">
        <is>
          <t>ÄLVSBYN</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10243-2024</t>
        </is>
      </c>
      <c r="B7973" s="1" t="n">
        <v>45365</v>
      </c>
      <c r="C7973" s="1" t="n">
        <v>45798</v>
      </c>
      <c r="D7973" t="inlineStr">
        <is>
          <t>NORRBOTTENS LÄN</t>
        </is>
      </c>
      <c r="E7973" t="inlineStr">
        <is>
          <t>ARVIDSJAUR</t>
        </is>
      </c>
      <c r="F7973" t="inlineStr">
        <is>
          <t>Sveaskog</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10418-2024</t>
        </is>
      </c>
      <c r="B7974" s="1" t="n">
        <v>45365</v>
      </c>
      <c r="C7974" s="1" t="n">
        <v>45798</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10434-2024</t>
        </is>
      </c>
      <c r="B7975" s="1" t="n">
        <v>45365</v>
      </c>
      <c r="C7975" s="1" t="n">
        <v>45798</v>
      </c>
      <c r="D7975" t="inlineStr">
        <is>
          <t>NORRBOTTENS LÄN</t>
        </is>
      </c>
      <c r="E7975" t="inlineStr">
        <is>
          <t>ÄLVSBYN</t>
        </is>
      </c>
      <c r="G7975" t="n">
        <v>15.1</v>
      </c>
      <c r="H7975" t="n">
        <v>0</v>
      </c>
      <c r="I7975" t="n">
        <v>0</v>
      </c>
      <c r="J7975" t="n">
        <v>0</v>
      </c>
      <c r="K7975" t="n">
        <v>0</v>
      </c>
      <c r="L7975" t="n">
        <v>0</v>
      </c>
      <c r="M7975" t="n">
        <v>0</v>
      </c>
      <c r="N7975" t="n">
        <v>0</v>
      </c>
      <c r="O7975" t="n">
        <v>0</v>
      </c>
      <c r="P7975" t="n">
        <v>0</v>
      </c>
      <c r="Q7975" t="n">
        <v>0</v>
      </c>
      <c r="R7975" s="2" t="inlineStr"/>
    </row>
    <row r="7976" ht="15" customHeight="1">
      <c r="A7976" t="inlineStr">
        <is>
          <t>A 10421-2024</t>
        </is>
      </c>
      <c r="B7976" s="1" t="n">
        <v>45365</v>
      </c>
      <c r="C7976" s="1" t="n">
        <v>45798</v>
      </c>
      <c r="D7976" t="inlineStr">
        <is>
          <t>NORRBOTTENS LÄN</t>
        </is>
      </c>
      <c r="E7976" t="inlineStr">
        <is>
          <t>LULEÅ</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10538-2024</t>
        </is>
      </c>
      <c r="B7977" s="1" t="n">
        <v>45366</v>
      </c>
      <c r="C7977" s="1" t="n">
        <v>45798</v>
      </c>
      <c r="D7977" t="inlineStr">
        <is>
          <t>NORRBOTTENS LÄN</t>
        </is>
      </c>
      <c r="E7977" t="inlineStr">
        <is>
          <t>ARVIDSJAUR</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10608-2024</t>
        </is>
      </c>
      <c r="B7978" s="1" t="n">
        <v>45367</v>
      </c>
      <c r="C7978" s="1" t="n">
        <v>45798</v>
      </c>
      <c r="D7978" t="inlineStr">
        <is>
          <t>NORRBOTTENS LÄN</t>
        </is>
      </c>
      <c r="E7978" t="inlineStr">
        <is>
          <t>PITEÅ</t>
        </is>
      </c>
      <c r="F7978" t="inlineStr">
        <is>
          <t>SCA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10628-2024</t>
        </is>
      </c>
      <c r="B7979" s="1" t="n">
        <v>45367</v>
      </c>
      <c r="C7979" s="1" t="n">
        <v>45798</v>
      </c>
      <c r="D7979" t="inlineStr">
        <is>
          <t>NORRBOTTENS LÄN</t>
        </is>
      </c>
      <c r="E7979" t="inlineStr">
        <is>
          <t>PITEÅ</t>
        </is>
      </c>
      <c r="F7979" t="inlineStr">
        <is>
          <t>SCA</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10627-2024</t>
        </is>
      </c>
      <c r="B7980" s="1" t="n">
        <v>45367</v>
      </c>
      <c r="C7980" s="1" t="n">
        <v>45798</v>
      </c>
      <c r="D7980" t="inlineStr">
        <is>
          <t>NORRBOTTENS LÄN</t>
        </is>
      </c>
      <c r="E7980" t="inlineStr">
        <is>
          <t>PITEÅ</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10735-2024</t>
        </is>
      </c>
      <c r="B7981" s="1" t="n">
        <v>45369</v>
      </c>
      <c r="C7981" s="1" t="n">
        <v>45798</v>
      </c>
      <c r="D7981" t="inlineStr">
        <is>
          <t>NORRBOTTENS LÄN</t>
        </is>
      </c>
      <c r="E7981" t="inlineStr">
        <is>
          <t>HAPARANDA</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10801-2024</t>
        </is>
      </c>
      <c r="B7982" s="1" t="n">
        <v>45369</v>
      </c>
      <c r="C7982" s="1" t="n">
        <v>45798</v>
      </c>
      <c r="D7982" t="inlineStr">
        <is>
          <t>NORRBOTTENS LÄN</t>
        </is>
      </c>
      <c r="E7982" t="inlineStr">
        <is>
          <t>PAJALA</t>
        </is>
      </c>
      <c r="F7982" t="inlineStr">
        <is>
          <t>Allmännings- och besparingsskogar</t>
        </is>
      </c>
      <c r="G7982" t="n">
        <v>16.6</v>
      </c>
      <c r="H7982" t="n">
        <v>0</v>
      </c>
      <c r="I7982" t="n">
        <v>0</v>
      </c>
      <c r="J7982" t="n">
        <v>0</v>
      </c>
      <c r="K7982" t="n">
        <v>0</v>
      </c>
      <c r="L7982" t="n">
        <v>0</v>
      </c>
      <c r="M7982" t="n">
        <v>0</v>
      </c>
      <c r="N7982" t="n">
        <v>0</v>
      </c>
      <c r="O7982" t="n">
        <v>0</v>
      </c>
      <c r="P7982" t="n">
        <v>0</v>
      </c>
      <c r="Q7982" t="n">
        <v>0</v>
      </c>
      <c r="R7982" s="2" t="inlineStr"/>
    </row>
    <row r="7983" ht="15" customHeight="1">
      <c r="A7983" t="inlineStr">
        <is>
          <t>A 10793-2024</t>
        </is>
      </c>
      <c r="B7983" s="1" t="n">
        <v>45369</v>
      </c>
      <c r="C7983" s="1" t="n">
        <v>45798</v>
      </c>
      <c r="D7983" t="inlineStr">
        <is>
          <t>NORRBOTTENS LÄN</t>
        </is>
      </c>
      <c r="E7983" t="inlineStr">
        <is>
          <t>LULEÅ</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10746-2024</t>
        </is>
      </c>
      <c r="B7984" s="1" t="n">
        <v>45369</v>
      </c>
      <c r="C7984" s="1" t="n">
        <v>45798</v>
      </c>
      <c r="D7984" t="inlineStr">
        <is>
          <t>NORRBOTTENS LÄN</t>
        </is>
      </c>
      <c r="E7984" t="inlineStr">
        <is>
          <t>KALIX</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10815-2024</t>
        </is>
      </c>
      <c r="B7985" s="1" t="n">
        <v>45369</v>
      </c>
      <c r="C7985" s="1" t="n">
        <v>45798</v>
      </c>
      <c r="D7985" t="inlineStr">
        <is>
          <t>NORRBOTTENS LÄN</t>
        </is>
      </c>
      <c r="E7985" t="inlineStr">
        <is>
          <t>LULEÅ</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10730-2024</t>
        </is>
      </c>
      <c r="B7986" s="1" t="n">
        <v>45369</v>
      </c>
      <c r="C7986" s="1" t="n">
        <v>45798</v>
      </c>
      <c r="D7986" t="inlineStr">
        <is>
          <t>NORRBOTTENS LÄN</t>
        </is>
      </c>
      <c r="E7986" t="inlineStr">
        <is>
          <t>BODEN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10846-2024</t>
        </is>
      </c>
      <c r="B7987" s="1" t="n">
        <v>45369</v>
      </c>
      <c r="C7987" s="1" t="n">
        <v>45798</v>
      </c>
      <c r="D7987" t="inlineStr">
        <is>
          <t>NORRBOTTENS LÄN</t>
        </is>
      </c>
      <c r="E7987" t="inlineStr">
        <is>
          <t>ARVIDSJAUR</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10845-2024</t>
        </is>
      </c>
      <c r="B7988" s="1" t="n">
        <v>45369</v>
      </c>
      <c r="C7988" s="1" t="n">
        <v>45798</v>
      </c>
      <c r="D7988" t="inlineStr">
        <is>
          <t>NORRBOTTENS LÄN</t>
        </is>
      </c>
      <c r="E7988" t="inlineStr">
        <is>
          <t>ARVIDSJAUR</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10790-2024</t>
        </is>
      </c>
      <c r="B7989" s="1" t="n">
        <v>45369</v>
      </c>
      <c r="C7989" s="1" t="n">
        <v>45798</v>
      </c>
      <c r="D7989" t="inlineStr">
        <is>
          <t>NORRBOTTENS LÄN</t>
        </is>
      </c>
      <c r="E7989" t="inlineStr">
        <is>
          <t>PAJALA</t>
        </is>
      </c>
      <c r="F7989" t="inlineStr">
        <is>
          <t>Allmännings- och besparingsskogar</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10757-2024</t>
        </is>
      </c>
      <c r="B7990" s="1" t="n">
        <v>45369</v>
      </c>
      <c r="C7990" s="1" t="n">
        <v>45798</v>
      </c>
      <c r="D7990" t="inlineStr">
        <is>
          <t>NORRBOTTENS LÄN</t>
        </is>
      </c>
      <c r="E7990" t="inlineStr">
        <is>
          <t>PAJALA</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10753-2024</t>
        </is>
      </c>
      <c r="B7991" s="1" t="n">
        <v>45369</v>
      </c>
      <c r="C7991" s="1" t="n">
        <v>45798</v>
      </c>
      <c r="D7991" t="inlineStr">
        <is>
          <t>NORRBOTTENS LÄN</t>
        </is>
      </c>
      <c r="E7991" t="inlineStr">
        <is>
          <t>ÖVERTORNEÅ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10848-2024</t>
        </is>
      </c>
      <c r="B7992" s="1" t="n">
        <v>45369</v>
      </c>
      <c r="C7992" s="1" t="n">
        <v>45798</v>
      </c>
      <c r="D7992" t="inlineStr">
        <is>
          <t>NORRBOTTENS LÄN</t>
        </is>
      </c>
      <c r="E7992" t="inlineStr">
        <is>
          <t>ARVIDSJAUR</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10871-2024</t>
        </is>
      </c>
      <c r="B7993" s="1" t="n">
        <v>45370</v>
      </c>
      <c r="C7993" s="1" t="n">
        <v>45798</v>
      </c>
      <c r="D7993" t="inlineStr">
        <is>
          <t>NORRBOTTENS LÄN</t>
        </is>
      </c>
      <c r="E7993" t="inlineStr">
        <is>
          <t>ÄLVSBYN</t>
        </is>
      </c>
      <c r="F7993" t="inlineStr">
        <is>
          <t>SCA</t>
        </is>
      </c>
      <c r="G7993" t="n">
        <v>11.5</v>
      </c>
      <c r="H7993" t="n">
        <v>0</v>
      </c>
      <c r="I7993" t="n">
        <v>0</v>
      </c>
      <c r="J7993" t="n">
        <v>0</v>
      </c>
      <c r="K7993" t="n">
        <v>0</v>
      </c>
      <c r="L7993" t="n">
        <v>0</v>
      </c>
      <c r="M7993" t="n">
        <v>0</v>
      </c>
      <c r="N7993" t="n">
        <v>0</v>
      </c>
      <c r="O7993" t="n">
        <v>0</v>
      </c>
      <c r="P7993" t="n">
        <v>0</v>
      </c>
      <c r="Q7993" t="n">
        <v>0</v>
      </c>
      <c r="R7993" s="2" t="inlineStr"/>
    </row>
    <row r="7994" ht="15" customHeight="1">
      <c r="A7994" t="inlineStr">
        <is>
          <t>A 10921-2024</t>
        </is>
      </c>
      <c r="B7994" s="1" t="n">
        <v>45370</v>
      </c>
      <c r="C7994" s="1" t="n">
        <v>45798</v>
      </c>
      <c r="D7994" t="inlineStr">
        <is>
          <t>NORRBOTTENS LÄN</t>
        </is>
      </c>
      <c r="E7994" t="inlineStr">
        <is>
          <t>BODEN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11018-2024</t>
        </is>
      </c>
      <c r="B7995" s="1" t="n">
        <v>45370</v>
      </c>
      <c r="C7995" s="1" t="n">
        <v>45798</v>
      </c>
      <c r="D7995" t="inlineStr">
        <is>
          <t>NORRBOTTENS LÄN</t>
        </is>
      </c>
      <c r="E7995" t="inlineStr">
        <is>
          <t>PITEÅ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11080-2024</t>
        </is>
      </c>
      <c r="B7996" s="1" t="n">
        <v>45370</v>
      </c>
      <c r="C7996" s="1" t="n">
        <v>45798</v>
      </c>
      <c r="D7996" t="inlineStr">
        <is>
          <t>NORRBOTTENS LÄN</t>
        </is>
      </c>
      <c r="E7996" t="inlineStr">
        <is>
          <t>PAJALA</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11265-2024</t>
        </is>
      </c>
      <c r="B7997" s="1" t="n">
        <v>45371</v>
      </c>
      <c r="C7997" s="1" t="n">
        <v>45798</v>
      </c>
      <c r="D7997" t="inlineStr">
        <is>
          <t>NORRBOTTENS LÄN</t>
        </is>
      </c>
      <c r="E7997" t="inlineStr">
        <is>
          <t>PAJALA</t>
        </is>
      </c>
      <c r="F7997" t="inlineStr">
        <is>
          <t>Allmännings- och besparingsskogar</t>
        </is>
      </c>
      <c r="G7997" t="n">
        <v>9.800000000000001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11294-2024</t>
        </is>
      </c>
      <c r="B7998" s="1" t="n">
        <v>45371</v>
      </c>
      <c r="C7998" s="1" t="n">
        <v>45798</v>
      </c>
      <c r="D7998" t="inlineStr">
        <is>
          <t>NORRBOTTENS LÄN</t>
        </is>
      </c>
      <c r="E7998" t="inlineStr">
        <is>
          <t>LULEÅ</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11120-2024</t>
        </is>
      </c>
      <c r="B7999" s="1" t="n">
        <v>45371</v>
      </c>
      <c r="C7999" s="1" t="n">
        <v>45798</v>
      </c>
      <c r="D7999" t="inlineStr">
        <is>
          <t>NORRBOTTENS LÄN</t>
        </is>
      </c>
      <c r="E7999" t="inlineStr">
        <is>
          <t>PAJALA</t>
        </is>
      </c>
      <c r="F7999" t="inlineStr">
        <is>
          <t>Allmännings- och besparingsskogar</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11128-2024</t>
        </is>
      </c>
      <c r="B8000" s="1" t="n">
        <v>45371</v>
      </c>
      <c r="C8000" s="1" t="n">
        <v>45798</v>
      </c>
      <c r="D8000" t="inlineStr">
        <is>
          <t>NORRBOTTENS LÄN</t>
        </is>
      </c>
      <c r="E8000" t="inlineStr">
        <is>
          <t>PITEÅ</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11329-2024</t>
        </is>
      </c>
      <c r="B8001" s="1" t="n">
        <v>45372</v>
      </c>
      <c r="C8001" s="1" t="n">
        <v>45798</v>
      </c>
      <c r="D8001" t="inlineStr">
        <is>
          <t>NORRBOTTENS LÄN</t>
        </is>
      </c>
      <c r="E8001" t="inlineStr">
        <is>
          <t>ÖVERKALIX</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11370-2024</t>
        </is>
      </c>
      <c r="B8002" s="1" t="n">
        <v>45372</v>
      </c>
      <c r="C8002" s="1" t="n">
        <v>45798</v>
      </c>
      <c r="D8002" t="inlineStr">
        <is>
          <t>NORRBOTTENS LÄN</t>
        </is>
      </c>
      <c r="E8002" t="inlineStr">
        <is>
          <t>HAPARANDA</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11335-2024</t>
        </is>
      </c>
      <c r="B8003" s="1" t="n">
        <v>45372</v>
      </c>
      <c r="C8003" s="1" t="n">
        <v>45798</v>
      </c>
      <c r="D8003" t="inlineStr">
        <is>
          <t>NORRBOTTENS LÄN</t>
        </is>
      </c>
      <c r="E8003" t="inlineStr">
        <is>
          <t>GÄLLIVARE</t>
        </is>
      </c>
      <c r="F8003" t="inlineStr">
        <is>
          <t>SCA</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11347-2024</t>
        </is>
      </c>
      <c r="B8004" s="1" t="n">
        <v>45372</v>
      </c>
      <c r="C8004" s="1" t="n">
        <v>45798</v>
      </c>
      <c r="D8004" t="inlineStr">
        <is>
          <t>NORRBOTTENS LÄN</t>
        </is>
      </c>
      <c r="E8004" t="inlineStr">
        <is>
          <t>JOKKMOKK</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11348-2024</t>
        </is>
      </c>
      <c r="B8005" s="1" t="n">
        <v>45372</v>
      </c>
      <c r="C8005" s="1" t="n">
        <v>45798</v>
      </c>
      <c r="D8005" t="inlineStr">
        <is>
          <t>NORRBOTTENS LÄN</t>
        </is>
      </c>
      <c r="E8005" t="inlineStr">
        <is>
          <t>JOKKMOKK</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11377-2024</t>
        </is>
      </c>
      <c r="B8006" s="1" t="n">
        <v>45372</v>
      </c>
      <c r="C8006" s="1" t="n">
        <v>45798</v>
      </c>
      <c r="D8006" t="inlineStr">
        <is>
          <t>NORRBOTTENS LÄN</t>
        </is>
      </c>
      <c r="E8006" t="inlineStr">
        <is>
          <t>HAPARANDA</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11501-2024</t>
        </is>
      </c>
      <c r="B8007" s="1" t="n">
        <v>45372</v>
      </c>
      <c r="C8007" s="1" t="n">
        <v>45798</v>
      </c>
      <c r="D8007" t="inlineStr">
        <is>
          <t>NORRBOTTENS LÄN</t>
        </is>
      </c>
      <c r="E8007" t="inlineStr">
        <is>
          <t>PAJALA</t>
        </is>
      </c>
      <c r="F8007" t="inlineStr">
        <is>
          <t>Allmännings- och besparingsskogar</t>
        </is>
      </c>
      <c r="G8007" t="n">
        <v>55.8</v>
      </c>
      <c r="H8007" t="n">
        <v>0</v>
      </c>
      <c r="I8007" t="n">
        <v>0</v>
      </c>
      <c r="J8007" t="n">
        <v>0</v>
      </c>
      <c r="K8007" t="n">
        <v>0</v>
      </c>
      <c r="L8007" t="n">
        <v>0</v>
      </c>
      <c r="M8007" t="n">
        <v>0</v>
      </c>
      <c r="N8007" t="n">
        <v>0</v>
      </c>
      <c r="O8007" t="n">
        <v>0</v>
      </c>
      <c r="P8007" t="n">
        <v>0</v>
      </c>
      <c r="Q8007" t="n">
        <v>0</v>
      </c>
      <c r="R8007" s="2" t="inlineStr"/>
    </row>
    <row r="8008" ht="15" customHeight="1">
      <c r="A8008" t="inlineStr">
        <is>
          <t>A 11535-2024</t>
        </is>
      </c>
      <c r="B8008" s="1" t="n">
        <v>45372</v>
      </c>
      <c r="C8008" s="1" t="n">
        <v>45798</v>
      </c>
      <c r="D8008" t="inlineStr">
        <is>
          <t>NORRBOTTENS LÄN</t>
        </is>
      </c>
      <c r="E8008" t="inlineStr">
        <is>
          <t>ÖVERKALIX</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11534-2024</t>
        </is>
      </c>
      <c r="B8009" s="1" t="n">
        <v>45372</v>
      </c>
      <c r="C8009" s="1" t="n">
        <v>45798</v>
      </c>
      <c r="D8009" t="inlineStr">
        <is>
          <t>NORRBOTTENS LÄN</t>
        </is>
      </c>
      <c r="E8009" t="inlineStr">
        <is>
          <t>BODEN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11554-2024</t>
        </is>
      </c>
      <c r="B8010" s="1" t="n">
        <v>45373</v>
      </c>
      <c r="C8010" s="1" t="n">
        <v>45798</v>
      </c>
      <c r="D8010" t="inlineStr">
        <is>
          <t>NORRBOTTENS LÄN</t>
        </is>
      </c>
      <c r="E8010" t="inlineStr">
        <is>
          <t>BODEN</t>
        </is>
      </c>
      <c r="F8010" t="inlineStr">
        <is>
          <t>SCA</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11769-2024</t>
        </is>
      </c>
      <c r="B8011" s="1" t="n">
        <v>45373</v>
      </c>
      <c r="C8011" s="1" t="n">
        <v>45798</v>
      </c>
      <c r="D8011" t="inlineStr">
        <is>
          <t>NORRBOTTENS LÄN</t>
        </is>
      </c>
      <c r="E8011" t="inlineStr">
        <is>
          <t>BODEN</t>
        </is>
      </c>
      <c r="F8011" t="inlineStr">
        <is>
          <t>SCA</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11866-2024</t>
        </is>
      </c>
      <c r="B8012" s="1" t="n">
        <v>45373</v>
      </c>
      <c r="C8012" s="1" t="n">
        <v>45798</v>
      </c>
      <c r="D8012" t="inlineStr">
        <is>
          <t>NORRBOTTENS LÄN</t>
        </is>
      </c>
      <c r="E8012" t="inlineStr">
        <is>
          <t>BODEN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11654-2024</t>
        </is>
      </c>
      <c r="B8013" s="1" t="n">
        <v>45373</v>
      </c>
      <c r="C8013" s="1" t="n">
        <v>45798</v>
      </c>
      <c r="D8013" t="inlineStr">
        <is>
          <t>NORRBOTTENS LÄN</t>
        </is>
      </c>
      <c r="E8013" t="inlineStr">
        <is>
          <t>ÄLVSBYN</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11745-2024</t>
        </is>
      </c>
      <c r="B8014" s="1" t="n">
        <v>45373</v>
      </c>
      <c r="C8014" s="1" t="n">
        <v>45798</v>
      </c>
      <c r="D8014" t="inlineStr">
        <is>
          <t>NORRBOTTENS LÄN</t>
        </is>
      </c>
      <c r="E8014" t="inlineStr">
        <is>
          <t>LULEÅ</t>
        </is>
      </c>
      <c r="G8014" t="n">
        <v>13.1</v>
      </c>
      <c r="H8014" t="n">
        <v>0</v>
      </c>
      <c r="I8014" t="n">
        <v>0</v>
      </c>
      <c r="J8014" t="n">
        <v>0</v>
      </c>
      <c r="K8014" t="n">
        <v>0</v>
      </c>
      <c r="L8014" t="n">
        <v>0</v>
      </c>
      <c r="M8014" t="n">
        <v>0</v>
      </c>
      <c r="N8014" t="n">
        <v>0</v>
      </c>
      <c r="O8014" t="n">
        <v>0</v>
      </c>
      <c r="P8014" t="n">
        <v>0</v>
      </c>
      <c r="Q8014" t="n">
        <v>0</v>
      </c>
      <c r="R8014" s="2" t="inlineStr"/>
    </row>
    <row r="8015" ht="15" customHeight="1">
      <c r="A8015" t="inlineStr">
        <is>
          <t>A 11655-2024</t>
        </is>
      </c>
      <c r="B8015" s="1" t="n">
        <v>45373</v>
      </c>
      <c r="C8015" s="1" t="n">
        <v>45798</v>
      </c>
      <c r="D8015" t="inlineStr">
        <is>
          <t>NORRBOTTENS LÄN</t>
        </is>
      </c>
      <c r="E8015" t="inlineStr">
        <is>
          <t>JOKKMOKK</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11657-2024</t>
        </is>
      </c>
      <c r="B8016" s="1" t="n">
        <v>45373</v>
      </c>
      <c r="C8016" s="1" t="n">
        <v>45798</v>
      </c>
      <c r="D8016" t="inlineStr">
        <is>
          <t>NORRBOTTENS LÄN</t>
        </is>
      </c>
      <c r="E8016" t="inlineStr">
        <is>
          <t>JOKKMOKK</t>
        </is>
      </c>
      <c r="G8016" t="n">
        <v>14.3</v>
      </c>
      <c r="H8016" t="n">
        <v>0</v>
      </c>
      <c r="I8016" t="n">
        <v>0</v>
      </c>
      <c r="J8016" t="n">
        <v>0</v>
      </c>
      <c r="K8016" t="n">
        <v>0</v>
      </c>
      <c r="L8016" t="n">
        <v>0</v>
      </c>
      <c r="M8016" t="n">
        <v>0</v>
      </c>
      <c r="N8016" t="n">
        <v>0</v>
      </c>
      <c r="O8016" t="n">
        <v>0</v>
      </c>
      <c r="P8016" t="n">
        <v>0</v>
      </c>
      <c r="Q8016" t="n">
        <v>0</v>
      </c>
      <c r="R8016" s="2" t="inlineStr"/>
    </row>
    <row r="8017" ht="15" customHeight="1">
      <c r="A8017" t="inlineStr">
        <is>
          <t>A 11679-2024</t>
        </is>
      </c>
      <c r="B8017" s="1" t="n">
        <v>45373</v>
      </c>
      <c r="C8017" s="1" t="n">
        <v>45798</v>
      </c>
      <c r="D8017" t="inlineStr">
        <is>
          <t>NORRBOTTENS LÄN</t>
        </is>
      </c>
      <c r="E8017" t="inlineStr">
        <is>
          <t>PAJALA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11725-2024</t>
        </is>
      </c>
      <c r="B8018" s="1" t="n">
        <v>45373</v>
      </c>
      <c r="C8018" s="1" t="n">
        <v>45798</v>
      </c>
      <c r="D8018" t="inlineStr">
        <is>
          <t>NORRBOTTENS LÄN</t>
        </is>
      </c>
      <c r="E8018" t="inlineStr">
        <is>
          <t>BODEN</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11774-2024</t>
        </is>
      </c>
      <c r="B8019" s="1" t="n">
        <v>45374</v>
      </c>
      <c r="C8019" s="1" t="n">
        <v>45798</v>
      </c>
      <c r="D8019" t="inlineStr">
        <is>
          <t>NORRBOTTENS LÄN</t>
        </is>
      </c>
      <c r="E8019" t="inlineStr">
        <is>
          <t>PITEÅ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11775-2024</t>
        </is>
      </c>
      <c r="B8020" s="1" t="n">
        <v>45374</v>
      </c>
      <c r="C8020" s="1" t="n">
        <v>45798</v>
      </c>
      <c r="D8020" t="inlineStr">
        <is>
          <t>NORRBOTTENS LÄN</t>
        </is>
      </c>
      <c r="E8020" t="inlineStr">
        <is>
          <t>PITEÅ</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11809-2024</t>
        </is>
      </c>
      <c r="B8021" s="1" t="n">
        <v>45375</v>
      </c>
      <c r="C8021" s="1" t="n">
        <v>45798</v>
      </c>
      <c r="D8021" t="inlineStr">
        <is>
          <t>NORRBOTTENS LÄN</t>
        </is>
      </c>
      <c r="E8021" t="inlineStr">
        <is>
          <t>PITEÅ</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11844-2024</t>
        </is>
      </c>
      <c r="B8022" s="1" t="n">
        <v>45376</v>
      </c>
      <c r="C8022" s="1" t="n">
        <v>45798</v>
      </c>
      <c r="D8022" t="inlineStr">
        <is>
          <t>NORRBOTTENS LÄN</t>
        </is>
      </c>
      <c r="E8022" t="inlineStr">
        <is>
          <t>PITEÅ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11930-2024</t>
        </is>
      </c>
      <c r="B8023" s="1" t="n">
        <v>45376</v>
      </c>
      <c r="C8023" s="1" t="n">
        <v>45798</v>
      </c>
      <c r="D8023" t="inlineStr">
        <is>
          <t>NORRBOTTENS LÄN</t>
        </is>
      </c>
      <c r="E8023" t="inlineStr">
        <is>
          <t>KALIX</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11858-2024</t>
        </is>
      </c>
      <c r="B8024" s="1" t="n">
        <v>45376</v>
      </c>
      <c r="C8024" s="1" t="n">
        <v>45798</v>
      </c>
      <c r="D8024" t="inlineStr">
        <is>
          <t>NORRBOTTENS LÄN</t>
        </is>
      </c>
      <c r="E8024" t="inlineStr">
        <is>
          <t>BODEN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11965-2024</t>
        </is>
      </c>
      <c r="B8025" s="1" t="n">
        <v>45376</v>
      </c>
      <c r="C8025" s="1" t="n">
        <v>45798</v>
      </c>
      <c r="D8025" t="inlineStr">
        <is>
          <t>NORRBOTTENS LÄN</t>
        </is>
      </c>
      <c r="E8025" t="inlineStr">
        <is>
          <t>BODEN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11969-2024</t>
        </is>
      </c>
      <c r="B8026" s="1" t="n">
        <v>45376</v>
      </c>
      <c r="C8026" s="1" t="n">
        <v>45798</v>
      </c>
      <c r="D8026" t="inlineStr">
        <is>
          <t>NORRBOTTENS LÄN</t>
        </is>
      </c>
      <c r="E8026" t="inlineStr">
        <is>
          <t>ÖVERTORNEÅ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11967-2024</t>
        </is>
      </c>
      <c r="B8027" s="1" t="n">
        <v>45376</v>
      </c>
      <c r="C8027" s="1" t="n">
        <v>45798</v>
      </c>
      <c r="D8027" t="inlineStr">
        <is>
          <t>NORRBOTTENS LÄN</t>
        </is>
      </c>
      <c r="E8027" t="inlineStr">
        <is>
          <t>ÖVERTORNEÅ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11971-2024</t>
        </is>
      </c>
      <c r="B8028" s="1" t="n">
        <v>45376</v>
      </c>
      <c r="C8028" s="1" t="n">
        <v>45798</v>
      </c>
      <c r="D8028" t="inlineStr">
        <is>
          <t>NORRBOTTENS LÄN</t>
        </is>
      </c>
      <c r="E8028" t="inlineStr">
        <is>
          <t>PITEÅ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11839-2024</t>
        </is>
      </c>
      <c r="B8029" s="1" t="n">
        <v>45376</v>
      </c>
      <c r="C8029" s="1" t="n">
        <v>45798</v>
      </c>
      <c r="D8029" t="inlineStr">
        <is>
          <t>NORRBOTTENS LÄN</t>
        </is>
      </c>
      <c r="E8029" t="inlineStr">
        <is>
          <t>KALIX</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11964-2024</t>
        </is>
      </c>
      <c r="B8030" s="1" t="n">
        <v>45376</v>
      </c>
      <c r="C8030" s="1" t="n">
        <v>45798</v>
      </c>
      <c r="D8030" t="inlineStr">
        <is>
          <t>NORRBOTTENS LÄN</t>
        </is>
      </c>
      <c r="E8030" t="inlineStr">
        <is>
          <t>PITEÅ</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11968-2024</t>
        </is>
      </c>
      <c r="B8031" s="1" t="n">
        <v>45376</v>
      </c>
      <c r="C8031" s="1" t="n">
        <v>45798</v>
      </c>
      <c r="D8031" t="inlineStr">
        <is>
          <t>NORRBOTTENS LÄN</t>
        </is>
      </c>
      <c r="E8031" t="inlineStr">
        <is>
          <t>ÖVERTORNEÅ</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11972-2024</t>
        </is>
      </c>
      <c r="B8032" s="1" t="n">
        <v>45376</v>
      </c>
      <c r="C8032" s="1" t="n">
        <v>45798</v>
      </c>
      <c r="D8032" t="inlineStr">
        <is>
          <t>NORRBOTTENS LÄN</t>
        </is>
      </c>
      <c r="E8032" t="inlineStr">
        <is>
          <t>ÖVERTORNEÅ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11966-2024</t>
        </is>
      </c>
      <c r="B8033" s="1" t="n">
        <v>45376</v>
      </c>
      <c r="C8033" s="1" t="n">
        <v>45798</v>
      </c>
      <c r="D8033" t="inlineStr">
        <is>
          <t>NORRBOTTENS LÄN</t>
        </is>
      </c>
      <c r="E8033" t="inlineStr">
        <is>
          <t>PITEÅ</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11970-2024</t>
        </is>
      </c>
      <c r="B8034" s="1" t="n">
        <v>45376</v>
      </c>
      <c r="C8034" s="1" t="n">
        <v>45798</v>
      </c>
      <c r="D8034" t="inlineStr">
        <is>
          <t>NORRBOTTENS LÄN</t>
        </is>
      </c>
      <c r="E8034" t="inlineStr">
        <is>
          <t>PITEÅ</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12062-2024</t>
        </is>
      </c>
      <c r="B8035" s="1" t="n">
        <v>45376</v>
      </c>
      <c r="C8035" s="1" t="n">
        <v>45798</v>
      </c>
      <c r="D8035" t="inlineStr">
        <is>
          <t>NORRBOTTENS LÄN</t>
        </is>
      </c>
      <c r="E8035" t="inlineStr">
        <is>
          <t>ARVIDSJAUR</t>
        </is>
      </c>
      <c r="F8035" t="inlineStr">
        <is>
          <t>Allmännings- och besparingsskogar</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12177-2024</t>
        </is>
      </c>
      <c r="B8036" s="1" t="n">
        <v>45377</v>
      </c>
      <c r="C8036" s="1" t="n">
        <v>45798</v>
      </c>
      <c r="D8036" t="inlineStr">
        <is>
          <t>NORRBOTTENS LÄN</t>
        </is>
      </c>
      <c r="E8036" t="inlineStr">
        <is>
          <t>ÖVERKALIX</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12181-2024</t>
        </is>
      </c>
      <c r="B8037" s="1" t="n">
        <v>45377</v>
      </c>
      <c r="C8037" s="1" t="n">
        <v>45798</v>
      </c>
      <c r="D8037" t="inlineStr">
        <is>
          <t>NORRBOTTENS LÄN</t>
        </is>
      </c>
      <c r="E8037" t="inlineStr">
        <is>
          <t>ÖVERKALIX</t>
        </is>
      </c>
      <c r="F8037" t="inlineStr">
        <is>
          <t>SCA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12164-2024</t>
        </is>
      </c>
      <c r="B8038" s="1" t="n">
        <v>45377</v>
      </c>
      <c r="C8038" s="1" t="n">
        <v>45798</v>
      </c>
      <c r="D8038" t="inlineStr">
        <is>
          <t>NORRBOTTENS LÄN</t>
        </is>
      </c>
      <c r="E8038" t="inlineStr">
        <is>
          <t>ÖVERTORNEÅ</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12180-2024</t>
        </is>
      </c>
      <c r="B8039" s="1" t="n">
        <v>45377</v>
      </c>
      <c r="C8039" s="1" t="n">
        <v>45798</v>
      </c>
      <c r="D8039" t="inlineStr">
        <is>
          <t>NORRBOTTENS LÄN</t>
        </is>
      </c>
      <c r="E8039" t="inlineStr">
        <is>
          <t>ÖVERKALIX</t>
        </is>
      </c>
      <c r="F8039" t="inlineStr">
        <is>
          <t>SCA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12205-2024</t>
        </is>
      </c>
      <c r="B8040" s="1" t="n">
        <v>45377</v>
      </c>
      <c r="C8040" s="1" t="n">
        <v>45798</v>
      </c>
      <c r="D8040" t="inlineStr">
        <is>
          <t>NORRBOTTENS LÄN</t>
        </is>
      </c>
      <c r="E8040" t="inlineStr">
        <is>
          <t>LULEÅ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12202-2024</t>
        </is>
      </c>
      <c r="B8041" s="1" t="n">
        <v>45377</v>
      </c>
      <c r="C8041" s="1" t="n">
        <v>45798</v>
      </c>
      <c r="D8041" t="inlineStr">
        <is>
          <t>NORRBOTTENS LÄN</t>
        </is>
      </c>
      <c r="E8041" t="inlineStr">
        <is>
          <t>GÄLLIVARE</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12163-2024</t>
        </is>
      </c>
      <c r="B8042" s="1" t="n">
        <v>45377</v>
      </c>
      <c r="C8042" s="1" t="n">
        <v>45798</v>
      </c>
      <c r="D8042" t="inlineStr">
        <is>
          <t>NORRBOTTENS LÄN</t>
        </is>
      </c>
      <c r="E8042" t="inlineStr">
        <is>
          <t>ÖVERTORNEÅ</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11998-2024</t>
        </is>
      </c>
      <c r="B8043" s="1" t="n">
        <v>45377</v>
      </c>
      <c r="C8043" s="1" t="n">
        <v>45798</v>
      </c>
      <c r="D8043" t="inlineStr">
        <is>
          <t>NORRBOTTENS LÄN</t>
        </is>
      </c>
      <c r="E8043" t="inlineStr">
        <is>
          <t>PITEÅ</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12222-2024</t>
        </is>
      </c>
      <c r="B8044" s="1" t="n">
        <v>45378</v>
      </c>
      <c r="C8044" s="1" t="n">
        <v>45798</v>
      </c>
      <c r="D8044" t="inlineStr">
        <is>
          <t>NORRBOTTENS LÄN</t>
        </is>
      </c>
      <c r="E8044" t="inlineStr">
        <is>
          <t>GÄLLIVARE</t>
        </is>
      </c>
      <c r="F8044" t="inlineStr">
        <is>
          <t>Sveaskog</t>
        </is>
      </c>
      <c r="G8044" t="n">
        <v>40.8</v>
      </c>
      <c r="H8044" t="n">
        <v>0</v>
      </c>
      <c r="I8044" t="n">
        <v>0</v>
      </c>
      <c r="J8044" t="n">
        <v>0</v>
      </c>
      <c r="K8044" t="n">
        <v>0</v>
      </c>
      <c r="L8044" t="n">
        <v>0</v>
      </c>
      <c r="M8044" t="n">
        <v>0</v>
      </c>
      <c r="N8044" t="n">
        <v>0</v>
      </c>
      <c r="O8044" t="n">
        <v>0</v>
      </c>
      <c r="P8044" t="n">
        <v>0</v>
      </c>
      <c r="Q8044" t="n">
        <v>0</v>
      </c>
      <c r="R8044" s="2" t="inlineStr"/>
    </row>
    <row r="8045" ht="15" customHeight="1">
      <c r="A8045" t="inlineStr">
        <is>
          <t>A 12291-2024</t>
        </is>
      </c>
      <c r="B8045" s="1" t="n">
        <v>45378</v>
      </c>
      <c r="C8045" s="1" t="n">
        <v>45798</v>
      </c>
      <c r="D8045" t="inlineStr">
        <is>
          <t>NORRBOTTENS LÄN</t>
        </is>
      </c>
      <c r="E8045" t="inlineStr">
        <is>
          <t>KALIX</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12332-2024</t>
        </is>
      </c>
      <c r="B8046" s="1" t="n">
        <v>45378</v>
      </c>
      <c r="C8046" s="1" t="n">
        <v>45798</v>
      </c>
      <c r="D8046" t="inlineStr">
        <is>
          <t>NORRBOTTENS LÄN</t>
        </is>
      </c>
      <c r="E8046" t="inlineStr">
        <is>
          <t>LULEÅ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12282-2024</t>
        </is>
      </c>
      <c r="B8047" s="1" t="n">
        <v>45378</v>
      </c>
      <c r="C8047" s="1" t="n">
        <v>45798</v>
      </c>
      <c r="D8047" t="inlineStr">
        <is>
          <t>NORRBOTTENS LÄN</t>
        </is>
      </c>
      <c r="E8047" t="inlineStr">
        <is>
          <t>LULEÅ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12442-2024</t>
        </is>
      </c>
      <c r="B8048" s="1" t="n">
        <v>45378</v>
      </c>
      <c r="C8048" s="1" t="n">
        <v>45798</v>
      </c>
      <c r="D8048" t="inlineStr">
        <is>
          <t>NORRBOTTENS LÄN</t>
        </is>
      </c>
      <c r="E8048" t="inlineStr">
        <is>
          <t>LULEÅ</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12557-2024</t>
        </is>
      </c>
      <c r="B8049" s="1" t="n">
        <v>45379</v>
      </c>
      <c r="C8049" s="1" t="n">
        <v>45798</v>
      </c>
      <c r="D8049" t="inlineStr">
        <is>
          <t>NORRBOTTENS LÄN</t>
        </is>
      </c>
      <c r="E8049" t="inlineStr">
        <is>
          <t>BODEN</t>
        </is>
      </c>
      <c r="G8049" t="n">
        <v>14.2</v>
      </c>
      <c r="H8049" t="n">
        <v>0</v>
      </c>
      <c r="I8049" t="n">
        <v>0</v>
      </c>
      <c r="J8049" t="n">
        <v>0</v>
      </c>
      <c r="K8049" t="n">
        <v>0</v>
      </c>
      <c r="L8049" t="n">
        <v>0</v>
      </c>
      <c r="M8049" t="n">
        <v>0</v>
      </c>
      <c r="N8049" t="n">
        <v>0</v>
      </c>
      <c r="O8049" t="n">
        <v>0</v>
      </c>
      <c r="P8049" t="n">
        <v>0</v>
      </c>
      <c r="Q8049" t="n">
        <v>0</v>
      </c>
      <c r="R8049" s="2" t="inlineStr"/>
    </row>
    <row r="8050" ht="15" customHeight="1">
      <c r="A8050" t="inlineStr">
        <is>
          <t>A 12573-2024</t>
        </is>
      </c>
      <c r="B8050" s="1" t="n">
        <v>45379</v>
      </c>
      <c r="C8050" s="1" t="n">
        <v>45798</v>
      </c>
      <c r="D8050" t="inlineStr">
        <is>
          <t>NORRBOTTENS LÄN</t>
        </is>
      </c>
      <c r="E8050" t="inlineStr">
        <is>
          <t>PITEÅ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12510-2024</t>
        </is>
      </c>
      <c r="B8051" s="1" t="n">
        <v>45379</v>
      </c>
      <c r="C8051" s="1" t="n">
        <v>45798</v>
      </c>
      <c r="D8051" t="inlineStr">
        <is>
          <t>NORRBOTTENS LÄN</t>
        </is>
      </c>
      <c r="E8051" t="inlineStr">
        <is>
          <t>GÄLLIVARE</t>
        </is>
      </c>
      <c r="F8051" t="inlineStr">
        <is>
          <t>Sveaskog</t>
        </is>
      </c>
      <c r="G8051" t="n">
        <v>15.4</v>
      </c>
      <c r="H8051" t="n">
        <v>0</v>
      </c>
      <c r="I8051" t="n">
        <v>0</v>
      </c>
      <c r="J8051" t="n">
        <v>0</v>
      </c>
      <c r="K8051" t="n">
        <v>0</v>
      </c>
      <c r="L8051" t="n">
        <v>0</v>
      </c>
      <c r="M8051" t="n">
        <v>0</v>
      </c>
      <c r="N8051" t="n">
        <v>0</v>
      </c>
      <c r="O8051" t="n">
        <v>0</v>
      </c>
      <c r="P8051" t="n">
        <v>0</v>
      </c>
      <c r="Q8051" t="n">
        <v>0</v>
      </c>
      <c r="R8051" s="2" t="inlineStr"/>
    </row>
    <row r="8052" ht="15" customHeight="1">
      <c r="A8052" t="inlineStr">
        <is>
          <t>A 12554-2024</t>
        </is>
      </c>
      <c r="B8052" s="1" t="n">
        <v>45379</v>
      </c>
      <c r="C8052" s="1" t="n">
        <v>45798</v>
      </c>
      <c r="D8052" t="inlineStr">
        <is>
          <t>NORRBOTTENS LÄN</t>
        </is>
      </c>
      <c r="E8052" t="inlineStr">
        <is>
          <t>BODEN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12558-2024</t>
        </is>
      </c>
      <c r="B8053" s="1" t="n">
        <v>45379</v>
      </c>
      <c r="C8053" s="1" t="n">
        <v>45798</v>
      </c>
      <c r="D8053" t="inlineStr">
        <is>
          <t>NORRBOTTENS LÄN</t>
        </is>
      </c>
      <c r="E8053" t="inlineStr">
        <is>
          <t>BODEN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12562-2024</t>
        </is>
      </c>
      <c r="B8054" s="1" t="n">
        <v>45379</v>
      </c>
      <c r="C8054" s="1" t="n">
        <v>45798</v>
      </c>
      <c r="D8054" t="inlineStr">
        <is>
          <t>NORRBOTTENS LÄN</t>
        </is>
      </c>
      <c r="E8054" t="inlineStr">
        <is>
          <t>BODEN</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12574-2024</t>
        </is>
      </c>
      <c r="B8055" s="1" t="n">
        <v>45379</v>
      </c>
      <c r="C8055" s="1" t="n">
        <v>45798</v>
      </c>
      <c r="D8055" t="inlineStr">
        <is>
          <t>NORRBOTTENS LÄN</t>
        </is>
      </c>
      <c r="E8055" t="inlineStr">
        <is>
          <t>PITEÅ</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12396-2024</t>
        </is>
      </c>
      <c r="B8056" s="1" t="n">
        <v>45379</v>
      </c>
      <c r="C8056" s="1" t="n">
        <v>45798</v>
      </c>
      <c r="D8056" t="inlineStr">
        <is>
          <t>NORRBOTTENS LÄN</t>
        </is>
      </c>
      <c r="E8056" t="inlineStr">
        <is>
          <t>PITEÅ</t>
        </is>
      </c>
      <c r="G8056" t="n">
        <v>83.8</v>
      </c>
      <c r="H8056" t="n">
        <v>0</v>
      </c>
      <c r="I8056" t="n">
        <v>0</v>
      </c>
      <c r="J8056" t="n">
        <v>0</v>
      </c>
      <c r="K8056" t="n">
        <v>0</v>
      </c>
      <c r="L8056" t="n">
        <v>0</v>
      </c>
      <c r="M8056" t="n">
        <v>0</v>
      </c>
      <c r="N8056" t="n">
        <v>0</v>
      </c>
      <c r="O8056" t="n">
        <v>0</v>
      </c>
      <c r="P8056" t="n">
        <v>0</v>
      </c>
      <c r="Q8056" t="n">
        <v>0</v>
      </c>
      <c r="R8056" s="2" t="inlineStr"/>
    </row>
    <row r="8057" ht="15" customHeight="1">
      <c r="A8057" t="inlineStr">
        <is>
          <t>A 12591-2024</t>
        </is>
      </c>
      <c r="B8057" s="1" t="n">
        <v>45379</v>
      </c>
      <c r="C8057" s="1" t="n">
        <v>45798</v>
      </c>
      <c r="D8057" t="inlineStr">
        <is>
          <t>NORRBOTTENS LÄN</t>
        </is>
      </c>
      <c r="E8057" t="inlineStr">
        <is>
          <t>ÖVERKALIX</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12549-2024</t>
        </is>
      </c>
      <c r="B8058" s="1" t="n">
        <v>45379</v>
      </c>
      <c r="C8058" s="1" t="n">
        <v>45798</v>
      </c>
      <c r="D8058" t="inlineStr">
        <is>
          <t>NORRBOTTENS LÄN</t>
        </is>
      </c>
      <c r="E8058" t="inlineStr">
        <is>
          <t>LULEÅ</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12517-2024</t>
        </is>
      </c>
      <c r="B8059" s="1" t="n">
        <v>45379</v>
      </c>
      <c r="C8059" s="1" t="n">
        <v>45798</v>
      </c>
      <c r="D8059" t="inlineStr">
        <is>
          <t>NORRBOTTENS LÄN</t>
        </is>
      </c>
      <c r="E8059" t="inlineStr">
        <is>
          <t>GÄLLIVARE</t>
        </is>
      </c>
      <c r="F8059" t="inlineStr">
        <is>
          <t>Sveaskog</t>
        </is>
      </c>
      <c r="G8059" t="n">
        <v>12.5</v>
      </c>
      <c r="H8059" t="n">
        <v>0</v>
      </c>
      <c r="I8059" t="n">
        <v>0</v>
      </c>
      <c r="J8059" t="n">
        <v>0</v>
      </c>
      <c r="K8059" t="n">
        <v>0</v>
      </c>
      <c r="L8059" t="n">
        <v>0</v>
      </c>
      <c r="M8059" t="n">
        <v>0</v>
      </c>
      <c r="N8059" t="n">
        <v>0</v>
      </c>
      <c r="O8059" t="n">
        <v>0</v>
      </c>
      <c r="P8059" t="n">
        <v>0</v>
      </c>
      <c r="Q8059" t="n">
        <v>0</v>
      </c>
      <c r="R8059" s="2" t="inlineStr"/>
    </row>
    <row r="8060" ht="15" customHeight="1">
      <c r="A8060" t="inlineStr">
        <is>
          <t>A 12580-2024</t>
        </is>
      </c>
      <c r="B8060" s="1" t="n">
        <v>45379</v>
      </c>
      <c r="C8060" s="1" t="n">
        <v>45798</v>
      </c>
      <c r="D8060" t="inlineStr">
        <is>
          <t>NORRBOTTENS LÄN</t>
        </is>
      </c>
      <c r="E8060" t="inlineStr">
        <is>
          <t>ÖVERKALIX</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12539-2024</t>
        </is>
      </c>
      <c r="B8061" s="1" t="n">
        <v>45379</v>
      </c>
      <c r="C8061" s="1" t="n">
        <v>45798</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12551-2024</t>
        </is>
      </c>
      <c r="B8062" s="1" t="n">
        <v>45379</v>
      </c>
      <c r="C8062" s="1" t="n">
        <v>45798</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12440-2024</t>
        </is>
      </c>
      <c r="B8063" s="1" t="n">
        <v>45379</v>
      </c>
      <c r="C8063" s="1" t="n">
        <v>45798</v>
      </c>
      <c r="D8063" t="inlineStr">
        <is>
          <t>NORRBOTTENS LÄN</t>
        </is>
      </c>
      <c r="E8063" t="inlineStr">
        <is>
          <t>ÄLVSBYN</t>
        </is>
      </c>
      <c r="F8063" t="inlineStr">
        <is>
          <t>Sveaskog</t>
        </is>
      </c>
      <c r="G8063" t="n">
        <v>26.3</v>
      </c>
      <c r="H8063" t="n">
        <v>0</v>
      </c>
      <c r="I8063" t="n">
        <v>0</v>
      </c>
      <c r="J8063" t="n">
        <v>0</v>
      </c>
      <c r="K8063" t="n">
        <v>0</v>
      </c>
      <c r="L8063" t="n">
        <v>0</v>
      </c>
      <c r="M8063" t="n">
        <v>0</v>
      </c>
      <c r="N8063" t="n">
        <v>0</v>
      </c>
      <c r="O8063" t="n">
        <v>0</v>
      </c>
      <c r="P8063" t="n">
        <v>0</v>
      </c>
      <c r="Q8063" t="n">
        <v>0</v>
      </c>
      <c r="R8063" s="2" t="inlineStr"/>
    </row>
    <row r="8064" ht="15" customHeight="1">
      <c r="A8064" t="inlineStr">
        <is>
          <t>A 12516-2024</t>
        </is>
      </c>
      <c r="B8064" s="1" t="n">
        <v>45379</v>
      </c>
      <c r="C8064" s="1" t="n">
        <v>45798</v>
      </c>
      <c r="D8064" t="inlineStr">
        <is>
          <t>NORRBOTTENS LÄN</t>
        </is>
      </c>
      <c r="E8064" t="inlineStr">
        <is>
          <t>GÄLLIVARE</t>
        </is>
      </c>
      <c r="F8064" t="inlineStr">
        <is>
          <t>Sveaskog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12532-2024</t>
        </is>
      </c>
      <c r="B8065" s="1" t="n">
        <v>45379</v>
      </c>
      <c r="C8065" s="1" t="n">
        <v>45798</v>
      </c>
      <c r="D8065" t="inlineStr">
        <is>
          <t>NORRBOTTENS LÄN</t>
        </is>
      </c>
      <c r="E8065" t="inlineStr">
        <is>
          <t>ÖVERTORNEÅ</t>
        </is>
      </c>
      <c r="G8065" t="n">
        <v>10.3</v>
      </c>
      <c r="H8065" t="n">
        <v>0</v>
      </c>
      <c r="I8065" t="n">
        <v>0</v>
      </c>
      <c r="J8065" t="n">
        <v>0</v>
      </c>
      <c r="K8065" t="n">
        <v>0</v>
      </c>
      <c r="L8065" t="n">
        <v>0</v>
      </c>
      <c r="M8065" t="n">
        <v>0</v>
      </c>
      <c r="N8065" t="n">
        <v>0</v>
      </c>
      <c r="O8065" t="n">
        <v>0</v>
      </c>
      <c r="P8065" t="n">
        <v>0</v>
      </c>
      <c r="Q8065" t="n">
        <v>0</v>
      </c>
      <c r="R8065" s="2" t="inlineStr"/>
    </row>
    <row r="8066" ht="15" customHeight="1">
      <c r="A8066" t="inlineStr">
        <is>
          <t>A 12552-2024</t>
        </is>
      </c>
      <c r="B8066" s="1" t="n">
        <v>45379</v>
      </c>
      <c r="C8066" s="1" t="n">
        <v>45798</v>
      </c>
      <c r="D8066" t="inlineStr">
        <is>
          <t>NORRBOTTENS LÄN</t>
        </is>
      </c>
      <c r="E8066" t="inlineStr">
        <is>
          <t>LULEÅ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12639-2024</t>
        </is>
      </c>
      <c r="B8067" s="1" t="n">
        <v>45379</v>
      </c>
      <c r="C8067" s="1" t="n">
        <v>45798</v>
      </c>
      <c r="D8067" t="inlineStr">
        <is>
          <t>NORRBOTTENS LÄN</t>
        </is>
      </c>
      <c r="E8067" t="inlineStr">
        <is>
          <t>PAJALA</t>
        </is>
      </c>
      <c r="F8067" t="inlineStr">
        <is>
          <t>Allmännings- och besparingsskogar</t>
        </is>
      </c>
      <c r="G8067" t="n">
        <v>92</v>
      </c>
      <c r="H8067" t="n">
        <v>0</v>
      </c>
      <c r="I8067" t="n">
        <v>0</v>
      </c>
      <c r="J8067" t="n">
        <v>0</v>
      </c>
      <c r="K8067" t="n">
        <v>0</v>
      </c>
      <c r="L8067" t="n">
        <v>0</v>
      </c>
      <c r="M8067" t="n">
        <v>0</v>
      </c>
      <c r="N8067" t="n">
        <v>0</v>
      </c>
      <c r="O8067" t="n">
        <v>0</v>
      </c>
      <c r="P8067" t="n">
        <v>0</v>
      </c>
      <c r="Q8067" t="n">
        <v>0</v>
      </c>
      <c r="R8067" s="2" t="inlineStr"/>
    </row>
    <row r="8068" ht="15" customHeight="1">
      <c r="A8068" t="inlineStr">
        <is>
          <t>A 12602-2024</t>
        </is>
      </c>
      <c r="B8068" s="1" t="n">
        <v>45381</v>
      </c>
      <c r="C8068" s="1" t="n">
        <v>45798</v>
      </c>
      <c r="D8068" t="inlineStr">
        <is>
          <t>NORRBOTTENS LÄN</t>
        </is>
      </c>
      <c r="E8068" t="inlineStr">
        <is>
          <t>LULEÅ</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12603-2024</t>
        </is>
      </c>
      <c r="B8069" s="1" t="n">
        <v>45381</v>
      </c>
      <c r="C8069" s="1" t="n">
        <v>45798</v>
      </c>
      <c r="D8069" t="inlineStr">
        <is>
          <t>NORRBOTTENS LÄN</t>
        </is>
      </c>
      <c r="E8069" t="inlineStr">
        <is>
          <t>LULEÅ</t>
        </is>
      </c>
      <c r="G8069" t="n">
        <v>13.9</v>
      </c>
      <c r="H8069" t="n">
        <v>0</v>
      </c>
      <c r="I8069" t="n">
        <v>0</v>
      </c>
      <c r="J8069" t="n">
        <v>0</v>
      </c>
      <c r="K8069" t="n">
        <v>0</v>
      </c>
      <c r="L8069" t="n">
        <v>0</v>
      </c>
      <c r="M8069" t="n">
        <v>0</v>
      </c>
      <c r="N8069" t="n">
        <v>0</v>
      </c>
      <c r="O8069" t="n">
        <v>0</v>
      </c>
      <c r="P8069" t="n">
        <v>0</v>
      </c>
      <c r="Q8069" t="n">
        <v>0</v>
      </c>
      <c r="R8069" s="2" t="inlineStr"/>
    </row>
    <row r="8070" ht="15" customHeight="1">
      <c r="A8070" t="inlineStr">
        <is>
          <t>A 12674-2024</t>
        </is>
      </c>
      <c r="B8070" s="1" t="n">
        <v>45384</v>
      </c>
      <c r="C8070" s="1" t="n">
        <v>45798</v>
      </c>
      <c r="D8070" t="inlineStr">
        <is>
          <t>NORRBOTTENS LÄN</t>
        </is>
      </c>
      <c r="E8070" t="inlineStr">
        <is>
          <t>ÖVERTORNEÅ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12749-2024</t>
        </is>
      </c>
      <c r="B8071" s="1" t="n">
        <v>45384</v>
      </c>
      <c r="C8071" s="1" t="n">
        <v>45798</v>
      </c>
      <c r="D8071" t="inlineStr">
        <is>
          <t>NORRBOTTENS LÄN</t>
        </is>
      </c>
      <c r="E8071" t="inlineStr">
        <is>
          <t>PAJALA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12795-2024</t>
        </is>
      </c>
      <c r="B8072" s="1" t="n">
        <v>45384</v>
      </c>
      <c r="C8072" s="1" t="n">
        <v>45798</v>
      </c>
      <c r="D8072" t="inlineStr">
        <is>
          <t>NORRBOTTENS LÄN</t>
        </is>
      </c>
      <c r="E8072" t="inlineStr">
        <is>
          <t>PAJALA</t>
        </is>
      </c>
      <c r="G8072" t="n">
        <v>20.6</v>
      </c>
      <c r="H8072" t="n">
        <v>0</v>
      </c>
      <c r="I8072" t="n">
        <v>0</v>
      </c>
      <c r="J8072" t="n">
        <v>0</v>
      </c>
      <c r="K8072" t="n">
        <v>0</v>
      </c>
      <c r="L8072" t="n">
        <v>0</v>
      </c>
      <c r="M8072" t="n">
        <v>0</v>
      </c>
      <c r="N8072" t="n">
        <v>0</v>
      </c>
      <c r="O8072" t="n">
        <v>0</v>
      </c>
      <c r="P8072" t="n">
        <v>0</v>
      </c>
      <c r="Q8072" t="n">
        <v>0</v>
      </c>
      <c r="R8072" s="2" t="inlineStr"/>
    </row>
    <row r="8073" ht="15" customHeight="1">
      <c r="A8073" t="inlineStr">
        <is>
          <t>A 12677-2024</t>
        </is>
      </c>
      <c r="B8073" s="1" t="n">
        <v>45384</v>
      </c>
      <c r="C8073" s="1" t="n">
        <v>45798</v>
      </c>
      <c r="D8073" t="inlineStr">
        <is>
          <t>NORRBOTTENS LÄN</t>
        </is>
      </c>
      <c r="E8073" t="inlineStr">
        <is>
          <t>ÖVERTORNEÅ</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12881-2024</t>
        </is>
      </c>
      <c r="B8074" s="1" t="n">
        <v>45385</v>
      </c>
      <c r="C8074" s="1" t="n">
        <v>45798</v>
      </c>
      <c r="D8074" t="inlineStr">
        <is>
          <t>NORRBOTTENS LÄN</t>
        </is>
      </c>
      <c r="E8074" t="inlineStr">
        <is>
          <t>PAJALA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12927-2024</t>
        </is>
      </c>
      <c r="B8075" s="1" t="n">
        <v>45385</v>
      </c>
      <c r="C8075" s="1" t="n">
        <v>45798</v>
      </c>
      <c r="D8075" t="inlineStr">
        <is>
          <t>NORRBOTTENS LÄN</t>
        </is>
      </c>
      <c r="E8075" t="inlineStr">
        <is>
          <t>KALIX</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13068-2024</t>
        </is>
      </c>
      <c r="B8076" s="1" t="n">
        <v>45385</v>
      </c>
      <c r="C8076" s="1" t="n">
        <v>45798</v>
      </c>
      <c r="D8076" t="inlineStr">
        <is>
          <t>NORRBOTTENS LÄN</t>
        </is>
      </c>
      <c r="E8076" t="inlineStr">
        <is>
          <t>LULEÅ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13063-2024</t>
        </is>
      </c>
      <c r="B8077" s="1" t="n">
        <v>45385</v>
      </c>
      <c r="C8077" s="1" t="n">
        <v>45798</v>
      </c>
      <c r="D8077" t="inlineStr">
        <is>
          <t>NORRBOTTENS LÄN</t>
        </is>
      </c>
      <c r="E8077" t="inlineStr">
        <is>
          <t>LULEÅ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13065-2024</t>
        </is>
      </c>
      <c r="B8078" s="1" t="n">
        <v>45385</v>
      </c>
      <c r="C8078" s="1" t="n">
        <v>45798</v>
      </c>
      <c r="D8078" t="inlineStr">
        <is>
          <t>NORRBOTTENS LÄN</t>
        </is>
      </c>
      <c r="E8078" t="inlineStr">
        <is>
          <t>LULEÅ</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13120-2024</t>
        </is>
      </c>
      <c r="B8079" s="1" t="n">
        <v>45385</v>
      </c>
      <c r="C8079" s="1" t="n">
        <v>45798</v>
      </c>
      <c r="D8079" t="inlineStr">
        <is>
          <t>NORRBOTTENS LÄN</t>
        </is>
      </c>
      <c r="E8079" t="inlineStr">
        <is>
          <t>LULEÅ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13167-2024</t>
        </is>
      </c>
      <c r="B8080" s="1" t="n">
        <v>45386</v>
      </c>
      <c r="C8080" s="1" t="n">
        <v>45798</v>
      </c>
      <c r="D8080" t="inlineStr">
        <is>
          <t>NORRBOTTENS LÄN</t>
        </is>
      </c>
      <c r="E8080" t="inlineStr">
        <is>
          <t>PAJALA</t>
        </is>
      </c>
      <c r="F8080" t="inlineStr">
        <is>
          <t>Allmännings- och besparingsskogar</t>
        </is>
      </c>
      <c r="G8080" t="n">
        <v>30.1</v>
      </c>
      <c r="H8080" t="n">
        <v>0</v>
      </c>
      <c r="I8080" t="n">
        <v>0</v>
      </c>
      <c r="J8080" t="n">
        <v>0</v>
      </c>
      <c r="K8080" t="n">
        <v>0</v>
      </c>
      <c r="L8080" t="n">
        <v>0</v>
      </c>
      <c r="M8080" t="n">
        <v>0</v>
      </c>
      <c r="N8080" t="n">
        <v>0</v>
      </c>
      <c r="O8080" t="n">
        <v>0</v>
      </c>
      <c r="P8080" t="n">
        <v>0</v>
      </c>
      <c r="Q8080" t="n">
        <v>0</v>
      </c>
      <c r="R8080" s="2" t="inlineStr"/>
    </row>
    <row r="8081" ht="15" customHeight="1">
      <c r="A8081" t="inlineStr">
        <is>
          <t>A 13338-2024</t>
        </is>
      </c>
      <c r="B8081" s="1" t="n">
        <v>45387</v>
      </c>
      <c r="C8081" s="1" t="n">
        <v>45798</v>
      </c>
      <c r="D8081" t="inlineStr">
        <is>
          <t>NORRBOTTENS LÄN</t>
        </is>
      </c>
      <c r="E8081" t="inlineStr">
        <is>
          <t>PITEÅ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13526-2024</t>
        </is>
      </c>
      <c r="B8082" s="1" t="n">
        <v>45387</v>
      </c>
      <c r="C8082" s="1" t="n">
        <v>45798</v>
      </c>
      <c r="D8082" t="inlineStr">
        <is>
          <t>NORRBOTTENS LÄN</t>
        </is>
      </c>
      <c r="E8082" t="inlineStr">
        <is>
          <t>KIRUNA</t>
        </is>
      </c>
      <c r="G8082" t="n">
        <v>8.199999999999999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13376-2024</t>
        </is>
      </c>
      <c r="B8083" s="1" t="n">
        <v>45387</v>
      </c>
      <c r="C8083" s="1" t="n">
        <v>45798</v>
      </c>
      <c r="D8083" t="inlineStr">
        <is>
          <t>NORRBOTTENS LÄN</t>
        </is>
      </c>
      <c r="E8083" t="inlineStr">
        <is>
          <t>BODEN</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13725-2024</t>
        </is>
      </c>
      <c r="B8084" s="1" t="n">
        <v>45387</v>
      </c>
      <c r="C8084" s="1" t="n">
        <v>45798</v>
      </c>
      <c r="D8084" t="inlineStr">
        <is>
          <t>NORRBOTTENS LÄN</t>
        </is>
      </c>
      <c r="E8084" t="inlineStr">
        <is>
          <t>PAJALA</t>
        </is>
      </c>
      <c r="F8084" t="inlineStr">
        <is>
          <t>Allmännings- och besparingsskogar</t>
        </is>
      </c>
      <c r="G8084" t="n">
        <v>19.5</v>
      </c>
      <c r="H8084" t="n">
        <v>0</v>
      </c>
      <c r="I8084" t="n">
        <v>0</v>
      </c>
      <c r="J8084" t="n">
        <v>0</v>
      </c>
      <c r="K8084" t="n">
        <v>0</v>
      </c>
      <c r="L8084" t="n">
        <v>0</v>
      </c>
      <c r="M8084" t="n">
        <v>0</v>
      </c>
      <c r="N8084" t="n">
        <v>0</v>
      </c>
      <c r="O8084" t="n">
        <v>0</v>
      </c>
      <c r="P8084" t="n">
        <v>0</v>
      </c>
      <c r="Q8084" t="n">
        <v>0</v>
      </c>
      <c r="R8084" s="2" t="inlineStr"/>
    </row>
    <row r="8085" ht="15" customHeight="1">
      <c r="A8085" t="inlineStr">
        <is>
          <t>A 13394-2024</t>
        </is>
      </c>
      <c r="B8085" s="1" t="n">
        <v>45387</v>
      </c>
      <c r="C8085" s="1" t="n">
        <v>45798</v>
      </c>
      <c r="D8085" t="inlineStr">
        <is>
          <t>NORRBOTTENS LÄN</t>
        </is>
      </c>
      <c r="E8085" t="inlineStr">
        <is>
          <t>BODEN</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13574-2024</t>
        </is>
      </c>
      <c r="B8086" s="1" t="n">
        <v>45389</v>
      </c>
      <c r="C8086" s="1" t="n">
        <v>45798</v>
      </c>
      <c r="D8086" t="inlineStr">
        <is>
          <t>NORRBOTTENS LÄN</t>
        </is>
      </c>
      <c r="E8086" t="inlineStr">
        <is>
          <t>HAPARANDA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13573-2024</t>
        </is>
      </c>
      <c r="B8087" s="1" t="n">
        <v>45389</v>
      </c>
      <c r="C8087" s="1" t="n">
        <v>45798</v>
      </c>
      <c r="D8087" t="inlineStr">
        <is>
          <t>NORRBOTTENS LÄN</t>
        </is>
      </c>
      <c r="E8087" t="inlineStr">
        <is>
          <t>HAPARANDA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13755-2024</t>
        </is>
      </c>
      <c r="B8088" s="1" t="n">
        <v>45390</v>
      </c>
      <c r="C8088" s="1" t="n">
        <v>45798</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13756-2024</t>
        </is>
      </c>
      <c r="B8089" s="1" t="n">
        <v>45390</v>
      </c>
      <c r="C8089" s="1" t="n">
        <v>45798</v>
      </c>
      <c r="D8089" t="inlineStr">
        <is>
          <t>NORRBOTTENS LÄN</t>
        </is>
      </c>
      <c r="E8089" t="inlineStr">
        <is>
          <t>ÖVERTORNEÅ</t>
        </is>
      </c>
      <c r="G8089" t="n">
        <v>10.8</v>
      </c>
      <c r="H8089" t="n">
        <v>0</v>
      </c>
      <c r="I8089" t="n">
        <v>0</v>
      </c>
      <c r="J8089" t="n">
        <v>0</v>
      </c>
      <c r="K8089" t="n">
        <v>0</v>
      </c>
      <c r="L8089" t="n">
        <v>0</v>
      </c>
      <c r="M8089" t="n">
        <v>0</v>
      </c>
      <c r="N8089" t="n">
        <v>0</v>
      </c>
      <c r="O8089" t="n">
        <v>0</v>
      </c>
      <c r="P8089" t="n">
        <v>0</v>
      </c>
      <c r="Q8089" t="n">
        <v>0</v>
      </c>
      <c r="R8089" s="2" t="inlineStr"/>
    </row>
    <row r="8090" ht="15" customHeight="1">
      <c r="A8090" t="inlineStr">
        <is>
          <t>A 13842-2024</t>
        </is>
      </c>
      <c r="B8090" s="1" t="n">
        <v>45390</v>
      </c>
      <c r="C8090" s="1" t="n">
        <v>45798</v>
      </c>
      <c r="D8090" t="inlineStr">
        <is>
          <t>NORRBOTTENS LÄN</t>
        </is>
      </c>
      <c r="E8090" t="inlineStr">
        <is>
          <t>ÖVERTORNEÅ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13846-2024</t>
        </is>
      </c>
      <c r="B8091" s="1" t="n">
        <v>45390</v>
      </c>
      <c r="C8091" s="1" t="n">
        <v>45798</v>
      </c>
      <c r="D8091" t="inlineStr">
        <is>
          <t>NORRBOTTENS LÄN</t>
        </is>
      </c>
      <c r="E8091" t="inlineStr">
        <is>
          <t>LULEÅ</t>
        </is>
      </c>
      <c r="G8091" t="n">
        <v>16.4</v>
      </c>
      <c r="H8091" t="n">
        <v>0</v>
      </c>
      <c r="I8091" t="n">
        <v>0</v>
      </c>
      <c r="J8091" t="n">
        <v>0</v>
      </c>
      <c r="K8091" t="n">
        <v>0</v>
      </c>
      <c r="L8091" t="n">
        <v>0</v>
      </c>
      <c r="M8091" t="n">
        <v>0</v>
      </c>
      <c r="N8091" t="n">
        <v>0</v>
      </c>
      <c r="O8091" t="n">
        <v>0</v>
      </c>
      <c r="P8091" t="n">
        <v>0</v>
      </c>
      <c r="Q8091" t="n">
        <v>0</v>
      </c>
      <c r="R8091" s="2" t="inlineStr"/>
    </row>
    <row r="8092" ht="15" customHeight="1">
      <c r="A8092" t="inlineStr">
        <is>
          <t>A 13754-2024</t>
        </is>
      </c>
      <c r="B8092" s="1" t="n">
        <v>45390</v>
      </c>
      <c r="C8092" s="1" t="n">
        <v>45798</v>
      </c>
      <c r="D8092" t="inlineStr">
        <is>
          <t>NORRBOTTENS LÄN</t>
        </is>
      </c>
      <c r="E8092" t="inlineStr">
        <is>
          <t>ÖVERTORNEÅ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13884-2024</t>
        </is>
      </c>
      <c r="B8093" s="1" t="n">
        <v>45391</v>
      </c>
      <c r="C8093" s="1" t="n">
        <v>45798</v>
      </c>
      <c r="D8093" t="inlineStr">
        <is>
          <t>NORRBOTTENS LÄN</t>
        </is>
      </c>
      <c r="E8093" t="inlineStr">
        <is>
          <t>PAJALA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13925-2024</t>
        </is>
      </c>
      <c r="B8094" s="1" t="n">
        <v>45392</v>
      </c>
      <c r="C8094" s="1" t="n">
        <v>45798</v>
      </c>
      <c r="D8094" t="inlineStr">
        <is>
          <t>NORRBOTTENS LÄN</t>
        </is>
      </c>
      <c r="E8094" t="inlineStr">
        <is>
          <t>BODEN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13926-2024</t>
        </is>
      </c>
      <c r="B8095" s="1" t="n">
        <v>45392</v>
      </c>
      <c r="C8095" s="1" t="n">
        <v>45798</v>
      </c>
      <c r="D8095" t="inlineStr">
        <is>
          <t>NORRBOTTENS LÄN</t>
        </is>
      </c>
      <c r="E8095" t="inlineStr">
        <is>
          <t>BODEN</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13939-2024</t>
        </is>
      </c>
      <c r="B8096" s="1" t="n">
        <v>45392</v>
      </c>
      <c r="C8096" s="1" t="n">
        <v>45798</v>
      </c>
      <c r="D8096" t="inlineStr">
        <is>
          <t>NORRBOTTENS LÄN</t>
        </is>
      </c>
      <c r="E8096" t="inlineStr">
        <is>
          <t>PITEÅ</t>
        </is>
      </c>
      <c r="F8096" t="inlineStr">
        <is>
          <t>SCA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14047-2024</t>
        </is>
      </c>
      <c r="B8097" s="1" t="n">
        <v>45392</v>
      </c>
      <c r="C8097" s="1" t="n">
        <v>45798</v>
      </c>
      <c r="D8097" t="inlineStr">
        <is>
          <t>NORRBOTTENS LÄN</t>
        </is>
      </c>
      <c r="E8097" t="inlineStr">
        <is>
          <t>KALIX</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14056-2024</t>
        </is>
      </c>
      <c r="B8098" s="1" t="n">
        <v>45392</v>
      </c>
      <c r="C8098" s="1" t="n">
        <v>45798</v>
      </c>
      <c r="D8098" t="inlineStr">
        <is>
          <t>NORRBOTTENS LÄN</t>
        </is>
      </c>
      <c r="E8098" t="inlineStr">
        <is>
          <t>LULEÅ</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14072-2024</t>
        </is>
      </c>
      <c r="B8099" s="1" t="n">
        <v>45392</v>
      </c>
      <c r="C8099" s="1" t="n">
        <v>45798</v>
      </c>
      <c r="D8099" t="inlineStr">
        <is>
          <t>NORRBOTTENS LÄN</t>
        </is>
      </c>
      <c r="E8099" t="inlineStr">
        <is>
          <t>PAJALA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14160-2024</t>
        </is>
      </c>
      <c r="B8100" s="1" t="n">
        <v>45393</v>
      </c>
      <c r="C8100" s="1" t="n">
        <v>45798</v>
      </c>
      <c r="D8100" t="inlineStr">
        <is>
          <t>NORRBOTTENS LÄN</t>
        </is>
      </c>
      <c r="E8100" t="inlineStr">
        <is>
          <t>LULEÅ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13984-2024</t>
        </is>
      </c>
      <c r="B8101" s="1" t="n">
        <v>45392</v>
      </c>
      <c r="C8101" s="1" t="n">
        <v>45798</v>
      </c>
      <c r="D8101" t="inlineStr">
        <is>
          <t>NORRBOTTENS LÄN</t>
        </is>
      </c>
      <c r="E8101" t="inlineStr">
        <is>
          <t>KALIX</t>
        </is>
      </c>
      <c r="F8101" t="inlineStr">
        <is>
          <t>Sveaskog</t>
        </is>
      </c>
      <c r="G8101" t="n">
        <v>37.6</v>
      </c>
      <c r="H8101" t="n">
        <v>0</v>
      </c>
      <c r="I8101" t="n">
        <v>0</v>
      </c>
      <c r="J8101" t="n">
        <v>0</v>
      </c>
      <c r="K8101" t="n">
        <v>0</v>
      </c>
      <c r="L8101" t="n">
        <v>0</v>
      </c>
      <c r="M8101" t="n">
        <v>0</v>
      </c>
      <c r="N8101" t="n">
        <v>0</v>
      </c>
      <c r="O8101" t="n">
        <v>0</v>
      </c>
      <c r="P8101" t="n">
        <v>0</v>
      </c>
      <c r="Q8101" t="n">
        <v>0</v>
      </c>
      <c r="R8101" s="2" t="inlineStr"/>
    </row>
    <row r="8102" ht="15" customHeight="1">
      <c r="A8102" t="inlineStr">
        <is>
          <t>A 13988-2024</t>
        </is>
      </c>
      <c r="B8102" s="1" t="n">
        <v>45392</v>
      </c>
      <c r="C8102" s="1" t="n">
        <v>45798</v>
      </c>
      <c r="D8102" t="inlineStr">
        <is>
          <t>NORRBOTTENS LÄN</t>
        </is>
      </c>
      <c r="E8102" t="inlineStr">
        <is>
          <t>PITEÅ</t>
        </is>
      </c>
      <c r="F8102" t="inlineStr">
        <is>
          <t>Sveaskog</t>
        </is>
      </c>
      <c r="G8102" t="n">
        <v>12.1</v>
      </c>
      <c r="H8102" t="n">
        <v>0</v>
      </c>
      <c r="I8102" t="n">
        <v>0</v>
      </c>
      <c r="J8102" t="n">
        <v>0</v>
      </c>
      <c r="K8102" t="n">
        <v>0</v>
      </c>
      <c r="L8102" t="n">
        <v>0</v>
      </c>
      <c r="M8102" t="n">
        <v>0</v>
      </c>
      <c r="N8102" t="n">
        <v>0</v>
      </c>
      <c r="O8102" t="n">
        <v>0</v>
      </c>
      <c r="P8102" t="n">
        <v>0</v>
      </c>
      <c r="Q8102" t="n">
        <v>0</v>
      </c>
      <c r="R8102" s="2" t="inlineStr"/>
    </row>
    <row r="8103" ht="15" customHeight="1">
      <c r="A8103" t="inlineStr">
        <is>
          <t>A 14159-2024</t>
        </is>
      </c>
      <c r="B8103" s="1" t="n">
        <v>45393</v>
      </c>
      <c r="C8103" s="1" t="n">
        <v>45798</v>
      </c>
      <c r="D8103" t="inlineStr">
        <is>
          <t>NORRBOTTENS LÄN</t>
        </is>
      </c>
      <c r="E8103" t="inlineStr">
        <is>
          <t>LULEÅ</t>
        </is>
      </c>
      <c r="G8103" t="n">
        <v>33.9</v>
      </c>
      <c r="H8103" t="n">
        <v>0</v>
      </c>
      <c r="I8103" t="n">
        <v>0</v>
      </c>
      <c r="J8103" t="n">
        <v>0</v>
      </c>
      <c r="K8103" t="n">
        <v>0</v>
      </c>
      <c r="L8103" t="n">
        <v>0</v>
      </c>
      <c r="M8103" t="n">
        <v>0</v>
      </c>
      <c r="N8103" t="n">
        <v>0</v>
      </c>
      <c r="O8103" t="n">
        <v>0</v>
      </c>
      <c r="P8103" t="n">
        <v>0</v>
      </c>
      <c r="Q8103" t="n">
        <v>0</v>
      </c>
      <c r="R8103" s="2" t="inlineStr"/>
    </row>
    <row r="8104" ht="15" customHeight="1">
      <c r="A8104" t="inlineStr">
        <is>
          <t>A 13986-2024</t>
        </is>
      </c>
      <c r="B8104" s="1" t="n">
        <v>45392</v>
      </c>
      <c r="C8104" s="1" t="n">
        <v>45798</v>
      </c>
      <c r="D8104" t="inlineStr">
        <is>
          <t>NORRBOTTENS LÄN</t>
        </is>
      </c>
      <c r="E8104" t="inlineStr">
        <is>
          <t>PITEÅ</t>
        </is>
      </c>
      <c r="F8104" t="inlineStr">
        <is>
          <t>Sveaskog</t>
        </is>
      </c>
      <c r="G8104" t="n">
        <v>33.2</v>
      </c>
      <c r="H8104" t="n">
        <v>0</v>
      </c>
      <c r="I8104" t="n">
        <v>0</v>
      </c>
      <c r="J8104" t="n">
        <v>0</v>
      </c>
      <c r="K8104" t="n">
        <v>0</v>
      </c>
      <c r="L8104" t="n">
        <v>0</v>
      </c>
      <c r="M8104" t="n">
        <v>0</v>
      </c>
      <c r="N8104" t="n">
        <v>0</v>
      </c>
      <c r="O8104" t="n">
        <v>0</v>
      </c>
      <c r="P8104" t="n">
        <v>0</v>
      </c>
      <c r="Q8104" t="n">
        <v>0</v>
      </c>
      <c r="R8104" s="2" t="inlineStr"/>
    </row>
    <row r="8105" ht="15" customHeight="1">
      <c r="A8105" t="inlineStr">
        <is>
          <t>A 14204-2024</t>
        </is>
      </c>
      <c r="B8105" s="1" t="n">
        <v>45393</v>
      </c>
      <c r="C8105" s="1" t="n">
        <v>45798</v>
      </c>
      <c r="D8105" t="inlineStr">
        <is>
          <t>NORRBOTTENS LÄN</t>
        </is>
      </c>
      <c r="E8105" t="inlineStr">
        <is>
          <t>KALIX</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14207-2024</t>
        </is>
      </c>
      <c r="B8106" s="1" t="n">
        <v>45393</v>
      </c>
      <c r="C8106" s="1" t="n">
        <v>45798</v>
      </c>
      <c r="D8106" t="inlineStr">
        <is>
          <t>NORRBOTTENS LÄN</t>
        </is>
      </c>
      <c r="E8106" t="inlineStr">
        <is>
          <t>KALIX</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14264-2024</t>
        </is>
      </c>
      <c r="B8107" s="1" t="n">
        <v>45393</v>
      </c>
      <c r="C8107" s="1" t="n">
        <v>45798</v>
      </c>
      <c r="D8107" t="inlineStr">
        <is>
          <t>NORRBOTTENS LÄN</t>
        </is>
      </c>
      <c r="E8107" t="inlineStr">
        <is>
          <t>ÖVERTORNEÅ</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14333-2024</t>
        </is>
      </c>
      <c r="B8108" s="1" t="n">
        <v>45393</v>
      </c>
      <c r="C8108" s="1" t="n">
        <v>45798</v>
      </c>
      <c r="D8108" t="inlineStr">
        <is>
          <t>NORRBOTTENS LÄN</t>
        </is>
      </c>
      <c r="E8108" t="inlineStr">
        <is>
          <t>LULEÅ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14337-2024</t>
        </is>
      </c>
      <c r="B8109" s="1" t="n">
        <v>45393</v>
      </c>
      <c r="C8109" s="1" t="n">
        <v>45798</v>
      </c>
      <c r="D8109" t="inlineStr">
        <is>
          <t>NORRBOTTENS LÄN</t>
        </is>
      </c>
      <c r="E8109" t="inlineStr">
        <is>
          <t>LULEÅ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14341-2024</t>
        </is>
      </c>
      <c r="B8110" s="1" t="n">
        <v>45393</v>
      </c>
      <c r="C8110" s="1" t="n">
        <v>45798</v>
      </c>
      <c r="D8110" t="inlineStr">
        <is>
          <t>NORRBOTTENS LÄN</t>
        </is>
      </c>
      <c r="E8110" t="inlineStr">
        <is>
          <t>PITEÅ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14360-2024</t>
        </is>
      </c>
      <c r="B8111" s="1" t="n">
        <v>45394</v>
      </c>
      <c r="C8111" s="1" t="n">
        <v>45798</v>
      </c>
      <c r="D8111" t="inlineStr">
        <is>
          <t>NORRBOTTENS LÄN</t>
        </is>
      </c>
      <c r="E8111" t="inlineStr">
        <is>
          <t>PAJALA</t>
        </is>
      </c>
      <c r="G8111" t="n">
        <v>9.1</v>
      </c>
      <c r="H8111" t="n">
        <v>0</v>
      </c>
      <c r="I8111" t="n">
        <v>0</v>
      </c>
      <c r="J8111" t="n">
        <v>0</v>
      </c>
      <c r="K8111" t="n">
        <v>0</v>
      </c>
      <c r="L8111" t="n">
        <v>0</v>
      </c>
      <c r="M8111" t="n">
        <v>0</v>
      </c>
      <c r="N8111" t="n">
        <v>0</v>
      </c>
      <c r="O8111" t="n">
        <v>0</v>
      </c>
      <c r="P8111" t="n">
        <v>0</v>
      </c>
      <c r="Q8111" t="n">
        <v>0</v>
      </c>
      <c r="R8111" s="2" t="inlineStr"/>
    </row>
    <row r="8112" ht="15" customHeight="1">
      <c r="A8112" t="inlineStr">
        <is>
          <t>A 14221-2024</t>
        </is>
      </c>
      <c r="B8112" s="1" t="n">
        <v>45393</v>
      </c>
      <c r="C8112" s="1" t="n">
        <v>45798</v>
      </c>
      <c r="D8112" t="inlineStr">
        <is>
          <t>NORRBOTTENS LÄN</t>
        </is>
      </c>
      <c r="E8112" t="inlineStr">
        <is>
          <t>KALIX</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14225-2024</t>
        </is>
      </c>
      <c r="B8113" s="1" t="n">
        <v>45393</v>
      </c>
      <c r="C8113" s="1" t="n">
        <v>45798</v>
      </c>
      <c r="D8113" t="inlineStr">
        <is>
          <t>NORRBOTTENS LÄN</t>
        </is>
      </c>
      <c r="E8113" t="inlineStr">
        <is>
          <t>KALIX</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14271-2024</t>
        </is>
      </c>
      <c r="B8114" s="1" t="n">
        <v>45393</v>
      </c>
      <c r="C8114" s="1" t="n">
        <v>45798</v>
      </c>
      <c r="D8114" t="inlineStr">
        <is>
          <t>NORRBOTTENS LÄN</t>
        </is>
      </c>
      <c r="E8114" t="inlineStr">
        <is>
          <t>ÖVERTORNEÅ</t>
        </is>
      </c>
      <c r="G8114" t="n">
        <v>7.8</v>
      </c>
      <c r="H8114" t="n">
        <v>0</v>
      </c>
      <c r="I8114" t="n">
        <v>0</v>
      </c>
      <c r="J8114" t="n">
        <v>0</v>
      </c>
      <c r="K8114" t="n">
        <v>0</v>
      </c>
      <c r="L8114" t="n">
        <v>0</v>
      </c>
      <c r="M8114" t="n">
        <v>0</v>
      </c>
      <c r="N8114" t="n">
        <v>0</v>
      </c>
      <c r="O8114" t="n">
        <v>0</v>
      </c>
      <c r="P8114" t="n">
        <v>0</v>
      </c>
      <c r="Q8114" t="n">
        <v>0</v>
      </c>
      <c r="R8114" s="2" t="inlineStr"/>
    </row>
    <row r="8115" ht="15" customHeight="1">
      <c r="A8115" t="inlineStr">
        <is>
          <t>A 14445-2024</t>
        </is>
      </c>
      <c r="B8115" s="1" t="n">
        <v>45394</v>
      </c>
      <c r="C8115" s="1" t="n">
        <v>45798</v>
      </c>
      <c r="D8115" t="inlineStr">
        <is>
          <t>NORRBOTTENS LÄN</t>
        </is>
      </c>
      <c r="E8115" t="inlineStr">
        <is>
          <t>ÄLVSBYN</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14392-2024</t>
        </is>
      </c>
      <c r="B8116" s="1" t="n">
        <v>45394</v>
      </c>
      <c r="C8116" s="1" t="n">
        <v>45798</v>
      </c>
      <c r="D8116" t="inlineStr">
        <is>
          <t>NORRBOTTENS LÄN</t>
        </is>
      </c>
      <c r="E8116" t="inlineStr">
        <is>
          <t>ÖVERTORNEÅ</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14470-2024</t>
        </is>
      </c>
      <c r="B8117" s="1" t="n">
        <v>45394</v>
      </c>
      <c r="C8117" s="1" t="n">
        <v>45798</v>
      </c>
      <c r="D8117" t="inlineStr">
        <is>
          <t>NORRBOTTENS LÄN</t>
        </is>
      </c>
      <c r="E8117" t="inlineStr">
        <is>
          <t>ÄLVSBYN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14446-2024</t>
        </is>
      </c>
      <c r="B8118" s="1" t="n">
        <v>45394</v>
      </c>
      <c r="C8118" s="1" t="n">
        <v>45798</v>
      </c>
      <c r="D8118" t="inlineStr">
        <is>
          <t>NORRBOTTENS LÄN</t>
        </is>
      </c>
      <c r="E8118" t="inlineStr">
        <is>
          <t>ÄLVSBYN</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14567-2024</t>
        </is>
      </c>
      <c r="B8119" s="1" t="n">
        <v>45394</v>
      </c>
      <c r="C8119" s="1" t="n">
        <v>45798</v>
      </c>
      <c r="D8119" t="inlineStr">
        <is>
          <t>NORRBOTTENS LÄN</t>
        </is>
      </c>
      <c r="E8119" t="inlineStr">
        <is>
          <t>JOKKMOKK</t>
        </is>
      </c>
      <c r="G8119" t="n">
        <v>24.5</v>
      </c>
      <c r="H8119" t="n">
        <v>0</v>
      </c>
      <c r="I8119" t="n">
        <v>0</v>
      </c>
      <c r="J8119" t="n">
        <v>0</v>
      </c>
      <c r="K8119" t="n">
        <v>0</v>
      </c>
      <c r="L8119" t="n">
        <v>0</v>
      </c>
      <c r="M8119" t="n">
        <v>0</v>
      </c>
      <c r="N8119" t="n">
        <v>0</v>
      </c>
      <c r="O8119" t="n">
        <v>0</v>
      </c>
      <c r="P8119" t="n">
        <v>0</v>
      </c>
      <c r="Q8119" t="n">
        <v>0</v>
      </c>
      <c r="R8119" s="2" t="inlineStr"/>
    </row>
    <row r="8120" ht="15" customHeight="1">
      <c r="A8120" t="inlineStr">
        <is>
          <t>A 14579-2024</t>
        </is>
      </c>
      <c r="B8120" s="1" t="n">
        <v>45395</v>
      </c>
      <c r="C8120" s="1" t="n">
        <v>45798</v>
      </c>
      <c r="D8120" t="inlineStr">
        <is>
          <t>NORRBOTTENS LÄN</t>
        </is>
      </c>
      <c r="E8120" t="inlineStr">
        <is>
          <t>ÄLVSBYN</t>
        </is>
      </c>
      <c r="F8120" t="inlineStr">
        <is>
          <t>SCA</t>
        </is>
      </c>
      <c r="G8120" t="n">
        <v>19.4</v>
      </c>
      <c r="H8120" t="n">
        <v>0</v>
      </c>
      <c r="I8120" t="n">
        <v>0</v>
      </c>
      <c r="J8120" t="n">
        <v>0</v>
      </c>
      <c r="K8120" t="n">
        <v>0</v>
      </c>
      <c r="L8120" t="n">
        <v>0</v>
      </c>
      <c r="M8120" t="n">
        <v>0</v>
      </c>
      <c r="N8120" t="n">
        <v>0</v>
      </c>
      <c r="O8120" t="n">
        <v>0</v>
      </c>
      <c r="P8120" t="n">
        <v>0</v>
      </c>
      <c r="Q8120" t="n">
        <v>0</v>
      </c>
      <c r="R8120" s="2" t="inlineStr"/>
    </row>
    <row r="8121" ht="15" customHeight="1">
      <c r="A8121" t="inlineStr">
        <is>
          <t>A 14591-2024</t>
        </is>
      </c>
      <c r="B8121" s="1" t="n">
        <v>45395</v>
      </c>
      <c r="C8121" s="1" t="n">
        <v>45798</v>
      </c>
      <c r="D8121" t="inlineStr">
        <is>
          <t>NORRBOTTENS LÄN</t>
        </is>
      </c>
      <c r="E8121" t="inlineStr">
        <is>
          <t>ÖVERTORNEÅ</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14612-2024</t>
        </is>
      </c>
      <c r="B8122" s="1" t="n">
        <v>45396</v>
      </c>
      <c r="C8122" s="1" t="n">
        <v>45798</v>
      </c>
      <c r="D8122" t="inlineStr">
        <is>
          <t>NORRBOTTENS LÄN</t>
        </is>
      </c>
      <c r="E8122" t="inlineStr">
        <is>
          <t>KIRUNA</t>
        </is>
      </c>
      <c r="G8122" t="n">
        <v>26.6</v>
      </c>
      <c r="H8122" t="n">
        <v>0</v>
      </c>
      <c r="I8122" t="n">
        <v>0</v>
      </c>
      <c r="J8122" t="n">
        <v>0</v>
      </c>
      <c r="K8122" t="n">
        <v>0</v>
      </c>
      <c r="L8122" t="n">
        <v>0</v>
      </c>
      <c r="M8122" t="n">
        <v>0</v>
      </c>
      <c r="N8122" t="n">
        <v>0</v>
      </c>
      <c r="O8122" t="n">
        <v>0</v>
      </c>
      <c r="P8122" t="n">
        <v>0</v>
      </c>
      <c r="Q8122" t="n">
        <v>0</v>
      </c>
      <c r="R8122" s="2" t="inlineStr"/>
    </row>
    <row r="8123" ht="15" customHeight="1">
      <c r="A8123" t="inlineStr">
        <is>
          <t>A 14636-2024</t>
        </is>
      </c>
      <c r="B8123" s="1" t="n">
        <v>45397</v>
      </c>
      <c r="C8123" s="1" t="n">
        <v>45798</v>
      </c>
      <c r="D8123" t="inlineStr">
        <is>
          <t>NORRBOTTENS LÄN</t>
        </is>
      </c>
      <c r="E8123" t="inlineStr">
        <is>
          <t>ÖVERTORNEÅ</t>
        </is>
      </c>
      <c r="F8123" t="inlineStr">
        <is>
          <t>Sveaskog</t>
        </is>
      </c>
      <c r="G8123" t="n">
        <v>23.3</v>
      </c>
      <c r="H8123" t="n">
        <v>0</v>
      </c>
      <c r="I8123" t="n">
        <v>0</v>
      </c>
      <c r="J8123" t="n">
        <v>0</v>
      </c>
      <c r="K8123" t="n">
        <v>0</v>
      </c>
      <c r="L8123" t="n">
        <v>0</v>
      </c>
      <c r="M8123" t="n">
        <v>0</v>
      </c>
      <c r="N8123" t="n">
        <v>0</v>
      </c>
      <c r="O8123" t="n">
        <v>0</v>
      </c>
      <c r="P8123" t="n">
        <v>0</v>
      </c>
      <c r="Q8123" t="n">
        <v>0</v>
      </c>
      <c r="R8123" s="2" t="inlineStr"/>
    </row>
    <row r="8124" ht="15" customHeight="1">
      <c r="A8124" t="inlineStr">
        <is>
          <t>A 14815-2024</t>
        </is>
      </c>
      <c r="B8124" s="1" t="n">
        <v>45398</v>
      </c>
      <c r="C8124" s="1" t="n">
        <v>45798</v>
      </c>
      <c r="D8124" t="inlineStr">
        <is>
          <t>NORRBOTTENS LÄN</t>
        </is>
      </c>
      <c r="E8124" t="inlineStr">
        <is>
          <t>JOKKMOKK</t>
        </is>
      </c>
      <c r="F8124" t="inlineStr">
        <is>
          <t>SCA</t>
        </is>
      </c>
      <c r="G8124" t="n">
        <v>54.1</v>
      </c>
      <c r="H8124" t="n">
        <v>0</v>
      </c>
      <c r="I8124" t="n">
        <v>0</v>
      </c>
      <c r="J8124" t="n">
        <v>0</v>
      </c>
      <c r="K8124" t="n">
        <v>0</v>
      </c>
      <c r="L8124" t="n">
        <v>0</v>
      </c>
      <c r="M8124" t="n">
        <v>0</v>
      </c>
      <c r="N8124" t="n">
        <v>0</v>
      </c>
      <c r="O8124" t="n">
        <v>0</v>
      </c>
      <c r="P8124" t="n">
        <v>0</v>
      </c>
      <c r="Q8124" t="n">
        <v>0</v>
      </c>
      <c r="R8124" s="2" t="inlineStr"/>
    </row>
    <row r="8125" ht="15" customHeight="1">
      <c r="A8125" t="inlineStr">
        <is>
          <t>A 14802-2024</t>
        </is>
      </c>
      <c r="B8125" s="1" t="n">
        <v>45397</v>
      </c>
      <c r="C8125" s="1" t="n">
        <v>45798</v>
      </c>
      <c r="D8125" t="inlineStr">
        <is>
          <t>NORRBOTTENS LÄN</t>
        </is>
      </c>
      <c r="E8125" t="inlineStr">
        <is>
          <t>BODEN</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14772-2024</t>
        </is>
      </c>
      <c r="B8126" s="1" t="n">
        <v>45397</v>
      </c>
      <c r="C8126" s="1" t="n">
        <v>45798</v>
      </c>
      <c r="D8126" t="inlineStr">
        <is>
          <t>NORRBOTTENS LÄN</t>
        </is>
      </c>
      <c r="E8126" t="inlineStr">
        <is>
          <t>PITEÅ</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14801-2024</t>
        </is>
      </c>
      <c r="B8127" s="1" t="n">
        <v>45397</v>
      </c>
      <c r="C8127" s="1" t="n">
        <v>45798</v>
      </c>
      <c r="D8127" t="inlineStr">
        <is>
          <t>NORRBOTTENS LÄN</t>
        </is>
      </c>
      <c r="E8127" t="inlineStr">
        <is>
          <t>BODEN</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14974-2024</t>
        </is>
      </c>
      <c r="B8128" s="1" t="n">
        <v>45399</v>
      </c>
      <c r="C8128" s="1" t="n">
        <v>45798</v>
      </c>
      <c r="D8128" t="inlineStr">
        <is>
          <t>NORRBOTTENS LÄN</t>
        </is>
      </c>
      <c r="E8128" t="inlineStr">
        <is>
          <t>ÖVERKALIX</t>
        </is>
      </c>
      <c r="F8128" t="inlineStr">
        <is>
          <t>SCA</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14826-2024</t>
        </is>
      </c>
      <c r="B8129" s="1" t="n">
        <v>45398</v>
      </c>
      <c r="C8129" s="1" t="n">
        <v>45798</v>
      </c>
      <c r="D8129" t="inlineStr">
        <is>
          <t>NORRBOTTENS LÄN</t>
        </is>
      </c>
      <c r="E8129" t="inlineStr">
        <is>
          <t>ÖVERTORNEÅ</t>
        </is>
      </c>
      <c r="F8129" t="inlineStr">
        <is>
          <t>Sveaskog</t>
        </is>
      </c>
      <c r="G8129" t="n">
        <v>32.7</v>
      </c>
      <c r="H8129" t="n">
        <v>0</v>
      </c>
      <c r="I8129" t="n">
        <v>0</v>
      </c>
      <c r="J8129" t="n">
        <v>0</v>
      </c>
      <c r="K8129" t="n">
        <v>0</v>
      </c>
      <c r="L8129" t="n">
        <v>0</v>
      </c>
      <c r="M8129" t="n">
        <v>0</v>
      </c>
      <c r="N8129" t="n">
        <v>0</v>
      </c>
      <c r="O8129" t="n">
        <v>0</v>
      </c>
      <c r="P8129" t="n">
        <v>0</v>
      </c>
      <c r="Q8129" t="n">
        <v>0</v>
      </c>
      <c r="R8129" s="2" t="inlineStr"/>
    </row>
    <row r="8130" ht="15" customHeight="1">
      <c r="A8130" t="inlineStr">
        <is>
          <t>A 14932-2024</t>
        </is>
      </c>
      <c r="B8130" s="1" t="n">
        <v>45398</v>
      </c>
      <c r="C8130" s="1" t="n">
        <v>45798</v>
      </c>
      <c r="D8130" t="inlineStr">
        <is>
          <t>NORRBOTTENS LÄN</t>
        </is>
      </c>
      <c r="E8130" t="inlineStr">
        <is>
          <t>PAJALA</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14973-2024</t>
        </is>
      </c>
      <c r="B8131" s="1" t="n">
        <v>45399</v>
      </c>
      <c r="C8131" s="1" t="n">
        <v>45798</v>
      </c>
      <c r="D8131" t="inlineStr">
        <is>
          <t>NORRBOTTENS LÄN</t>
        </is>
      </c>
      <c r="E8131" t="inlineStr">
        <is>
          <t>ÖVERKALIX</t>
        </is>
      </c>
      <c r="F8131" t="inlineStr">
        <is>
          <t>SCA</t>
        </is>
      </c>
      <c r="G8131" t="n">
        <v>19.3</v>
      </c>
      <c r="H8131" t="n">
        <v>0</v>
      </c>
      <c r="I8131" t="n">
        <v>0</v>
      </c>
      <c r="J8131" t="n">
        <v>0</v>
      </c>
      <c r="K8131" t="n">
        <v>0</v>
      </c>
      <c r="L8131" t="n">
        <v>0</v>
      </c>
      <c r="M8131" t="n">
        <v>0</v>
      </c>
      <c r="N8131" t="n">
        <v>0</v>
      </c>
      <c r="O8131" t="n">
        <v>0</v>
      </c>
      <c r="P8131" t="n">
        <v>0</v>
      </c>
      <c r="Q8131" t="n">
        <v>0</v>
      </c>
      <c r="R8131" s="2" t="inlineStr"/>
    </row>
    <row r="8132" ht="15" customHeight="1">
      <c r="A8132" t="inlineStr">
        <is>
          <t>A 14977-2024</t>
        </is>
      </c>
      <c r="B8132" s="1" t="n">
        <v>45398</v>
      </c>
      <c r="C8132" s="1" t="n">
        <v>45798</v>
      </c>
      <c r="D8132" t="inlineStr">
        <is>
          <t>NORRBOTTENS LÄN</t>
        </is>
      </c>
      <c r="E8132" t="inlineStr">
        <is>
          <t>ARVIDSJAUR</t>
        </is>
      </c>
      <c r="F8132" t="inlineStr">
        <is>
          <t>SCA</t>
        </is>
      </c>
      <c r="G8132" t="n">
        <v>55.7</v>
      </c>
      <c r="H8132" t="n">
        <v>0</v>
      </c>
      <c r="I8132" t="n">
        <v>0</v>
      </c>
      <c r="J8132" t="n">
        <v>0</v>
      </c>
      <c r="K8132" t="n">
        <v>0</v>
      </c>
      <c r="L8132" t="n">
        <v>0</v>
      </c>
      <c r="M8132" t="n">
        <v>0</v>
      </c>
      <c r="N8132" t="n">
        <v>0</v>
      </c>
      <c r="O8132" t="n">
        <v>0</v>
      </c>
      <c r="P8132" t="n">
        <v>0</v>
      </c>
      <c r="Q8132" t="n">
        <v>0</v>
      </c>
      <c r="R8132" s="2" t="inlineStr"/>
    </row>
    <row r="8133" ht="15" customHeight="1">
      <c r="A8133" t="inlineStr">
        <is>
          <t>A 14972-2024</t>
        </is>
      </c>
      <c r="B8133" s="1" t="n">
        <v>45399</v>
      </c>
      <c r="C8133" s="1" t="n">
        <v>45798</v>
      </c>
      <c r="D8133" t="inlineStr">
        <is>
          <t>NORRBOTTENS LÄN</t>
        </is>
      </c>
      <c r="E8133" t="inlineStr">
        <is>
          <t>KALIX</t>
        </is>
      </c>
      <c r="F8133" t="inlineStr">
        <is>
          <t>SCA</t>
        </is>
      </c>
      <c r="G8133" t="n">
        <v>16.9</v>
      </c>
      <c r="H8133" t="n">
        <v>0</v>
      </c>
      <c r="I8133" t="n">
        <v>0</v>
      </c>
      <c r="J8133" t="n">
        <v>0</v>
      </c>
      <c r="K8133" t="n">
        <v>0</v>
      </c>
      <c r="L8133" t="n">
        <v>0</v>
      </c>
      <c r="M8133" t="n">
        <v>0</v>
      </c>
      <c r="N8133" t="n">
        <v>0</v>
      </c>
      <c r="O8133" t="n">
        <v>0</v>
      </c>
      <c r="P8133" t="n">
        <v>0</v>
      </c>
      <c r="Q8133" t="n">
        <v>0</v>
      </c>
      <c r="R8133" s="2" t="inlineStr"/>
    </row>
    <row r="8134" ht="15" customHeight="1">
      <c r="A8134" t="inlineStr">
        <is>
          <t>A 15021-2024</t>
        </is>
      </c>
      <c r="B8134" s="1" t="n">
        <v>45399</v>
      </c>
      <c r="C8134" s="1" t="n">
        <v>45798</v>
      </c>
      <c r="D8134" t="inlineStr">
        <is>
          <t>NORRBOTTENS LÄN</t>
        </is>
      </c>
      <c r="E8134" t="inlineStr">
        <is>
          <t>HAPARANDA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15091-2024</t>
        </is>
      </c>
      <c r="B8135" s="1" t="n">
        <v>45399</v>
      </c>
      <c r="C8135" s="1" t="n">
        <v>45798</v>
      </c>
      <c r="D8135" t="inlineStr">
        <is>
          <t>NORRBOTTENS LÄN</t>
        </is>
      </c>
      <c r="E8135" t="inlineStr">
        <is>
          <t>ARVIDSJAUR</t>
        </is>
      </c>
      <c r="F8135" t="inlineStr">
        <is>
          <t>Sveaskog</t>
        </is>
      </c>
      <c r="G8135" t="n">
        <v>41.6</v>
      </c>
      <c r="H8135" t="n">
        <v>0</v>
      </c>
      <c r="I8135" t="n">
        <v>0</v>
      </c>
      <c r="J8135" t="n">
        <v>0</v>
      </c>
      <c r="K8135" t="n">
        <v>0</v>
      </c>
      <c r="L8135" t="n">
        <v>0</v>
      </c>
      <c r="M8135" t="n">
        <v>0</v>
      </c>
      <c r="N8135" t="n">
        <v>0</v>
      </c>
      <c r="O8135" t="n">
        <v>0</v>
      </c>
      <c r="P8135" t="n">
        <v>0</v>
      </c>
      <c r="Q8135" t="n">
        <v>0</v>
      </c>
      <c r="R8135" s="2" t="inlineStr"/>
    </row>
    <row r="8136" ht="15" customHeight="1">
      <c r="A8136" t="inlineStr">
        <is>
          <t>A 14990-2024</t>
        </is>
      </c>
      <c r="B8136" s="1" t="n">
        <v>45399</v>
      </c>
      <c r="C8136" s="1" t="n">
        <v>45798</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14999-2024</t>
        </is>
      </c>
      <c r="B8137" s="1" t="n">
        <v>45399</v>
      </c>
      <c r="C8137" s="1" t="n">
        <v>45798</v>
      </c>
      <c r="D8137" t="inlineStr">
        <is>
          <t>NORRBOTTENS LÄN</t>
        </is>
      </c>
      <c r="E8137" t="inlineStr">
        <is>
          <t>GÄLLIVARE</t>
        </is>
      </c>
      <c r="G8137" t="n">
        <v>12.5</v>
      </c>
      <c r="H8137" t="n">
        <v>0</v>
      </c>
      <c r="I8137" t="n">
        <v>0</v>
      </c>
      <c r="J8137" t="n">
        <v>0</v>
      </c>
      <c r="K8137" t="n">
        <v>0</v>
      </c>
      <c r="L8137" t="n">
        <v>0</v>
      </c>
      <c r="M8137" t="n">
        <v>0</v>
      </c>
      <c r="N8137" t="n">
        <v>0</v>
      </c>
      <c r="O8137" t="n">
        <v>0</v>
      </c>
      <c r="P8137" t="n">
        <v>0</v>
      </c>
      <c r="Q8137" t="n">
        <v>0</v>
      </c>
      <c r="R8137" s="2" t="inlineStr"/>
    </row>
    <row r="8138" ht="15" customHeight="1">
      <c r="A8138" t="inlineStr">
        <is>
          <t>A 15141-2024</t>
        </is>
      </c>
      <c r="B8138" s="1" t="n">
        <v>45400</v>
      </c>
      <c r="C8138" s="1" t="n">
        <v>45798</v>
      </c>
      <c r="D8138" t="inlineStr">
        <is>
          <t>NORRBOTTENS LÄN</t>
        </is>
      </c>
      <c r="E8138" t="inlineStr">
        <is>
          <t>KALIX</t>
        </is>
      </c>
      <c r="F8138" t="inlineStr">
        <is>
          <t>SCA</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15138-2024</t>
        </is>
      </c>
      <c r="B8139" s="1" t="n">
        <v>45399</v>
      </c>
      <c r="C8139" s="1" t="n">
        <v>45798</v>
      </c>
      <c r="D8139" t="inlineStr">
        <is>
          <t>NORRBOTTENS LÄN</t>
        </is>
      </c>
      <c r="E8139" t="inlineStr">
        <is>
          <t>PITEÅ</t>
        </is>
      </c>
      <c r="G8139" t="n">
        <v>8.300000000000001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15142-2024</t>
        </is>
      </c>
      <c r="B8140" s="1" t="n">
        <v>45400</v>
      </c>
      <c r="C8140" s="1" t="n">
        <v>45798</v>
      </c>
      <c r="D8140" t="inlineStr">
        <is>
          <t>NORRBOTTENS LÄN</t>
        </is>
      </c>
      <c r="E8140" t="inlineStr">
        <is>
          <t>KALIX</t>
        </is>
      </c>
      <c r="F8140" t="inlineStr">
        <is>
          <t>SCA</t>
        </is>
      </c>
      <c r="G8140" t="n">
        <v>10.4</v>
      </c>
      <c r="H8140" t="n">
        <v>0</v>
      </c>
      <c r="I8140" t="n">
        <v>0</v>
      </c>
      <c r="J8140" t="n">
        <v>0</v>
      </c>
      <c r="K8140" t="n">
        <v>0</v>
      </c>
      <c r="L8140" t="n">
        <v>0</v>
      </c>
      <c r="M8140" t="n">
        <v>0</v>
      </c>
      <c r="N8140" t="n">
        <v>0</v>
      </c>
      <c r="O8140" t="n">
        <v>0</v>
      </c>
      <c r="P8140" t="n">
        <v>0</v>
      </c>
      <c r="Q8140" t="n">
        <v>0</v>
      </c>
      <c r="R8140" s="2" t="inlineStr"/>
    </row>
    <row r="8141" ht="15" customHeight="1">
      <c r="A8141" t="inlineStr">
        <is>
          <t>A 15124-2024</t>
        </is>
      </c>
      <c r="B8141" s="1" t="n">
        <v>45399</v>
      </c>
      <c r="C8141" s="1" t="n">
        <v>45798</v>
      </c>
      <c r="D8141" t="inlineStr">
        <is>
          <t>NORRBOTTENS LÄN</t>
        </is>
      </c>
      <c r="E8141" t="inlineStr">
        <is>
          <t>PAJALA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15200-2024</t>
        </is>
      </c>
      <c r="B8142" s="1" t="n">
        <v>45400</v>
      </c>
      <c r="C8142" s="1" t="n">
        <v>45798</v>
      </c>
      <c r="D8142" t="inlineStr">
        <is>
          <t>NORRBOTTENS LÄN</t>
        </is>
      </c>
      <c r="E8142" t="inlineStr">
        <is>
          <t>PITEÅ</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15225-2024</t>
        </is>
      </c>
      <c r="B8143" s="1" t="n">
        <v>45400</v>
      </c>
      <c r="C8143" s="1" t="n">
        <v>45798</v>
      </c>
      <c r="D8143" t="inlineStr">
        <is>
          <t>NORRBOTTENS LÄN</t>
        </is>
      </c>
      <c r="E8143" t="inlineStr">
        <is>
          <t>PITEÅ</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15302-2024</t>
        </is>
      </c>
      <c r="B8144" s="1" t="n">
        <v>45400</v>
      </c>
      <c r="C8144" s="1" t="n">
        <v>45798</v>
      </c>
      <c r="D8144" t="inlineStr">
        <is>
          <t>NORRBOTTENS LÄN</t>
        </is>
      </c>
      <c r="E8144" t="inlineStr">
        <is>
          <t>ÖVERKALIX</t>
        </is>
      </c>
      <c r="F8144" t="inlineStr">
        <is>
          <t>Sveaskog</t>
        </is>
      </c>
      <c r="G8144" t="n">
        <v>19.4</v>
      </c>
      <c r="H8144" t="n">
        <v>0</v>
      </c>
      <c r="I8144" t="n">
        <v>0</v>
      </c>
      <c r="J8144" t="n">
        <v>0</v>
      </c>
      <c r="K8144" t="n">
        <v>0</v>
      </c>
      <c r="L8144" t="n">
        <v>0</v>
      </c>
      <c r="M8144" t="n">
        <v>0</v>
      </c>
      <c r="N8144" t="n">
        <v>0</v>
      </c>
      <c r="O8144" t="n">
        <v>0</v>
      </c>
      <c r="P8144" t="n">
        <v>0</v>
      </c>
      <c r="Q8144" t="n">
        <v>0</v>
      </c>
      <c r="R8144" s="2" t="inlineStr"/>
    </row>
    <row r="8145" ht="15" customHeight="1">
      <c r="A8145" t="inlineStr">
        <is>
          <t>A 15244-2024</t>
        </is>
      </c>
      <c r="B8145" s="1" t="n">
        <v>45400</v>
      </c>
      <c r="C8145" s="1" t="n">
        <v>45798</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15355-2024</t>
        </is>
      </c>
      <c r="B8146" s="1" t="n">
        <v>45400</v>
      </c>
      <c r="C8146" s="1" t="n">
        <v>45798</v>
      </c>
      <c r="D8146" t="inlineStr">
        <is>
          <t>NORRBOTTENS LÄN</t>
        </is>
      </c>
      <c r="E8146" t="inlineStr">
        <is>
          <t>JOKKMOKK</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15352-2024</t>
        </is>
      </c>
      <c r="B8147" s="1" t="n">
        <v>45400</v>
      </c>
      <c r="C8147" s="1" t="n">
        <v>45798</v>
      </c>
      <c r="D8147" t="inlineStr">
        <is>
          <t>NORRBOTTENS LÄN</t>
        </is>
      </c>
      <c r="E8147" t="inlineStr">
        <is>
          <t>PITEÅ</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15373-2024</t>
        </is>
      </c>
      <c r="B8148" s="1" t="n">
        <v>45400</v>
      </c>
      <c r="C8148" s="1" t="n">
        <v>45798</v>
      </c>
      <c r="D8148" t="inlineStr">
        <is>
          <t>NORRBOTTENS LÄN</t>
        </is>
      </c>
      <c r="E8148" t="inlineStr">
        <is>
          <t>GÄLLIVARE</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15546-2024</t>
        </is>
      </c>
      <c r="B8149" s="1" t="n">
        <v>45401</v>
      </c>
      <c r="C8149" s="1" t="n">
        <v>45798</v>
      </c>
      <c r="D8149" t="inlineStr">
        <is>
          <t>NORRBOTTENS LÄN</t>
        </is>
      </c>
      <c r="E8149" t="inlineStr">
        <is>
          <t>ÖVERKALIX</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15513-2024</t>
        </is>
      </c>
      <c r="B8150" s="1" t="n">
        <v>45401</v>
      </c>
      <c r="C8150" s="1" t="n">
        <v>45798</v>
      </c>
      <c r="D8150" t="inlineStr">
        <is>
          <t>NORRBOTTENS LÄN</t>
        </is>
      </c>
      <c r="E8150" t="inlineStr">
        <is>
          <t>KALIX</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15417-2024</t>
        </is>
      </c>
      <c r="B8151" s="1" t="n">
        <v>45401</v>
      </c>
      <c r="C8151" s="1" t="n">
        <v>45798</v>
      </c>
      <c r="D8151" t="inlineStr">
        <is>
          <t>NORRBOTTENS LÄN</t>
        </is>
      </c>
      <c r="E8151" t="inlineStr">
        <is>
          <t>ÄLVSBYN</t>
        </is>
      </c>
      <c r="G8151" t="n">
        <v>9.699999999999999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15401-2024</t>
        </is>
      </c>
      <c r="B8152" s="1" t="n">
        <v>45401</v>
      </c>
      <c r="C8152" s="1" t="n">
        <v>45798</v>
      </c>
      <c r="D8152" t="inlineStr">
        <is>
          <t>NORRBOTTENS LÄN</t>
        </is>
      </c>
      <c r="E8152" t="inlineStr">
        <is>
          <t>ÄLVSBYN</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15531-2024</t>
        </is>
      </c>
      <c r="B8153" s="1" t="n">
        <v>45401</v>
      </c>
      <c r="C8153" s="1" t="n">
        <v>45798</v>
      </c>
      <c r="D8153" t="inlineStr">
        <is>
          <t>NORRBOTTENS LÄN</t>
        </is>
      </c>
      <c r="E8153" t="inlineStr">
        <is>
          <t>ÄLVSBYN</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15410-2024</t>
        </is>
      </c>
      <c r="B8154" s="1" t="n">
        <v>45401</v>
      </c>
      <c r="C8154" s="1" t="n">
        <v>45798</v>
      </c>
      <c r="D8154" t="inlineStr">
        <is>
          <t>NORRBOTTENS LÄN</t>
        </is>
      </c>
      <c r="E8154" t="inlineStr">
        <is>
          <t>ÄLVSBYN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15668-2024</t>
        </is>
      </c>
      <c r="B8155" s="1" t="n">
        <v>45401</v>
      </c>
      <c r="C8155" s="1" t="n">
        <v>45798</v>
      </c>
      <c r="D8155" t="inlineStr">
        <is>
          <t>NORRBOTTENS LÄN</t>
        </is>
      </c>
      <c r="E8155" t="inlineStr">
        <is>
          <t>BODEN</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15607-2024</t>
        </is>
      </c>
      <c r="B8156" s="1" t="n">
        <v>45402</v>
      </c>
      <c r="C8156" s="1" t="n">
        <v>45798</v>
      </c>
      <c r="D8156" t="inlineStr">
        <is>
          <t>NORRBOTTENS LÄN</t>
        </is>
      </c>
      <c r="E8156" t="inlineStr">
        <is>
          <t>PITEÅ</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15608-2024</t>
        </is>
      </c>
      <c r="B8157" s="1" t="n">
        <v>45402</v>
      </c>
      <c r="C8157" s="1" t="n">
        <v>45798</v>
      </c>
      <c r="D8157" t="inlineStr">
        <is>
          <t>NORRBOTTENS LÄN</t>
        </is>
      </c>
      <c r="E8157" t="inlineStr">
        <is>
          <t>PITEÅ</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15570-2024</t>
        </is>
      </c>
      <c r="B8158" s="1" t="n">
        <v>45401</v>
      </c>
      <c r="C8158" s="1" t="n">
        <v>45798</v>
      </c>
      <c r="D8158" t="inlineStr">
        <is>
          <t>NORRBOTTENS LÄN</t>
        </is>
      </c>
      <c r="E8158" t="inlineStr">
        <is>
          <t>PAJALA</t>
        </is>
      </c>
      <c r="F8158" t="inlineStr">
        <is>
          <t>Allmännings- och besparingsskogar</t>
        </is>
      </c>
      <c r="G8158" t="n">
        <v>22.1</v>
      </c>
      <c r="H8158" t="n">
        <v>0</v>
      </c>
      <c r="I8158" t="n">
        <v>0</v>
      </c>
      <c r="J8158" t="n">
        <v>0</v>
      </c>
      <c r="K8158" t="n">
        <v>0</v>
      </c>
      <c r="L8158" t="n">
        <v>0</v>
      </c>
      <c r="M8158" t="n">
        <v>0</v>
      </c>
      <c r="N8158" t="n">
        <v>0</v>
      </c>
      <c r="O8158" t="n">
        <v>0</v>
      </c>
      <c r="P8158" t="n">
        <v>0</v>
      </c>
      <c r="Q8158" t="n">
        <v>0</v>
      </c>
      <c r="R8158" s="2" t="inlineStr"/>
    </row>
    <row r="8159" ht="15" customHeight="1">
      <c r="A8159" t="inlineStr">
        <is>
          <t>A 15586-2024</t>
        </is>
      </c>
      <c r="B8159" s="1" t="n">
        <v>45401</v>
      </c>
      <c r="C8159" s="1" t="n">
        <v>45798</v>
      </c>
      <c r="D8159" t="inlineStr">
        <is>
          <t>NORRBOTTENS LÄN</t>
        </is>
      </c>
      <c r="E8159" t="inlineStr">
        <is>
          <t>BODEN</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15573-2024</t>
        </is>
      </c>
      <c r="B8160" s="1" t="n">
        <v>45401</v>
      </c>
      <c r="C8160" s="1" t="n">
        <v>45798</v>
      </c>
      <c r="D8160" t="inlineStr">
        <is>
          <t>NORRBOTTENS LÄN</t>
        </is>
      </c>
      <c r="E8160" t="inlineStr">
        <is>
          <t>PAJALA</t>
        </is>
      </c>
      <c r="F8160" t="inlineStr">
        <is>
          <t>Allmännings- och besparingsskogar</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15609-2024</t>
        </is>
      </c>
      <c r="B8161" s="1" t="n">
        <v>45402</v>
      </c>
      <c r="C8161" s="1" t="n">
        <v>45798</v>
      </c>
      <c r="D8161" t="inlineStr">
        <is>
          <t>NORRBOTTENS LÄN</t>
        </is>
      </c>
      <c r="E8161" t="inlineStr">
        <is>
          <t>PAJALA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15515-2024</t>
        </is>
      </c>
      <c r="B8162" s="1" t="n">
        <v>45401</v>
      </c>
      <c r="C8162" s="1" t="n">
        <v>45798</v>
      </c>
      <c r="D8162" t="inlineStr">
        <is>
          <t>NORRBOTTENS LÄN</t>
        </is>
      </c>
      <c r="E8162" t="inlineStr">
        <is>
          <t>KALIX</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15738-2024</t>
        </is>
      </c>
      <c r="B8163" s="1" t="n">
        <v>45404</v>
      </c>
      <c r="C8163" s="1" t="n">
        <v>45798</v>
      </c>
      <c r="D8163" t="inlineStr">
        <is>
          <t>NORRBOTTENS LÄN</t>
        </is>
      </c>
      <c r="E8163" t="inlineStr">
        <is>
          <t>PAJALA</t>
        </is>
      </c>
      <c r="G8163" t="n">
        <v>21.1</v>
      </c>
      <c r="H8163" t="n">
        <v>0</v>
      </c>
      <c r="I8163" t="n">
        <v>0</v>
      </c>
      <c r="J8163" t="n">
        <v>0</v>
      </c>
      <c r="K8163" t="n">
        <v>0</v>
      </c>
      <c r="L8163" t="n">
        <v>0</v>
      </c>
      <c r="M8163" t="n">
        <v>0</v>
      </c>
      <c r="N8163" t="n">
        <v>0</v>
      </c>
      <c r="O8163" t="n">
        <v>0</v>
      </c>
      <c r="P8163" t="n">
        <v>0</v>
      </c>
      <c r="Q8163" t="n">
        <v>0</v>
      </c>
      <c r="R8163" s="2" t="inlineStr"/>
    </row>
    <row r="8164" ht="15" customHeight="1">
      <c r="A8164" t="inlineStr">
        <is>
          <t>A 15764-2024</t>
        </is>
      </c>
      <c r="B8164" s="1" t="n">
        <v>45404</v>
      </c>
      <c r="C8164" s="1" t="n">
        <v>45798</v>
      </c>
      <c r="D8164" t="inlineStr">
        <is>
          <t>NORRBOTTENS LÄN</t>
        </is>
      </c>
      <c r="E8164" t="inlineStr">
        <is>
          <t>ÖVERTORNEÅ</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15715-2024</t>
        </is>
      </c>
      <c r="B8165" s="1" t="n">
        <v>45404</v>
      </c>
      <c r="C8165" s="1" t="n">
        <v>45798</v>
      </c>
      <c r="D8165" t="inlineStr">
        <is>
          <t>NORRBOTTENS LÄN</t>
        </is>
      </c>
      <c r="E8165" t="inlineStr">
        <is>
          <t>ARVIDSJAUR</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15845-2024</t>
        </is>
      </c>
      <c r="B8166" s="1" t="n">
        <v>45404</v>
      </c>
      <c r="C8166" s="1" t="n">
        <v>45798</v>
      </c>
      <c r="D8166" t="inlineStr">
        <is>
          <t>NORRBOTTENS LÄN</t>
        </is>
      </c>
      <c r="E8166" t="inlineStr">
        <is>
          <t>ÄLVSBYN</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15854-2024</t>
        </is>
      </c>
      <c r="B8167" s="1" t="n">
        <v>45405</v>
      </c>
      <c r="C8167" s="1" t="n">
        <v>45798</v>
      </c>
      <c r="D8167" t="inlineStr">
        <is>
          <t>NORRBOTTENS LÄN</t>
        </is>
      </c>
      <c r="E8167" t="inlineStr">
        <is>
          <t>ÖVERKALIX</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16000-2024</t>
        </is>
      </c>
      <c r="B8168" s="1" t="n">
        <v>45405</v>
      </c>
      <c r="C8168" s="1" t="n">
        <v>45798</v>
      </c>
      <c r="D8168" t="inlineStr">
        <is>
          <t>NORRBOTTENS LÄN</t>
        </is>
      </c>
      <c r="E8168" t="inlineStr">
        <is>
          <t>ÖVERTORNEÅ</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15936-2024</t>
        </is>
      </c>
      <c r="B8169" s="1" t="n">
        <v>45405</v>
      </c>
      <c r="C8169" s="1" t="n">
        <v>45798</v>
      </c>
      <c r="D8169" t="inlineStr">
        <is>
          <t>NORRBOTTENS LÄN</t>
        </is>
      </c>
      <c r="E8169" t="inlineStr">
        <is>
          <t>ÄLVSBYN</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15928-2024</t>
        </is>
      </c>
      <c r="B8170" s="1" t="n">
        <v>45405</v>
      </c>
      <c r="C8170" s="1" t="n">
        <v>45798</v>
      </c>
      <c r="D8170" t="inlineStr">
        <is>
          <t>NORRBOTTENS LÄN</t>
        </is>
      </c>
      <c r="E8170" t="inlineStr">
        <is>
          <t>LULEÅ</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15920-2024</t>
        </is>
      </c>
      <c r="B8171" s="1" t="n">
        <v>45405</v>
      </c>
      <c r="C8171" s="1" t="n">
        <v>45798</v>
      </c>
      <c r="D8171" t="inlineStr">
        <is>
          <t>NORRBOTTENS LÄN</t>
        </is>
      </c>
      <c r="E8171" t="inlineStr">
        <is>
          <t>LULEÅ</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16044-2024</t>
        </is>
      </c>
      <c r="B8172" s="1" t="n">
        <v>45406</v>
      </c>
      <c r="C8172" s="1" t="n">
        <v>45798</v>
      </c>
      <c r="D8172" t="inlineStr">
        <is>
          <t>NORRBOTTENS LÄN</t>
        </is>
      </c>
      <c r="E8172" t="inlineStr">
        <is>
          <t>PITEÅ</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16036-2024</t>
        </is>
      </c>
      <c r="B8173" s="1" t="n">
        <v>45405</v>
      </c>
      <c r="C8173" s="1" t="n">
        <v>45798</v>
      </c>
      <c r="D8173" t="inlineStr">
        <is>
          <t>NORRBOTTENS LÄN</t>
        </is>
      </c>
      <c r="E8173" t="inlineStr">
        <is>
          <t>HAPARANDA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16028-2024</t>
        </is>
      </c>
      <c r="B8174" s="1" t="n">
        <v>45405</v>
      </c>
      <c r="C8174" s="1" t="n">
        <v>45798</v>
      </c>
      <c r="D8174" t="inlineStr">
        <is>
          <t>NORRBOTTENS LÄN</t>
        </is>
      </c>
      <c r="E8174" t="inlineStr">
        <is>
          <t>ÖVERTORNEÅ</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16024-2024</t>
        </is>
      </c>
      <c r="B8175" s="1" t="n">
        <v>45405</v>
      </c>
      <c r="C8175" s="1" t="n">
        <v>45798</v>
      </c>
      <c r="D8175" t="inlineStr">
        <is>
          <t>NORRBOTTENS LÄN</t>
        </is>
      </c>
      <c r="E8175" t="inlineStr">
        <is>
          <t>KIRUNA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16030-2024</t>
        </is>
      </c>
      <c r="B8176" s="1" t="n">
        <v>45405</v>
      </c>
      <c r="C8176" s="1" t="n">
        <v>45798</v>
      </c>
      <c r="D8176" t="inlineStr">
        <is>
          <t>NORRBOTTENS LÄN</t>
        </is>
      </c>
      <c r="E8176" t="inlineStr">
        <is>
          <t>HAPARANDA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16046-2024</t>
        </is>
      </c>
      <c r="B8177" s="1" t="n">
        <v>45405</v>
      </c>
      <c r="C8177" s="1" t="n">
        <v>45798</v>
      </c>
      <c r="D8177" t="inlineStr">
        <is>
          <t>NORRBOTTENS LÄN</t>
        </is>
      </c>
      <c r="E8177" t="inlineStr">
        <is>
          <t>KALIX</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16018-2024</t>
        </is>
      </c>
      <c r="B8178" s="1" t="n">
        <v>45405</v>
      </c>
      <c r="C8178" s="1" t="n">
        <v>45798</v>
      </c>
      <c r="D8178" t="inlineStr">
        <is>
          <t>NORRBOTTENS LÄN</t>
        </is>
      </c>
      <c r="E8178" t="inlineStr">
        <is>
          <t>JOKKMOKK</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16006-2024</t>
        </is>
      </c>
      <c r="B8179" s="1" t="n">
        <v>45405</v>
      </c>
      <c r="C8179" s="1" t="n">
        <v>45798</v>
      </c>
      <c r="D8179" t="inlineStr">
        <is>
          <t>NORRBOTTENS LÄN</t>
        </is>
      </c>
      <c r="E8179" t="inlineStr">
        <is>
          <t>ÖVERTORNEÅ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16035-2024</t>
        </is>
      </c>
      <c r="B8180" s="1" t="n">
        <v>45405</v>
      </c>
      <c r="C8180" s="1" t="n">
        <v>45798</v>
      </c>
      <c r="D8180" t="inlineStr">
        <is>
          <t>NORRBOTTENS LÄN</t>
        </is>
      </c>
      <c r="E8180" t="inlineStr">
        <is>
          <t>HAPARANDA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15959-2024</t>
        </is>
      </c>
      <c r="B8181" s="1" t="n">
        <v>45405</v>
      </c>
      <c r="C8181" s="1" t="n">
        <v>45798</v>
      </c>
      <c r="D8181" t="inlineStr">
        <is>
          <t>NORRBOTTENS LÄN</t>
        </is>
      </c>
      <c r="E8181" t="inlineStr">
        <is>
          <t>ÄLVSBYN</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16043-2024</t>
        </is>
      </c>
      <c r="B8182" s="1" t="n">
        <v>45406</v>
      </c>
      <c r="C8182" s="1" t="n">
        <v>45798</v>
      </c>
      <c r="D8182" t="inlineStr">
        <is>
          <t>NORRBOTTENS LÄN</t>
        </is>
      </c>
      <c r="E8182" t="inlineStr">
        <is>
          <t>PITEÅ</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16091-2024</t>
        </is>
      </c>
      <c r="B8183" s="1" t="n">
        <v>45406</v>
      </c>
      <c r="C8183" s="1" t="n">
        <v>45798</v>
      </c>
      <c r="D8183" t="inlineStr">
        <is>
          <t>NORRBOTTENS LÄN</t>
        </is>
      </c>
      <c r="E8183" t="inlineStr">
        <is>
          <t>HAPARANDA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16153-2024</t>
        </is>
      </c>
      <c r="B8184" s="1" t="n">
        <v>45406</v>
      </c>
      <c r="C8184" s="1" t="n">
        <v>45798</v>
      </c>
      <c r="D8184" t="inlineStr">
        <is>
          <t>NORRBOTTENS LÄN</t>
        </is>
      </c>
      <c r="E8184" t="inlineStr">
        <is>
          <t>PITEÅ</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16057-2024</t>
        </is>
      </c>
      <c r="B8185" s="1" t="n">
        <v>45406</v>
      </c>
      <c r="C8185" s="1" t="n">
        <v>45798</v>
      </c>
      <c r="D8185" t="inlineStr">
        <is>
          <t>NORRBOTTENS LÄN</t>
        </is>
      </c>
      <c r="E8185" t="inlineStr">
        <is>
          <t>ÄLVSBYN</t>
        </is>
      </c>
      <c r="F8185" t="inlineStr">
        <is>
          <t>SCA</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16209-2024</t>
        </is>
      </c>
      <c r="B8186" s="1" t="n">
        <v>45406</v>
      </c>
      <c r="C8186" s="1" t="n">
        <v>45798</v>
      </c>
      <c r="D8186" t="inlineStr">
        <is>
          <t>NORRBOTTENS LÄN</t>
        </is>
      </c>
      <c r="E8186" t="inlineStr">
        <is>
          <t>PAJALA</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16221-2024</t>
        </is>
      </c>
      <c r="B8187" s="1" t="n">
        <v>45407</v>
      </c>
      <c r="C8187" s="1" t="n">
        <v>45798</v>
      </c>
      <c r="D8187" t="inlineStr">
        <is>
          <t>NORRBOTTENS LÄN</t>
        </is>
      </c>
      <c r="E8187" t="inlineStr">
        <is>
          <t>KALIX</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16225-2024</t>
        </is>
      </c>
      <c r="B8188" s="1" t="n">
        <v>45407</v>
      </c>
      <c r="C8188" s="1" t="n">
        <v>45798</v>
      </c>
      <c r="D8188" t="inlineStr">
        <is>
          <t>NORRBOTTENS LÄN</t>
        </is>
      </c>
      <c r="E8188" t="inlineStr">
        <is>
          <t>KALIX</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16222-2024</t>
        </is>
      </c>
      <c r="B8189" s="1" t="n">
        <v>45406</v>
      </c>
      <c r="C8189" s="1" t="n">
        <v>45798</v>
      </c>
      <c r="D8189" t="inlineStr">
        <is>
          <t>NORRBOTTENS LÄN</t>
        </is>
      </c>
      <c r="E8189" t="inlineStr">
        <is>
          <t>BODEN</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16226-2024</t>
        </is>
      </c>
      <c r="B8190" s="1" t="n">
        <v>45407</v>
      </c>
      <c r="C8190" s="1" t="n">
        <v>45798</v>
      </c>
      <c r="D8190" t="inlineStr">
        <is>
          <t>NORRBOTTENS LÄN</t>
        </is>
      </c>
      <c r="E8190" t="inlineStr">
        <is>
          <t>BODEN</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16058-2024</t>
        </is>
      </c>
      <c r="B8191" s="1" t="n">
        <v>45406</v>
      </c>
      <c r="C8191" s="1" t="n">
        <v>45798</v>
      </c>
      <c r="D8191" t="inlineStr">
        <is>
          <t>NORRBOTTENS LÄN</t>
        </is>
      </c>
      <c r="E8191" t="inlineStr">
        <is>
          <t>ÖVERKALIX</t>
        </is>
      </c>
      <c r="F8191" t="inlineStr">
        <is>
          <t>SCA</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16090-2024</t>
        </is>
      </c>
      <c r="B8192" s="1" t="n">
        <v>45406</v>
      </c>
      <c r="C8192" s="1" t="n">
        <v>45798</v>
      </c>
      <c r="D8192" t="inlineStr">
        <is>
          <t>NORRBOTTENS LÄN</t>
        </is>
      </c>
      <c r="E8192" t="inlineStr">
        <is>
          <t>HAPARANDA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16127-2024</t>
        </is>
      </c>
      <c r="B8193" s="1" t="n">
        <v>45406</v>
      </c>
      <c r="C8193" s="1" t="n">
        <v>45798</v>
      </c>
      <c r="D8193" t="inlineStr">
        <is>
          <t>NORRBOTTENS LÄN</t>
        </is>
      </c>
      <c r="E8193" t="inlineStr">
        <is>
          <t>GÄLLIVARE</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16204-2024</t>
        </is>
      </c>
      <c r="B8194" s="1" t="n">
        <v>45406</v>
      </c>
      <c r="C8194" s="1" t="n">
        <v>45798</v>
      </c>
      <c r="D8194" t="inlineStr">
        <is>
          <t>NORRBOTTENS LÄN</t>
        </is>
      </c>
      <c r="E8194" t="inlineStr">
        <is>
          <t>ÄLVSBYN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16208-2024</t>
        </is>
      </c>
      <c r="B8195" s="1" t="n">
        <v>45406</v>
      </c>
      <c r="C8195" s="1" t="n">
        <v>45798</v>
      </c>
      <c r="D8195" t="inlineStr">
        <is>
          <t>NORRBOTTENS LÄN</t>
        </is>
      </c>
      <c r="E8195" t="inlineStr">
        <is>
          <t>PAJALA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16216-2024</t>
        </is>
      </c>
      <c r="B8196" s="1" t="n">
        <v>45406</v>
      </c>
      <c r="C8196" s="1" t="n">
        <v>45798</v>
      </c>
      <c r="D8196" t="inlineStr">
        <is>
          <t>NORRBOTTENS LÄN</t>
        </is>
      </c>
      <c r="E8196" t="inlineStr">
        <is>
          <t>KALIX</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16220-2024</t>
        </is>
      </c>
      <c r="B8197" s="1" t="n">
        <v>45407</v>
      </c>
      <c r="C8197" s="1" t="n">
        <v>45798</v>
      </c>
      <c r="D8197" t="inlineStr">
        <is>
          <t>NORRBOTTENS LÄN</t>
        </is>
      </c>
      <c r="E8197" t="inlineStr">
        <is>
          <t>BODEN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16224-2024</t>
        </is>
      </c>
      <c r="B8198" s="1" t="n">
        <v>45406</v>
      </c>
      <c r="C8198" s="1" t="n">
        <v>45798</v>
      </c>
      <c r="D8198" t="inlineStr">
        <is>
          <t>NORRBOTTENS LÄN</t>
        </is>
      </c>
      <c r="E8198" t="inlineStr">
        <is>
          <t>KALIX</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16207-2024</t>
        </is>
      </c>
      <c r="B8199" s="1" t="n">
        <v>45406</v>
      </c>
      <c r="C8199" s="1" t="n">
        <v>45798</v>
      </c>
      <c r="D8199" t="inlineStr">
        <is>
          <t>NORRBOTTENS LÄN</t>
        </is>
      </c>
      <c r="E8199" t="inlineStr">
        <is>
          <t>PAJALA</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16215-2024</t>
        </is>
      </c>
      <c r="B8200" s="1" t="n">
        <v>45406</v>
      </c>
      <c r="C8200" s="1" t="n">
        <v>45798</v>
      </c>
      <c r="D8200" t="inlineStr">
        <is>
          <t>NORRBOTTENS LÄN</t>
        </is>
      </c>
      <c r="E8200" t="inlineStr">
        <is>
          <t>BODEN</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16347-2024</t>
        </is>
      </c>
      <c r="B8201" s="1" t="n">
        <v>45407</v>
      </c>
      <c r="C8201" s="1" t="n">
        <v>45798</v>
      </c>
      <c r="D8201" t="inlineStr">
        <is>
          <t>NORRBOTTENS LÄN</t>
        </is>
      </c>
      <c r="E8201" t="inlineStr">
        <is>
          <t>ÄLVSBYN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16362-2024</t>
        </is>
      </c>
      <c r="B8202" s="1" t="n">
        <v>45407</v>
      </c>
      <c r="C8202" s="1" t="n">
        <v>45798</v>
      </c>
      <c r="D8202" t="inlineStr">
        <is>
          <t>NORRBOTTENS LÄN</t>
        </is>
      </c>
      <c r="E8202" t="inlineStr">
        <is>
          <t>PITEÅ</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16435-2024</t>
        </is>
      </c>
      <c r="B8203" s="1" t="n">
        <v>45407</v>
      </c>
      <c r="C8203" s="1" t="n">
        <v>45798</v>
      </c>
      <c r="D8203" t="inlineStr">
        <is>
          <t>NORRBOTTENS LÄN</t>
        </is>
      </c>
      <c r="E8203" t="inlineStr">
        <is>
          <t>ÖVERKALIX</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16447-2024</t>
        </is>
      </c>
      <c r="B8204" s="1" t="n">
        <v>45408</v>
      </c>
      <c r="C8204" s="1" t="n">
        <v>45798</v>
      </c>
      <c r="D8204" t="inlineStr">
        <is>
          <t>NORRBOTTENS LÄN</t>
        </is>
      </c>
      <c r="E8204" t="inlineStr">
        <is>
          <t>PAJALA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16451-2024</t>
        </is>
      </c>
      <c r="B8205" s="1" t="n">
        <v>45408</v>
      </c>
      <c r="C8205" s="1" t="n">
        <v>45798</v>
      </c>
      <c r="D8205" t="inlineStr">
        <is>
          <t>NORRBOTTENS LÄN</t>
        </is>
      </c>
      <c r="E8205" t="inlineStr">
        <is>
          <t>LULEÅ</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16437-2024</t>
        </is>
      </c>
      <c r="B8206" s="1" t="n">
        <v>45407</v>
      </c>
      <c r="C8206" s="1" t="n">
        <v>45798</v>
      </c>
      <c r="D8206" t="inlineStr">
        <is>
          <t>NORRBOTTENS LÄN</t>
        </is>
      </c>
      <c r="E8206" t="inlineStr">
        <is>
          <t>KALIX</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16449-2024</t>
        </is>
      </c>
      <c r="B8207" s="1" t="n">
        <v>45408</v>
      </c>
      <c r="C8207" s="1" t="n">
        <v>45798</v>
      </c>
      <c r="D8207" t="inlineStr">
        <is>
          <t>NORRBOTTENS LÄN</t>
        </is>
      </c>
      <c r="E8207" t="inlineStr">
        <is>
          <t>PAJALA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16446-2024</t>
        </is>
      </c>
      <c r="B8208" s="1" t="n">
        <v>45408</v>
      </c>
      <c r="C8208" s="1" t="n">
        <v>45798</v>
      </c>
      <c r="D8208" t="inlineStr">
        <is>
          <t>NORRBOTTENS LÄN</t>
        </is>
      </c>
      <c r="E8208" t="inlineStr">
        <is>
          <t>PAJALA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16450-2024</t>
        </is>
      </c>
      <c r="B8209" s="1" t="n">
        <v>45408</v>
      </c>
      <c r="C8209" s="1" t="n">
        <v>45798</v>
      </c>
      <c r="D8209" t="inlineStr">
        <is>
          <t>NORRBOTTENS LÄN</t>
        </is>
      </c>
      <c r="E8209" t="inlineStr">
        <is>
          <t>PAJALA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16454-2024</t>
        </is>
      </c>
      <c r="B8210" s="1" t="n">
        <v>45408</v>
      </c>
      <c r="C8210" s="1" t="n">
        <v>45798</v>
      </c>
      <c r="D8210" t="inlineStr">
        <is>
          <t>NORRBOTTENS LÄN</t>
        </is>
      </c>
      <c r="E8210" t="inlineStr">
        <is>
          <t>PAJALA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16448-2024</t>
        </is>
      </c>
      <c r="B8211" s="1" t="n">
        <v>45408</v>
      </c>
      <c r="C8211" s="1" t="n">
        <v>45798</v>
      </c>
      <c r="D8211" t="inlineStr">
        <is>
          <t>NORRBOTTENS LÄN</t>
        </is>
      </c>
      <c r="E8211" t="inlineStr">
        <is>
          <t>PAJALA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16452-2024</t>
        </is>
      </c>
      <c r="B8212" s="1" t="n">
        <v>45408</v>
      </c>
      <c r="C8212" s="1" t="n">
        <v>45798</v>
      </c>
      <c r="D8212" t="inlineStr">
        <is>
          <t>NORRBOTTENS LÄN</t>
        </is>
      </c>
      <c r="E8212" t="inlineStr">
        <is>
          <t>ÖVERTORNEÅ</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16461-2024</t>
        </is>
      </c>
      <c r="B8213" s="1" t="n">
        <v>45408</v>
      </c>
      <c r="C8213" s="1" t="n">
        <v>45798</v>
      </c>
      <c r="D8213" t="inlineStr">
        <is>
          <t>NORRBOTTENS LÄN</t>
        </is>
      </c>
      <c r="E8213" t="inlineStr">
        <is>
          <t>GÄLLIVARE</t>
        </is>
      </c>
      <c r="F8213" t="inlineStr">
        <is>
          <t>SCA</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16473-2024</t>
        </is>
      </c>
      <c r="B8214" s="1" t="n">
        <v>45408</v>
      </c>
      <c r="C8214" s="1" t="n">
        <v>45798</v>
      </c>
      <c r="D8214" t="inlineStr">
        <is>
          <t>NORRBOTTENS LÄN</t>
        </is>
      </c>
      <c r="E8214" t="inlineStr">
        <is>
          <t>GÄLLIVARE</t>
        </is>
      </c>
      <c r="F8214" t="inlineStr">
        <is>
          <t>SCA</t>
        </is>
      </c>
      <c r="G8214" t="n">
        <v>15.3</v>
      </c>
      <c r="H8214" t="n">
        <v>0</v>
      </c>
      <c r="I8214" t="n">
        <v>0</v>
      </c>
      <c r="J8214" t="n">
        <v>0</v>
      </c>
      <c r="K8214" t="n">
        <v>0</v>
      </c>
      <c r="L8214" t="n">
        <v>0</v>
      </c>
      <c r="M8214" t="n">
        <v>0</v>
      </c>
      <c r="N8214" t="n">
        <v>0</v>
      </c>
      <c r="O8214" t="n">
        <v>0</v>
      </c>
      <c r="P8214" t="n">
        <v>0</v>
      </c>
      <c r="Q8214" t="n">
        <v>0</v>
      </c>
      <c r="R8214" s="2" t="inlineStr"/>
    </row>
    <row r="8215" ht="15" customHeight="1">
      <c r="A8215" t="inlineStr">
        <is>
          <t>A 16625-2024</t>
        </is>
      </c>
      <c r="B8215" s="1" t="n">
        <v>45408</v>
      </c>
      <c r="C8215" s="1" t="n">
        <v>45798</v>
      </c>
      <c r="D8215" t="inlineStr">
        <is>
          <t>NORRBOTTENS LÄN</t>
        </is>
      </c>
      <c r="E8215" t="inlineStr">
        <is>
          <t>BODEN</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16474-2024</t>
        </is>
      </c>
      <c r="B8216" s="1" t="n">
        <v>45408</v>
      </c>
      <c r="C8216" s="1" t="n">
        <v>45798</v>
      </c>
      <c r="D8216" t="inlineStr">
        <is>
          <t>NORRBOTTENS LÄN</t>
        </is>
      </c>
      <c r="E8216" t="inlineStr">
        <is>
          <t>PAJALA</t>
        </is>
      </c>
      <c r="F8216" t="inlineStr">
        <is>
          <t>SCA</t>
        </is>
      </c>
      <c r="G8216" t="n">
        <v>30.1</v>
      </c>
      <c r="H8216" t="n">
        <v>0</v>
      </c>
      <c r="I8216" t="n">
        <v>0</v>
      </c>
      <c r="J8216" t="n">
        <v>0</v>
      </c>
      <c r="K8216" t="n">
        <v>0</v>
      </c>
      <c r="L8216" t="n">
        <v>0</v>
      </c>
      <c r="M8216" t="n">
        <v>0</v>
      </c>
      <c r="N8216" t="n">
        <v>0</v>
      </c>
      <c r="O8216" t="n">
        <v>0</v>
      </c>
      <c r="P8216" t="n">
        <v>0</v>
      </c>
      <c r="Q8216" t="n">
        <v>0</v>
      </c>
      <c r="R8216" s="2" t="inlineStr"/>
    </row>
    <row r="8217" ht="15" customHeight="1">
      <c r="A8217" t="inlineStr">
        <is>
          <t>A 16700-2024</t>
        </is>
      </c>
      <c r="B8217" s="1" t="n">
        <v>45409</v>
      </c>
      <c r="C8217" s="1" t="n">
        <v>45798</v>
      </c>
      <c r="D8217" t="inlineStr">
        <is>
          <t>NORRBOTTENS LÄN</t>
        </is>
      </c>
      <c r="E8217" t="inlineStr">
        <is>
          <t>BODEN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16699-2024</t>
        </is>
      </c>
      <c r="B8218" s="1" t="n">
        <v>45409</v>
      </c>
      <c r="C8218" s="1" t="n">
        <v>45798</v>
      </c>
      <c r="D8218" t="inlineStr">
        <is>
          <t>NORRBOTTENS LÄN</t>
        </is>
      </c>
      <c r="E8218" t="inlineStr">
        <is>
          <t>BODEN</t>
        </is>
      </c>
      <c r="G8218" t="n">
        <v>14.9</v>
      </c>
      <c r="H8218" t="n">
        <v>0</v>
      </c>
      <c r="I8218" t="n">
        <v>0</v>
      </c>
      <c r="J8218" t="n">
        <v>0</v>
      </c>
      <c r="K8218" t="n">
        <v>0</v>
      </c>
      <c r="L8218" t="n">
        <v>0</v>
      </c>
      <c r="M8218" t="n">
        <v>0</v>
      </c>
      <c r="N8218" t="n">
        <v>0</v>
      </c>
      <c r="O8218" t="n">
        <v>0</v>
      </c>
      <c r="P8218" t="n">
        <v>0</v>
      </c>
      <c r="Q8218" t="n">
        <v>0</v>
      </c>
      <c r="R8218" s="2" t="inlineStr"/>
    </row>
    <row r="8219" ht="15" customHeight="1">
      <c r="A8219" t="inlineStr">
        <is>
          <t>A 16911-2024</t>
        </is>
      </c>
      <c r="B8219" s="1" t="n">
        <v>45411</v>
      </c>
      <c r="C8219" s="1" t="n">
        <v>45798</v>
      </c>
      <c r="D8219" t="inlineStr">
        <is>
          <t>NORRBOTTENS LÄN</t>
        </is>
      </c>
      <c r="E8219" t="inlineStr">
        <is>
          <t>ARVIDSJAUR</t>
        </is>
      </c>
      <c r="F8219" t="inlineStr">
        <is>
          <t>Sveaskog</t>
        </is>
      </c>
      <c r="G8219" t="n">
        <v>34.1</v>
      </c>
      <c r="H8219" t="n">
        <v>0</v>
      </c>
      <c r="I8219" t="n">
        <v>0</v>
      </c>
      <c r="J8219" t="n">
        <v>0</v>
      </c>
      <c r="K8219" t="n">
        <v>0</v>
      </c>
      <c r="L8219" t="n">
        <v>0</v>
      </c>
      <c r="M8219" t="n">
        <v>0</v>
      </c>
      <c r="N8219" t="n">
        <v>0</v>
      </c>
      <c r="O8219" t="n">
        <v>0</v>
      </c>
      <c r="P8219" t="n">
        <v>0</v>
      </c>
      <c r="Q8219" t="n">
        <v>0</v>
      </c>
      <c r="R8219" s="2" t="inlineStr"/>
    </row>
    <row r="8220" ht="15" customHeight="1">
      <c r="A8220" t="inlineStr">
        <is>
          <t>A 16963-2024</t>
        </is>
      </c>
      <c r="B8220" s="1" t="n">
        <v>45412</v>
      </c>
      <c r="C8220" s="1" t="n">
        <v>45798</v>
      </c>
      <c r="D8220" t="inlineStr">
        <is>
          <t>NORRBOTTENS LÄN</t>
        </is>
      </c>
      <c r="E8220" t="inlineStr">
        <is>
          <t>PITEÅ</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16967-2024</t>
        </is>
      </c>
      <c r="B8221" s="1" t="n">
        <v>45412</v>
      </c>
      <c r="C8221" s="1" t="n">
        <v>45798</v>
      </c>
      <c r="D8221" t="inlineStr">
        <is>
          <t>NORRBOTTENS LÄN</t>
        </is>
      </c>
      <c r="E8221" t="inlineStr">
        <is>
          <t>PITEÅ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16971-2024</t>
        </is>
      </c>
      <c r="B8222" s="1" t="n">
        <v>45412</v>
      </c>
      <c r="C8222" s="1" t="n">
        <v>45798</v>
      </c>
      <c r="D8222" t="inlineStr">
        <is>
          <t>NORRBOTTENS LÄN</t>
        </is>
      </c>
      <c r="E8222" t="inlineStr">
        <is>
          <t>KALIX</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16966-2024</t>
        </is>
      </c>
      <c r="B8223" s="1" t="n">
        <v>45412</v>
      </c>
      <c r="C8223" s="1" t="n">
        <v>45798</v>
      </c>
      <c r="D8223" t="inlineStr">
        <is>
          <t>NORRBOTTENS LÄN</t>
        </is>
      </c>
      <c r="E8223" t="inlineStr">
        <is>
          <t>PITEÅ</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16970-2024</t>
        </is>
      </c>
      <c r="B8224" s="1" t="n">
        <v>45412</v>
      </c>
      <c r="C8224" s="1" t="n">
        <v>45798</v>
      </c>
      <c r="D8224" t="inlineStr">
        <is>
          <t>NORRBOTTENS LÄN</t>
        </is>
      </c>
      <c r="E8224" t="inlineStr">
        <is>
          <t>PITEÅ</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16851-2024</t>
        </is>
      </c>
      <c r="B8225" s="1" t="n">
        <v>45411</v>
      </c>
      <c r="C8225" s="1" t="n">
        <v>45798</v>
      </c>
      <c r="D8225" t="inlineStr">
        <is>
          <t>NORRBOTTENS LÄN</t>
        </is>
      </c>
      <c r="E8225" t="inlineStr">
        <is>
          <t>GÄLLIVARE</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16969-2024</t>
        </is>
      </c>
      <c r="B8226" s="1" t="n">
        <v>45412</v>
      </c>
      <c r="C8226" s="1" t="n">
        <v>45798</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16965-2024</t>
        </is>
      </c>
      <c r="B8227" s="1" t="n">
        <v>45411</v>
      </c>
      <c r="C8227" s="1" t="n">
        <v>45798</v>
      </c>
      <c r="D8227" t="inlineStr">
        <is>
          <t>NORRBOTTENS LÄN</t>
        </is>
      </c>
      <c r="E8227" t="inlineStr">
        <is>
          <t>BODEN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17031-2024</t>
        </is>
      </c>
      <c r="B8228" s="1" t="n">
        <v>45411</v>
      </c>
      <c r="C8228" s="1" t="n">
        <v>45798</v>
      </c>
      <c r="D8228" t="inlineStr">
        <is>
          <t>NORRBOTTENS LÄN</t>
        </is>
      </c>
      <c r="E8228" t="inlineStr">
        <is>
          <t>LULEÅ</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17020-2024</t>
        </is>
      </c>
      <c r="B8229" s="1" t="n">
        <v>45411</v>
      </c>
      <c r="C8229" s="1" t="n">
        <v>45798</v>
      </c>
      <c r="D8229" t="inlineStr">
        <is>
          <t>NORRBOTTENS LÄN</t>
        </is>
      </c>
      <c r="E8229" t="inlineStr">
        <is>
          <t>LULEÅ</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16972-2024</t>
        </is>
      </c>
      <c r="B8230" s="1" t="n">
        <v>45411</v>
      </c>
      <c r="C8230" s="1" t="n">
        <v>45798</v>
      </c>
      <c r="D8230" t="inlineStr">
        <is>
          <t>NORRBOTTENS LÄN</t>
        </is>
      </c>
      <c r="E8230" t="inlineStr">
        <is>
          <t>BODEN</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16968-2024</t>
        </is>
      </c>
      <c r="B8231" s="1" t="n">
        <v>45412</v>
      </c>
      <c r="C8231" s="1" t="n">
        <v>45798</v>
      </c>
      <c r="D8231" t="inlineStr">
        <is>
          <t>NORRBOTTENS LÄN</t>
        </is>
      </c>
      <c r="E8231" t="inlineStr">
        <is>
          <t>PITEÅ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16964-2024</t>
        </is>
      </c>
      <c r="B8232" s="1" t="n">
        <v>45412</v>
      </c>
      <c r="C8232" s="1" t="n">
        <v>45798</v>
      </c>
      <c r="D8232" t="inlineStr">
        <is>
          <t>NORRBOTTENS LÄN</t>
        </is>
      </c>
      <c r="E8232" t="inlineStr">
        <is>
          <t>PITEÅ</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17046-2024</t>
        </is>
      </c>
      <c r="B8233" s="1" t="n">
        <v>45412</v>
      </c>
      <c r="C8233" s="1" t="n">
        <v>45798</v>
      </c>
      <c r="D8233" t="inlineStr">
        <is>
          <t>NORRBOTTENS LÄN</t>
        </is>
      </c>
      <c r="E8233" t="inlineStr">
        <is>
          <t>KALIX</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17175-2024</t>
        </is>
      </c>
      <c r="B8234" s="1" t="n">
        <v>45412</v>
      </c>
      <c r="C8234" s="1" t="n">
        <v>45798</v>
      </c>
      <c r="D8234" t="inlineStr">
        <is>
          <t>NORRBOTTENS LÄN</t>
        </is>
      </c>
      <c r="E8234" t="inlineStr">
        <is>
          <t>LULEÅ</t>
        </is>
      </c>
      <c r="F8234" t="inlineStr">
        <is>
          <t>SCA</t>
        </is>
      </c>
      <c r="G8234" t="n">
        <v>18.5</v>
      </c>
      <c r="H8234" t="n">
        <v>0</v>
      </c>
      <c r="I8234" t="n">
        <v>0</v>
      </c>
      <c r="J8234" t="n">
        <v>0</v>
      </c>
      <c r="K8234" t="n">
        <v>0</v>
      </c>
      <c r="L8234" t="n">
        <v>0</v>
      </c>
      <c r="M8234" t="n">
        <v>0</v>
      </c>
      <c r="N8234" t="n">
        <v>0</v>
      </c>
      <c r="O8234" t="n">
        <v>0</v>
      </c>
      <c r="P8234" t="n">
        <v>0</v>
      </c>
      <c r="Q8234" t="n">
        <v>0</v>
      </c>
      <c r="R8234" s="2" t="inlineStr"/>
    </row>
    <row r="8235" ht="15" customHeight="1">
      <c r="A8235" t="inlineStr">
        <is>
          <t>A 17061-2024</t>
        </is>
      </c>
      <c r="B8235" s="1" t="n">
        <v>45412</v>
      </c>
      <c r="C8235" s="1" t="n">
        <v>45798</v>
      </c>
      <c r="D8235" t="inlineStr">
        <is>
          <t>NORRBOTTENS LÄN</t>
        </is>
      </c>
      <c r="E8235" t="inlineStr">
        <is>
          <t>LULEÅ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17040-2024</t>
        </is>
      </c>
      <c r="B8236" s="1" t="n">
        <v>45412</v>
      </c>
      <c r="C8236" s="1" t="n">
        <v>45798</v>
      </c>
      <c r="D8236" t="inlineStr">
        <is>
          <t>NORRBOTTENS LÄN</t>
        </is>
      </c>
      <c r="E8236" t="inlineStr">
        <is>
          <t>KALIX</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17176-2024</t>
        </is>
      </c>
      <c r="B8237" s="1" t="n">
        <v>45412</v>
      </c>
      <c r="C8237" s="1" t="n">
        <v>45798</v>
      </c>
      <c r="D8237" t="inlineStr">
        <is>
          <t>NORRBOTTENS LÄN</t>
        </is>
      </c>
      <c r="E8237" t="inlineStr">
        <is>
          <t>LULEÅ</t>
        </is>
      </c>
      <c r="F8237" t="inlineStr">
        <is>
          <t>SCA</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17068-2024</t>
        </is>
      </c>
      <c r="B8238" s="1" t="n">
        <v>45412</v>
      </c>
      <c r="C8238" s="1" t="n">
        <v>45798</v>
      </c>
      <c r="D8238" t="inlineStr">
        <is>
          <t>NORRBOTTENS LÄN</t>
        </is>
      </c>
      <c r="E8238" t="inlineStr">
        <is>
          <t>ÖVERTORNEÅ</t>
        </is>
      </c>
      <c r="F8238" t="inlineStr">
        <is>
          <t>Naturvårdsverket</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16988-2024</t>
        </is>
      </c>
      <c r="B8239" s="1" t="n">
        <v>45412</v>
      </c>
      <c r="C8239" s="1" t="n">
        <v>45798</v>
      </c>
      <c r="D8239" t="inlineStr">
        <is>
          <t>NORRBOTTENS LÄN</t>
        </is>
      </c>
      <c r="E8239" t="inlineStr">
        <is>
          <t>BODEN</t>
        </is>
      </c>
      <c r="G8239" t="n">
        <v>14.5</v>
      </c>
      <c r="H8239" t="n">
        <v>0</v>
      </c>
      <c r="I8239" t="n">
        <v>0</v>
      </c>
      <c r="J8239" t="n">
        <v>0</v>
      </c>
      <c r="K8239" t="n">
        <v>0</v>
      </c>
      <c r="L8239" t="n">
        <v>0</v>
      </c>
      <c r="M8239" t="n">
        <v>0</v>
      </c>
      <c r="N8239" t="n">
        <v>0</v>
      </c>
      <c r="O8239" t="n">
        <v>0</v>
      </c>
      <c r="P8239" t="n">
        <v>0</v>
      </c>
      <c r="Q8239" t="n">
        <v>0</v>
      </c>
      <c r="R8239" s="2" t="inlineStr"/>
    </row>
    <row r="8240" ht="15" customHeight="1">
      <c r="A8240" t="inlineStr">
        <is>
          <t>A 17125-2024</t>
        </is>
      </c>
      <c r="B8240" s="1" t="n">
        <v>45412</v>
      </c>
      <c r="C8240" s="1" t="n">
        <v>45798</v>
      </c>
      <c r="D8240" t="inlineStr">
        <is>
          <t>NORRBOTTENS LÄN</t>
        </is>
      </c>
      <c r="E8240" t="inlineStr">
        <is>
          <t>LULEÅ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17088-2024</t>
        </is>
      </c>
      <c r="B8241" s="1" t="n">
        <v>45412</v>
      </c>
      <c r="C8241" s="1" t="n">
        <v>45798</v>
      </c>
      <c r="D8241" t="inlineStr">
        <is>
          <t>NORRBOTTENS LÄN</t>
        </is>
      </c>
      <c r="E8241" t="inlineStr">
        <is>
          <t>PAJALA</t>
        </is>
      </c>
      <c r="F8241" t="inlineStr">
        <is>
          <t>Allmännings- och besparingsskogar</t>
        </is>
      </c>
      <c r="G8241" t="n">
        <v>27.7</v>
      </c>
      <c r="H8241" t="n">
        <v>0</v>
      </c>
      <c r="I8241" t="n">
        <v>0</v>
      </c>
      <c r="J8241" t="n">
        <v>0</v>
      </c>
      <c r="K8241" t="n">
        <v>0</v>
      </c>
      <c r="L8241" t="n">
        <v>0</v>
      </c>
      <c r="M8241" t="n">
        <v>0</v>
      </c>
      <c r="N8241" t="n">
        <v>0</v>
      </c>
      <c r="O8241" t="n">
        <v>0</v>
      </c>
      <c r="P8241" t="n">
        <v>0</v>
      </c>
      <c r="Q8241" t="n">
        <v>0</v>
      </c>
      <c r="R8241" s="2" t="inlineStr"/>
    </row>
    <row r="8242" ht="15" customHeight="1">
      <c r="A8242" t="inlineStr">
        <is>
          <t>A 17205-2024</t>
        </is>
      </c>
      <c r="B8242" s="1" t="n">
        <v>45413</v>
      </c>
      <c r="C8242" s="1" t="n">
        <v>45798</v>
      </c>
      <c r="D8242" t="inlineStr">
        <is>
          <t>NORRBOTTENS LÄN</t>
        </is>
      </c>
      <c r="E8242" t="inlineStr">
        <is>
          <t>GÄLLIVARE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17201-2024</t>
        </is>
      </c>
      <c r="B8243" s="1" t="n">
        <v>45413</v>
      </c>
      <c r="C8243" s="1" t="n">
        <v>45798</v>
      </c>
      <c r="D8243" t="inlineStr">
        <is>
          <t>NORRBOTTENS LÄN</t>
        </is>
      </c>
      <c r="E8243" t="inlineStr">
        <is>
          <t>GÄLLIVARE</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17204-2024</t>
        </is>
      </c>
      <c r="B8244" s="1" t="n">
        <v>45413</v>
      </c>
      <c r="C8244" s="1" t="n">
        <v>45798</v>
      </c>
      <c r="D8244" t="inlineStr">
        <is>
          <t>NORRBOTTENS LÄN</t>
        </is>
      </c>
      <c r="E8244" t="inlineStr">
        <is>
          <t>GÄLLIVARE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17203-2024</t>
        </is>
      </c>
      <c r="B8245" s="1" t="n">
        <v>45413</v>
      </c>
      <c r="C8245" s="1" t="n">
        <v>45798</v>
      </c>
      <c r="D8245" t="inlineStr">
        <is>
          <t>NORRBOTTENS LÄN</t>
        </is>
      </c>
      <c r="E8245" t="inlineStr">
        <is>
          <t>GÄLLIVARE</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17202-2024</t>
        </is>
      </c>
      <c r="B8246" s="1" t="n">
        <v>45413</v>
      </c>
      <c r="C8246" s="1" t="n">
        <v>45798</v>
      </c>
      <c r="D8246" t="inlineStr">
        <is>
          <t>NORRBOTTENS LÄN</t>
        </is>
      </c>
      <c r="E8246" t="inlineStr">
        <is>
          <t>GÄLLIVARE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17280-2024</t>
        </is>
      </c>
      <c r="B8247" s="1" t="n">
        <v>45414</v>
      </c>
      <c r="C8247" s="1" t="n">
        <v>45798</v>
      </c>
      <c r="D8247" t="inlineStr">
        <is>
          <t>NORRBOTTENS LÄN</t>
        </is>
      </c>
      <c r="E8247" t="inlineStr">
        <is>
          <t>PITEÅ</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17318-2024</t>
        </is>
      </c>
      <c r="B8248" s="1" t="n">
        <v>45414</v>
      </c>
      <c r="C8248" s="1" t="n">
        <v>45798</v>
      </c>
      <c r="D8248" t="inlineStr">
        <is>
          <t>NORRBOTTENS LÄN</t>
        </is>
      </c>
      <c r="E8248" t="inlineStr">
        <is>
          <t>PITEÅ</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17412-2024</t>
        </is>
      </c>
      <c r="B8249" s="1" t="n">
        <v>45414</v>
      </c>
      <c r="C8249" s="1" t="n">
        <v>45798</v>
      </c>
      <c r="D8249" t="inlineStr">
        <is>
          <t>NORRBOTTENS LÄN</t>
        </is>
      </c>
      <c r="E8249" t="inlineStr">
        <is>
          <t>BODEN</t>
        </is>
      </c>
      <c r="G8249" t="n">
        <v>14.6</v>
      </c>
      <c r="H8249" t="n">
        <v>0</v>
      </c>
      <c r="I8249" t="n">
        <v>0</v>
      </c>
      <c r="J8249" t="n">
        <v>0</v>
      </c>
      <c r="K8249" t="n">
        <v>0</v>
      </c>
      <c r="L8249" t="n">
        <v>0</v>
      </c>
      <c r="M8249" t="n">
        <v>0</v>
      </c>
      <c r="N8249" t="n">
        <v>0</v>
      </c>
      <c r="O8249" t="n">
        <v>0</v>
      </c>
      <c r="P8249" t="n">
        <v>0</v>
      </c>
      <c r="Q8249" t="n">
        <v>0</v>
      </c>
      <c r="R8249" s="2" t="inlineStr"/>
    </row>
    <row r="8250" ht="15" customHeight="1">
      <c r="A8250" t="inlineStr">
        <is>
          <t>A 17413-2024</t>
        </is>
      </c>
      <c r="B8250" s="1" t="n">
        <v>45415</v>
      </c>
      <c r="C8250" s="1" t="n">
        <v>45798</v>
      </c>
      <c r="D8250" t="inlineStr">
        <is>
          <t>NORRBOTTENS LÄN</t>
        </is>
      </c>
      <c r="E8250" t="inlineStr">
        <is>
          <t>BODEN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17418-2024</t>
        </is>
      </c>
      <c r="B8251" s="1" t="n">
        <v>45414</v>
      </c>
      <c r="C8251" s="1" t="n">
        <v>45798</v>
      </c>
      <c r="D8251" t="inlineStr">
        <is>
          <t>NORRBOTTENS LÄN</t>
        </is>
      </c>
      <c r="E8251" t="inlineStr">
        <is>
          <t>GÄLLIVARE</t>
        </is>
      </c>
      <c r="F8251" t="inlineStr">
        <is>
          <t>SCA</t>
        </is>
      </c>
      <c r="G8251" t="n">
        <v>48.6</v>
      </c>
      <c r="H8251" t="n">
        <v>0</v>
      </c>
      <c r="I8251" t="n">
        <v>0</v>
      </c>
      <c r="J8251" t="n">
        <v>0</v>
      </c>
      <c r="K8251" t="n">
        <v>0</v>
      </c>
      <c r="L8251" t="n">
        <v>0</v>
      </c>
      <c r="M8251" t="n">
        <v>0</v>
      </c>
      <c r="N8251" t="n">
        <v>0</v>
      </c>
      <c r="O8251" t="n">
        <v>0</v>
      </c>
      <c r="P8251" t="n">
        <v>0</v>
      </c>
      <c r="Q8251" t="n">
        <v>0</v>
      </c>
      <c r="R8251" s="2" t="inlineStr"/>
    </row>
    <row r="8252" ht="15" customHeight="1">
      <c r="A8252" t="inlineStr">
        <is>
          <t>A 17453-2024</t>
        </is>
      </c>
      <c r="B8252" s="1" t="n">
        <v>45415</v>
      </c>
      <c r="C8252" s="1" t="n">
        <v>45798</v>
      </c>
      <c r="D8252" t="inlineStr">
        <is>
          <t>NORRBOTTENS LÄN</t>
        </is>
      </c>
      <c r="E8252" t="inlineStr">
        <is>
          <t>ARVIDSJAUR</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17473-2024</t>
        </is>
      </c>
      <c r="B8253" s="1" t="n">
        <v>45415</v>
      </c>
      <c r="C8253" s="1" t="n">
        <v>45798</v>
      </c>
      <c r="D8253" t="inlineStr">
        <is>
          <t>NORRBOTTENS LÄN</t>
        </is>
      </c>
      <c r="E8253" t="inlineStr">
        <is>
          <t>KALIX</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17514-2024</t>
        </is>
      </c>
      <c r="B8254" s="1" t="n">
        <v>45415</v>
      </c>
      <c r="C8254" s="1" t="n">
        <v>45798</v>
      </c>
      <c r="D8254" t="inlineStr">
        <is>
          <t>NORRBOTTENS LÄN</t>
        </is>
      </c>
      <c r="E8254" t="inlineStr">
        <is>
          <t>ÖVERKALIX</t>
        </is>
      </c>
      <c r="G8254" t="n">
        <v>25.8</v>
      </c>
      <c r="H8254" t="n">
        <v>0</v>
      </c>
      <c r="I8254" t="n">
        <v>0</v>
      </c>
      <c r="J8254" t="n">
        <v>0</v>
      </c>
      <c r="K8254" t="n">
        <v>0</v>
      </c>
      <c r="L8254" t="n">
        <v>0</v>
      </c>
      <c r="M8254" t="n">
        <v>0</v>
      </c>
      <c r="N8254" t="n">
        <v>0</v>
      </c>
      <c r="O8254" t="n">
        <v>0</v>
      </c>
      <c r="P8254" t="n">
        <v>0</v>
      </c>
      <c r="Q8254" t="n">
        <v>0</v>
      </c>
      <c r="R8254" s="2" t="inlineStr"/>
    </row>
    <row r="8255" ht="15" customHeight="1">
      <c r="A8255" t="inlineStr">
        <is>
          <t>A 17564-2024</t>
        </is>
      </c>
      <c r="B8255" s="1" t="n">
        <v>45415</v>
      </c>
      <c r="C8255" s="1" t="n">
        <v>45798</v>
      </c>
      <c r="D8255" t="inlineStr">
        <is>
          <t>NORRBOTTENS LÄN</t>
        </is>
      </c>
      <c r="E8255" t="inlineStr">
        <is>
          <t>HAPARANDA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17594-2024</t>
        </is>
      </c>
      <c r="B8256" s="1" t="n">
        <v>45416</v>
      </c>
      <c r="C8256" s="1" t="n">
        <v>45798</v>
      </c>
      <c r="D8256" t="inlineStr">
        <is>
          <t>NORRBOTTENS LÄN</t>
        </is>
      </c>
      <c r="E8256" t="inlineStr">
        <is>
          <t>ÄLVSBYN</t>
        </is>
      </c>
      <c r="F8256" t="inlineStr">
        <is>
          <t>SCA</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17598-2024</t>
        </is>
      </c>
      <c r="B8257" s="1" t="n">
        <v>45416</v>
      </c>
      <c r="C8257" s="1" t="n">
        <v>45798</v>
      </c>
      <c r="D8257" t="inlineStr">
        <is>
          <t>NORRBOTTENS LÄN</t>
        </is>
      </c>
      <c r="E8257" t="inlineStr">
        <is>
          <t>KALIX</t>
        </is>
      </c>
      <c r="F8257" t="inlineStr">
        <is>
          <t>SCA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17565-2024</t>
        </is>
      </c>
      <c r="B8258" s="1" t="n">
        <v>45415</v>
      </c>
      <c r="C8258" s="1" t="n">
        <v>45798</v>
      </c>
      <c r="D8258" t="inlineStr">
        <is>
          <t>NORRBOTTENS LÄN</t>
        </is>
      </c>
      <c r="E8258" t="inlineStr">
        <is>
          <t>PAJALA</t>
        </is>
      </c>
      <c r="G8258" t="n">
        <v>11.2</v>
      </c>
      <c r="H8258" t="n">
        <v>0</v>
      </c>
      <c r="I8258" t="n">
        <v>0</v>
      </c>
      <c r="J8258" t="n">
        <v>0</v>
      </c>
      <c r="K8258" t="n">
        <v>0</v>
      </c>
      <c r="L8258" t="n">
        <v>0</v>
      </c>
      <c r="M8258" t="n">
        <v>0</v>
      </c>
      <c r="N8258" t="n">
        <v>0</v>
      </c>
      <c r="O8258" t="n">
        <v>0</v>
      </c>
      <c r="P8258" t="n">
        <v>0</v>
      </c>
      <c r="Q8258" t="n">
        <v>0</v>
      </c>
      <c r="R8258" s="2" t="inlineStr"/>
    </row>
    <row r="8259" ht="15" customHeight="1">
      <c r="A8259" t="inlineStr">
        <is>
          <t>A 17575-2024</t>
        </is>
      </c>
      <c r="B8259" s="1" t="n">
        <v>45415</v>
      </c>
      <c r="C8259" s="1" t="n">
        <v>45798</v>
      </c>
      <c r="D8259" t="inlineStr">
        <is>
          <t>NORRBOTTENS LÄN</t>
        </is>
      </c>
      <c r="E8259" t="inlineStr">
        <is>
          <t>GÄLLIVARE</t>
        </is>
      </c>
      <c r="G8259" t="n">
        <v>22.6</v>
      </c>
      <c r="H8259" t="n">
        <v>0</v>
      </c>
      <c r="I8259" t="n">
        <v>0</v>
      </c>
      <c r="J8259" t="n">
        <v>0</v>
      </c>
      <c r="K8259" t="n">
        <v>0</v>
      </c>
      <c r="L8259" t="n">
        <v>0</v>
      </c>
      <c r="M8259" t="n">
        <v>0</v>
      </c>
      <c r="N8259" t="n">
        <v>0</v>
      </c>
      <c r="O8259" t="n">
        <v>0</v>
      </c>
      <c r="P8259" t="n">
        <v>0</v>
      </c>
      <c r="Q8259" t="n">
        <v>0</v>
      </c>
      <c r="R8259" s="2" t="inlineStr"/>
    </row>
    <row r="8260" ht="15" customHeight="1">
      <c r="A8260" t="inlineStr">
        <is>
          <t>A 17583-2024</t>
        </is>
      </c>
      <c r="B8260" s="1" t="n">
        <v>45416</v>
      </c>
      <c r="C8260" s="1" t="n">
        <v>45798</v>
      </c>
      <c r="D8260" t="inlineStr">
        <is>
          <t>NORRBOTTENS LÄN</t>
        </is>
      </c>
      <c r="E8260" t="inlineStr">
        <is>
          <t>KALIX</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17599-2024</t>
        </is>
      </c>
      <c r="B8261" s="1" t="n">
        <v>45416</v>
      </c>
      <c r="C8261" s="1" t="n">
        <v>45798</v>
      </c>
      <c r="D8261" t="inlineStr">
        <is>
          <t>NORRBOTTENS LÄN</t>
        </is>
      </c>
      <c r="E8261" t="inlineStr">
        <is>
          <t>KALIX</t>
        </is>
      </c>
      <c r="F8261" t="inlineStr">
        <is>
          <t>SCA</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17596-2024</t>
        </is>
      </c>
      <c r="B8262" s="1" t="n">
        <v>45416</v>
      </c>
      <c r="C8262" s="1" t="n">
        <v>45798</v>
      </c>
      <c r="D8262" t="inlineStr">
        <is>
          <t>NORRBOTTENS LÄN</t>
        </is>
      </c>
      <c r="E8262" t="inlineStr">
        <is>
          <t>PITEÅ</t>
        </is>
      </c>
      <c r="F8262" t="inlineStr">
        <is>
          <t>SCA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17608-2024</t>
        </is>
      </c>
      <c r="B8263" s="1" t="n">
        <v>45416</v>
      </c>
      <c r="C8263" s="1" t="n">
        <v>45798</v>
      </c>
      <c r="D8263" t="inlineStr">
        <is>
          <t>NORRBOTTENS LÄN</t>
        </is>
      </c>
      <c r="E8263" t="inlineStr">
        <is>
          <t>PAJALA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17607-2024</t>
        </is>
      </c>
      <c r="B8264" s="1" t="n">
        <v>45416</v>
      </c>
      <c r="C8264" s="1" t="n">
        <v>45798</v>
      </c>
      <c r="D8264" t="inlineStr">
        <is>
          <t>NORRBOTTENS LÄN</t>
        </is>
      </c>
      <c r="E8264" t="inlineStr">
        <is>
          <t>PAJALA</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17700-2024</t>
        </is>
      </c>
      <c r="B8265" s="1" t="n">
        <v>45418</v>
      </c>
      <c r="C8265" s="1" t="n">
        <v>45798</v>
      </c>
      <c r="D8265" t="inlineStr">
        <is>
          <t>NORRBOTTENS LÄN</t>
        </is>
      </c>
      <c r="E8265" t="inlineStr">
        <is>
          <t>HAPARANDA</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17802-2024</t>
        </is>
      </c>
      <c r="B8266" s="1" t="n">
        <v>45418</v>
      </c>
      <c r="C8266" s="1" t="n">
        <v>45798</v>
      </c>
      <c r="D8266" t="inlineStr">
        <is>
          <t>NORRBOTTENS LÄN</t>
        </is>
      </c>
      <c r="E8266" t="inlineStr">
        <is>
          <t>GÄLLIVARE</t>
        </is>
      </c>
      <c r="G8266" t="n">
        <v>12.7</v>
      </c>
      <c r="H8266" t="n">
        <v>0</v>
      </c>
      <c r="I8266" t="n">
        <v>0</v>
      </c>
      <c r="J8266" t="n">
        <v>0</v>
      </c>
      <c r="K8266" t="n">
        <v>0</v>
      </c>
      <c r="L8266" t="n">
        <v>0</v>
      </c>
      <c r="M8266" t="n">
        <v>0</v>
      </c>
      <c r="N8266" t="n">
        <v>0</v>
      </c>
      <c r="O8266" t="n">
        <v>0</v>
      </c>
      <c r="P8266" t="n">
        <v>0</v>
      </c>
      <c r="Q8266" t="n">
        <v>0</v>
      </c>
      <c r="R8266" s="2" t="inlineStr"/>
    </row>
    <row r="8267" ht="15" customHeight="1">
      <c r="A8267" t="inlineStr">
        <is>
          <t>A 17808-2024</t>
        </is>
      </c>
      <c r="B8267" s="1" t="n">
        <v>45419</v>
      </c>
      <c r="C8267" s="1" t="n">
        <v>45798</v>
      </c>
      <c r="D8267" t="inlineStr">
        <is>
          <t>NORRBOTTENS LÄN</t>
        </is>
      </c>
      <c r="E8267" t="inlineStr">
        <is>
          <t>ÖVERTORNEÅ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17799-2024</t>
        </is>
      </c>
      <c r="B8268" s="1" t="n">
        <v>45418</v>
      </c>
      <c r="C8268" s="1" t="n">
        <v>45798</v>
      </c>
      <c r="D8268" t="inlineStr">
        <is>
          <t>NORRBOTTENS LÄN</t>
        </is>
      </c>
      <c r="E8268" t="inlineStr">
        <is>
          <t>PAJALA</t>
        </is>
      </c>
      <c r="G8268" t="n">
        <v>11.5</v>
      </c>
      <c r="H8268" t="n">
        <v>0</v>
      </c>
      <c r="I8268" t="n">
        <v>0</v>
      </c>
      <c r="J8268" t="n">
        <v>0</v>
      </c>
      <c r="K8268" t="n">
        <v>0</v>
      </c>
      <c r="L8268" t="n">
        <v>0</v>
      </c>
      <c r="M8268" t="n">
        <v>0</v>
      </c>
      <c r="N8268" t="n">
        <v>0</v>
      </c>
      <c r="O8268" t="n">
        <v>0</v>
      </c>
      <c r="P8268" t="n">
        <v>0</v>
      </c>
      <c r="Q8268" t="n">
        <v>0</v>
      </c>
      <c r="R8268" s="2" t="inlineStr"/>
    </row>
    <row r="8269" ht="15" customHeight="1">
      <c r="A8269" t="inlineStr">
        <is>
          <t>A 17803-2024</t>
        </is>
      </c>
      <c r="B8269" s="1" t="n">
        <v>45418</v>
      </c>
      <c r="C8269" s="1" t="n">
        <v>45798</v>
      </c>
      <c r="D8269" t="inlineStr">
        <is>
          <t>NORRBOTTENS LÄN</t>
        </is>
      </c>
      <c r="E8269" t="inlineStr">
        <is>
          <t>PAJALA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17807-2024</t>
        </is>
      </c>
      <c r="B8270" s="1" t="n">
        <v>45419</v>
      </c>
      <c r="C8270" s="1" t="n">
        <v>45798</v>
      </c>
      <c r="D8270" t="inlineStr">
        <is>
          <t>NORRBOTTENS LÄN</t>
        </is>
      </c>
      <c r="E8270" t="inlineStr">
        <is>
          <t>ÖVERTORNEÅ</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17801-2024</t>
        </is>
      </c>
      <c r="B8271" s="1" t="n">
        <v>45418</v>
      </c>
      <c r="C8271" s="1" t="n">
        <v>45798</v>
      </c>
      <c r="D8271" t="inlineStr">
        <is>
          <t>NORRBOTTENS LÄN</t>
        </is>
      </c>
      <c r="E8271" t="inlineStr">
        <is>
          <t>PAJALA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17805-2024</t>
        </is>
      </c>
      <c r="B8272" s="1" t="n">
        <v>45418</v>
      </c>
      <c r="C8272" s="1" t="n">
        <v>45798</v>
      </c>
      <c r="D8272" t="inlineStr">
        <is>
          <t>NORRBOTTENS LÄN</t>
        </is>
      </c>
      <c r="E8272" t="inlineStr">
        <is>
          <t>PAJALA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17813-2024</t>
        </is>
      </c>
      <c r="B8273" s="1" t="n">
        <v>45418</v>
      </c>
      <c r="C8273" s="1" t="n">
        <v>45798</v>
      </c>
      <c r="D8273" t="inlineStr">
        <is>
          <t>NORRBOTTENS LÄN</t>
        </is>
      </c>
      <c r="E8273" t="inlineStr">
        <is>
          <t>PAJALA</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17806-2024</t>
        </is>
      </c>
      <c r="B8274" s="1" t="n">
        <v>45419</v>
      </c>
      <c r="C8274" s="1" t="n">
        <v>45798</v>
      </c>
      <c r="D8274" t="inlineStr">
        <is>
          <t>NORRBOTTENS LÄN</t>
        </is>
      </c>
      <c r="E8274" t="inlineStr">
        <is>
          <t>PAJALA</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17814-2024</t>
        </is>
      </c>
      <c r="B8275" s="1" t="n">
        <v>45418</v>
      </c>
      <c r="C8275" s="1" t="n">
        <v>45798</v>
      </c>
      <c r="D8275" t="inlineStr">
        <is>
          <t>NORRBOTTENS LÄN</t>
        </is>
      </c>
      <c r="E8275" t="inlineStr">
        <is>
          <t>PAJALA</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17838-2024</t>
        </is>
      </c>
      <c r="B8276" s="1" t="n">
        <v>45418</v>
      </c>
      <c r="C8276" s="1" t="n">
        <v>45798</v>
      </c>
      <c r="D8276" t="inlineStr">
        <is>
          <t>NORRBOTTENS LÄN</t>
        </is>
      </c>
      <c r="E8276" t="inlineStr">
        <is>
          <t>PITEÅ</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17842-2024</t>
        </is>
      </c>
      <c r="B8277" s="1" t="n">
        <v>45418</v>
      </c>
      <c r="C8277" s="1" t="n">
        <v>45798</v>
      </c>
      <c r="D8277" t="inlineStr">
        <is>
          <t>NORRBOTTENS LÄN</t>
        </is>
      </c>
      <c r="E8277" t="inlineStr">
        <is>
          <t>PITEÅ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17866-2024</t>
        </is>
      </c>
      <c r="B8278" s="1" t="n">
        <v>45419</v>
      </c>
      <c r="C8278" s="1" t="n">
        <v>45798</v>
      </c>
      <c r="D8278" t="inlineStr">
        <is>
          <t>NORRBOTTENS LÄN</t>
        </is>
      </c>
      <c r="E8278" t="inlineStr">
        <is>
          <t>PITEÅ</t>
        </is>
      </c>
      <c r="G8278" t="n">
        <v>10.6</v>
      </c>
      <c r="H8278" t="n">
        <v>0</v>
      </c>
      <c r="I8278" t="n">
        <v>0</v>
      </c>
      <c r="J8278" t="n">
        <v>0</v>
      </c>
      <c r="K8278" t="n">
        <v>0</v>
      </c>
      <c r="L8278" t="n">
        <v>0</v>
      </c>
      <c r="M8278" t="n">
        <v>0</v>
      </c>
      <c r="N8278" t="n">
        <v>0</v>
      </c>
      <c r="O8278" t="n">
        <v>0</v>
      </c>
      <c r="P8278" t="n">
        <v>0</v>
      </c>
      <c r="Q8278" t="n">
        <v>0</v>
      </c>
      <c r="R8278" s="2" t="inlineStr"/>
    </row>
    <row r="8279" ht="15" customHeight="1">
      <c r="A8279" t="inlineStr">
        <is>
          <t>A 17860-2024</t>
        </is>
      </c>
      <c r="B8279" s="1" t="n">
        <v>45419</v>
      </c>
      <c r="C8279" s="1" t="n">
        <v>45798</v>
      </c>
      <c r="D8279" t="inlineStr">
        <is>
          <t>NORRBOTTENS LÄN</t>
        </is>
      </c>
      <c r="E8279" t="inlineStr">
        <is>
          <t>PITEÅ</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18008-2024</t>
        </is>
      </c>
      <c r="B8280" s="1" t="n">
        <v>45420</v>
      </c>
      <c r="C8280" s="1" t="n">
        <v>45798</v>
      </c>
      <c r="D8280" t="inlineStr">
        <is>
          <t>NORRBOTTENS LÄN</t>
        </is>
      </c>
      <c r="E8280" t="inlineStr">
        <is>
          <t>KALIX</t>
        </is>
      </c>
      <c r="F8280" t="inlineStr">
        <is>
          <t>SCA</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18012-2024</t>
        </is>
      </c>
      <c r="B8281" s="1" t="n">
        <v>45419</v>
      </c>
      <c r="C8281" s="1" t="n">
        <v>45798</v>
      </c>
      <c r="D8281" t="inlineStr">
        <is>
          <t>NORRBOTTENS LÄN</t>
        </is>
      </c>
      <c r="E8281" t="inlineStr">
        <is>
          <t>KALIX</t>
        </is>
      </c>
      <c r="F8281" t="inlineStr">
        <is>
          <t>SCA</t>
        </is>
      </c>
      <c r="G8281" t="n">
        <v>12.2</v>
      </c>
      <c r="H8281" t="n">
        <v>0</v>
      </c>
      <c r="I8281" t="n">
        <v>0</v>
      </c>
      <c r="J8281" t="n">
        <v>0</v>
      </c>
      <c r="K8281" t="n">
        <v>0</v>
      </c>
      <c r="L8281" t="n">
        <v>0</v>
      </c>
      <c r="M8281" t="n">
        <v>0</v>
      </c>
      <c r="N8281" t="n">
        <v>0</v>
      </c>
      <c r="O8281" t="n">
        <v>0</v>
      </c>
      <c r="P8281" t="n">
        <v>0</v>
      </c>
      <c r="Q8281" t="n">
        <v>0</v>
      </c>
      <c r="R8281" s="2" t="inlineStr"/>
    </row>
    <row r="8282" ht="15" customHeight="1">
      <c r="A8282" t="inlineStr">
        <is>
          <t>A 17962-2024</t>
        </is>
      </c>
      <c r="B8282" s="1" t="n">
        <v>45419</v>
      </c>
      <c r="C8282" s="1" t="n">
        <v>45798</v>
      </c>
      <c r="D8282" t="inlineStr">
        <is>
          <t>NORRBOTTENS LÄN</t>
        </is>
      </c>
      <c r="E8282" t="inlineStr">
        <is>
          <t>BODEN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17994-2024</t>
        </is>
      </c>
      <c r="B8283" s="1" t="n">
        <v>45420</v>
      </c>
      <c r="C8283" s="1" t="n">
        <v>45798</v>
      </c>
      <c r="D8283" t="inlineStr">
        <is>
          <t>NORRBOTTENS LÄN</t>
        </is>
      </c>
      <c r="E8283" t="inlineStr">
        <is>
          <t>PITEÅ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18011-2024</t>
        </is>
      </c>
      <c r="B8284" s="1" t="n">
        <v>45420</v>
      </c>
      <c r="C8284" s="1" t="n">
        <v>45798</v>
      </c>
      <c r="D8284" t="inlineStr">
        <is>
          <t>NORRBOTTENS LÄN</t>
        </is>
      </c>
      <c r="E8284" t="inlineStr">
        <is>
          <t>KALIX</t>
        </is>
      </c>
      <c r="F8284" t="inlineStr">
        <is>
          <t>SCA</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17851-2024</t>
        </is>
      </c>
      <c r="B8285" s="1" t="n">
        <v>45419</v>
      </c>
      <c r="C8285" s="1" t="n">
        <v>45798</v>
      </c>
      <c r="D8285" t="inlineStr">
        <is>
          <t>NORRBOTTENS LÄN</t>
        </is>
      </c>
      <c r="E8285" t="inlineStr">
        <is>
          <t>PITEÅ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18009-2024</t>
        </is>
      </c>
      <c r="B8286" s="1" t="n">
        <v>45420</v>
      </c>
      <c r="C8286" s="1" t="n">
        <v>45798</v>
      </c>
      <c r="D8286" t="inlineStr">
        <is>
          <t>NORRBOTTENS LÄN</t>
        </is>
      </c>
      <c r="E8286" t="inlineStr">
        <is>
          <t>KALIX</t>
        </is>
      </c>
      <c r="F8286" t="inlineStr">
        <is>
          <t>SCA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17961-2024</t>
        </is>
      </c>
      <c r="B8287" s="1" t="n">
        <v>45419</v>
      </c>
      <c r="C8287" s="1" t="n">
        <v>45798</v>
      </c>
      <c r="D8287" t="inlineStr">
        <is>
          <t>NORRBOTTENS LÄN</t>
        </is>
      </c>
      <c r="E8287" t="inlineStr">
        <is>
          <t>BODEN</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18010-2024</t>
        </is>
      </c>
      <c r="B8288" s="1" t="n">
        <v>45420</v>
      </c>
      <c r="C8288" s="1" t="n">
        <v>45798</v>
      </c>
      <c r="D8288" t="inlineStr">
        <is>
          <t>NORRBOTTENS LÄN</t>
        </is>
      </c>
      <c r="E8288" t="inlineStr">
        <is>
          <t>KALIX</t>
        </is>
      </c>
      <c r="F8288" t="inlineStr">
        <is>
          <t>SCA</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18050-2024</t>
        </is>
      </c>
      <c r="B8289" s="1" t="n">
        <v>45420</v>
      </c>
      <c r="C8289" s="1" t="n">
        <v>45798</v>
      </c>
      <c r="D8289" t="inlineStr">
        <is>
          <t>NORRBOTTENS LÄN</t>
        </is>
      </c>
      <c r="E8289" t="inlineStr">
        <is>
          <t>PITEÅ</t>
        </is>
      </c>
      <c r="G8289" t="n">
        <v>10.4</v>
      </c>
      <c r="H8289" t="n">
        <v>0</v>
      </c>
      <c r="I8289" t="n">
        <v>0</v>
      </c>
      <c r="J8289" t="n">
        <v>0</v>
      </c>
      <c r="K8289" t="n">
        <v>0</v>
      </c>
      <c r="L8289" t="n">
        <v>0</v>
      </c>
      <c r="M8289" t="n">
        <v>0</v>
      </c>
      <c r="N8289" t="n">
        <v>0</v>
      </c>
      <c r="O8289" t="n">
        <v>0</v>
      </c>
      <c r="P8289" t="n">
        <v>0</v>
      </c>
      <c r="Q8289" t="n">
        <v>0</v>
      </c>
      <c r="R8289" s="2" t="inlineStr"/>
    </row>
    <row r="8290" ht="15" customHeight="1">
      <c r="A8290" t="inlineStr">
        <is>
          <t>A 18053-2024</t>
        </is>
      </c>
      <c r="B8290" s="1" t="n">
        <v>45420</v>
      </c>
      <c r="C8290" s="1" t="n">
        <v>45798</v>
      </c>
      <c r="D8290" t="inlineStr">
        <is>
          <t>NORRBOTTENS LÄN</t>
        </is>
      </c>
      <c r="E8290" t="inlineStr">
        <is>
          <t>LULEÅ</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18057-2024</t>
        </is>
      </c>
      <c r="B8291" s="1" t="n">
        <v>45420</v>
      </c>
      <c r="C8291" s="1" t="n">
        <v>45798</v>
      </c>
      <c r="D8291" t="inlineStr">
        <is>
          <t>NORRBOTTENS LÄN</t>
        </is>
      </c>
      <c r="E8291" t="inlineStr">
        <is>
          <t>PITEÅ</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18222-2024</t>
        </is>
      </c>
      <c r="B8292" s="1" t="n">
        <v>45420</v>
      </c>
      <c r="C8292" s="1" t="n">
        <v>45798</v>
      </c>
      <c r="D8292" t="inlineStr">
        <is>
          <t>NORRBOTTENS LÄN</t>
        </is>
      </c>
      <c r="E8292" t="inlineStr">
        <is>
          <t>GÄLLIVARE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18228-2024</t>
        </is>
      </c>
      <c r="B8293" s="1" t="n">
        <v>45421</v>
      </c>
      <c r="C8293" s="1" t="n">
        <v>45798</v>
      </c>
      <c r="D8293" t="inlineStr">
        <is>
          <t>NORRBOTTENS LÄN</t>
        </is>
      </c>
      <c r="E8293" t="inlineStr">
        <is>
          <t>KALIX</t>
        </is>
      </c>
      <c r="F8293" t="inlineStr">
        <is>
          <t>SCA</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18227-2024</t>
        </is>
      </c>
      <c r="B8294" s="1" t="n">
        <v>45421</v>
      </c>
      <c r="C8294" s="1" t="n">
        <v>45798</v>
      </c>
      <c r="D8294" t="inlineStr">
        <is>
          <t>NORRBOTTENS LÄN</t>
        </is>
      </c>
      <c r="E8294" t="inlineStr">
        <is>
          <t>KALIX</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18351-2024</t>
        </is>
      </c>
      <c r="B8295" s="1" t="n">
        <v>45422</v>
      </c>
      <c r="C8295" s="1" t="n">
        <v>45798</v>
      </c>
      <c r="D8295" t="inlineStr">
        <is>
          <t>NORRBOTTENS LÄN</t>
        </is>
      </c>
      <c r="E8295" t="inlineStr">
        <is>
          <t>PAJALA</t>
        </is>
      </c>
      <c r="F8295" t="inlineStr">
        <is>
          <t>Sveaskog</t>
        </is>
      </c>
      <c r="G8295" t="n">
        <v>25.9</v>
      </c>
      <c r="H8295" t="n">
        <v>0</v>
      </c>
      <c r="I8295" t="n">
        <v>0</v>
      </c>
      <c r="J8295" t="n">
        <v>0</v>
      </c>
      <c r="K8295" t="n">
        <v>0</v>
      </c>
      <c r="L8295" t="n">
        <v>0</v>
      </c>
      <c r="M8295" t="n">
        <v>0</v>
      </c>
      <c r="N8295" t="n">
        <v>0</v>
      </c>
      <c r="O8295" t="n">
        <v>0</v>
      </c>
      <c r="P8295" t="n">
        <v>0</v>
      </c>
      <c r="Q8295" t="n">
        <v>0</v>
      </c>
      <c r="R8295" s="2" t="inlineStr"/>
    </row>
    <row r="8296" ht="15" customHeight="1">
      <c r="A8296" t="inlineStr">
        <is>
          <t>A 18566-2024</t>
        </is>
      </c>
      <c r="B8296" s="1" t="n">
        <v>45425</v>
      </c>
      <c r="C8296" s="1" t="n">
        <v>45798</v>
      </c>
      <c r="D8296" t="inlineStr">
        <is>
          <t>NORRBOTTENS LÄN</t>
        </is>
      </c>
      <c r="E8296" t="inlineStr">
        <is>
          <t>BODEN</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18584-2024</t>
        </is>
      </c>
      <c r="B8297" s="1" t="n">
        <v>45425</v>
      </c>
      <c r="C8297" s="1" t="n">
        <v>45798</v>
      </c>
      <c r="D8297" t="inlineStr">
        <is>
          <t>NORRBOTTENS LÄN</t>
        </is>
      </c>
      <c r="E8297" t="inlineStr">
        <is>
          <t>LULEÅ</t>
        </is>
      </c>
      <c r="G8297" t="n">
        <v>10.1</v>
      </c>
      <c r="H8297" t="n">
        <v>0</v>
      </c>
      <c r="I8297" t="n">
        <v>0</v>
      </c>
      <c r="J8297" t="n">
        <v>0</v>
      </c>
      <c r="K8297" t="n">
        <v>0</v>
      </c>
      <c r="L8297" t="n">
        <v>0</v>
      </c>
      <c r="M8297" t="n">
        <v>0</v>
      </c>
      <c r="N8297" t="n">
        <v>0</v>
      </c>
      <c r="O8297" t="n">
        <v>0</v>
      </c>
      <c r="P8297" t="n">
        <v>0</v>
      </c>
      <c r="Q8297" t="n">
        <v>0</v>
      </c>
      <c r="R8297" s="2" t="inlineStr"/>
    </row>
    <row r="8298" ht="15" customHeight="1">
      <c r="A8298" t="inlineStr">
        <is>
          <t>A 18489-2024</t>
        </is>
      </c>
      <c r="B8298" s="1" t="n">
        <v>45425</v>
      </c>
      <c r="C8298" s="1" t="n">
        <v>45798</v>
      </c>
      <c r="D8298" t="inlineStr">
        <is>
          <t>NORRBOTTENS LÄN</t>
        </is>
      </c>
      <c r="E8298" t="inlineStr">
        <is>
          <t>ÖVERTORNEÅ</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18530-2024</t>
        </is>
      </c>
      <c r="B8299" s="1" t="n">
        <v>45425</v>
      </c>
      <c r="C8299" s="1" t="n">
        <v>45798</v>
      </c>
      <c r="D8299" t="inlineStr">
        <is>
          <t>NORRBOTTENS LÄN</t>
        </is>
      </c>
      <c r="E8299" t="inlineStr">
        <is>
          <t>PITEÅ</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18575-2024</t>
        </is>
      </c>
      <c r="B8300" s="1" t="n">
        <v>45425</v>
      </c>
      <c r="C8300" s="1" t="n">
        <v>45798</v>
      </c>
      <c r="D8300" t="inlineStr">
        <is>
          <t>NORRBOTTENS LÄN</t>
        </is>
      </c>
      <c r="E8300" t="inlineStr">
        <is>
          <t>KALIX</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18652-2024</t>
        </is>
      </c>
      <c r="B8301" s="1" t="n">
        <v>45425</v>
      </c>
      <c r="C8301" s="1" t="n">
        <v>45798</v>
      </c>
      <c r="D8301" t="inlineStr">
        <is>
          <t>NORRBOTTENS LÄN</t>
        </is>
      </c>
      <c r="E8301" t="inlineStr">
        <is>
          <t>HAPARANDA</t>
        </is>
      </c>
      <c r="F8301" t="inlineStr">
        <is>
          <t>Kommuner</t>
        </is>
      </c>
      <c r="G8301" t="n">
        <v>13.9</v>
      </c>
      <c r="H8301" t="n">
        <v>0</v>
      </c>
      <c r="I8301" t="n">
        <v>0</v>
      </c>
      <c r="J8301" t="n">
        <v>0</v>
      </c>
      <c r="K8301" t="n">
        <v>0</v>
      </c>
      <c r="L8301" t="n">
        <v>0</v>
      </c>
      <c r="M8301" t="n">
        <v>0</v>
      </c>
      <c r="N8301" t="n">
        <v>0</v>
      </c>
      <c r="O8301" t="n">
        <v>0</v>
      </c>
      <c r="P8301" t="n">
        <v>0</v>
      </c>
      <c r="Q8301" t="n">
        <v>0</v>
      </c>
      <c r="R8301" s="2" t="inlineStr"/>
    </row>
    <row r="8302" ht="15" customHeight="1">
      <c r="A8302" t="inlineStr">
        <is>
          <t>A 18569-2024</t>
        </is>
      </c>
      <c r="B8302" s="1" t="n">
        <v>45425</v>
      </c>
      <c r="C8302" s="1" t="n">
        <v>45798</v>
      </c>
      <c r="D8302" t="inlineStr">
        <is>
          <t>NORRBOTTENS LÄN</t>
        </is>
      </c>
      <c r="E8302" t="inlineStr">
        <is>
          <t>BODEN</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18602-2024</t>
        </is>
      </c>
      <c r="B8303" s="1" t="n">
        <v>45425</v>
      </c>
      <c r="C8303" s="1" t="n">
        <v>45798</v>
      </c>
      <c r="D8303" t="inlineStr">
        <is>
          <t>NORRBOTTENS LÄN</t>
        </is>
      </c>
      <c r="E8303" t="inlineStr">
        <is>
          <t>JOKKMOKK</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18655-2024</t>
        </is>
      </c>
      <c r="B8304" s="1" t="n">
        <v>45425</v>
      </c>
      <c r="C8304" s="1" t="n">
        <v>45798</v>
      </c>
      <c r="D8304" t="inlineStr">
        <is>
          <t>NORRBOTTENS LÄN</t>
        </is>
      </c>
      <c r="E8304" t="inlineStr">
        <is>
          <t>LULEÅ</t>
        </is>
      </c>
      <c r="F8304" t="inlineStr">
        <is>
          <t>Sveaskog</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18721-2024</t>
        </is>
      </c>
      <c r="B8305" s="1" t="n">
        <v>45426</v>
      </c>
      <c r="C8305" s="1" t="n">
        <v>45798</v>
      </c>
      <c r="D8305" t="inlineStr">
        <is>
          <t>NORRBOTTENS LÄN</t>
        </is>
      </c>
      <c r="E8305" t="inlineStr">
        <is>
          <t>KIRUNA</t>
        </is>
      </c>
      <c r="G8305" t="n">
        <v>62.1</v>
      </c>
      <c r="H8305" t="n">
        <v>0</v>
      </c>
      <c r="I8305" t="n">
        <v>0</v>
      </c>
      <c r="J8305" t="n">
        <v>0</v>
      </c>
      <c r="K8305" t="n">
        <v>0</v>
      </c>
      <c r="L8305" t="n">
        <v>0</v>
      </c>
      <c r="M8305" t="n">
        <v>0</v>
      </c>
      <c r="N8305" t="n">
        <v>0</v>
      </c>
      <c r="O8305" t="n">
        <v>0</v>
      </c>
      <c r="P8305" t="n">
        <v>0</v>
      </c>
      <c r="Q8305" t="n">
        <v>0</v>
      </c>
      <c r="R8305" s="2" t="inlineStr"/>
    </row>
    <row r="8306" ht="15" customHeight="1">
      <c r="A8306" t="inlineStr">
        <is>
          <t>A 18730-2024</t>
        </is>
      </c>
      <c r="B8306" s="1" t="n">
        <v>45426</v>
      </c>
      <c r="C8306" s="1" t="n">
        <v>45798</v>
      </c>
      <c r="D8306" t="inlineStr">
        <is>
          <t>NORRBOTTENS LÄN</t>
        </is>
      </c>
      <c r="E8306" t="inlineStr">
        <is>
          <t>GÄLLIVARE</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18818-2024</t>
        </is>
      </c>
      <c r="B8307" s="1" t="n">
        <v>45426</v>
      </c>
      <c r="C8307" s="1" t="n">
        <v>45798</v>
      </c>
      <c r="D8307" t="inlineStr">
        <is>
          <t>NORRBOTTENS LÄN</t>
        </is>
      </c>
      <c r="E8307" t="inlineStr">
        <is>
          <t>PITEÅ</t>
        </is>
      </c>
      <c r="F8307" t="inlineStr">
        <is>
          <t>Sveaskog</t>
        </is>
      </c>
      <c r="G8307" t="n">
        <v>22.6</v>
      </c>
      <c r="H8307" t="n">
        <v>0</v>
      </c>
      <c r="I8307" t="n">
        <v>0</v>
      </c>
      <c r="J8307" t="n">
        <v>0</v>
      </c>
      <c r="K8307" t="n">
        <v>0</v>
      </c>
      <c r="L8307" t="n">
        <v>0</v>
      </c>
      <c r="M8307" t="n">
        <v>0</v>
      </c>
      <c r="N8307" t="n">
        <v>0</v>
      </c>
      <c r="O8307" t="n">
        <v>0</v>
      </c>
      <c r="P8307" t="n">
        <v>0</v>
      </c>
      <c r="Q8307" t="n">
        <v>0</v>
      </c>
      <c r="R8307" s="2" t="inlineStr"/>
    </row>
    <row r="8308" ht="15" customHeight="1">
      <c r="A8308" t="inlineStr">
        <is>
          <t>A 18822-2024</t>
        </is>
      </c>
      <c r="B8308" s="1" t="n">
        <v>45426</v>
      </c>
      <c r="C8308" s="1" t="n">
        <v>45798</v>
      </c>
      <c r="D8308" t="inlineStr">
        <is>
          <t>NORRBOTTENS LÄN</t>
        </is>
      </c>
      <c r="E8308" t="inlineStr">
        <is>
          <t>PITEÅ</t>
        </is>
      </c>
      <c r="F8308" t="inlineStr">
        <is>
          <t>Sveaskog</t>
        </is>
      </c>
      <c r="G8308" t="n">
        <v>27.9</v>
      </c>
      <c r="H8308" t="n">
        <v>0</v>
      </c>
      <c r="I8308" t="n">
        <v>0</v>
      </c>
      <c r="J8308" t="n">
        <v>0</v>
      </c>
      <c r="K8308" t="n">
        <v>0</v>
      </c>
      <c r="L8308" t="n">
        <v>0</v>
      </c>
      <c r="M8308" t="n">
        <v>0</v>
      </c>
      <c r="N8308" t="n">
        <v>0</v>
      </c>
      <c r="O8308" t="n">
        <v>0</v>
      </c>
      <c r="P8308" t="n">
        <v>0</v>
      </c>
      <c r="Q8308" t="n">
        <v>0</v>
      </c>
      <c r="R8308" s="2" t="inlineStr"/>
    </row>
    <row r="8309" ht="15" customHeight="1">
      <c r="A8309" t="inlineStr">
        <is>
          <t>A 18870-2024</t>
        </is>
      </c>
      <c r="B8309" s="1" t="n">
        <v>45426</v>
      </c>
      <c r="C8309" s="1" t="n">
        <v>45798</v>
      </c>
      <c r="D8309" t="inlineStr">
        <is>
          <t>NORRBOTTENS LÄN</t>
        </is>
      </c>
      <c r="E8309" t="inlineStr">
        <is>
          <t>BODEN</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18785-2024</t>
        </is>
      </c>
      <c r="B8310" s="1" t="n">
        <v>45426</v>
      </c>
      <c r="C8310" s="1" t="n">
        <v>45798</v>
      </c>
      <c r="D8310" t="inlineStr">
        <is>
          <t>NORRBOTTENS LÄN</t>
        </is>
      </c>
      <c r="E8310" t="inlineStr">
        <is>
          <t>ARVIDSJAUR</t>
        </is>
      </c>
      <c r="F8310" t="inlineStr">
        <is>
          <t>Sveaskog</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18812-2024</t>
        </is>
      </c>
      <c r="B8311" s="1" t="n">
        <v>45426</v>
      </c>
      <c r="C8311" s="1" t="n">
        <v>45798</v>
      </c>
      <c r="D8311" t="inlineStr">
        <is>
          <t>NORRBOTTENS LÄN</t>
        </is>
      </c>
      <c r="E8311" t="inlineStr">
        <is>
          <t>PITEÅ</t>
        </is>
      </c>
      <c r="F8311" t="inlineStr">
        <is>
          <t>Sveaskog</t>
        </is>
      </c>
      <c r="G8311" t="n">
        <v>23.2</v>
      </c>
      <c r="H8311" t="n">
        <v>0</v>
      </c>
      <c r="I8311" t="n">
        <v>0</v>
      </c>
      <c r="J8311" t="n">
        <v>0</v>
      </c>
      <c r="K8311" t="n">
        <v>0</v>
      </c>
      <c r="L8311" t="n">
        <v>0</v>
      </c>
      <c r="M8311" t="n">
        <v>0</v>
      </c>
      <c r="N8311" t="n">
        <v>0</v>
      </c>
      <c r="O8311" t="n">
        <v>0</v>
      </c>
      <c r="P8311" t="n">
        <v>0</v>
      </c>
      <c r="Q8311" t="n">
        <v>0</v>
      </c>
      <c r="R8311" s="2" t="inlineStr"/>
    </row>
    <row r="8312" ht="15" customHeight="1">
      <c r="A8312" t="inlineStr">
        <is>
          <t>A 18780-2024</t>
        </is>
      </c>
      <c r="B8312" s="1" t="n">
        <v>45426</v>
      </c>
      <c r="C8312" s="1" t="n">
        <v>45798</v>
      </c>
      <c r="D8312" t="inlineStr">
        <is>
          <t>NORRBOTTENS LÄN</t>
        </is>
      </c>
      <c r="E8312" t="inlineStr">
        <is>
          <t>ARVIDSJAUR</t>
        </is>
      </c>
      <c r="F8312" t="inlineStr">
        <is>
          <t>Sveaskog</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18863-2024</t>
        </is>
      </c>
      <c r="B8313" s="1" t="n">
        <v>45426</v>
      </c>
      <c r="C8313" s="1" t="n">
        <v>45798</v>
      </c>
      <c r="D8313" t="inlineStr">
        <is>
          <t>NORRBOTTENS LÄN</t>
        </is>
      </c>
      <c r="E8313" t="inlineStr">
        <is>
          <t>LULEÅ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18871-2024</t>
        </is>
      </c>
      <c r="B8314" s="1" t="n">
        <v>45426</v>
      </c>
      <c r="C8314" s="1" t="n">
        <v>45798</v>
      </c>
      <c r="D8314" t="inlineStr">
        <is>
          <t>NORRBOTTENS LÄN</t>
        </is>
      </c>
      <c r="E8314" t="inlineStr">
        <is>
          <t>BODEN</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19046-2024</t>
        </is>
      </c>
      <c r="B8315" s="1" t="n">
        <v>45427</v>
      </c>
      <c r="C8315" s="1" t="n">
        <v>45798</v>
      </c>
      <c r="D8315" t="inlineStr">
        <is>
          <t>NORRBOTTENS LÄN</t>
        </is>
      </c>
      <c r="E8315" t="inlineStr">
        <is>
          <t>PAJALA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19131-2024</t>
        </is>
      </c>
      <c r="B8316" s="1" t="n">
        <v>45427</v>
      </c>
      <c r="C8316" s="1" t="n">
        <v>45798</v>
      </c>
      <c r="D8316" t="inlineStr">
        <is>
          <t>NORRBOTTENS LÄN</t>
        </is>
      </c>
      <c r="E8316" t="inlineStr">
        <is>
          <t>LULEÅ</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19063-2024</t>
        </is>
      </c>
      <c r="B8317" s="1" t="n">
        <v>45428</v>
      </c>
      <c r="C8317" s="1" t="n">
        <v>45798</v>
      </c>
      <c r="D8317" t="inlineStr">
        <is>
          <t>NORRBOTTENS LÄN</t>
        </is>
      </c>
      <c r="E8317" t="inlineStr">
        <is>
          <t>PITEÅ</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19051-2024</t>
        </is>
      </c>
      <c r="B8318" s="1" t="n">
        <v>45427</v>
      </c>
      <c r="C8318" s="1" t="n">
        <v>45798</v>
      </c>
      <c r="D8318" t="inlineStr">
        <is>
          <t>NORRBOTTENS LÄN</t>
        </is>
      </c>
      <c r="E8318" t="inlineStr">
        <is>
          <t>ÖVERTORNEÅ</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18884-2024</t>
        </is>
      </c>
      <c r="B8319" s="1" t="n">
        <v>45427</v>
      </c>
      <c r="C8319" s="1" t="n">
        <v>45798</v>
      </c>
      <c r="D8319" t="inlineStr">
        <is>
          <t>NORRBOTTENS LÄN</t>
        </is>
      </c>
      <c r="E8319" t="inlineStr">
        <is>
          <t>LULEÅ</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18918-2024</t>
        </is>
      </c>
      <c r="B8320" s="1" t="n">
        <v>45427</v>
      </c>
      <c r="C8320" s="1" t="n">
        <v>45798</v>
      </c>
      <c r="D8320" t="inlineStr">
        <is>
          <t>NORRBOTTENS LÄN</t>
        </is>
      </c>
      <c r="E8320" t="inlineStr">
        <is>
          <t>PAJALA</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19047-2024</t>
        </is>
      </c>
      <c r="B8321" s="1" t="n">
        <v>45427</v>
      </c>
      <c r="C8321" s="1" t="n">
        <v>45798</v>
      </c>
      <c r="D8321" t="inlineStr">
        <is>
          <t>NORRBOTTENS LÄN</t>
        </is>
      </c>
      <c r="E8321" t="inlineStr">
        <is>
          <t>PAJALA</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19060-2024</t>
        </is>
      </c>
      <c r="B8322" s="1" t="n">
        <v>45428</v>
      </c>
      <c r="C8322" s="1" t="n">
        <v>45798</v>
      </c>
      <c r="D8322" t="inlineStr">
        <is>
          <t>NORRBOTTENS LÄN</t>
        </is>
      </c>
      <c r="E8322" t="inlineStr">
        <is>
          <t>BODEN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19068-2024</t>
        </is>
      </c>
      <c r="B8323" s="1" t="n">
        <v>45428</v>
      </c>
      <c r="C8323" s="1" t="n">
        <v>45798</v>
      </c>
      <c r="D8323" t="inlineStr">
        <is>
          <t>NORRBOTTENS LÄN</t>
        </is>
      </c>
      <c r="E8323" t="inlineStr">
        <is>
          <t>BODEN</t>
        </is>
      </c>
      <c r="G8323" t="n">
        <v>22.1</v>
      </c>
      <c r="H8323" t="n">
        <v>0</v>
      </c>
      <c r="I8323" t="n">
        <v>0</v>
      </c>
      <c r="J8323" t="n">
        <v>0</v>
      </c>
      <c r="K8323" t="n">
        <v>0</v>
      </c>
      <c r="L8323" t="n">
        <v>0</v>
      </c>
      <c r="M8323" t="n">
        <v>0</v>
      </c>
      <c r="N8323" t="n">
        <v>0</v>
      </c>
      <c r="O8323" t="n">
        <v>0</v>
      </c>
      <c r="P8323" t="n">
        <v>0</v>
      </c>
      <c r="Q8323" t="n">
        <v>0</v>
      </c>
      <c r="R8323" s="2" t="inlineStr"/>
    </row>
    <row r="8324" ht="15" customHeight="1">
      <c r="A8324" t="inlineStr">
        <is>
          <t>A 18904-2024</t>
        </is>
      </c>
      <c r="B8324" s="1" t="n">
        <v>45427</v>
      </c>
      <c r="C8324" s="1" t="n">
        <v>45798</v>
      </c>
      <c r="D8324" t="inlineStr">
        <is>
          <t>NORRBOTTENS LÄN</t>
        </is>
      </c>
      <c r="E8324" t="inlineStr">
        <is>
          <t>PITEÅ</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18976-2024</t>
        </is>
      </c>
      <c r="B8325" s="1" t="n">
        <v>45427</v>
      </c>
      <c r="C8325" s="1" t="n">
        <v>45798</v>
      </c>
      <c r="D8325" t="inlineStr">
        <is>
          <t>NORRBOTTENS LÄN</t>
        </is>
      </c>
      <c r="E8325" t="inlineStr">
        <is>
          <t>ÖVERKALIX</t>
        </is>
      </c>
      <c r="F8325" t="inlineStr">
        <is>
          <t>Sveaskog</t>
        </is>
      </c>
      <c r="G8325" t="n">
        <v>9.9</v>
      </c>
      <c r="H8325" t="n">
        <v>0</v>
      </c>
      <c r="I8325" t="n">
        <v>0</v>
      </c>
      <c r="J8325" t="n">
        <v>0</v>
      </c>
      <c r="K8325" t="n">
        <v>0</v>
      </c>
      <c r="L8325" t="n">
        <v>0</v>
      </c>
      <c r="M8325" t="n">
        <v>0</v>
      </c>
      <c r="N8325" t="n">
        <v>0</v>
      </c>
      <c r="O8325" t="n">
        <v>0</v>
      </c>
      <c r="P8325" t="n">
        <v>0</v>
      </c>
      <c r="Q8325" t="n">
        <v>0</v>
      </c>
      <c r="R8325" s="2" t="inlineStr"/>
    </row>
    <row r="8326" ht="15" customHeight="1">
      <c r="A8326" t="inlineStr">
        <is>
          <t>A 19005-2024</t>
        </is>
      </c>
      <c r="B8326" s="1" t="n">
        <v>45427</v>
      </c>
      <c r="C8326" s="1" t="n">
        <v>45798</v>
      </c>
      <c r="D8326" t="inlineStr">
        <is>
          <t>NORRBOTTENS LÄN</t>
        </is>
      </c>
      <c r="E8326" t="inlineStr">
        <is>
          <t>ARJEPLOG</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19069-2024</t>
        </is>
      </c>
      <c r="B8327" s="1" t="n">
        <v>45428</v>
      </c>
      <c r="C8327" s="1" t="n">
        <v>45798</v>
      </c>
      <c r="D8327" t="inlineStr">
        <is>
          <t>NORRBOTTENS LÄN</t>
        </is>
      </c>
      <c r="E8327" t="inlineStr">
        <is>
          <t>BODEN</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19045-2024</t>
        </is>
      </c>
      <c r="B8328" s="1" t="n">
        <v>45427</v>
      </c>
      <c r="C8328" s="1" t="n">
        <v>45798</v>
      </c>
      <c r="D8328" t="inlineStr">
        <is>
          <t>NORRBOTTENS LÄN</t>
        </is>
      </c>
      <c r="E8328" t="inlineStr">
        <is>
          <t>PAJALA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19250-2024</t>
        </is>
      </c>
      <c r="B8329" s="1" t="n">
        <v>45428</v>
      </c>
      <c r="C8329" s="1" t="n">
        <v>45798</v>
      </c>
      <c r="D8329" t="inlineStr">
        <is>
          <t>NORRBOTTENS LÄN</t>
        </is>
      </c>
      <c r="E8329" t="inlineStr">
        <is>
          <t>PAJALA</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19162-2024</t>
        </is>
      </c>
      <c r="B8330" s="1" t="n">
        <v>45428</v>
      </c>
      <c r="C8330" s="1" t="n">
        <v>45798</v>
      </c>
      <c r="D8330" t="inlineStr">
        <is>
          <t>NORRBOTTENS LÄN</t>
        </is>
      </c>
      <c r="E8330" t="inlineStr">
        <is>
          <t>BODEN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19269-2024</t>
        </is>
      </c>
      <c r="B8331" s="1" t="n">
        <v>45428</v>
      </c>
      <c r="C8331" s="1" t="n">
        <v>45798</v>
      </c>
      <c r="D8331" t="inlineStr">
        <is>
          <t>NORRBOTTENS LÄN</t>
        </is>
      </c>
      <c r="E8331" t="inlineStr">
        <is>
          <t>ÖVERKALIX</t>
        </is>
      </c>
      <c r="F8331" t="inlineStr">
        <is>
          <t>Sveaskog</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19078-2024</t>
        </is>
      </c>
      <c r="B8332" s="1" t="n">
        <v>45428</v>
      </c>
      <c r="C8332" s="1" t="n">
        <v>45798</v>
      </c>
      <c r="D8332" t="inlineStr">
        <is>
          <t>NORRBOTTENS LÄN</t>
        </is>
      </c>
      <c r="E8332" t="inlineStr">
        <is>
          <t>PITEÅ</t>
        </is>
      </c>
      <c r="F8332" t="inlineStr">
        <is>
          <t>SCA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19259-2024</t>
        </is>
      </c>
      <c r="B8333" s="1" t="n">
        <v>45428</v>
      </c>
      <c r="C8333" s="1" t="n">
        <v>45798</v>
      </c>
      <c r="D8333" t="inlineStr">
        <is>
          <t>NORRBOTTENS LÄN</t>
        </is>
      </c>
      <c r="E8333" t="inlineStr">
        <is>
          <t>ÖVERKALIX</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19280-2024</t>
        </is>
      </c>
      <c r="B8334" s="1" t="n">
        <v>45428</v>
      </c>
      <c r="C8334" s="1" t="n">
        <v>45798</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19325-2024</t>
        </is>
      </c>
      <c r="B8335" s="1" t="n">
        <v>45429</v>
      </c>
      <c r="C8335" s="1" t="n">
        <v>45798</v>
      </c>
      <c r="D8335" t="inlineStr">
        <is>
          <t>NORRBOTTENS LÄN</t>
        </is>
      </c>
      <c r="E8335" t="inlineStr">
        <is>
          <t>LULEÅ</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19333-2024</t>
        </is>
      </c>
      <c r="B8336" s="1" t="n">
        <v>45429</v>
      </c>
      <c r="C8336" s="1" t="n">
        <v>45798</v>
      </c>
      <c r="D8336" t="inlineStr">
        <is>
          <t>NORRBOTTENS LÄN</t>
        </is>
      </c>
      <c r="E8336" t="inlineStr">
        <is>
          <t>PITEÅ</t>
        </is>
      </c>
      <c r="F8336" t="inlineStr">
        <is>
          <t>SCA</t>
        </is>
      </c>
      <c r="G8336" t="n">
        <v>17.3</v>
      </c>
      <c r="H8336" t="n">
        <v>0</v>
      </c>
      <c r="I8336" t="n">
        <v>0</v>
      </c>
      <c r="J8336" t="n">
        <v>0</v>
      </c>
      <c r="K8336" t="n">
        <v>0</v>
      </c>
      <c r="L8336" t="n">
        <v>0</v>
      </c>
      <c r="M8336" t="n">
        <v>0</v>
      </c>
      <c r="N8336" t="n">
        <v>0</v>
      </c>
      <c r="O8336" t="n">
        <v>0</v>
      </c>
      <c r="P8336" t="n">
        <v>0</v>
      </c>
      <c r="Q8336" t="n">
        <v>0</v>
      </c>
      <c r="R8336" s="2" t="inlineStr"/>
    </row>
    <row r="8337" ht="15" customHeight="1">
      <c r="A8337" t="inlineStr">
        <is>
          <t>A 19373-2024</t>
        </is>
      </c>
      <c r="B8337" s="1" t="n">
        <v>45429</v>
      </c>
      <c r="C8337" s="1" t="n">
        <v>45798</v>
      </c>
      <c r="D8337" t="inlineStr">
        <is>
          <t>NORRBOTTENS LÄN</t>
        </is>
      </c>
      <c r="E8337" t="inlineStr">
        <is>
          <t>ÖVERTORNEÅ</t>
        </is>
      </c>
      <c r="F8337" t="inlineStr">
        <is>
          <t>Sveaskog</t>
        </is>
      </c>
      <c r="G8337" t="n">
        <v>30.3</v>
      </c>
      <c r="H8337" t="n">
        <v>0</v>
      </c>
      <c r="I8337" t="n">
        <v>0</v>
      </c>
      <c r="J8337" t="n">
        <v>0</v>
      </c>
      <c r="K8337" t="n">
        <v>0</v>
      </c>
      <c r="L8337" t="n">
        <v>0</v>
      </c>
      <c r="M8337" t="n">
        <v>0</v>
      </c>
      <c r="N8337" t="n">
        <v>0</v>
      </c>
      <c r="O8337" t="n">
        <v>0</v>
      </c>
      <c r="P8337" t="n">
        <v>0</v>
      </c>
      <c r="Q8337" t="n">
        <v>0</v>
      </c>
      <c r="R8337" s="2" t="inlineStr"/>
    </row>
    <row r="8338" ht="15" customHeight="1">
      <c r="A8338" t="inlineStr">
        <is>
          <t>A 19443-2024</t>
        </is>
      </c>
      <c r="B8338" s="1" t="n">
        <v>45429</v>
      </c>
      <c r="C8338" s="1" t="n">
        <v>45798</v>
      </c>
      <c r="D8338" t="inlineStr">
        <is>
          <t>NORRBOTTENS LÄN</t>
        </is>
      </c>
      <c r="E8338" t="inlineStr">
        <is>
          <t>ARJEPLOG</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19354-2024</t>
        </is>
      </c>
      <c r="B8339" s="1" t="n">
        <v>45429</v>
      </c>
      <c r="C8339" s="1" t="n">
        <v>45798</v>
      </c>
      <c r="D8339" t="inlineStr">
        <is>
          <t>NORRBOTTENS LÄN</t>
        </is>
      </c>
      <c r="E8339" t="inlineStr">
        <is>
          <t>KALIX</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19505-2024</t>
        </is>
      </c>
      <c r="B8340" s="1" t="n">
        <v>45429</v>
      </c>
      <c r="C8340" s="1" t="n">
        <v>45798</v>
      </c>
      <c r="D8340" t="inlineStr">
        <is>
          <t>NORRBOTTENS LÄN</t>
        </is>
      </c>
      <c r="E8340" t="inlineStr">
        <is>
          <t>BODEN</t>
        </is>
      </c>
      <c r="G8340" t="n">
        <v>10.6</v>
      </c>
      <c r="H8340" t="n">
        <v>0</v>
      </c>
      <c r="I8340" t="n">
        <v>0</v>
      </c>
      <c r="J8340" t="n">
        <v>0</v>
      </c>
      <c r="K8340" t="n">
        <v>0</v>
      </c>
      <c r="L8340" t="n">
        <v>0</v>
      </c>
      <c r="M8340" t="n">
        <v>0</v>
      </c>
      <c r="N8340" t="n">
        <v>0</v>
      </c>
      <c r="O8340" t="n">
        <v>0</v>
      </c>
      <c r="P8340" t="n">
        <v>0</v>
      </c>
      <c r="Q8340" t="n">
        <v>0</v>
      </c>
      <c r="R8340" s="2" t="inlineStr"/>
    </row>
    <row r="8341" ht="15" customHeight="1">
      <c r="A8341" t="inlineStr">
        <is>
          <t>A 19452-2024</t>
        </is>
      </c>
      <c r="B8341" s="1" t="n">
        <v>45429</v>
      </c>
      <c r="C8341" s="1" t="n">
        <v>45798</v>
      </c>
      <c r="D8341" t="inlineStr">
        <is>
          <t>NORRBOTTENS LÄN</t>
        </is>
      </c>
      <c r="E8341" t="inlineStr">
        <is>
          <t>ARJEPLOG</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19442-2024</t>
        </is>
      </c>
      <c r="B8342" s="1" t="n">
        <v>45429</v>
      </c>
      <c r="C8342" s="1" t="n">
        <v>45798</v>
      </c>
      <c r="D8342" t="inlineStr">
        <is>
          <t>NORRBOTTENS LÄN</t>
        </is>
      </c>
      <c r="E8342" t="inlineStr">
        <is>
          <t>ARJEPLOG</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19528-2024</t>
        </is>
      </c>
      <c r="B8343" s="1" t="n">
        <v>45429</v>
      </c>
      <c r="C8343" s="1" t="n">
        <v>45798</v>
      </c>
      <c r="D8343" t="inlineStr">
        <is>
          <t>NORRBOTTENS LÄN</t>
        </is>
      </c>
      <c r="E8343" t="inlineStr">
        <is>
          <t>BODEN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19536-2024</t>
        </is>
      </c>
      <c r="B8344" s="1" t="n">
        <v>45429</v>
      </c>
      <c r="C8344" s="1" t="n">
        <v>45798</v>
      </c>
      <c r="D8344" t="inlineStr">
        <is>
          <t>NORRBOTTENS LÄN</t>
        </is>
      </c>
      <c r="E8344" t="inlineStr">
        <is>
          <t>KALIX</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19529-2024</t>
        </is>
      </c>
      <c r="B8345" s="1" t="n">
        <v>45429</v>
      </c>
      <c r="C8345" s="1" t="n">
        <v>45798</v>
      </c>
      <c r="D8345" t="inlineStr">
        <is>
          <t>NORRBOTTENS LÄN</t>
        </is>
      </c>
      <c r="E8345" t="inlineStr">
        <is>
          <t>ÖVERKALIX</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19533-2024</t>
        </is>
      </c>
      <c r="B8346" s="1" t="n">
        <v>45429</v>
      </c>
      <c r="C8346" s="1" t="n">
        <v>45798</v>
      </c>
      <c r="D8346" t="inlineStr">
        <is>
          <t>NORRBOTTENS LÄN</t>
        </is>
      </c>
      <c r="E8346" t="inlineStr">
        <is>
          <t>BODEN</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19537-2024</t>
        </is>
      </c>
      <c r="B8347" s="1" t="n">
        <v>45429</v>
      </c>
      <c r="C8347" s="1" t="n">
        <v>45798</v>
      </c>
      <c r="D8347" t="inlineStr">
        <is>
          <t>NORRBOTTENS LÄN</t>
        </is>
      </c>
      <c r="E8347" t="inlineStr">
        <is>
          <t>ÖVERKALIX</t>
        </is>
      </c>
      <c r="F8347" t="inlineStr">
        <is>
          <t>Sveaskog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19565-2024</t>
        </is>
      </c>
      <c r="B8348" s="1" t="n">
        <v>45429</v>
      </c>
      <c r="C8348" s="1" t="n">
        <v>45798</v>
      </c>
      <c r="D8348" t="inlineStr">
        <is>
          <t>NORRBOTTENS LÄN</t>
        </is>
      </c>
      <c r="E8348" t="inlineStr">
        <is>
          <t>BODEN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19541-2024</t>
        </is>
      </c>
      <c r="B8349" s="1" t="n">
        <v>45429</v>
      </c>
      <c r="C8349" s="1" t="n">
        <v>45798</v>
      </c>
      <c r="D8349" t="inlineStr">
        <is>
          <t>NORRBOTTENS LÄN</t>
        </is>
      </c>
      <c r="E8349" t="inlineStr">
        <is>
          <t>ÖVERKALIX</t>
        </is>
      </c>
      <c r="F8349" t="inlineStr">
        <is>
          <t>Sveaskog</t>
        </is>
      </c>
      <c r="G8349" t="n">
        <v>22.7</v>
      </c>
      <c r="H8349" t="n">
        <v>0</v>
      </c>
      <c r="I8349" t="n">
        <v>0</v>
      </c>
      <c r="J8349" t="n">
        <v>0</v>
      </c>
      <c r="K8349" t="n">
        <v>0</v>
      </c>
      <c r="L8349" t="n">
        <v>0</v>
      </c>
      <c r="M8349" t="n">
        <v>0</v>
      </c>
      <c r="N8349" t="n">
        <v>0</v>
      </c>
      <c r="O8349" t="n">
        <v>0</v>
      </c>
      <c r="P8349" t="n">
        <v>0</v>
      </c>
      <c r="Q8349" t="n">
        <v>0</v>
      </c>
      <c r="R8349" s="2" t="inlineStr"/>
    </row>
    <row r="8350" ht="15" customHeight="1">
      <c r="A8350" t="inlineStr">
        <is>
          <t>A 19546-2024</t>
        </is>
      </c>
      <c r="B8350" s="1" t="n">
        <v>45429</v>
      </c>
      <c r="C8350" s="1" t="n">
        <v>45798</v>
      </c>
      <c r="D8350" t="inlineStr">
        <is>
          <t>NORRBOTTENS LÄN</t>
        </is>
      </c>
      <c r="E8350" t="inlineStr">
        <is>
          <t>LULEÅ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21335-2024</t>
        </is>
      </c>
      <c r="B8351" s="1" t="n">
        <v>45429</v>
      </c>
      <c r="C8351" s="1" t="n">
        <v>45798</v>
      </c>
      <c r="D8351" t="inlineStr">
        <is>
          <t>NORRBOTTENS LÄN</t>
        </is>
      </c>
      <c r="E8351" t="inlineStr">
        <is>
          <t>BODEN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19527-2024</t>
        </is>
      </c>
      <c r="B8352" s="1" t="n">
        <v>45429</v>
      </c>
      <c r="C8352" s="1" t="n">
        <v>45798</v>
      </c>
      <c r="D8352" t="inlineStr">
        <is>
          <t>NORRBOTTENS LÄN</t>
        </is>
      </c>
      <c r="E8352" t="inlineStr">
        <is>
          <t>KALIX</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19531-2024</t>
        </is>
      </c>
      <c r="B8353" s="1" t="n">
        <v>45429</v>
      </c>
      <c r="C8353" s="1" t="n">
        <v>45798</v>
      </c>
      <c r="D8353" t="inlineStr">
        <is>
          <t>NORRBOTTENS LÄN</t>
        </is>
      </c>
      <c r="E8353" t="inlineStr">
        <is>
          <t>ÖVERKALIX</t>
        </is>
      </c>
      <c r="F8353" t="inlineStr">
        <is>
          <t>Sveaskog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19564-2024</t>
        </is>
      </c>
      <c r="B8354" s="1" t="n">
        <v>45429</v>
      </c>
      <c r="C8354" s="1" t="n">
        <v>45798</v>
      </c>
      <c r="D8354" t="inlineStr">
        <is>
          <t>NORRBOTTENS LÄN</t>
        </is>
      </c>
      <c r="E8354" t="inlineStr">
        <is>
          <t>BODEN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19588-2024</t>
        </is>
      </c>
      <c r="B8355" s="1" t="n">
        <v>45430</v>
      </c>
      <c r="C8355" s="1" t="n">
        <v>45798</v>
      </c>
      <c r="D8355" t="inlineStr">
        <is>
          <t>NORRBOTTENS LÄN</t>
        </is>
      </c>
      <c r="E8355" t="inlineStr">
        <is>
          <t>PITEÅ</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19551-2024</t>
        </is>
      </c>
      <c r="B8356" s="1" t="n">
        <v>45429</v>
      </c>
      <c r="C8356" s="1" t="n">
        <v>45798</v>
      </c>
      <c r="D8356" t="inlineStr">
        <is>
          <t>NORRBOTTENS LÄN</t>
        </is>
      </c>
      <c r="E8356" t="inlineStr">
        <is>
          <t>LULEÅ</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19563-2024</t>
        </is>
      </c>
      <c r="B8357" s="1" t="n">
        <v>45430</v>
      </c>
      <c r="C8357" s="1" t="n">
        <v>45798</v>
      </c>
      <c r="D8357" t="inlineStr">
        <is>
          <t>NORRBOTTENS LÄN</t>
        </is>
      </c>
      <c r="E8357" t="inlineStr">
        <is>
          <t>BODEN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19575-2024</t>
        </is>
      </c>
      <c r="B8358" s="1" t="n">
        <v>45430</v>
      </c>
      <c r="C8358" s="1" t="n">
        <v>45798</v>
      </c>
      <c r="D8358" t="inlineStr">
        <is>
          <t>NORRBOTTENS LÄN</t>
        </is>
      </c>
      <c r="E8358" t="inlineStr">
        <is>
          <t>BODEN</t>
        </is>
      </c>
      <c r="G8358" t="n">
        <v>7.6</v>
      </c>
      <c r="H8358" t="n">
        <v>0</v>
      </c>
      <c r="I8358" t="n">
        <v>0</v>
      </c>
      <c r="J8358" t="n">
        <v>0</v>
      </c>
      <c r="K8358" t="n">
        <v>0</v>
      </c>
      <c r="L8358" t="n">
        <v>0</v>
      </c>
      <c r="M8358" t="n">
        <v>0</v>
      </c>
      <c r="N8358" t="n">
        <v>0</v>
      </c>
      <c r="O8358" t="n">
        <v>0</v>
      </c>
      <c r="P8358" t="n">
        <v>0</v>
      </c>
      <c r="Q8358" t="n">
        <v>0</v>
      </c>
      <c r="R8358" s="2" t="inlineStr"/>
    </row>
    <row r="8359" ht="15" customHeight="1">
      <c r="A8359" t="inlineStr">
        <is>
          <t>A 19795-2024</t>
        </is>
      </c>
      <c r="B8359" s="1" t="n">
        <v>45432</v>
      </c>
      <c r="C8359" s="1" t="n">
        <v>45798</v>
      </c>
      <c r="D8359" t="inlineStr">
        <is>
          <t>NORRBOTTENS LÄN</t>
        </is>
      </c>
      <c r="E8359" t="inlineStr">
        <is>
          <t>KALIX</t>
        </is>
      </c>
      <c r="G8359" t="n">
        <v>9.1</v>
      </c>
      <c r="H8359" t="n">
        <v>0</v>
      </c>
      <c r="I8359" t="n">
        <v>0</v>
      </c>
      <c r="J8359" t="n">
        <v>0</v>
      </c>
      <c r="K8359" t="n">
        <v>0</v>
      </c>
      <c r="L8359" t="n">
        <v>0</v>
      </c>
      <c r="M8359" t="n">
        <v>0</v>
      </c>
      <c r="N8359" t="n">
        <v>0</v>
      </c>
      <c r="O8359" t="n">
        <v>0</v>
      </c>
      <c r="P8359" t="n">
        <v>0</v>
      </c>
      <c r="Q8359" t="n">
        <v>0</v>
      </c>
      <c r="R8359" s="2" t="inlineStr"/>
    </row>
    <row r="8360" ht="15" customHeight="1">
      <c r="A8360" t="inlineStr">
        <is>
          <t>A 19842-2024</t>
        </is>
      </c>
      <c r="B8360" s="1" t="n">
        <v>45432</v>
      </c>
      <c r="C8360" s="1" t="n">
        <v>45798</v>
      </c>
      <c r="D8360" t="inlineStr">
        <is>
          <t>NORRBOTTENS LÄN</t>
        </is>
      </c>
      <c r="E8360" t="inlineStr">
        <is>
          <t>ARJEPLOG</t>
        </is>
      </c>
      <c r="G8360" t="n">
        <v>12.9</v>
      </c>
      <c r="H8360" t="n">
        <v>0</v>
      </c>
      <c r="I8360" t="n">
        <v>0</v>
      </c>
      <c r="J8360" t="n">
        <v>0</v>
      </c>
      <c r="K8360" t="n">
        <v>0</v>
      </c>
      <c r="L8360" t="n">
        <v>0</v>
      </c>
      <c r="M8360" t="n">
        <v>0</v>
      </c>
      <c r="N8360" t="n">
        <v>0</v>
      </c>
      <c r="O8360" t="n">
        <v>0</v>
      </c>
      <c r="P8360" t="n">
        <v>0</v>
      </c>
      <c r="Q8360" t="n">
        <v>0</v>
      </c>
      <c r="R8360" s="2" t="inlineStr"/>
    </row>
    <row r="8361" ht="15" customHeight="1">
      <c r="A8361" t="inlineStr">
        <is>
          <t>A 19680-2024</t>
        </is>
      </c>
      <c r="B8361" s="1" t="n">
        <v>45432</v>
      </c>
      <c r="C8361" s="1" t="n">
        <v>45798</v>
      </c>
      <c r="D8361" t="inlineStr">
        <is>
          <t>NORRBOTTENS LÄN</t>
        </is>
      </c>
      <c r="E8361" t="inlineStr">
        <is>
          <t>KALIX</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19798-2024</t>
        </is>
      </c>
      <c r="B8362" s="1" t="n">
        <v>45432</v>
      </c>
      <c r="C8362" s="1" t="n">
        <v>45798</v>
      </c>
      <c r="D8362" t="inlineStr">
        <is>
          <t>NORRBOTTENS LÄN</t>
        </is>
      </c>
      <c r="E8362" t="inlineStr">
        <is>
          <t>GÄLLIVARE</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19872-2024</t>
        </is>
      </c>
      <c r="B8363" s="1" t="n">
        <v>45433</v>
      </c>
      <c r="C8363" s="1" t="n">
        <v>45798</v>
      </c>
      <c r="D8363" t="inlineStr">
        <is>
          <t>NORRBOTTENS LÄN</t>
        </is>
      </c>
      <c r="E8363" t="inlineStr">
        <is>
          <t>LULEÅ</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19998-2024</t>
        </is>
      </c>
      <c r="B8364" s="1" t="n">
        <v>45434</v>
      </c>
      <c r="C8364" s="1" t="n">
        <v>45798</v>
      </c>
      <c r="D8364" t="inlineStr">
        <is>
          <t>NORRBOTTENS LÄN</t>
        </is>
      </c>
      <c r="E8364" t="inlineStr">
        <is>
          <t>ÄLVSBYN</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20018-2024</t>
        </is>
      </c>
      <c r="B8365" s="1" t="n">
        <v>45433</v>
      </c>
      <c r="C8365" s="1" t="n">
        <v>45798</v>
      </c>
      <c r="D8365" t="inlineStr">
        <is>
          <t>NORRBOTTENS LÄN</t>
        </is>
      </c>
      <c r="E8365" t="inlineStr">
        <is>
          <t>LULEÅ</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20080-2024</t>
        </is>
      </c>
      <c r="B8366" s="1" t="n">
        <v>45434</v>
      </c>
      <c r="C8366" s="1" t="n">
        <v>45798</v>
      </c>
      <c r="D8366" t="inlineStr">
        <is>
          <t>NORRBOTTENS LÄN</t>
        </is>
      </c>
      <c r="E8366" t="inlineStr">
        <is>
          <t>PITEÅ</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20082-2024</t>
        </is>
      </c>
      <c r="B8367" s="1" t="n">
        <v>45434</v>
      </c>
      <c r="C8367" s="1" t="n">
        <v>45798</v>
      </c>
      <c r="D8367" t="inlineStr">
        <is>
          <t>NORRBOTTENS LÄN</t>
        </is>
      </c>
      <c r="E8367" t="inlineStr">
        <is>
          <t>PITEÅ</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20253-2024</t>
        </is>
      </c>
      <c r="B8368" s="1" t="n">
        <v>45434</v>
      </c>
      <c r="C8368" s="1" t="n">
        <v>45798</v>
      </c>
      <c r="D8368" t="inlineStr">
        <is>
          <t>NORRBOTTENS LÄN</t>
        </is>
      </c>
      <c r="E8368" t="inlineStr">
        <is>
          <t>ÄLVSBYN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20239-2024</t>
        </is>
      </c>
      <c r="B8369" s="1" t="n">
        <v>45434</v>
      </c>
      <c r="C8369" s="1" t="n">
        <v>45798</v>
      </c>
      <c r="D8369" t="inlineStr">
        <is>
          <t>NORRBOTTENS LÄN</t>
        </is>
      </c>
      <c r="E8369" t="inlineStr">
        <is>
          <t>PAJALA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20254-2024</t>
        </is>
      </c>
      <c r="B8370" s="1" t="n">
        <v>45434</v>
      </c>
      <c r="C8370" s="1" t="n">
        <v>45798</v>
      </c>
      <c r="D8370" t="inlineStr">
        <is>
          <t>NORRBOTTENS LÄN</t>
        </is>
      </c>
      <c r="E8370" t="inlineStr">
        <is>
          <t>ÄLVSBYN</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20360-2024</t>
        </is>
      </c>
      <c r="B8371" s="1" t="n">
        <v>45435</v>
      </c>
      <c r="C8371" s="1" t="n">
        <v>45798</v>
      </c>
      <c r="D8371" t="inlineStr">
        <is>
          <t>NORRBOTTENS LÄN</t>
        </is>
      </c>
      <c r="E8371" t="inlineStr">
        <is>
          <t>PAJALA</t>
        </is>
      </c>
      <c r="F8371" t="inlineStr">
        <is>
          <t>Allmännings- och besparingsskogar</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20293-2024</t>
        </is>
      </c>
      <c r="B8372" s="1" t="n">
        <v>45435</v>
      </c>
      <c r="C8372" s="1" t="n">
        <v>45798</v>
      </c>
      <c r="D8372" t="inlineStr">
        <is>
          <t>NORRBOTTENS LÄN</t>
        </is>
      </c>
      <c r="E8372" t="inlineStr">
        <is>
          <t>JOKKMOKK</t>
        </is>
      </c>
      <c r="F8372" t="inlineStr">
        <is>
          <t>Sveaskog</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20291-2024</t>
        </is>
      </c>
      <c r="B8373" s="1" t="n">
        <v>45435</v>
      </c>
      <c r="C8373" s="1" t="n">
        <v>45798</v>
      </c>
      <c r="D8373" t="inlineStr">
        <is>
          <t>NORRBOTTENS LÄN</t>
        </is>
      </c>
      <c r="E8373" t="inlineStr">
        <is>
          <t>ÖVERKALIX</t>
        </is>
      </c>
      <c r="F8373" t="inlineStr">
        <is>
          <t>Sveaskog</t>
        </is>
      </c>
      <c r="G8373" t="n">
        <v>20.3</v>
      </c>
      <c r="H8373" t="n">
        <v>0</v>
      </c>
      <c r="I8373" t="n">
        <v>0</v>
      </c>
      <c r="J8373" t="n">
        <v>0</v>
      </c>
      <c r="K8373" t="n">
        <v>0</v>
      </c>
      <c r="L8373" t="n">
        <v>0</v>
      </c>
      <c r="M8373" t="n">
        <v>0</v>
      </c>
      <c r="N8373" t="n">
        <v>0</v>
      </c>
      <c r="O8373" t="n">
        <v>0</v>
      </c>
      <c r="P8373" t="n">
        <v>0</v>
      </c>
      <c r="Q8373" t="n">
        <v>0</v>
      </c>
      <c r="R8373" s="2" t="inlineStr"/>
    </row>
    <row r="8374" ht="15" customHeight="1">
      <c r="A8374" t="inlineStr">
        <is>
          <t>A 20359-2024</t>
        </is>
      </c>
      <c r="B8374" s="1" t="n">
        <v>45435</v>
      </c>
      <c r="C8374" s="1" t="n">
        <v>45798</v>
      </c>
      <c r="D8374" t="inlineStr">
        <is>
          <t>NORRBOTTENS LÄN</t>
        </is>
      </c>
      <c r="E8374" t="inlineStr">
        <is>
          <t>PITEÅ</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20405-2024</t>
        </is>
      </c>
      <c r="B8375" s="1" t="n">
        <v>45435</v>
      </c>
      <c r="C8375" s="1" t="n">
        <v>45798</v>
      </c>
      <c r="D8375" t="inlineStr">
        <is>
          <t>NORRBOTTENS LÄN</t>
        </is>
      </c>
      <c r="E8375" t="inlineStr">
        <is>
          <t>ÖVERTORNEÅ</t>
        </is>
      </c>
      <c r="F8375" t="inlineStr">
        <is>
          <t>Sveaskog</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20402-2024</t>
        </is>
      </c>
      <c r="B8376" s="1" t="n">
        <v>45435</v>
      </c>
      <c r="C8376" s="1" t="n">
        <v>45798</v>
      </c>
      <c r="D8376" t="inlineStr">
        <is>
          <t>NORRBOTTENS LÄN</t>
        </is>
      </c>
      <c r="E8376" t="inlineStr">
        <is>
          <t>PITEÅ</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20676-2024</t>
        </is>
      </c>
      <c r="B8377" s="1" t="n">
        <v>45436</v>
      </c>
      <c r="C8377" s="1" t="n">
        <v>45798</v>
      </c>
      <c r="D8377" t="inlineStr">
        <is>
          <t>NORRBOTTENS LÄN</t>
        </is>
      </c>
      <c r="E8377" t="inlineStr">
        <is>
          <t>PITEÅ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20762-2024</t>
        </is>
      </c>
      <c r="B8378" s="1" t="n">
        <v>45437</v>
      </c>
      <c r="C8378" s="1" t="n">
        <v>45798</v>
      </c>
      <c r="D8378" t="inlineStr">
        <is>
          <t>NORRBOTTENS LÄN</t>
        </is>
      </c>
      <c r="E8378" t="inlineStr">
        <is>
          <t>PITEÅ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20582-2024</t>
        </is>
      </c>
      <c r="B8379" s="1" t="n">
        <v>45436</v>
      </c>
      <c r="C8379" s="1" t="n">
        <v>45798</v>
      </c>
      <c r="D8379" t="inlineStr">
        <is>
          <t>NORRBOTTENS LÄN</t>
        </is>
      </c>
      <c r="E8379" t="inlineStr">
        <is>
          <t>ARVIDSJAUR</t>
        </is>
      </c>
      <c r="F8379" t="inlineStr">
        <is>
          <t>Sveaskog</t>
        </is>
      </c>
      <c r="G8379" t="n">
        <v>12.4</v>
      </c>
      <c r="H8379" t="n">
        <v>0</v>
      </c>
      <c r="I8379" t="n">
        <v>0</v>
      </c>
      <c r="J8379" t="n">
        <v>0</v>
      </c>
      <c r="K8379" t="n">
        <v>0</v>
      </c>
      <c r="L8379" t="n">
        <v>0</v>
      </c>
      <c r="M8379" t="n">
        <v>0</v>
      </c>
      <c r="N8379" t="n">
        <v>0</v>
      </c>
      <c r="O8379" t="n">
        <v>0</v>
      </c>
      <c r="P8379" t="n">
        <v>0</v>
      </c>
      <c r="Q8379" t="n">
        <v>0</v>
      </c>
      <c r="R8379" s="2" t="inlineStr"/>
    </row>
    <row r="8380" ht="15" customHeight="1">
      <c r="A8380" t="inlineStr">
        <is>
          <t>A 20574-2024</t>
        </is>
      </c>
      <c r="B8380" s="1" t="n">
        <v>45436</v>
      </c>
      <c r="C8380" s="1" t="n">
        <v>45798</v>
      </c>
      <c r="D8380" t="inlineStr">
        <is>
          <t>NORRBOTTENS LÄN</t>
        </is>
      </c>
      <c r="E8380" t="inlineStr">
        <is>
          <t>ARVIDSJAUR</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20648-2024</t>
        </is>
      </c>
      <c r="B8381" s="1" t="n">
        <v>45436</v>
      </c>
      <c r="C8381" s="1" t="n">
        <v>45798</v>
      </c>
      <c r="D8381" t="inlineStr">
        <is>
          <t>NORRBOTTENS LÄN</t>
        </is>
      </c>
      <c r="E8381" t="inlineStr">
        <is>
          <t>ÖVERKALIX</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20744-2024</t>
        </is>
      </c>
      <c r="B8382" s="1" t="n">
        <v>45436</v>
      </c>
      <c r="C8382" s="1" t="n">
        <v>45798</v>
      </c>
      <c r="D8382" t="inlineStr">
        <is>
          <t>NORRBOTTENS LÄN</t>
        </is>
      </c>
      <c r="E8382" t="inlineStr">
        <is>
          <t>KIRUNA</t>
        </is>
      </c>
      <c r="G8382" t="n">
        <v>9.699999999999999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20573-2024</t>
        </is>
      </c>
      <c r="B8383" s="1" t="n">
        <v>45436</v>
      </c>
      <c r="C8383" s="1" t="n">
        <v>45798</v>
      </c>
      <c r="D8383" t="inlineStr">
        <is>
          <t>NORRBOTTENS LÄN</t>
        </is>
      </c>
      <c r="E8383" t="inlineStr">
        <is>
          <t>ARVIDSJAUR</t>
        </is>
      </c>
      <c r="F8383" t="inlineStr">
        <is>
          <t>Sveaskog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20557-2024</t>
        </is>
      </c>
      <c r="B8384" s="1" t="n">
        <v>45436</v>
      </c>
      <c r="C8384" s="1" t="n">
        <v>45798</v>
      </c>
      <c r="D8384" t="inlineStr">
        <is>
          <t>NORRBOTTENS LÄN</t>
        </is>
      </c>
      <c r="E8384" t="inlineStr">
        <is>
          <t>ÖVERTORNEÅ</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20671-2024</t>
        </is>
      </c>
      <c r="B8385" s="1" t="n">
        <v>45436</v>
      </c>
      <c r="C8385" s="1" t="n">
        <v>45798</v>
      </c>
      <c r="D8385" t="inlineStr">
        <is>
          <t>NORRBOTTENS LÄN</t>
        </is>
      </c>
      <c r="E8385" t="inlineStr">
        <is>
          <t>PITEÅ</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20547-2024</t>
        </is>
      </c>
      <c r="B8386" s="1" t="n">
        <v>45436</v>
      </c>
      <c r="C8386" s="1" t="n">
        <v>45798</v>
      </c>
      <c r="D8386" t="inlineStr">
        <is>
          <t>NORRBOTTENS LÄN</t>
        </is>
      </c>
      <c r="E8386" t="inlineStr">
        <is>
          <t>ÖVERTORNEÅ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20756-2024</t>
        </is>
      </c>
      <c r="B8387" s="1" t="n">
        <v>45437</v>
      </c>
      <c r="C8387" s="1" t="n">
        <v>45798</v>
      </c>
      <c r="D8387" t="inlineStr">
        <is>
          <t>NORRBOTTENS LÄN</t>
        </is>
      </c>
      <c r="E8387" t="inlineStr">
        <is>
          <t>PITEÅ</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20580-2024</t>
        </is>
      </c>
      <c r="B8388" s="1" t="n">
        <v>45436</v>
      </c>
      <c r="C8388" s="1" t="n">
        <v>45798</v>
      </c>
      <c r="D8388" t="inlineStr">
        <is>
          <t>NORRBOTTENS LÄN</t>
        </is>
      </c>
      <c r="E8388" t="inlineStr">
        <is>
          <t>ÖVERKALIX</t>
        </is>
      </c>
      <c r="F8388" t="inlineStr">
        <is>
          <t>Sveaskog</t>
        </is>
      </c>
      <c r="G8388" t="n">
        <v>29.9</v>
      </c>
      <c r="H8388" t="n">
        <v>0</v>
      </c>
      <c r="I8388" t="n">
        <v>0</v>
      </c>
      <c r="J8388" t="n">
        <v>0</v>
      </c>
      <c r="K8388" t="n">
        <v>0</v>
      </c>
      <c r="L8388" t="n">
        <v>0</v>
      </c>
      <c r="M8388" t="n">
        <v>0</v>
      </c>
      <c r="N8388" t="n">
        <v>0</v>
      </c>
      <c r="O8388" t="n">
        <v>0</v>
      </c>
      <c r="P8388" t="n">
        <v>0</v>
      </c>
      <c r="Q8388" t="n">
        <v>0</v>
      </c>
      <c r="R8388" s="2" t="inlineStr"/>
    </row>
    <row r="8389" ht="15" customHeight="1">
      <c r="A8389" t="inlineStr">
        <is>
          <t>A 20556-2024</t>
        </is>
      </c>
      <c r="B8389" s="1" t="n">
        <v>45436</v>
      </c>
      <c r="C8389" s="1" t="n">
        <v>45798</v>
      </c>
      <c r="D8389" t="inlineStr">
        <is>
          <t>NORRBOTTENS LÄN</t>
        </is>
      </c>
      <c r="E8389" t="inlineStr">
        <is>
          <t>ÖVERTORNEÅ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20690-2024</t>
        </is>
      </c>
      <c r="B8390" s="1" t="n">
        <v>45436</v>
      </c>
      <c r="C8390" s="1" t="n">
        <v>45798</v>
      </c>
      <c r="D8390" t="inlineStr">
        <is>
          <t>NORRBOTTENS LÄN</t>
        </is>
      </c>
      <c r="E8390" t="inlineStr">
        <is>
          <t>LULEÅ</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20734-2024</t>
        </is>
      </c>
      <c r="B8391" s="1" t="n">
        <v>45436</v>
      </c>
      <c r="C8391" s="1" t="n">
        <v>45798</v>
      </c>
      <c r="D8391" t="inlineStr">
        <is>
          <t>NORRBOTTENS LÄN</t>
        </is>
      </c>
      <c r="E8391" t="inlineStr">
        <is>
          <t>JOKKMOKK</t>
        </is>
      </c>
      <c r="F8391" t="inlineStr">
        <is>
          <t>Sveaskog</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20998-2024</t>
        </is>
      </c>
      <c r="B8392" s="1" t="n">
        <v>45439</v>
      </c>
      <c r="C8392" s="1" t="n">
        <v>45798</v>
      </c>
      <c r="D8392" t="inlineStr">
        <is>
          <t>NORRBOTTENS LÄN</t>
        </is>
      </c>
      <c r="E8392" t="inlineStr">
        <is>
          <t>ÖVERKALIX</t>
        </is>
      </c>
      <c r="F8392" t="inlineStr">
        <is>
          <t>Sveaskog</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20996-2024</t>
        </is>
      </c>
      <c r="B8393" s="1" t="n">
        <v>45439</v>
      </c>
      <c r="C8393" s="1" t="n">
        <v>45798</v>
      </c>
      <c r="D8393" t="inlineStr">
        <is>
          <t>NORRBOTTENS LÄN</t>
        </is>
      </c>
      <c r="E8393" t="inlineStr">
        <is>
          <t>ÖVERKALIX</t>
        </is>
      </c>
      <c r="F8393" t="inlineStr">
        <is>
          <t>Sveaskog</t>
        </is>
      </c>
      <c r="G8393" t="n">
        <v>9.300000000000001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20813-2024</t>
        </is>
      </c>
      <c r="B8394" s="1" t="n">
        <v>45439</v>
      </c>
      <c r="C8394" s="1" t="n">
        <v>45798</v>
      </c>
      <c r="D8394" t="inlineStr">
        <is>
          <t>NORRBOTTENS LÄN</t>
        </is>
      </c>
      <c r="E8394" t="inlineStr">
        <is>
          <t>PAJALA</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21033-2024</t>
        </is>
      </c>
      <c r="B8395" s="1" t="n">
        <v>45439</v>
      </c>
      <c r="C8395" s="1" t="n">
        <v>45798</v>
      </c>
      <c r="D8395" t="inlineStr">
        <is>
          <t>NORRBOTTENS LÄN</t>
        </is>
      </c>
      <c r="E8395" t="inlineStr">
        <is>
          <t>GÄLLIVARE</t>
        </is>
      </c>
      <c r="F8395" t="inlineStr">
        <is>
          <t>Sveaskog</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21040-2024</t>
        </is>
      </c>
      <c r="B8396" s="1" t="n">
        <v>45439</v>
      </c>
      <c r="C8396" s="1" t="n">
        <v>45798</v>
      </c>
      <c r="D8396" t="inlineStr">
        <is>
          <t>NORRBOTTENS LÄN</t>
        </is>
      </c>
      <c r="E8396" t="inlineStr">
        <is>
          <t>KALIX</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21064-2024</t>
        </is>
      </c>
      <c r="B8397" s="1" t="n">
        <v>45439</v>
      </c>
      <c r="C8397" s="1" t="n">
        <v>45798</v>
      </c>
      <c r="D8397" t="inlineStr">
        <is>
          <t>NORRBOTTENS LÄN</t>
        </is>
      </c>
      <c r="E8397" t="inlineStr">
        <is>
          <t>PITEÅ</t>
        </is>
      </c>
      <c r="F8397" t="inlineStr">
        <is>
          <t>Sveaskog</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20959-2024</t>
        </is>
      </c>
      <c r="B8398" s="1" t="n">
        <v>45439</v>
      </c>
      <c r="C8398" s="1" t="n">
        <v>45798</v>
      </c>
      <c r="D8398" t="inlineStr">
        <is>
          <t>NORRBOTTENS LÄN</t>
        </is>
      </c>
      <c r="E8398" t="inlineStr">
        <is>
          <t>ÄLVSBYN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21103-2024</t>
        </is>
      </c>
      <c r="B8399" s="1" t="n">
        <v>45440</v>
      </c>
      <c r="C8399" s="1" t="n">
        <v>45798</v>
      </c>
      <c r="D8399" t="inlineStr">
        <is>
          <t>NORRBOTTENS LÄN</t>
        </is>
      </c>
      <c r="E8399" t="inlineStr">
        <is>
          <t>PITEÅ</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20942-2024</t>
        </is>
      </c>
      <c r="B8400" s="1" t="n">
        <v>45439</v>
      </c>
      <c r="C8400" s="1" t="n">
        <v>45798</v>
      </c>
      <c r="D8400" t="inlineStr">
        <is>
          <t>NORRBOTTENS LÄN</t>
        </is>
      </c>
      <c r="E8400" t="inlineStr">
        <is>
          <t>ÄLVSBYN</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20811-2024</t>
        </is>
      </c>
      <c r="B8401" s="1" t="n">
        <v>45439</v>
      </c>
      <c r="C8401" s="1" t="n">
        <v>45798</v>
      </c>
      <c r="D8401" t="inlineStr">
        <is>
          <t>NORRBOTTENS LÄN</t>
        </is>
      </c>
      <c r="E8401" t="inlineStr">
        <is>
          <t>ARVIDSJAUR</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21172-2024</t>
        </is>
      </c>
      <c r="B8402" s="1" t="n">
        <v>45440</v>
      </c>
      <c r="C8402" s="1" t="n">
        <v>45798</v>
      </c>
      <c r="D8402" t="inlineStr">
        <is>
          <t>NORRBOTTENS LÄN</t>
        </is>
      </c>
      <c r="E8402" t="inlineStr">
        <is>
          <t>PAJALA</t>
        </is>
      </c>
      <c r="G8402" t="n">
        <v>6.5</v>
      </c>
      <c r="H8402" t="n">
        <v>0</v>
      </c>
      <c r="I8402" t="n">
        <v>0</v>
      </c>
      <c r="J8402" t="n">
        <v>0</v>
      </c>
      <c r="K8402" t="n">
        <v>0</v>
      </c>
      <c r="L8402" t="n">
        <v>0</v>
      </c>
      <c r="M8402" t="n">
        <v>0</v>
      </c>
      <c r="N8402" t="n">
        <v>0</v>
      </c>
      <c r="O8402" t="n">
        <v>0</v>
      </c>
      <c r="P8402" t="n">
        <v>0</v>
      </c>
      <c r="Q8402" t="n">
        <v>0</v>
      </c>
      <c r="R8402" s="2" t="inlineStr"/>
    </row>
    <row r="8403" ht="15" customHeight="1">
      <c r="A8403" t="inlineStr">
        <is>
          <t>A 21188-2024</t>
        </is>
      </c>
      <c r="B8403" s="1" t="n">
        <v>45440</v>
      </c>
      <c r="C8403" s="1" t="n">
        <v>45798</v>
      </c>
      <c r="D8403" t="inlineStr">
        <is>
          <t>NORRBOTTENS LÄN</t>
        </is>
      </c>
      <c r="E8403" t="inlineStr">
        <is>
          <t>PITEÅ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21250-2024</t>
        </is>
      </c>
      <c r="B8404" s="1" t="n">
        <v>45440</v>
      </c>
      <c r="C8404" s="1" t="n">
        <v>45798</v>
      </c>
      <c r="D8404" t="inlineStr">
        <is>
          <t>NORRBOTTENS LÄN</t>
        </is>
      </c>
      <c r="E8404" t="inlineStr">
        <is>
          <t>PAJALA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21258-2024</t>
        </is>
      </c>
      <c r="B8405" s="1" t="n">
        <v>45440</v>
      </c>
      <c r="C8405" s="1" t="n">
        <v>45798</v>
      </c>
      <c r="D8405" t="inlineStr">
        <is>
          <t>NORRBOTTENS LÄN</t>
        </is>
      </c>
      <c r="E8405" t="inlineStr">
        <is>
          <t>ÄLVSBYN</t>
        </is>
      </c>
      <c r="F8405" t="inlineStr">
        <is>
          <t>Sveaskog</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21299-2024</t>
        </is>
      </c>
      <c r="B8406" s="1" t="n">
        <v>45440</v>
      </c>
      <c r="C8406" s="1" t="n">
        <v>45798</v>
      </c>
      <c r="D8406" t="inlineStr">
        <is>
          <t>NORRBOTTENS LÄN</t>
        </is>
      </c>
      <c r="E8406" t="inlineStr">
        <is>
          <t>ÖVERKALIX</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21145-2024</t>
        </is>
      </c>
      <c r="B8407" s="1" t="n">
        <v>45440</v>
      </c>
      <c r="C8407" s="1" t="n">
        <v>45798</v>
      </c>
      <c r="D8407" t="inlineStr">
        <is>
          <t>NORRBOTTENS LÄN</t>
        </is>
      </c>
      <c r="E8407" t="inlineStr">
        <is>
          <t>LULEÅ</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21281-2024</t>
        </is>
      </c>
      <c r="B8408" s="1" t="n">
        <v>45440</v>
      </c>
      <c r="C8408" s="1" t="n">
        <v>45798</v>
      </c>
      <c r="D8408" t="inlineStr">
        <is>
          <t>NORRBOTTENS LÄN</t>
        </is>
      </c>
      <c r="E8408" t="inlineStr">
        <is>
          <t>ÖVERTORNEÅ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21329-2024</t>
        </is>
      </c>
      <c r="B8409" s="1" t="n">
        <v>45440</v>
      </c>
      <c r="C8409" s="1" t="n">
        <v>45798</v>
      </c>
      <c r="D8409" t="inlineStr">
        <is>
          <t>NORRBOTTENS LÄN</t>
        </is>
      </c>
      <c r="E8409" t="inlineStr">
        <is>
          <t>BODEN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21354-2024</t>
        </is>
      </c>
      <c r="B8410" s="1" t="n">
        <v>45441</v>
      </c>
      <c r="C8410" s="1" t="n">
        <v>45798</v>
      </c>
      <c r="D8410" t="inlineStr">
        <is>
          <t>NORRBOTTENS LÄN</t>
        </is>
      </c>
      <c r="E8410" t="inlineStr">
        <is>
          <t>JOKKMOKK</t>
        </is>
      </c>
      <c r="F8410" t="inlineStr">
        <is>
          <t>SCA</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21358-2024</t>
        </is>
      </c>
      <c r="B8411" s="1" t="n">
        <v>45440</v>
      </c>
      <c r="C8411" s="1" t="n">
        <v>45798</v>
      </c>
      <c r="D8411" t="inlineStr">
        <is>
          <t>NORRBOTTENS LÄN</t>
        </is>
      </c>
      <c r="E8411" t="inlineStr">
        <is>
          <t>ARVIDSJAUR</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21360-2024</t>
        </is>
      </c>
      <c r="B8412" s="1" t="n">
        <v>45441</v>
      </c>
      <c r="C8412" s="1" t="n">
        <v>45798</v>
      </c>
      <c r="D8412" t="inlineStr">
        <is>
          <t>NORRBOTTENS LÄN</t>
        </is>
      </c>
      <c r="E8412" t="inlineStr">
        <is>
          <t>JOKKMOKK</t>
        </is>
      </c>
      <c r="F8412" t="inlineStr">
        <is>
          <t>SCA</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21278-2024</t>
        </is>
      </c>
      <c r="B8413" s="1" t="n">
        <v>45440</v>
      </c>
      <c r="C8413" s="1" t="n">
        <v>45798</v>
      </c>
      <c r="D8413" t="inlineStr">
        <is>
          <t>NORRBOTTENS LÄN</t>
        </is>
      </c>
      <c r="E8413" t="inlineStr">
        <is>
          <t>ÖVERTORNEÅ</t>
        </is>
      </c>
      <c r="F8413" t="inlineStr">
        <is>
          <t>Sveaskog</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21302-2024</t>
        </is>
      </c>
      <c r="B8414" s="1" t="n">
        <v>45440</v>
      </c>
      <c r="C8414" s="1" t="n">
        <v>45798</v>
      </c>
      <c r="D8414" t="inlineStr">
        <is>
          <t>NORRBOTTENS LÄN</t>
        </is>
      </c>
      <c r="E8414" t="inlineStr">
        <is>
          <t>ÖVERKALIX</t>
        </is>
      </c>
      <c r="F8414" t="inlineStr">
        <is>
          <t>Sveaskog</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21353-2024</t>
        </is>
      </c>
      <c r="B8415" s="1" t="n">
        <v>45440</v>
      </c>
      <c r="C8415" s="1" t="n">
        <v>45798</v>
      </c>
      <c r="D8415" t="inlineStr">
        <is>
          <t>NORRBOTTENS LÄN</t>
        </is>
      </c>
      <c r="E8415" t="inlineStr">
        <is>
          <t>JOKKMOKK</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21357-2024</t>
        </is>
      </c>
      <c r="B8416" s="1" t="n">
        <v>45441</v>
      </c>
      <c r="C8416" s="1" t="n">
        <v>45798</v>
      </c>
      <c r="D8416" t="inlineStr">
        <is>
          <t>NORRBOTTENS LÄN</t>
        </is>
      </c>
      <c r="E8416" t="inlineStr">
        <is>
          <t>JOKKMOKK</t>
        </is>
      </c>
      <c r="F8416" t="inlineStr">
        <is>
          <t>SCA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21361-2024</t>
        </is>
      </c>
      <c r="B8417" s="1" t="n">
        <v>45441</v>
      </c>
      <c r="C8417" s="1" t="n">
        <v>45798</v>
      </c>
      <c r="D8417" t="inlineStr">
        <is>
          <t>NORRBOTTENS LÄN</t>
        </is>
      </c>
      <c r="E8417" t="inlineStr">
        <is>
          <t>JOKKMOKK</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21365-2024</t>
        </is>
      </c>
      <c r="B8418" s="1" t="n">
        <v>45440</v>
      </c>
      <c r="C8418" s="1" t="n">
        <v>45798</v>
      </c>
      <c r="D8418" t="inlineStr">
        <is>
          <t>NORRBOTTENS LÄN</t>
        </is>
      </c>
      <c r="E8418" t="inlineStr">
        <is>
          <t>ÄLVSBYN</t>
        </is>
      </c>
      <c r="F8418" t="inlineStr">
        <is>
          <t>SCA</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21343-2024</t>
        </is>
      </c>
      <c r="B8419" s="1" t="n">
        <v>45441</v>
      </c>
      <c r="C8419" s="1" t="n">
        <v>45798</v>
      </c>
      <c r="D8419" t="inlineStr">
        <is>
          <t>NORRBOTTENS LÄN</t>
        </is>
      </c>
      <c r="E8419" t="inlineStr">
        <is>
          <t>PITEÅ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21359-2024</t>
        </is>
      </c>
      <c r="B8420" s="1" t="n">
        <v>45440</v>
      </c>
      <c r="C8420" s="1" t="n">
        <v>45798</v>
      </c>
      <c r="D8420" t="inlineStr">
        <is>
          <t>NORRBOTTENS LÄN</t>
        </is>
      </c>
      <c r="E8420" t="inlineStr">
        <is>
          <t>JOKKMOKK</t>
        </is>
      </c>
      <c r="F8420" t="inlineStr">
        <is>
          <t>SCA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21419-2024</t>
        </is>
      </c>
      <c r="B8421" s="1" t="n">
        <v>45441</v>
      </c>
      <c r="C8421" s="1" t="n">
        <v>45798</v>
      </c>
      <c r="D8421" t="inlineStr">
        <is>
          <t>NORRBOTTENS LÄN</t>
        </is>
      </c>
      <c r="E8421" t="inlineStr">
        <is>
          <t>HAPARANDA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21405-2024</t>
        </is>
      </c>
      <c r="B8422" s="1" t="n">
        <v>45441</v>
      </c>
      <c r="C8422" s="1" t="n">
        <v>45798</v>
      </c>
      <c r="D8422" t="inlineStr">
        <is>
          <t>NORRBOTTENS LÄN</t>
        </is>
      </c>
      <c r="E8422" t="inlineStr">
        <is>
          <t>ÖVERKALIX</t>
        </is>
      </c>
      <c r="G8422" t="n">
        <v>16.1</v>
      </c>
      <c r="H8422" t="n">
        <v>0</v>
      </c>
      <c r="I8422" t="n">
        <v>0</v>
      </c>
      <c r="J8422" t="n">
        <v>0</v>
      </c>
      <c r="K8422" t="n">
        <v>0</v>
      </c>
      <c r="L8422" t="n">
        <v>0</v>
      </c>
      <c r="M8422" t="n">
        <v>0</v>
      </c>
      <c r="N8422" t="n">
        <v>0</v>
      </c>
      <c r="O8422" t="n">
        <v>0</v>
      </c>
      <c r="P8422" t="n">
        <v>0</v>
      </c>
      <c r="Q8422" t="n">
        <v>0</v>
      </c>
      <c r="R8422" s="2" t="inlineStr"/>
    </row>
    <row r="8423" ht="15" customHeight="1">
      <c r="A8423" t="inlineStr">
        <is>
          <t>A 21511-2024</t>
        </is>
      </c>
      <c r="B8423" s="1" t="n">
        <v>45441</v>
      </c>
      <c r="C8423" s="1" t="n">
        <v>45798</v>
      </c>
      <c r="D8423" t="inlineStr">
        <is>
          <t>NORRBOTTENS LÄN</t>
        </is>
      </c>
      <c r="E8423" t="inlineStr">
        <is>
          <t>ÖVERTORNEÅ</t>
        </is>
      </c>
      <c r="F8423" t="inlineStr">
        <is>
          <t>Sveaskog</t>
        </is>
      </c>
      <c r="G8423" t="n">
        <v>23.2</v>
      </c>
      <c r="H8423" t="n">
        <v>0</v>
      </c>
      <c r="I8423" t="n">
        <v>0</v>
      </c>
      <c r="J8423" t="n">
        <v>0</v>
      </c>
      <c r="K8423" t="n">
        <v>0</v>
      </c>
      <c r="L8423" t="n">
        <v>0</v>
      </c>
      <c r="M8423" t="n">
        <v>0</v>
      </c>
      <c r="N8423" t="n">
        <v>0</v>
      </c>
      <c r="O8423" t="n">
        <v>0</v>
      </c>
      <c r="P8423" t="n">
        <v>0</v>
      </c>
      <c r="Q8423" t="n">
        <v>0</v>
      </c>
      <c r="R8423" s="2" t="inlineStr"/>
    </row>
    <row r="8424" ht="15" customHeight="1">
      <c r="A8424" t="inlineStr">
        <is>
          <t>A 21516-2024</t>
        </is>
      </c>
      <c r="B8424" s="1" t="n">
        <v>45441</v>
      </c>
      <c r="C8424" s="1" t="n">
        <v>45798</v>
      </c>
      <c r="D8424" t="inlineStr">
        <is>
          <t>NORRBOTTENS LÄN</t>
        </is>
      </c>
      <c r="E8424" t="inlineStr">
        <is>
          <t>ÖVERTORNEÅ</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21544-2024</t>
        </is>
      </c>
      <c r="B8425" s="1" t="n">
        <v>45441</v>
      </c>
      <c r="C8425" s="1" t="n">
        <v>45798</v>
      </c>
      <c r="D8425" t="inlineStr">
        <is>
          <t>NORRBOTTENS LÄN</t>
        </is>
      </c>
      <c r="E8425" t="inlineStr">
        <is>
          <t>ÖVERTORNEÅ</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21559-2024</t>
        </is>
      </c>
      <c r="B8426" s="1" t="n">
        <v>45441</v>
      </c>
      <c r="C8426" s="1" t="n">
        <v>45798</v>
      </c>
      <c r="D8426" t="inlineStr">
        <is>
          <t>NORRBOTTENS LÄN</t>
        </is>
      </c>
      <c r="E8426" t="inlineStr">
        <is>
          <t>ÖVERTORNEÅ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21583-2024</t>
        </is>
      </c>
      <c r="B8427" s="1" t="n">
        <v>45441</v>
      </c>
      <c r="C8427" s="1" t="n">
        <v>45798</v>
      </c>
      <c r="D8427" t="inlineStr">
        <is>
          <t>NORRBOTTENS LÄN</t>
        </is>
      </c>
      <c r="E8427" t="inlineStr">
        <is>
          <t>LULEÅ</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21523-2024</t>
        </is>
      </c>
      <c r="B8428" s="1" t="n">
        <v>45441</v>
      </c>
      <c r="C8428" s="1" t="n">
        <v>45798</v>
      </c>
      <c r="D8428" t="inlineStr">
        <is>
          <t>NORRBOTTENS LÄN</t>
        </is>
      </c>
      <c r="E8428" t="inlineStr">
        <is>
          <t>ÄLVSBYN</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21584-2024</t>
        </is>
      </c>
      <c r="B8429" s="1" t="n">
        <v>45441</v>
      </c>
      <c r="C8429" s="1" t="n">
        <v>45798</v>
      </c>
      <c r="D8429" t="inlineStr">
        <is>
          <t>NORRBOTTENS LÄN</t>
        </is>
      </c>
      <c r="E8429" t="inlineStr">
        <is>
          <t>LULEÅ</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21597-2024</t>
        </is>
      </c>
      <c r="B8430" s="1" t="n">
        <v>45442</v>
      </c>
      <c r="C8430" s="1" t="n">
        <v>45798</v>
      </c>
      <c r="D8430" t="inlineStr">
        <is>
          <t>NORRBOTTENS LÄN</t>
        </is>
      </c>
      <c r="E8430" t="inlineStr">
        <is>
          <t>LULEÅ</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21454-2024</t>
        </is>
      </c>
      <c r="B8431" s="1" t="n">
        <v>45441</v>
      </c>
      <c r="C8431" s="1" t="n">
        <v>45798</v>
      </c>
      <c r="D8431" t="inlineStr">
        <is>
          <t>NORRBOTTENS LÄN</t>
        </is>
      </c>
      <c r="E8431" t="inlineStr">
        <is>
          <t>LULEÅ</t>
        </is>
      </c>
      <c r="G8431" t="n">
        <v>17.6</v>
      </c>
      <c r="H8431" t="n">
        <v>0</v>
      </c>
      <c r="I8431" t="n">
        <v>0</v>
      </c>
      <c r="J8431" t="n">
        <v>0</v>
      </c>
      <c r="K8431" t="n">
        <v>0</v>
      </c>
      <c r="L8431" t="n">
        <v>0</v>
      </c>
      <c r="M8431" t="n">
        <v>0</v>
      </c>
      <c r="N8431" t="n">
        <v>0</v>
      </c>
      <c r="O8431" t="n">
        <v>0</v>
      </c>
      <c r="P8431" t="n">
        <v>0</v>
      </c>
      <c r="Q8431" t="n">
        <v>0</v>
      </c>
      <c r="R8431" s="2" t="inlineStr"/>
    </row>
    <row r="8432" ht="15" customHeight="1">
      <c r="A8432" t="inlineStr">
        <is>
          <t>A 21501-2024</t>
        </is>
      </c>
      <c r="B8432" s="1" t="n">
        <v>45441</v>
      </c>
      <c r="C8432" s="1" t="n">
        <v>45798</v>
      </c>
      <c r="D8432" t="inlineStr">
        <is>
          <t>NORRBOTTENS LÄN</t>
        </is>
      </c>
      <c r="E8432" t="inlineStr">
        <is>
          <t>ÄLVSBYN</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21525-2024</t>
        </is>
      </c>
      <c r="B8433" s="1" t="n">
        <v>45441</v>
      </c>
      <c r="C8433" s="1" t="n">
        <v>45798</v>
      </c>
      <c r="D8433" t="inlineStr">
        <is>
          <t>NORRBOTTENS LÄN</t>
        </is>
      </c>
      <c r="E8433" t="inlineStr">
        <is>
          <t>BODEN</t>
        </is>
      </c>
      <c r="G8433" t="n">
        <v>24.3</v>
      </c>
      <c r="H8433" t="n">
        <v>0</v>
      </c>
      <c r="I8433" t="n">
        <v>0</v>
      </c>
      <c r="J8433" t="n">
        <v>0</v>
      </c>
      <c r="K8433" t="n">
        <v>0</v>
      </c>
      <c r="L8433" t="n">
        <v>0</v>
      </c>
      <c r="M8433" t="n">
        <v>0</v>
      </c>
      <c r="N8433" t="n">
        <v>0</v>
      </c>
      <c r="O8433" t="n">
        <v>0</v>
      </c>
      <c r="P8433" t="n">
        <v>0</v>
      </c>
      <c r="Q8433" t="n">
        <v>0</v>
      </c>
      <c r="R8433" s="2" t="inlineStr"/>
    </row>
    <row r="8434" ht="15" customHeight="1">
      <c r="A8434" t="inlineStr">
        <is>
          <t>A 21628-2024</t>
        </is>
      </c>
      <c r="B8434" s="1" t="n">
        <v>45442</v>
      </c>
      <c r="C8434" s="1" t="n">
        <v>45798</v>
      </c>
      <c r="D8434" t="inlineStr">
        <is>
          <t>NORRBOTTENS LÄN</t>
        </is>
      </c>
      <c r="E8434" t="inlineStr">
        <is>
          <t>KALIX</t>
        </is>
      </c>
      <c r="F8434" t="inlineStr">
        <is>
          <t>Sveaskog</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21698-2024</t>
        </is>
      </c>
      <c r="B8435" s="1" t="n">
        <v>45442</v>
      </c>
      <c r="C8435" s="1" t="n">
        <v>45798</v>
      </c>
      <c r="D8435" t="inlineStr">
        <is>
          <t>NORRBOTTENS LÄN</t>
        </is>
      </c>
      <c r="E8435" t="inlineStr">
        <is>
          <t>HAPARANDA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21777-2024</t>
        </is>
      </c>
      <c r="B8436" s="1" t="n">
        <v>45442</v>
      </c>
      <c r="C8436" s="1" t="n">
        <v>45798</v>
      </c>
      <c r="D8436" t="inlineStr">
        <is>
          <t>NORRBOTTENS LÄN</t>
        </is>
      </c>
      <c r="E8436" t="inlineStr">
        <is>
          <t>ÖVERKALIX</t>
        </is>
      </c>
      <c r="F8436" t="inlineStr">
        <is>
          <t>Sveaskog</t>
        </is>
      </c>
      <c r="G8436" t="n">
        <v>30.5</v>
      </c>
      <c r="H8436" t="n">
        <v>0</v>
      </c>
      <c r="I8436" t="n">
        <v>0</v>
      </c>
      <c r="J8436" t="n">
        <v>0</v>
      </c>
      <c r="K8436" t="n">
        <v>0</v>
      </c>
      <c r="L8436" t="n">
        <v>0</v>
      </c>
      <c r="M8436" t="n">
        <v>0</v>
      </c>
      <c r="N8436" t="n">
        <v>0</v>
      </c>
      <c r="O8436" t="n">
        <v>0</v>
      </c>
      <c r="P8436" t="n">
        <v>0</v>
      </c>
      <c r="Q8436" t="n">
        <v>0</v>
      </c>
      <c r="R8436" s="2" t="inlineStr"/>
    </row>
    <row r="8437" ht="15" customHeight="1">
      <c r="A8437" t="inlineStr">
        <is>
          <t>A 21704-2024</t>
        </is>
      </c>
      <c r="B8437" s="1" t="n">
        <v>45442</v>
      </c>
      <c r="C8437" s="1" t="n">
        <v>45798</v>
      </c>
      <c r="D8437" t="inlineStr">
        <is>
          <t>NORRBOTTENS LÄN</t>
        </is>
      </c>
      <c r="E8437" t="inlineStr">
        <is>
          <t>ARVIDSJAUR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21643-2024</t>
        </is>
      </c>
      <c r="B8438" s="1" t="n">
        <v>45442</v>
      </c>
      <c r="C8438" s="1" t="n">
        <v>45798</v>
      </c>
      <c r="D8438" t="inlineStr">
        <is>
          <t>NORRBOTTENS LÄN</t>
        </is>
      </c>
      <c r="E8438" t="inlineStr">
        <is>
          <t>PITEÅ</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21743-2024</t>
        </is>
      </c>
      <c r="B8439" s="1" t="n">
        <v>45442</v>
      </c>
      <c r="C8439" s="1" t="n">
        <v>45798</v>
      </c>
      <c r="D8439" t="inlineStr">
        <is>
          <t>NORRBOTTENS LÄN</t>
        </is>
      </c>
      <c r="E8439" t="inlineStr">
        <is>
          <t>ÄLVSBYN</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22034-2024</t>
        </is>
      </c>
      <c r="B8440" s="1" t="n">
        <v>45443</v>
      </c>
      <c r="C8440" s="1" t="n">
        <v>45798</v>
      </c>
      <c r="D8440" t="inlineStr">
        <is>
          <t>NORRBOTTENS LÄN</t>
        </is>
      </c>
      <c r="E8440" t="inlineStr">
        <is>
          <t>ÄLVSBYN</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22046-2024</t>
        </is>
      </c>
      <c r="B8441" s="1" t="n">
        <v>45443</v>
      </c>
      <c r="C8441" s="1" t="n">
        <v>45798</v>
      </c>
      <c r="D8441" t="inlineStr">
        <is>
          <t>NORRBOTTENS LÄN</t>
        </is>
      </c>
      <c r="E8441" t="inlineStr">
        <is>
          <t>PAJALA</t>
        </is>
      </c>
      <c r="F8441" t="inlineStr">
        <is>
          <t>Sveaskog</t>
        </is>
      </c>
      <c r="G8441" t="n">
        <v>8.699999999999999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21908-2024</t>
        </is>
      </c>
      <c r="B8442" s="1" t="n">
        <v>45443</v>
      </c>
      <c r="C8442" s="1" t="n">
        <v>45798</v>
      </c>
      <c r="D8442" t="inlineStr">
        <is>
          <t>NORRBOTTENS LÄN</t>
        </is>
      </c>
      <c r="E8442" t="inlineStr">
        <is>
          <t>BODEN</t>
        </is>
      </c>
      <c r="F8442" t="inlineStr">
        <is>
          <t>Sveaskog</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21912-2024</t>
        </is>
      </c>
      <c r="B8443" s="1" t="n">
        <v>45443</v>
      </c>
      <c r="C8443" s="1" t="n">
        <v>45798</v>
      </c>
      <c r="D8443" t="inlineStr">
        <is>
          <t>NORRBOTTENS LÄN</t>
        </is>
      </c>
      <c r="E8443" t="inlineStr">
        <is>
          <t>GÄLLIVARE</t>
        </is>
      </c>
      <c r="F8443" t="inlineStr">
        <is>
          <t>Sveaskog</t>
        </is>
      </c>
      <c r="G8443" t="n">
        <v>25.2</v>
      </c>
      <c r="H8443" t="n">
        <v>0</v>
      </c>
      <c r="I8443" t="n">
        <v>0</v>
      </c>
      <c r="J8443" t="n">
        <v>0</v>
      </c>
      <c r="K8443" t="n">
        <v>0</v>
      </c>
      <c r="L8443" t="n">
        <v>0</v>
      </c>
      <c r="M8443" t="n">
        <v>0</v>
      </c>
      <c r="N8443" t="n">
        <v>0</v>
      </c>
      <c r="O8443" t="n">
        <v>0</v>
      </c>
      <c r="P8443" t="n">
        <v>0</v>
      </c>
      <c r="Q8443" t="n">
        <v>0</v>
      </c>
      <c r="R8443" s="2" t="inlineStr"/>
    </row>
    <row r="8444" ht="15" customHeight="1">
      <c r="A8444" t="inlineStr">
        <is>
          <t>A 22039-2024</t>
        </is>
      </c>
      <c r="B8444" s="1" t="n">
        <v>45443</v>
      </c>
      <c r="C8444" s="1" t="n">
        <v>45798</v>
      </c>
      <c r="D8444" t="inlineStr">
        <is>
          <t>NORRBOTTENS LÄN</t>
        </is>
      </c>
      <c r="E8444" t="inlineStr">
        <is>
          <t>PAJALA</t>
        </is>
      </c>
      <c r="F8444" t="inlineStr">
        <is>
          <t>Sveaskog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22043-2024</t>
        </is>
      </c>
      <c r="B8445" s="1" t="n">
        <v>45443</v>
      </c>
      <c r="C8445" s="1" t="n">
        <v>45798</v>
      </c>
      <c r="D8445" t="inlineStr">
        <is>
          <t>NORRBOTTENS LÄN</t>
        </is>
      </c>
      <c r="E8445" t="inlineStr">
        <is>
          <t>PAJALA</t>
        </is>
      </c>
      <c r="F8445" t="inlineStr">
        <is>
          <t>Sveaskog</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22007-2024</t>
        </is>
      </c>
      <c r="B8446" s="1" t="n">
        <v>45443</v>
      </c>
      <c r="C8446" s="1" t="n">
        <v>45798</v>
      </c>
      <c r="D8446" t="inlineStr">
        <is>
          <t>NORRBOTTENS LÄN</t>
        </is>
      </c>
      <c r="E8446" t="inlineStr">
        <is>
          <t>LULEÅ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21857-2024</t>
        </is>
      </c>
      <c r="B8447" s="1" t="n">
        <v>45443</v>
      </c>
      <c r="C8447" s="1" t="n">
        <v>45798</v>
      </c>
      <c r="D8447" t="inlineStr">
        <is>
          <t>NORRBOTTENS LÄN</t>
        </is>
      </c>
      <c r="E8447" t="inlineStr">
        <is>
          <t>ÄLVSBYN</t>
        </is>
      </c>
      <c r="F8447" t="inlineStr">
        <is>
          <t>Sveaskog</t>
        </is>
      </c>
      <c r="G8447" t="n">
        <v>18.2</v>
      </c>
      <c r="H8447" t="n">
        <v>0</v>
      </c>
      <c r="I8447" t="n">
        <v>0</v>
      </c>
      <c r="J8447" t="n">
        <v>0</v>
      </c>
      <c r="K8447" t="n">
        <v>0</v>
      </c>
      <c r="L8447" t="n">
        <v>0</v>
      </c>
      <c r="M8447" t="n">
        <v>0</v>
      </c>
      <c r="N8447" t="n">
        <v>0</v>
      </c>
      <c r="O8447" t="n">
        <v>0</v>
      </c>
      <c r="P8447" t="n">
        <v>0</v>
      </c>
      <c r="Q8447" t="n">
        <v>0</v>
      </c>
      <c r="R8447" s="2" t="inlineStr"/>
    </row>
    <row r="8448" ht="15" customHeight="1">
      <c r="A8448" t="inlineStr">
        <is>
          <t>A 21945-2024</t>
        </is>
      </c>
      <c r="B8448" s="1" t="n">
        <v>45443</v>
      </c>
      <c r="C8448" s="1" t="n">
        <v>45798</v>
      </c>
      <c r="D8448" t="inlineStr">
        <is>
          <t>NORRBOTTENS LÄN</t>
        </is>
      </c>
      <c r="E8448" t="inlineStr">
        <is>
          <t>PAJALA</t>
        </is>
      </c>
      <c r="F8448" t="inlineStr">
        <is>
          <t>Sveaskog</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21969-2024</t>
        </is>
      </c>
      <c r="B8449" s="1" t="n">
        <v>45443</v>
      </c>
      <c r="C8449" s="1" t="n">
        <v>45798</v>
      </c>
      <c r="D8449" t="inlineStr">
        <is>
          <t>NORRBOTTENS LÄN</t>
        </is>
      </c>
      <c r="E8449" t="inlineStr">
        <is>
          <t>ÖVERTORNEÅ</t>
        </is>
      </c>
      <c r="F8449" t="inlineStr">
        <is>
          <t>Sveaskog</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21977-2024</t>
        </is>
      </c>
      <c r="B8450" s="1" t="n">
        <v>45443</v>
      </c>
      <c r="C8450" s="1" t="n">
        <v>45798</v>
      </c>
      <c r="D8450" t="inlineStr">
        <is>
          <t>NORRBOTTENS LÄN</t>
        </is>
      </c>
      <c r="E8450" t="inlineStr">
        <is>
          <t>ÄLVSBYN</t>
        </is>
      </c>
      <c r="F8450" t="inlineStr">
        <is>
          <t>Sveaskog</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22098-2024</t>
        </is>
      </c>
      <c r="B8451" s="1" t="n">
        <v>45444</v>
      </c>
      <c r="C8451" s="1" t="n">
        <v>45798</v>
      </c>
      <c r="D8451" t="inlineStr">
        <is>
          <t>NORRBOTTENS LÄN</t>
        </is>
      </c>
      <c r="E8451" t="inlineStr">
        <is>
          <t>PAJALA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22071-2024</t>
        </is>
      </c>
      <c r="B8452" s="1" t="n">
        <v>45443</v>
      </c>
      <c r="C8452" s="1" t="n">
        <v>45798</v>
      </c>
      <c r="D8452" t="inlineStr">
        <is>
          <t>NORRBOTTENS LÄN</t>
        </is>
      </c>
      <c r="E8452" t="inlineStr">
        <is>
          <t>ÖVERKALIX</t>
        </is>
      </c>
      <c r="F8452" t="inlineStr">
        <is>
          <t>Sveaskog</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22042-2024</t>
        </is>
      </c>
      <c r="B8453" s="1" t="n">
        <v>45443</v>
      </c>
      <c r="C8453" s="1" t="n">
        <v>45798</v>
      </c>
      <c r="D8453" t="inlineStr">
        <is>
          <t>NORRBOTTENS LÄN</t>
        </is>
      </c>
      <c r="E8453" t="inlineStr">
        <is>
          <t>PAJALA</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22017-2024</t>
        </is>
      </c>
      <c r="B8454" s="1" t="n">
        <v>45443</v>
      </c>
      <c r="C8454" s="1" t="n">
        <v>45798</v>
      </c>
      <c r="D8454" t="inlineStr">
        <is>
          <t>NORRBOTTENS LÄN</t>
        </is>
      </c>
      <c r="E8454" t="inlineStr">
        <is>
          <t>LULEÅ</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22097-2024</t>
        </is>
      </c>
      <c r="B8455" s="1" t="n">
        <v>45444</v>
      </c>
      <c r="C8455" s="1" t="n">
        <v>45798</v>
      </c>
      <c r="D8455" t="inlineStr">
        <is>
          <t>NORRBOTTENS LÄN</t>
        </is>
      </c>
      <c r="E8455" t="inlineStr">
        <is>
          <t>PAJALA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22054-2024</t>
        </is>
      </c>
      <c r="B8456" s="1" t="n">
        <v>45443</v>
      </c>
      <c r="C8456" s="1" t="n">
        <v>45798</v>
      </c>
      <c r="D8456" t="inlineStr">
        <is>
          <t>NORRBOTTENS LÄN</t>
        </is>
      </c>
      <c r="E8456" t="inlineStr">
        <is>
          <t>PAJALA</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22381-2024</t>
        </is>
      </c>
      <c r="B8457" s="1" t="n">
        <v>45446</v>
      </c>
      <c r="C8457" s="1" t="n">
        <v>45798</v>
      </c>
      <c r="D8457" t="inlineStr">
        <is>
          <t>NORRBOTTENS LÄN</t>
        </is>
      </c>
      <c r="E8457" t="inlineStr">
        <is>
          <t>ÖVERTORNEÅ</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22418-2024</t>
        </is>
      </c>
      <c r="B8458" s="1" t="n">
        <v>45446</v>
      </c>
      <c r="C8458" s="1" t="n">
        <v>45798</v>
      </c>
      <c r="D8458" t="inlineStr">
        <is>
          <t>NORRBOTTENS LÄN</t>
        </is>
      </c>
      <c r="E8458" t="inlineStr">
        <is>
          <t>ÖVERTORNEÅ</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22419-2024</t>
        </is>
      </c>
      <c r="B8459" s="1" t="n">
        <v>45446</v>
      </c>
      <c r="C8459" s="1" t="n">
        <v>45798</v>
      </c>
      <c r="D8459" t="inlineStr">
        <is>
          <t>NORRBOTTENS LÄN</t>
        </is>
      </c>
      <c r="E8459" t="inlineStr">
        <is>
          <t>ÖVERTORNEÅ</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22427-2024</t>
        </is>
      </c>
      <c r="B8460" s="1" t="n">
        <v>45446</v>
      </c>
      <c r="C8460" s="1" t="n">
        <v>45798</v>
      </c>
      <c r="D8460" t="inlineStr">
        <is>
          <t>NORRBOTTENS LÄN</t>
        </is>
      </c>
      <c r="E8460" t="inlineStr">
        <is>
          <t>PAJALA</t>
        </is>
      </c>
      <c r="F8460" t="inlineStr">
        <is>
          <t>Sveaskog</t>
        </is>
      </c>
      <c r="G8460" t="n">
        <v>14.9</v>
      </c>
      <c r="H8460" t="n">
        <v>0</v>
      </c>
      <c r="I8460" t="n">
        <v>0</v>
      </c>
      <c r="J8460" t="n">
        <v>0</v>
      </c>
      <c r="K8460" t="n">
        <v>0</v>
      </c>
      <c r="L8460" t="n">
        <v>0</v>
      </c>
      <c r="M8460" t="n">
        <v>0</v>
      </c>
      <c r="N8460" t="n">
        <v>0</v>
      </c>
      <c r="O8460" t="n">
        <v>0</v>
      </c>
      <c r="P8460" t="n">
        <v>0</v>
      </c>
      <c r="Q8460" t="n">
        <v>0</v>
      </c>
      <c r="R8460" s="2" t="inlineStr"/>
    </row>
    <row r="8461" ht="15" customHeight="1">
      <c r="A8461" t="inlineStr">
        <is>
          <t>A 22447-2024</t>
        </is>
      </c>
      <c r="B8461" s="1" t="n">
        <v>45447</v>
      </c>
      <c r="C8461" s="1" t="n">
        <v>45798</v>
      </c>
      <c r="D8461" t="inlineStr">
        <is>
          <t>NORRBOTTENS LÄN</t>
        </is>
      </c>
      <c r="E8461" t="inlineStr">
        <is>
          <t>BODEN</t>
        </is>
      </c>
      <c r="G8461" t="n">
        <v>6.7</v>
      </c>
      <c r="H8461" t="n">
        <v>0</v>
      </c>
      <c r="I8461" t="n">
        <v>0</v>
      </c>
      <c r="J8461" t="n">
        <v>0</v>
      </c>
      <c r="K8461" t="n">
        <v>0</v>
      </c>
      <c r="L8461" t="n">
        <v>0</v>
      </c>
      <c r="M8461" t="n">
        <v>0</v>
      </c>
      <c r="N8461" t="n">
        <v>0</v>
      </c>
      <c r="O8461" t="n">
        <v>0</v>
      </c>
      <c r="P8461" t="n">
        <v>0</v>
      </c>
      <c r="Q8461" t="n">
        <v>0</v>
      </c>
      <c r="R8461" s="2" t="inlineStr"/>
    </row>
    <row r="8462" ht="15" customHeight="1">
      <c r="A8462" t="inlineStr">
        <is>
          <t>A 22409-2024</t>
        </is>
      </c>
      <c r="B8462" s="1" t="n">
        <v>45446</v>
      </c>
      <c r="C8462" s="1" t="n">
        <v>45798</v>
      </c>
      <c r="D8462" t="inlineStr">
        <is>
          <t>NORRBOTTENS LÄN</t>
        </is>
      </c>
      <c r="E8462" t="inlineStr">
        <is>
          <t>BODEN</t>
        </is>
      </c>
      <c r="F8462" t="inlineStr">
        <is>
          <t>Sveaskog</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22428-2024</t>
        </is>
      </c>
      <c r="B8463" s="1" t="n">
        <v>45446</v>
      </c>
      <c r="C8463" s="1" t="n">
        <v>45798</v>
      </c>
      <c r="D8463" t="inlineStr">
        <is>
          <t>NORRBOTTENS LÄN</t>
        </is>
      </c>
      <c r="E8463" t="inlineStr">
        <is>
          <t>PAJALA</t>
        </is>
      </c>
      <c r="F8463" t="inlineStr">
        <is>
          <t>Sveaskog</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22480-2024</t>
        </is>
      </c>
      <c r="B8464" s="1" t="n">
        <v>45446</v>
      </c>
      <c r="C8464" s="1" t="n">
        <v>45798</v>
      </c>
      <c r="D8464" t="inlineStr">
        <is>
          <t>NORRBOTTENS LÄN</t>
        </is>
      </c>
      <c r="E8464" t="inlineStr">
        <is>
          <t>KALIX</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22494-2024</t>
        </is>
      </c>
      <c r="B8465" s="1" t="n">
        <v>45447</v>
      </c>
      <c r="C8465" s="1" t="n">
        <v>45798</v>
      </c>
      <c r="D8465" t="inlineStr">
        <is>
          <t>NORRBOTTENS LÄN</t>
        </is>
      </c>
      <c r="E8465" t="inlineStr">
        <is>
          <t>KIRUNA</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22526-2024</t>
        </is>
      </c>
      <c r="B8466" s="1" t="n">
        <v>45447</v>
      </c>
      <c r="C8466" s="1" t="n">
        <v>45798</v>
      </c>
      <c r="D8466" t="inlineStr">
        <is>
          <t>NORRBOTTENS LÄN</t>
        </is>
      </c>
      <c r="E8466" t="inlineStr">
        <is>
          <t>PAJALA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22514-2024</t>
        </is>
      </c>
      <c r="B8467" s="1" t="n">
        <v>45447</v>
      </c>
      <c r="C8467" s="1" t="n">
        <v>45798</v>
      </c>
      <c r="D8467" t="inlineStr">
        <is>
          <t>NORRBOTTENS LÄN</t>
        </is>
      </c>
      <c r="E8467" t="inlineStr">
        <is>
          <t>PAJALA</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22504-2024</t>
        </is>
      </c>
      <c r="B8468" s="1" t="n">
        <v>45447</v>
      </c>
      <c r="C8468" s="1" t="n">
        <v>45798</v>
      </c>
      <c r="D8468" t="inlineStr">
        <is>
          <t>NORRBOTTENS LÄN</t>
        </is>
      </c>
      <c r="E8468" t="inlineStr">
        <is>
          <t>KIRUNA</t>
        </is>
      </c>
      <c r="G8468" t="n">
        <v>15.6</v>
      </c>
      <c r="H8468" t="n">
        <v>0</v>
      </c>
      <c r="I8468" t="n">
        <v>0</v>
      </c>
      <c r="J8468" t="n">
        <v>0</v>
      </c>
      <c r="K8468" t="n">
        <v>0</v>
      </c>
      <c r="L8468" t="n">
        <v>0</v>
      </c>
      <c r="M8468" t="n">
        <v>0</v>
      </c>
      <c r="N8468" t="n">
        <v>0</v>
      </c>
      <c r="O8468" t="n">
        <v>0</v>
      </c>
      <c r="P8468" t="n">
        <v>0</v>
      </c>
      <c r="Q8468" t="n">
        <v>0</v>
      </c>
      <c r="R8468" s="2" t="inlineStr"/>
    </row>
    <row r="8469" ht="15" customHeight="1">
      <c r="A8469" t="inlineStr">
        <is>
          <t>A 22491-2024</t>
        </is>
      </c>
      <c r="B8469" s="1" t="n">
        <v>45447</v>
      </c>
      <c r="C8469" s="1" t="n">
        <v>45798</v>
      </c>
      <c r="D8469" t="inlineStr">
        <is>
          <t>NORRBOTTENS LÄN</t>
        </is>
      </c>
      <c r="E8469" t="inlineStr">
        <is>
          <t>KIRUNA</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22852-2024</t>
        </is>
      </c>
      <c r="B8470" s="1" t="n">
        <v>45448</v>
      </c>
      <c r="C8470" s="1" t="n">
        <v>45798</v>
      </c>
      <c r="D8470" t="inlineStr">
        <is>
          <t>NORRBOTTENS LÄN</t>
        </is>
      </c>
      <c r="E8470" t="inlineStr">
        <is>
          <t>ÖVERKALIX</t>
        </is>
      </c>
      <c r="F8470" t="inlineStr">
        <is>
          <t>Sveaskog</t>
        </is>
      </c>
      <c r="G8470" t="n">
        <v>22.3</v>
      </c>
      <c r="H8470" t="n">
        <v>0</v>
      </c>
      <c r="I8470" t="n">
        <v>0</v>
      </c>
      <c r="J8470" t="n">
        <v>0</v>
      </c>
      <c r="K8470" t="n">
        <v>0</v>
      </c>
      <c r="L8470" t="n">
        <v>0</v>
      </c>
      <c r="M8470" t="n">
        <v>0</v>
      </c>
      <c r="N8470" t="n">
        <v>0</v>
      </c>
      <c r="O8470" t="n">
        <v>0</v>
      </c>
      <c r="P8470" t="n">
        <v>0</v>
      </c>
      <c r="Q8470" t="n">
        <v>0</v>
      </c>
      <c r="R8470" s="2" t="inlineStr"/>
    </row>
    <row r="8471" ht="15" customHeight="1">
      <c r="A8471" t="inlineStr">
        <is>
          <t>A 22892-2024</t>
        </is>
      </c>
      <c r="B8471" s="1" t="n">
        <v>45448</v>
      </c>
      <c r="C8471" s="1" t="n">
        <v>45798</v>
      </c>
      <c r="D8471" t="inlineStr">
        <is>
          <t>NORRBOTTENS LÄN</t>
        </is>
      </c>
      <c r="E8471" t="inlineStr">
        <is>
          <t>BODEN</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22688-2024</t>
        </is>
      </c>
      <c r="B8472" s="1" t="n">
        <v>45448</v>
      </c>
      <c r="C8472" s="1" t="n">
        <v>45798</v>
      </c>
      <c r="D8472" t="inlineStr">
        <is>
          <t>NORRBOTTENS LÄN</t>
        </is>
      </c>
      <c r="E8472" t="inlineStr">
        <is>
          <t>ARVIDSJAUR</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22696-2024</t>
        </is>
      </c>
      <c r="B8473" s="1" t="n">
        <v>45448</v>
      </c>
      <c r="C8473" s="1" t="n">
        <v>45798</v>
      </c>
      <c r="D8473" t="inlineStr">
        <is>
          <t>NORRBOTTENS LÄN</t>
        </is>
      </c>
      <c r="E8473" t="inlineStr">
        <is>
          <t>ARVIDSJAUR</t>
        </is>
      </c>
      <c r="F8473" t="inlineStr">
        <is>
          <t>Sveaskog</t>
        </is>
      </c>
      <c r="G8473" t="n">
        <v>23.1</v>
      </c>
      <c r="H8473" t="n">
        <v>0</v>
      </c>
      <c r="I8473" t="n">
        <v>0</v>
      </c>
      <c r="J8473" t="n">
        <v>0</v>
      </c>
      <c r="K8473" t="n">
        <v>0</v>
      </c>
      <c r="L8473" t="n">
        <v>0</v>
      </c>
      <c r="M8473" t="n">
        <v>0</v>
      </c>
      <c r="N8473" t="n">
        <v>0</v>
      </c>
      <c r="O8473" t="n">
        <v>0</v>
      </c>
      <c r="P8473" t="n">
        <v>0</v>
      </c>
      <c r="Q8473" t="n">
        <v>0</v>
      </c>
      <c r="R8473" s="2" t="inlineStr"/>
    </row>
    <row r="8474" ht="15" customHeight="1">
      <c r="A8474" t="inlineStr">
        <is>
          <t>A 22893-2024</t>
        </is>
      </c>
      <c r="B8474" s="1" t="n">
        <v>45448</v>
      </c>
      <c r="C8474" s="1" t="n">
        <v>45798</v>
      </c>
      <c r="D8474" t="inlineStr">
        <is>
          <t>NORRBOTTENS LÄN</t>
        </is>
      </c>
      <c r="E8474" t="inlineStr">
        <is>
          <t>BODEN</t>
        </is>
      </c>
      <c r="F8474" t="inlineStr">
        <is>
          <t>Sveaskog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22691-2024</t>
        </is>
      </c>
      <c r="B8475" s="1" t="n">
        <v>45448</v>
      </c>
      <c r="C8475" s="1" t="n">
        <v>45798</v>
      </c>
      <c r="D8475" t="inlineStr">
        <is>
          <t>NORRBOTTENS LÄN</t>
        </is>
      </c>
      <c r="E8475" t="inlineStr">
        <is>
          <t>ARVIDSJAUR</t>
        </is>
      </c>
      <c r="F8475" t="inlineStr">
        <is>
          <t>Sveaskog</t>
        </is>
      </c>
      <c r="G8475" t="n">
        <v>11.2</v>
      </c>
      <c r="H8475" t="n">
        <v>0</v>
      </c>
      <c r="I8475" t="n">
        <v>0</v>
      </c>
      <c r="J8475" t="n">
        <v>0</v>
      </c>
      <c r="K8475" t="n">
        <v>0</v>
      </c>
      <c r="L8475" t="n">
        <v>0</v>
      </c>
      <c r="M8475" t="n">
        <v>0</v>
      </c>
      <c r="N8475" t="n">
        <v>0</v>
      </c>
      <c r="O8475" t="n">
        <v>0</v>
      </c>
      <c r="P8475" t="n">
        <v>0</v>
      </c>
      <c r="Q8475" t="n">
        <v>0</v>
      </c>
      <c r="R8475" s="2" t="inlineStr"/>
    </row>
    <row r="8476" ht="15" customHeight="1">
      <c r="A8476" t="inlineStr">
        <is>
          <t>A 22933-2024</t>
        </is>
      </c>
      <c r="B8476" s="1" t="n">
        <v>45449</v>
      </c>
      <c r="C8476" s="1" t="n">
        <v>45798</v>
      </c>
      <c r="D8476" t="inlineStr">
        <is>
          <t>NORRBOTTENS LÄN</t>
        </is>
      </c>
      <c r="E8476" t="inlineStr">
        <is>
          <t>PITEÅ</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22779-2024</t>
        </is>
      </c>
      <c r="B8477" s="1" t="n">
        <v>45448</v>
      </c>
      <c r="C8477" s="1" t="n">
        <v>45798</v>
      </c>
      <c r="D8477" t="inlineStr">
        <is>
          <t>NORRBOTTENS LÄN</t>
        </is>
      </c>
      <c r="E8477" t="inlineStr">
        <is>
          <t>ÖVERKALIX</t>
        </is>
      </c>
      <c r="F8477" t="inlineStr">
        <is>
          <t>Sveaskog</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22810-2024</t>
        </is>
      </c>
      <c r="B8478" s="1" t="n">
        <v>45448</v>
      </c>
      <c r="C8478" s="1" t="n">
        <v>45798</v>
      </c>
      <c r="D8478" t="inlineStr">
        <is>
          <t>NORRBOTTENS LÄN</t>
        </is>
      </c>
      <c r="E8478" t="inlineStr">
        <is>
          <t>ÄLVSBYN</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22854-2024</t>
        </is>
      </c>
      <c r="B8479" s="1" t="n">
        <v>45448</v>
      </c>
      <c r="C8479" s="1" t="n">
        <v>45798</v>
      </c>
      <c r="D8479" t="inlineStr">
        <is>
          <t>NORRBOTTENS LÄN</t>
        </is>
      </c>
      <c r="E8479" t="inlineStr">
        <is>
          <t>ÖVERKALIX</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22807-2024</t>
        </is>
      </c>
      <c r="B8480" s="1" t="n">
        <v>45448</v>
      </c>
      <c r="C8480" s="1" t="n">
        <v>45798</v>
      </c>
      <c r="D8480" t="inlineStr">
        <is>
          <t>NORRBOTTENS LÄN</t>
        </is>
      </c>
      <c r="E8480" t="inlineStr">
        <is>
          <t>ÄLVSBYN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22911-2024</t>
        </is>
      </c>
      <c r="B8481" s="1" t="n">
        <v>45448</v>
      </c>
      <c r="C8481" s="1" t="n">
        <v>45798</v>
      </c>
      <c r="D8481" t="inlineStr">
        <is>
          <t>NORRBOTTENS LÄN</t>
        </is>
      </c>
      <c r="E8481" t="inlineStr">
        <is>
          <t>ÖVERTORNEÅ</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23014-2024</t>
        </is>
      </c>
      <c r="B8482" s="1" t="n">
        <v>45449</v>
      </c>
      <c r="C8482" s="1" t="n">
        <v>45798</v>
      </c>
      <c r="D8482" t="inlineStr">
        <is>
          <t>NORRBOTTENS LÄN</t>
        </is>
      </c>
      <c r="E8482" t="inlineStr">
        <is>
          <t>ÖVERTORNEÅ</t>
        </is>
      </c>
      <c r="G8482" t="n">
        <v>13.8</v>
      </c>
      <c r="H8482" t="n">
        <v>0</v>
      </c>
      <c r="I8482" t="n">
        <v>0</v>
      </c>
      <c r="J8482" t="n">
        <v>0</v>
      </c>
      <c r="K8482" t="n">
        <v>0</v>
      </c>
      <c r="L8482" t="n">
        <v>0</v>
      </c>
      <c r="M8482" t="n">
        <v>0</v>
      </c>
      <c r="N8482" t="n">
        <v>0</v>
      </c>
      <c r="O8482" t="n">
        <v>0</v>
      </c>
      <c r="P8482" t="n">
        <v>0</v>
      </c>
      <c r="Q8482" t="n">
        <v>0</v>
      </c>
      <c r="R8482" s="2" t="inlineStr"/>
    </row>
    <row r="8483" ht="15" customHeight="1">
      <c r="A8483" t="inlineStr">
        <is>
          <t>A 23050-2024</t>
        </is>
      </c>
      <c r="B8483" s="1" t="n">
        <v>45449</v>
      </c>
      <c r="C8483" s="1" t="n">
        <v>45798</v>
      </c>
      <c r="D8483" t="inlineStr">
        <is>
          <t>NORRBOTTENS LÄN</t>
        </is>
      </c>
      <c r="E8483" t="inlineStr">
        <is>
          <t>ÖVERTORNEÅ</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23076-2024</t>
        </is>
      </c>
      <c r="B8484" s="1" t="n">
        <v>45449</v>
      </c>
      <c r="C8484" s="1" t="n">
        <v>45798</v>
      </c>
      <c r="D8484" t="inlineStr">
        <is>
          <t>NORRBOTTENS LÄN</t>
        </is>
      </c>
      <c r="E8484" t="inlineStr">
        <is>
          <t>ÖVERTORNEÅ</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23055-2024</t>
        </is>
      </c>
      <c r="B8485" s="1" t="n">
        <v>45449</v>
      </c>
      <c r="C8485" s="1" t="n">
        <v>45798</v>
      </c>
      <c r="D8485" t="inlineStr">
        <is>
          <t>NORRBOTTENS LÄN</t>
        </is>
      </c>
      <c r="E8485" t="inlineStr">
        <is>
          <t>ÖVERTORNEÅ</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23067-2024</t>
        </is>
      </c>
      <c r="B8486" s="1" t="n">
        <v>45449</v>
      </c>
      <c r="C8486" s="1" t="n">
        <v>45798</v>
      </c>
      <c r="D8486" t="inlineStr">
        <is>
          <t>NORRBOTTENS LÄN</t>
        </is>
      </c>
      <c r="E8486" t="inlineStr">
        <is>
          <t>ÖVERTORNEÅ</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23019-2024</t>
        </is>
      </c>
      <c r="B8487" s="1" t="n">
        <v>45449</v>
      </c>
      <c r="C8487" s="1" t="n">
        <v>45798</v>
      </c>
      <c r="D8487" t="inlineStr">
        <is>
          <t>NORRBOTTENS LÄN</t>
        </is>
      </c>
      <c r="E8487" t="inlineStr">
        <is>
          <t>ÖVERTORNEÅ</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23052-2024</t>
        </is>
      </c>
      <c r="B8488" s="1" t="n">
        <v>45449</v>
      </c>
      <c r="C8488" s="1" t="n">
        <v>45798</v>
      </c>
      <c r="D8488" t="inlineStr">
        <is>
          <t>NORRBOTTENS LÄN</t>
        </is>
      </c>
      <c r="E8488" t="inlineStr">
        <is>
          <t>ÖVERTORNEÅ</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23077-2024</t>
        </is>
      </c>
      <c r="B8489" s="1" t="n">
        <v>45449</v>
      </c>
      <c r="C8489" s="1" t="n">
        <v>45798</v>
      </c>
      <c r="D8489" t="inlineStr">
        <is>
          <t>NORRBOTTENS LÄN</t>
        </is>
      </c>
      <c r="E8489" t="inlineStr">
        <is>
          <t>ÖVERTORNEÅ</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23278-2024</t>
        </is>
      </c>
      <c r="B8490" s="1" t="n">
        <v>45449</v>
      </c>
      <c r="C8490" s="1" t="n">
        <v>45798</v>
      </c>
      <c r="D8490" t="inlineStr">
        <is>
          <t>NORRBOTTENS LÄN</t>
        </is>
      </c>
      <c r="E8490" t="inlineStr">
        <is>
          <t>PAJALA</t>
        </is>
      </c>
      <c r="G8490" t="n">
        <v>13.6</v>
      </c>
      <c r="H8490" t="n">
        <v>0</v>
      </c>
      <c r="I8490" t="n">
        <v>0</v>
      </c>
      <c r="J8490" t="n">
        <v>0</v>
      </c>
      <c r="K8490" t="n">
        <v>0</v>
      </c>
      <c r="L8490" t="n">
        <v>0</v>
      </c>
      <c r="M8490" t="n">
        <v>0</v>
      </c>
      <c r="N8490" t="n">
        <v>0</v>
      </c>
      <c r="O8490" t="n">
        <v>0</v>
      </c>
      <c r="P8490" t="n">
        <v>0</v>
      </c>
      <c r="Q8490" t="n">
        <v>0</v>
      </c>
      <c r="R8490" s="2" t="inlineStr"/>
    </row>
    <row r="8491" ht="15" customHeight="1">
      <c r="A8491" t="inlineStr">
        <is>
          <t>A 23053-2024</t>
        </is>
      </c>
      <c r="B8491" s="1" t="n">
        <v>45449</v>
      </c>
      <c r="C8491" s="1" t="n">
        <v>45798</v>
      </c>
      <c r="D8491" t="inlineStr">
        <is>
          <t>NORRBOTTENS LÄN</t>
        </is>
      </c>
      <c r="E8491" t="inlineStr">
        <is>
          <t>ÖVERTORNEÅ</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23039-2024</t>
        </is>
      </c>
      <c r="B8492" s="1" t="n">
        <v>45449</v>
      </c>
      <c r="C8492" s="1" t="n">
        <v>45798</v>
      </c>
      <c r="D8492" t="inlineStr">
        <is>
          <t>NORRBOTTENS LÄN</t>
        </is>
      </c>
      <c r="E8492" t="inlineStr">
        <is>
          <t>ÖVERTORNEÅ</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22996-2024</t>
        </is>
      </c>
      <c r="B8493" s="1" t="n">
        <v>45450</v>
      </c>
      <c r="C8493" s="1" t="n">
        <v>45798</v>
      </c>
      <c r="D8493" t="inlineStr">
        <is>
          <t>NORRBOTTENS LÄN</t>
        </is>
      </c>
      <c r="E8493" t="inlineStr">
        <is>
          <t>ARVIDSJAUR</t>
        </is>
      </c>
      <c r="F8493" t="inlineStr">
        <is>
          <t>Sveaskog</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22997-2024</t>
        </is>
      </c>
      <c r="B8494" s="1" t="n">
        <v>45450</v>
      </c>
      <c r="C8494" s="1" t="n">
        <v>45798</v>
      </c>
      <c r="D8494" t="inlineStr">
        <is>
          <t>NORRBOTTENS LÄN</t>
        </is>
      </c>
      <c r="E8494" t="inlineStr">
        <is>
          <t>ARVIDSJAUR</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23136-2024</t>
        </is>
      </c>
      <c r="B8495" s="1" t="n">
        <v>45450</v>
      </c>
      <c r="C8495" s="1" t="n">
        <v>45798</v>
      </c>
      <c r="D8495" t="inlineStr">
        <is>
          <t>NORRBOTTENS LÄN</t>
        </is>
      </c>
      <c r="E8495" t="inlineStr">
        <is>
          <t>ÄLVSBYN</t>
        </is>
      </c>
      <c r="F8495" t="inlineStr">
        <is>
          <t>Sveaskog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23073-2024</t>
        </is>
      </c>
      <c r="B8496" s="1" t="n">
        <v>45450</v>
      </c>
      <c r="C8496" s="1" t="n">
        <v>45798</v>
      </c>
      <c r="D8496" t="inlineStr">
        <is>
          <t>NORRBOTTENS LÄN</t>
        </is>
      </c>
      <c r="E8496" t="inlineStr">
        <is>
          <t>PAJALA</t>
        </is>
      </c>
      <c r="F8496" t="inlineStr">
        <is>
          <t>Sveaskog</t>
        </is>
      </c>
      <c r="G8496" t="n">
        <v>27.1</v>
      </c>
      <c r="H8496" t="n">
        <v>0</v>
      </c>
      <c r="I8496" t="n">
        <v>0</v>
      </c>
      <c r="J8496" t="n">
        <v>0</v>
      </c>
      <c r="K8496" t="n">
        <v>0</v>
      </c>
      <c r="L8496" t="n">
        <v>0</v>
      </c>
      <c r="M8496" t="n">
        <v>0</v>
      </c>
      <c r="N8496" t="n">
        <v>0</v>
      </c>
      <c r="O8496" t="n">
        <v>0</v>
      </c>
      <c r="P8496" t="n">
        <v>0</v>
      </c>
      <c r="Q8496" t="n">
        <v>0</v>
      </c>
      <c r="R8496" s="2" t="inlineStr"/>
    </row>
    <row r="8497" ht="15" customHeight="1">
      <c r="A8497" t="inlineStr">
        <is>
          <t>A 23166-2024</t>
        </is>
      </c>
      <c r="B8497" s="1" t="n">
        <v>45450</v>
      </c>
      <c r="C8497" s="1" t="n">
        <v>45798</v>
      </c>
      <c r="D8497" t="inlineStr">
        <is>
          <t>NORRBOTTENS LÄN</t>
        </is>
      </c>
      <c r="E8497" t="inlineStr">
        <is>
          <t>PAJALA</t>
        </is>
      </c>
      <c r="F8497" t="inlineStr">
        <is>
          <t>Allmännings- och besparingsskogar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23102-2024</t>
        </is>
      </c>
      <c r="B8498" s="1" t="n">
        <v>45450</v>
      </c>
      <c r="C8498" s="1" t="n">
        <v>45798</v>
      </c>
      <c r="D8498" t="inlineStr">
        <is>
          <t>NORRBOTTENS LÄN</t>
        </is>
      </c>
      <c r="E8498" t="inlineStr">
        <is>
          <t>PAJALA</t>
        </is>
      </c>
      <c r="F8498" t="inlineStr">
        <is>
          <t>Sveaskog</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23110-2024</t>
        </is>
      </c>
      <c r="B8499" s="1" t="n">
        <v>45450</v>
      </c>
      <c r="C8499" s="1" t="n">
        <v>45798</v>
      </c>
      <c r="D8499" t="inlineStr">
        <is>
          <t>NORRBOTTENS LÄN</t>
        </is>
      </c>
      <c r="E8499" t="inlineStr">
        <is>
          <t>GÄLLIVARE</t>
        </is>
      </c>
      <c r="F8499" t="inlineStr">
        <is>
          <t>Sveaskog</t>
        </is>
      </c>
      <c r="G8499" t="n">
        <v>22.6</v>
      </c>
      <c r="H8499" t="n">
        <v>0</v>
      </c>
      <c r="I8499" t="n">
        <v>0</v>
      </c>
      <c r="J8499" t="n">
        <v>0</v>
      </c>
      <c r="K8499" t="n">
        <v>0</v>
      </c>
      <c r="L8499" t="n">
        <v>0</v>
      </c>
      <c r="M8499" t="n">
        <v>0</v>
      </c>
      <c r="N8499" t="n">
        <v>0</v>
      </c>
      <c r="O8499" t="n">
        <v>0</v>
      </c>
      <c r="P8499" t="n">
        <v>0</v>
      </c>
      <c r="Q8499" t="n">
        <v>0</v>
      </c>
      <c r="R8499" s="2" t="inlineStr"/>
    </row>
    <row r="8500" ht="15" customHeight="1">
      <c r="A8500" t="inlineStr">
        <is>
          <t>A 23193-2024</t>
        </is>
      </c>
      <c r="B8500" s="1" t="n">
        <v>45450</v>
      </c>
      <c r="C8500" s="1" t="n">
        <v>45798</v>
      </c>
      <c r="D8500" t="inlineStr">
        <is>
          <t>NORRBOTTENS LÄN</t>
        </is>
      </c>
      <c r="E8500" t="inlineStr">
        <is>
          <t>PITEÅ</t>
        </is>
      </c>
      <c r="G8500" t="n">
        <v>7.4</v>
      </c>
      <c r="H8500" t="n">
        <v>0</v>
      </c>
      <c r="I8500" t="n">
        <v>0</v>
      </c>
      <c r="J8500" t="n">
        <v>0</v>
      </c>
      <c r="K8500" t="n">
        <v>0</v>
      </c>
      <c r="L8500" t="n">
        <v>0</v>
      </c>
      <c r="M8500" t="n">
        <v>0</v>
      </c>
      <c r="N8500" t="n">
        <v>0</v>
      </c>
      <c r="O8500" t="n">
        <v>0</v>
      </c>
      <c r="P8500" t="n">
        <v>0</v>
      </c>
      <c r="Q8500" t="n">
        <v>0</v>
      </c>
      <c r="R8500" s="2" t="inlineStr"/>
    </row>
    <row r="8501" ht="15" customHeight="1">
      <c r="A8501" t="inlineStr">
        <is>
          <t>A 23195-2024</t>
        </is>
      </c>
      <c r="B8501" s="1" t="n">
        <v>45450</v>
      </c>
      <c r="C8501" s="1" t="n">
        <v>45798</v>
      </c>
      <c r="D8501" t="inlineStr">
        <is>
          <t>NORRBOTTENS LÄN</t>
        </is>
      </c>
      <c r="E8501" t="inlineStr">
        <is>
          <t>PITEÅ</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23203-2024</t>
        </is>
      </c>
      <c r="B8502" s="1" t="n">
        <v>45451</v>
      </c>
      <c r="C8502" s="1" t="n">
        <v>45798</v>
      </c>
      <c r="D8502" t="inlineStr">
        <is>
          <t>NORRBOTTENS LÄN</t>
        </is>
      </c>
      <c r="E8502" t="inlineStr">
        <is>
          <t>JOKKMOKK</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23202-2024</t>
        </is>
      </c>
      <c r="B8503" s="1" t="n">
        <v>45451</v>
      </c>
      <c r="C8503" s="1" t="n">
        <v>45798</v>
      </c>
      <c r="D8503" t="inlineStr">
        <is>
          <t>NORRBOTTENS LÄN</t>
        </is>
      </c>
      <c r="E8503" t="inlineStr">
        <is>
          <t>JOKKMOKK</t>
        </is>
      </c>
      <c r="F8503" t="inlineStr">
        <is>
          <t>SCA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23201-2024</t>
        </is>
      </c>
      <c r="B8504" s="1" t="n">
        <v>45452</v>
      </c>
      <c r="C8504" s="1" t="n">
        <v>45798</v>
      </c>
      <c r="D8504" t="inlineStr">
        <is>
          <t>NORRBOTTENS LÄN</t>
        </is>
      </c>
      <c r="E8504" t="inlineStr">
        <is>
          <t>JOKKMOKK</t>
        </is>
      </c>
      <c r="F8504" t="inlineStr">
        <is>
          <t>SCA</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23196-2024</t>
        </is>
      </c>
      <c r="B8505" s="1" t="n">
        <v>45451</v>
      </c>
      <c r="C8505" s="1" t="n">
        <v>45798</v>
      </c>
      <c r="D8505" t="inlineStr">
        <is>
          <t>NORRBOTTENS LÄN</t>
        </is>
      </c>
      <c r="E8505" t="inlineStr">
        <is>
          <t>ÖVERTORNEÅ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23204-2024</t>
        </is>
      </c>
      <c r="B8506" s="1" t="n">
        <v>45451</v>
      </c>
      <c r="C8506" s="1" t="n">
        <v>45798</v>
      </c>
      <c r="D8506" t="inlineStr">
        <is>
          <t>NORRBOTTENS LÄN</t>
        </is>
      </c>
      <c r="E8506" t="inlineStr">
        <is>
          <t>JOKKMOKK</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23259-2024</t>
        </is>
      </c>
      <c r="B8507" s="1" t="n">
        <v>45453</v>
      </c>
      <c r="C8507" s="1" t="n">
        <v>45798</v>
      </c>
      <c r="D8507" t="inlineStr">
        <is>
          <t>NORRBOTTENS LÄN</t>
        </is>
      </c>
      <c r="E8507" t="inlineStr">
        <is>
          <t>ÖVERTORNEÅ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23232-2024</t>
        </is>
      </c>
      <c r="B8508" s="1" t="n">
        <v>45453</v>
      </c>
      <c r="C8508" s="1" t="n">
        <v>45798</v>
      </c>
      <c r="D8508" t="inlineStr">
        <is>
          <t>NORRBOTTENS LÄN</t>
        </is>
      </c>
      <c r="E8508" t="inlineStr">
        <is>
          <t>BODEN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23249-2024</t>
        </is>
      </c>
      <c r="B8509" s="1" t="n">
        <v>45453</v>
      </c>
      <c r="C8509" s="1" t="n">
        <v>45798</v>
      </c>
      <c r="D8509" t="inlineStr">
        <is>
          <t>NORRBOTTENS LÄN</t>
        </is>
      </c>
      <c r="E8509" t="inlineStr">
        <is>
          <t>ÖVERKALIX</t>
        </is>
      </c>
      <c r="F8509" t="inlineStr">
        <is>
          <t>Sveaskog</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23478-2024</t>
        </is>
      </c>
      <c r="B8510" s="1" t="n">
        <v>45453</v>
      </c>
      <c r="C8510" s="1" t="n">
        <v>45798</v>
      </c>
      <c r="D8510" t="inlineStr">
        <is>
          <t>NORRBOTTENS LÄN</t>
        </is>
      </c>
      <c r="E8510" t="inlineStr">
        <is>
          <t>GÄLLIVARE</t>
        </is>
      </c>
      <c r="F8510" t="inlineStr">
        <is>
          <t>SCA</t>
        </is>
      </c>
      <c r="G8510" t="n">
        <v>23.3</v>
      </c>
      <c r="H8510" t="n">
        <v>0</v>
      </c>
      <c r="I8510" t="n">
        <v>0</v>
      </c>
      <c r="J8510" t="n">
        <v>0</v>
      </c>
      <c r="K8510" t="n">
        <v>0</v>
      </c>
      <c r="L8510" t="n">
        <v>0</v>
      </c>
      <c r="M8510" t="n">
        <v>0</v>
      </c>
      <c r="N8510" t="n">
        <v>0</v>
      </c>
      <c r="O8510" t="n">
        <v>0</v>
      </c>
      <c r="P8510" t="n">
        <v>0</v>
      </c>
      <c r="Q8510" t="n">
        <v>0</v>
      </c>
      <c r="R8510" s="2" t="inlineStr"/>
    </row>
    <row r="8511" ht="15" customHeight="1">
      <c r="A8511" t="inlineStr">
        <is>
          <t>A 23398-2024</t>
        </is>
      </c>
      <c r="B8511" s="1" t="n">
        <v>45453</v>
      </c>
      <c r="C8511" s="1" t="n">
        <v>45798</v>
      </c>
      <c r="D8511" t="inlineStr">
        <is>
          <t>NORRBOTTENS LÄN</t>
        </is>
      </c>
      <c r="E8511" t="inlineStr">
        <is>
          <t>GÄLLIVARE</t>
        </is>
      </c>
      <c r="F8511" t="inlineStr">
        <is>
          <t>Allmännings- och besparingsskogar</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23524-2024</t>
        </is>
      </c>
      <c r="B8512" s="1" t="n">
        <v>45453</v>
      </c>
      <c r="C8512" s="1" t="n">
        <v>45798</v>
      </c>
      <c r="D8512" t="inlineStr">
        <is>
          <t>NORRBOTTENS LÄN</t>
        </is>
      </c>
      <c r="E8512" t="inlineStr">
        <is>
          <t>PAJALA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23484-2024</t>
        </is>
      </c>
      <c r="B8513" s="1" t="n">
        <v>45453</v>
      </c>
      <c r="C8513" s="1" t="n">
        <v>45798</v>
      </c>
      <c r="D8513" t="inlineStr">
        <is>
          <t>NORRBOTTENS LÄN</t>
        </is>
      </c>
      <c r="E8513" t="inlineStr">
        <is>
          <t>GÄLLIVARE</t>
        </is>
      </c>
      <c r="F8513" t="inlineStr">
        <is>
          <t>SCA</t>
        </is>
      </c>
      <c r="G8513" t="n">
        <v>22.4</v>
      </c>
      <c r="H8513" t="n">
        <v>0</v>
      </c>
      <c r="I8513" t="n">
        <v>0</v>
      </c>
      <c r="J8513" t="n">
        <v>0</v>
      </c>
      <c r="K8513" t="n">
        <v>0</v>
      </c>
      <c r="L8513" t="n">
        <v>0</v>
      </c>
      <c r="M8513" t="n">
        <v>0</v>
      </c>
      <c r="N8513" t="n">
        <v>0</v>
      </c>
      <c r="O8513" t="n">
        <v>0</v>
      </c>
      <c r="P8513" t="n">
        <v>0</v>
      </c>
      <c r="Q8513" t="n">
        <v>0</v>
      </c>
      <c r="R8513" s="2" t="inlineStr"/>
    </row>
    <row r="8514" ht="15" customHeight="1">
      <c r="A8514" t="inlineStr">
        <is>
          <t>A 23468-2024</t>
        </is>
      </c>
      <c r="B8514" s="1" t="n">
        <v>45453</v>
      </c>
      <c r="C8514" s="1" t="n">
        <v>45798</v>
      </c>
      <c r="D8514" t="inlineStr">
        <is>
          <t>NORRBOTTENS LÄN</t>
        </is>
      </c>
      <c r="E8514" t="inlineStr">
        <is>
          <t>PITEÅ</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23415-2024</t>
        </is>
      </c>
      <c r="B8515" s="1" t="n">
        <v>45453</v>
      </c>
      <c r="C8515" s="1" t="n">
        <v>45798</v>
      </c>
      <c r="D8515" t="inlineStr">
        <is>
          <t>NORRBOTTENS LÄN</t>
        </is>
      </c>
      <c r="E8515" t="inlineStr">
        <is>
          <t>ÄLVSBYN</t>
        </is>
      </c>
      <c r="G8515" t="n">
        <v>10.9</v>
      </c>
      <c r="H8515" t="n">
        <v>0</v>
      </c>
      <c r="I8515" t="n">
        <v>0</v>
      </c>
      <c r="J8515" t="n">
        <v>0</v>
      </c>
      <c r="K8515" t="n">
        <v>0</v>
      </c>
      <c r="L8515" t="n">
        <v>0</v>
      </c>
      <c r="M8515" t="n">
        <v>0</v>
      </c>
      <c r="N8515" t="n">
        <v>0</v>
      </c>
      <c r="O8515" t="n">
        <v>0</v>
      </c>
      <c r="P8515" t="n">
        <v>0</v>
      </c>
      <c r="Q8515" t="n">
        <v>0</v>
      </c>
      <c r="R8515" s="2" t="inlineStr"/>
    </row>
    <row r="8516" ht="15" customHeight="1">
      <c r="A8516" t="inlineStr">
        <is>
          <t>A 23475-2024</t>
        </is>
      </c>
      <c r="B8516" s="1" t="n">
        <v>45453</v>
      </c>
      <c r="C8516" s="1" t="n">
        <v>45798</v>
      </c>
      <c r="D8516" t="inlineStr">
        <is>
          <t>NORRBOTTENS LÄN</t>
        </is>
      </c>
      <c r="E8516" t="inlineStr">
        <is>
          <t>GÄLLIVARE</t>
        </is>
      </c>
      <c r="F8516" t="inlineStr">
        <is>
          <t>SCA</t>
        </is>
      </c>
      <c r="G8516" t="n">
        <v>32.5</v>
      </c>
      <c r="H8516" t="n">
        <v>0</v>
      </c>
      <c r="I8516" t="n">
        <v>0</v>
      </c>
      <c r="J8516" t="n">
        <v>0</v>
      </c>
      <c r="K8516" t="n">
        <v>0</v>
      </c>
      <c r="L8516" t="n">
        <v>0</v>
      </c>
      <c r="M8516" t="n">
        <v>0</v>
      </c>
      <c r="N8516" t="n">
        <v>0</v>
      </c>
      <c r="O8516" t="n">
        <v>0</v>
      </c>
      <c r="P8516" t="n">
        <v>0</v>
      </c>
      <c r="Q8516" t="n">
        <v>0</v>
      </c>
      <c r="R8516" s="2" t="inlineStr"/>
    </row>
    <row r="8517" ht="15" customHeight="1">
      <c r="A8517" t="inlineStr">
        <is>
          <t>A 23487-2024</t>
        </is>
      </c>
      <c r="B8517" s="1" t="n">
        <v>45453</v>
      </c>
      <c r="C8517" s="1" t="n">
        <v>45798</v>
      </c>
      <c r="D8517" t="inlineStr">
        <is>
          <t>NORRBOTTENS LÄN</t>
        </is>
      </c>
      <c r="E8517" t="inlineStr">
        <is>
          <t>GÄLLIVARE</t>
        </is>
      </c>
      <c r="F8517" t="inlineStr">
        <is>
          <t>SCA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23495-2024</t>
        </is>
      </c>
      <c r="B8518" s="1" t="n">
        <v>45453</v>
      </c>
      <c r="C8518" s="1" t="n">
        <v>45798</v>
      </c>
      <c r="D8518" t="inlineStr">
        <is>
          <t>NORRBOTTENS LÄN</t>
        </is>
      </c>
      <c r="E8518" t="inlineStr">
        <is>
          <t>GÄLLIVARE</t>
        </is>
      </c>
      <c r="F8518" t="inlineStr">
        <is>
          <t>Allmännings- och besparingsskogar</t>
        </is>
      </c>
      <c r="G8518" t="n">
        <v>15.4</v>
      </c>
      <c r="H8518" t="n">
        <v>0</v>
      </c>
      <c r="I8518" t="n">
        <v>0</v>
      </c>
      <c r="J8518" t="n">
        <v>0</v>
      </c>
      <c r="K8518" t="n">
        <v>0</v>
      </c>
      <c r="L8518" t="n">
        <v>0</v>
      </c>
      <c r="M8518" t="n">
        <v>0</v>
      </c>
      <c r="N8518" t="n">
        <v>0</v>
      </c>
      <c r="O8518" t="n">
        <v>0</v>
      </c>
      <c r="P8518" t="n">
        <v>0</v>
      </c>
      <c r="Q8518" t="n">
        <v>0</v>
      </c>
      <c r="R8518" s="2" t="inlineStr"/>
    </row>
    <row r="8519" ht="15" customHeight="1">
      <c r="A8519" t="inlineStr">
        <is>
          <t>A 23527-2024</t>
        </is>
      </c>
      <c r="B8519" s="1" t="n">
        <v>45454</v>
      </c>
      <c r="C8519" s="1" t="n">
        <v>45798</v>
      </c>
      <c r="D8519" t="inlineStr">
        <is>
          <t>NORRBOTTENS LÄN</t>
        </is>
      </c>
      <c r="E8519" t="inlineStr">
        <is>
          <t>KALIX</t>
        </is>
      </c>
      <c r="F8519" t="inlineStr">
        <is>
          <t>SCA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23481-2024</t>
        </is>
      </c>
      <c r="B8520" s="1" t="n">
        <v>45453</v>
      </c>
      <c r="C8520" s="1" t="n">
        <v>45798</v>
      </c>
      <c r="D8520" t="inlineStr">
        <is>
          <t>NORRBOTTENS LÄN</t>
        </is>
      </c>
      <c r="E8520" t="inlineStr">
        <is>
          <t>GÄLLIVARE</t>
        </is>
      </c>
      <c r="F8520" t="inlineStr">
        <is>
          <t>SCA</t>
        </is>
      </c>
      <c r="G8520" t="n">
        <v>40.5</v>
      </c>
      <c r="H8520" t="n">
        <v>0</v>
      </c>
      <c r="I8520" t="n">
        <v>0</v>
      </c>
      <c r="J8520" t="n">
        <v>0</v>
      </c>
      <c r="K8520" t="n">
        <v>0</v>
      </c>
      <c r="L8520" t="n">
        <v>0</v>
      </c>
      <c r="M8520" t="n">
        <v>0</v>
      </c>
      <c r="N8520" t="n">
        <v>0</v>
      </c>
      <c r="O8520" t="n">
        <v>0</v>
      </c>
      <c r="P8520" t="n">
        <v>0</v>
      </c>
      <c r="Q8520" t="n">
        <v>0</v>
      </c>
      <c r="R8520" s="2" t="inlineStr"/>
    </row>
    <row r="8521" ht="15" customHeight="1">
      <c r="A8521" t="inlineStr">
        <is>
          <t>A 23525-2024</t>
        </is>
      </c>
      <c r="B8521" s="1" t="n">
        <v>45454</v>
      </c>
      <c r="C8521" s="1" t="n">
        <v>45798</v>
      </c>
      <c r="D8521" t="inlineStr">
        <is>
          <t>NORRBOTTENS LÄN</t>
        </is>
      </c>
      <c r="E8521" t="inlineStr">
        <is>
          <t>ÖVERKALIX</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23250-2024</t>
        </is>
      </c>
      <c r="B8522" s="1" t="n">
        <v>45453</v>
      </c>
      <c r="C8522" s="1" t="n">
        <v>45798</v>
      </c>
      <c r="D8522" t="inlineStr">
        <is>
          <t>NORRBOTTENS LÄN</t>
        </is>
      </c>
      <c r="E8522" t="inlineStr">
        <is>
          <t>ÖVERKALIX</t>
        </is>
      </c>
      <c r="F8522" t="inlineStr">
        <is>
          <t>Sveaskog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23237-2024</t>
        </is>
      </c>
      <c r="B8523" s="1" t="n">
        <v>45453</v>
      </c>
      <c r="C8523" s="1" t="n">
        <v>45798</v>
      </c>
      <c r="D8523" t="inlineStr">
        <is>
          <t>NORRBOTTENS LÄN</t>
        </is>
      </c>
      <c r="E8523" t="inlineStr">
        <is>
          <t>GÄLLIVARE</t>
        </is>
      </c>
      <c r="F8523" t="inlineStr">
        <is>
          <t>Sveaskog</t>
        </is>
      </c>
      <c r="G8523" t="n">
        <v>28.7</v>
      </c>
      <c r="H8523" t="n">
        <v>0</v>
      </c>
      <c r="I8523" t="n">
        <v>0</v>
      </c>
      <c r="J8523" t="n">
        <v>0</v>
      </c>
      <c r="K8523" t="n">
        <v>0</v>
      </c>
      <c r="L8523" t="n">
        <v>0</v>
      </c>
      <c r="M8523" t="n">
        <v>0</v>
      </c>
      <c r="N8523" t="n">
        <v>0</v>
      </c>
      <c r="O8523" t="n">
        <v>0</v>
      </c>
      <c r="P8523" t="n">
        <v>0</v>
      </c>
      <c r="Q8523" t="n">
        <v>0</v>
      </c>
      <c r="R8523" s="2" t="inlineStr"/>
    </row>
    <row r="8524" ht="15" customHeight="1">
      <c r="A8524" t="inlineStr">
        <is>
          <t>A 23231-2024</t>
        </is>
      </c>
      <c r="B8524" s="1" t="n">
        <v>45453</v>
      </c>
      <c r="C8524" s="1" t="n">
        <v>45798</v>
      </c>
      <c r="D8524" t="inlineStr">
        <is>
          <t>NORRBOTTENS LÄN</t>
        </is>
      </c>
      <c r="E8524" t="inlineStr">
        <is>
          <t>BODEN</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23589-2024</t>
        </is>
      </c>
      <c r="B8525" s="1" t="n">
        <v>45454</v>
      </c>
      <c r="C8525" s="1" t="n">
        <v>45798</v>
      </c>
      <c r="D8525" t="inlineStr">
        <is>
          <t>NORRBOTTENS LÄN</t>
        </is>
      </c>
      <c r="E8525" t="inlineStr">
        <is>
          <t>ARVIDSJAUR</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23623-2024</t>
        </is>
      </c>
      <c r="B8526" s="1" t="n">
        <v>45454</v>
      </c>
      <c r="C8526" s="1" t="n">
        <v>45798</v>
      </c>
      <c r="D8526" t="inlineStr">
        <is>
          <t>NORRBOTTENS LÄN</t>
        </is>
      </c>
      <c r="E8526" t="inlineStr">
        <is>
          <t>PAJALA</t>
        </is>
      </c>
      <c r="G8526" t="n">
        <v>11.4</v>
      </c>
      <c r="H8526" t="n">
        <v>0</v>
      </c>
      <c r="I8526" t="n">
        <v>0</v>
      </c>
      <c r="J8526" t="n">
        <v>0</v>
      </c>
      <c r="K8526" t="n">
        <v>0</v>
      </c>
      <c r="L8526" t="n">
        <v>0</v>
      </c>
      <c r="M8526" t="n">
        <v>0</v>
      </c>
      <c r="N8526" t="n">
        <v>0</v>
      </c>
      <c r="O8526" t="n">
        <v>0</v>
      </c>
      <c r="P8526" t="n">
        <v>0</v>
      </c>
      <c r="Q8526" t="n">
        <v>0</v>
      </c>
      <c r="R8526" s="2" t="inlineStr"/>
    </row>
    <row r="8527" ht="15" customHeight="1">
      <c r="A8527" t="inlineStr">
        <is>
          <t>A 23655-2024</t>
        </is>
      </c>
      <c r="B8527" s="1" t="n">
        <v>45454</v>
      </c>
      <c r="C8527" s="1" t="n">
        <v>45798</v>
      </c>
      <c r="D8527" t="inlineStr">
        <is>
          <t>NORRBOTTENS LÄN</t>
        </is>
      </c>
      <c r="E8527" t="inlineStr">
        <is>
          <t>ÖVERTORNEÅ</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23630-2024</t>
        </is>
      </c>
      <c r="B8528" s="1" t="n">
        <v>45454</v>
      </c>
      <c r="C8528" s="1" t="n">
        <v>45798</v>
      </c>
      <c r="D8528" t="inlineStr">
        <is>
          <t>NORRBOTTENS LÄN</t>
        </is>
      </c>
      <c r="E8528" t="inlineStr">
        <is>
          <t>PAJALA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23654-2024</t>
        </is>
      </c>
      <c r="B8529" s="1" t="n">
        <v>45454</v>
      </c>
      <c r="C8529" s="1" t="n">
        <v>45798</v>
      </c>
      <c r="D8529" t="inlineStr">
        <is>
          <t>NORRBOTTENS LÄN</t>
        </is>
      </c>
      <c r="E8529" t="inlineStr">
        <is>
          <t>ÖVERTORNEÅ</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23613-2024</t>
        </is>
      </c>
      <c r="B8530" s="1" t="n">
        <v>45454</v>
      </c>
      <c r="C8530" s="1" t="n">
        <v>45798</v>
      </c>
      <c r="D8530" t="inlineStr">
        <is>
          <t>NORRBOTTENS LÄN</t>
        </is>
      </c>
      <c r="E8530" t="inlineStr">
        <is>
          <t>GÄLLIVARE</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23686-2024</t>
        </is>
      </c>
      <c r="B8531" s="1" t="n">
        <v>45454</v>
      </c>
      <c r="C8531" s="1" t="n">
        <v>45798</v>
      </c>
      <c r="D8531" t="inlineStr">
        <is>
          <t>NORRBOTTENS LÄN</t>
        </is>
      </c>
      <c r="E8531" t="inlineStr">
        <is>
          <t>BODEN</t>
        </is>
      </c>
      <c r="F8531" t="inlineStr">
        <is>
          <t>Sveaskog</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23706-2024</t>
        </is>
      </c>
      <c r="B8532" s="1" t="n">
        <v>45454</v>
      </c>
      <c r="C8532" s="1" t="n">
        <v>45798</v>
      </c>
      <c r="D8532" t="inlineStr">
        <is>
          <t>NORRBOTTENS LÄN</t>
        </is>
      </c>
      <c r="E8532" t="inlineStr">
        <is>
          <t>BODEN</t>
        </is>
      </c>
      <c r="G8532" t="n">
        <v>10.9</v>
      </c>
      <c r="H8532" t="n">
        <v>0</v>
      </c>
      <c r="I8532" t="n">
        <v>0</v>
      </c>
      <c r="J8532" t="n">
        <v>0</v>
      </c>
      <c r="K8532" t="n">
        <v>0</v>
      </c>
      <c r="L8532" t="n">
        <v>0</v>
      </c>
      <c r="M8532" t="n">
        <v>0</v>
      </c>
      <c r="N8532" t="n">
        <v>0</v>
      </c>
      <c r="O8532" t="n">
        <v>0</v>
      </c>
      <c r="P8532" t="n">
        <v>0</v>
      </c>
      <c r="Q8532" t="n">
        <v>0</v>
      </c>
      <c r="R8532" s="2" t="inlineStr"/>
    </row>
    <row r="8533" ht="15" customHeight="1">
      <c r="A8533" t="inlineStr">
        <is>
          <t>A 23684-2024</t>
        </is>
      </c>
      <c r="B8533" s="1" t="n">
        <v>45454</v>
      </c>
      <c r="C8533" s="1" t="n">
        <v>45798</v>
      </c>
      <c r="D8533" t="inlineStr">
        <is>
          <t>NORRBOTTENS LÄN</t>
        </is>
      </c>
      <c r="E8533" t="inlineStr">
        <is>
          <t>PAJALA</t>
        </is>
      </c>
      <c r="F8533" t="inlineStr">
        <is>
          <t>Sveaskog</t>
        </is>
      </c>
      <c r="G8533" t="n">
        <v>19.2</v>
      </c>
      <c r="H8533" t="n">
        <v>0</v>
      </c>
      <c r="I8533" t="n">
        <v>0</v>
      </c>
      <c r="J8533" t="n">
        <v>0</v>
      </c>
      <c r="K8533" t="n">
        <v>0</v>
      </c>
      <c r="L8533" t="n">
        <v>0</v>
      </c>
      <c r="M8533" t="n">
        <v>0</v>
      </c>
      <c r="N8533" t="n">
        <v>0</v>
      </c>
      <c r="O8533" t="n">
        <v>0</v>
      </c>
      <c r="P8533" t="n">
        <v>0</v>
      </c>
      <c r="Q8533" t="n">
        <v>0</v>
      </c>
      <c r="R8533" s="2" t="inlineStr"/>
    </row>
    <row r="8534" ht="15" customHeight="1">
      <c r="A8534" t="inlineStr">
        <is>
          <t>A 23736-2024</t>
        </is>
      </c>
      <c r="B8534" s="1" t="n">
        <v>45454</v>
      </c>
      <c r="C8534" s="1" t="n">
        <v>45798</v>
      </c>
      <c r="D8534" t="inlineStr">
        <is>
          <t>NORRBOTTENS LÄN</t>
        </is>
      </c>
      <c r="E8534" t="inlineStr">
        <is>
          <t>ARVIDSJAUR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23576-2024</t>
        </is>
      </c>
      <c r="B8535" s="1" t="n">
        <v>45454</v>
      </c>
      <c r="C8535" s="1" t="n">
        <v>45798</v>
      </c>
      <c r="D8535" t="inlineStr">
        <is>
          <t>NORRBOTTENS LÄN</t>
        </is>
      </c>
      <c r="E8535" t="inlineStr">
        <is>
          <t>KALIX</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23677-2024</t>
        </is>
      </c>
      <c r="B8536" s="1" t="n">
        <v>45454</v>
      </c>
      <c r="C8536" s="1" t="n">
        <v>45798</v>
      </c>
      <c r="D8536" t="inlineStr">
        <is>
          <t>NORRBOTTENS LÄN</t>
        </is>
      </c>
      <c r="E8536" t="inlineStr">
        <is>
          <t>BODEN</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23608-2024</t>
        </is>
      </c>
      <c r="B8537" s="1" t="n">
        <v>45454</v>
      </c>
      <c r="C8537" s="1" t="n">
        <v>45798</v>
      </c>
      <c r="D8537" t="inlineStr">
        <is>
          <t>NORRBOTTENS LÄN</t>
        </is>
      </c>
      <c r="E8537" t="inlineStr">
        <is>
          <t>GÄLLIVARE</t>
        </is>
      </c>
      <c r="F8537" t="inlineStr">
        <is>
          <t>Sveaskog</t>
        </is>
      </c>
      <c r="G8537" t="n">
        <v>12.5</v>
      </c>
      <c r="H8537" t="n">
        <v>0</v>
      </c>
      <c r="I8537" t="n">
        <v>0</v>
      </c>
      <c r="J8537" t="n">
        <v>0</v>
      </c>
      <c r="K8537" t="n">
        <v>0</v>
      </c>
      <c r="L8537" t="n">
        <v>0</v>
      </c>
      <c r="M8537" t="n">
        <v>0</v>
      </c>
      <c r="N8537" t="n">
        <v>0</v>
      </c>
      <c r="O8537" t="n">
        <v>0</v>
      </c>
      <c r="P8537" t="n">
        <v>0</v>
      </c>
      <c r="Q8537" t="n">
        <v>0</v>
      </c>
      <c r="R8537" s="2" t="inlineStr"/>
    </row>
    <row r="8538" ht="15" customHeight="1">
      <c r="A8538" t="inlineStr">
        <is>
          <t>A 23592-2024</t>
        </is>
      </c>
      <c r="B8538" s="1" t="n">
        <v>45454</v>
      </c>
      <c r="C8538" s="1" t="n">
        <v>45798</v>
      </c>
      <c r="D8538" t="inlineStr">
        <is>
          <t>NORRBOTTENS LÄN</t>
        </is>
      </c>
      <c r="E8538" t="inlineStr">
        <is>
          <t>ARVIDSJAUR</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23818-2024</t>
        </is>
      </c>
      <c r="B8539" s="1" t="n">
        <v>45455</v>
      </c>
      <c r="C8539" s="1" t="n">
        <v>45798</v>
      </c>
      <c r="D8539" t="inlineStr">
        <is>
          <t>NORRBOTTENS LÄN</t>
        </is>
      </c>
      <c r="E8539" t="inlineStr">
        <is>
          <t>ÖVERKALIX</t>
        </is>
      </c>
      <c r="F8539" t="inlineStr">
        <is>
          <t>Sveaskog</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23870-2024</t>
        </is>
      </c>
      <c r="B8540" s="1" t="n">
        <v>45455</v>
      </c>
      <c r="C8540" s="1" t="n">
        <v>45798</v>
      </c>
      <c r="D8540" t="inlineStr">
        <is>
          <t>NORRBOTTENS LÄN</t>
        </is>
      </c>
      <c r="E8540" t="inlineStr">
        <is>
          <t>GÄLLIVARE</t>
        </is>
      </c>
      <c r="F8540" t="inlineStr">
        <is>
          <t>Sveaskog</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23874-2024</t>
        </is>
      </c>
      <c r="B8541" s="1" t="n">
        <v>45455</v>
      </c>
      <c r="C8541" s="1" t="n">
        <v>45798</v>
      </c>
      <c r="D8541" t="inlineStr">
        <is>
          <t>NORRBOTTENS LÄN</t>
        </is>
      </c>
      <c r="E8541" t="inlineStr">
        <is>
          <t>ÖVERKALIX</t>
        </is>
      </c>
      <c r="F8541" t="inlineStr">
        <is>
          <t>Sveaskog</t>
        </is>
      </c>
      <c r="G8541" t="n">
        <v>20.6</v>
      </c>
      <c r="H8541" t="n">
        <v>0</v>
      </c>
      <c r="I8541" t="n">
        <v>0</v>
      </c>
      <c r="J8541" t="n">
        <v>0</v>
      </c>
      <c r="K8541" t="n">
        <v>0</v>
      </c>
      <c r="L8541" t="n">
        <v>0</v>
      </c>
      <c r="M8541" t="n">
        <v>0</v>
      </c>
      <c r="N8541" t="n">
        <v>0</v>
      </c>
      <c r="O8541" t="n">
        <v>0</v>
      </c>
      <c r="P8541" t="n">
        <v>0</v>
      </c>
      <c r="Q8541" t="n">
        <v>0</v>
      </c>
      <c r="R8541" s="2" t="inlineStr"/>
    </row>
    <row r="8542" ht="15" customHeight="1">
      <c r="A8542" t="inlineStr">
        <is>
          <t>A 23890-2024</t>
        </is>
      </c>
      <c r="B8542" s="1" t="n">
        <v>45455</v>
      </c>
      <c r="C8542" s="1" t="n">
        <v>45798</v>
      </c>
      <c r="D8542" t="inlineStr">
        <is>
          <t>NORRBOTTENS LÄN</t>
        </is>
      </c>
      <c r="E8542" t="inlineStr">
        <is>
          <t>PAJALA</t>
        </is>
      </c>
      <c r="F8542" t="inlineStr">
        <is>
          <t>Sveaskog</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23949-2024</t>
        </is>
      </c>
      <c r="B8543" s="1" t="n">
        <v>45455</v>
      </c>
      <c r="C8543" s="1" t="n">
        <v>45798</v>
      </c>
      <c r="D8543" t="inlineStr">
        <is>
          <t>NORRBOTTENS LÄN</t>
        </is>
      </c>
      <c r="E8543" t="inlineStr">
        <is>
          <t>ARJEPLOG</t>
        </is>
      </c>
      <c r="F8543" t="inlineStr">
        <is>
          <t>SCA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23897-2024</t>
        </is>
      </c>
      <c r="B8544" s="1" t="n">
        <v>45455</v>
      </c>
      <c r="C8544" s="1" t="n">
        <v>45798</v>
      </c>
      <c r="D8544" t="inlineStr">
        <is>
          <t>NORRBOTTENS LÄN</t>
        </is>
      </c>
      <c r="E8544" t="inlineStr">
        <is>
          <t>LULEÅ</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23893-2024</t>
        </is>
      </c>
      <c r="B8545" s="1" t="n">
        <v>45455</v>
      </c>
      <c r="C8545" s="1" t="n">
        <v>45798</v>
      </c>
      <c r="D8545" t="inlineStr">
        <is>
          <t>NORRBOTTENS LÄN</t>
        </is>
      </c>
      <c r="E8545" t="inlineStr">
        <is>
          <t>PAJALA</t>
        </is>
      </c>
      <c r="F8545" t="inlineStr">
        <is>
          <t>Sveaskog</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23881-2024</t>
        </is>
      </c>
      <c r="B8546" s="1" t="n">
        <v>45455</v>
      </c>
      <c r="C8546" s="1" t="n">
        <v>45798</v>
      </c>
      <c r="D8546" t="inlineStr">
        <is>
          <t>NORRBOTTENS LÄN</t>
        </is>
      </c>
      <c r="E8546" t="inlineStr">
        <is>
          <t>ÖVERKALIX</t>
        </is>
      </c>
      <c r="F8546" t="inlineStr">
        <is>
          <t>Sveaskog</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23950-2024</t>
        </is>
      </c>
      <c r="B8547" s="1" t="n">
        <v>45455</v>
      </c>
      <c r="C8547" s="1" t="n">
        <v>45798</v>
      </c>
      <c r="D8547" t="inlineStr">
        <is>
          <t>NORRBOTTENS LÄN</t>
        </is>
      </c>
      <c r="E8547" t="inlineStr">
        <is>
          <t>ARJEPLOG</t>
        </is>
      </c>
      <c r="F8547" t="inlineStr">
        <is>
          <t>SCA</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23888-2024</t>
        </is>
      </c>
      <c r="B8548" s="1" t="n">
        <v>45455</v>
      </c>
      <c r="C8548" s="1" t="n">
        <v>45798</v>
      </c>
      <c r="D8548" t="inlineStr">
        <is>
          <t>NORRBOTTENS LÄN</t>
        </is>
      </c>
      <c r="E8548" t="inlineStr">
        <is>
          <t>LULEÅ</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23876-2024</t>
        </is>
      </c>
      <c r="B8549" s="1" t="n">
        <v>45455</v>
      </c>
      <c r="C8549" s="1" t="n">
        <v>45798</v>
      </c>
      <c r="D8549" t="inlineStr">
        <is>
          <t>NORRBOTTENS LÄN</t>
        </is>
      </c>
      <c r="E8549" t="inlineStr">
        <is>
          <t>GÄLLIVARE</t>
        </is>
      </c>
      <c r="F8549" t="inlineStr">
        <is>
          <t>Allmännings- och besparingsskogar</t>
        </is>
      </c>
      <c r="G8549" t="n">
        <v>56.1</v>
      </c>
      <c r="H8549" t="n">
        <v>0</v>
      </c>
      <c r="I8549" t="n">
        <v>0</v>
      </c>
      <c r="J8549" t="n">
        <v>0</v>
      </c>
      <c r="K8549" t="n">
        <v>0</v>
      </c>
      <c r="L8549" t="n">
        <v>0</v>
      </c>
      <c r="M8549" t="n">
        <v>0</v>
      </c>
      <c r="N8549" t="n">
        <v>0</v>
      </c>
      <c r="O8549" t="n">
        <v>0</v>
      </c>
      <c r="P8549" t="n">
        <v>0</v>
      </c>
      <c r="Q8549" t="n">
        <v>0</v>
      </c>
      <c r="R8549" s="2" t="inlineStr"/>
    </row>
    <row r="8550" ht="15" customHeight="1">
      <c r="A8550" t="inlineStr">
        <is>
          <t>A 23956-2024</t>
        </is>
      </c>
      <c r="B8550" s="1" t="n">
        <v>45455</v>
      </c>
      <c r="C8550" s="1" t="n">
        <v>45798</v>
      </c>
      <c r="D8550" t="inlineStr">
        <is>
          <t>NORRBOTTENS LÄN</t>
        </is>
      </c>
      <c r="E8550" t="inlineStr">
        <is>
          <t>PITEÅ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23952-2024</t>
        </is>
      </c>
      <c r="B8551" s="1" t="n">
        <v>45455</v>
      </c>
      <c r="C8551" s="1" t="n">
        <v>45798</v>
      </c>
      <c r="D8551" t="inlineStr">
        <is>
          <t>NORRBOTTENS LÄN</t>
        </is>
      </c>
      <c r="E8551" t="inlineStr">
        <is>
          <t>ARJEPLOG</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23923-2024</t>
        </is>
      </c>
      <c r="B8552" s="1" t="n">
        <v>45456</v>
      </c>
      <c r="C8552" s="1" t="n">
        <v>45798</v>
      </c>
      <c r="D8552" t="inlineStr">
        <is>
          <t>NORRBOTTENS LÄN</t>
        </is>
      </c>
      <c r="E8552" t="inlineStr">
        <is>
          <t>BODEN</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23745-2024</t>
        </is>
      </c>
      <c r="B8553" s="1" t="n">
        <v>45455</v>
      </c>
      <c r="C8553" s="1" t="n">
        <v>45798</v>
      </c>
      <c r="D8553" t="inlineStr">
        <is>
          <t>NORRBOTTENS LÄN</t>
        </is>
      </c>
      <c r="E8553" t="inlineStr">
        <is>
          <t>PAJALA</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24036-2024</t>
        </is>
      </c>
      <c r="B8554" s="1" t="n">
        <v>45456</v>
      </c>
      <c r="C8554" s="1" t="n">
        <v>45798</v>
      </c>
      <c r="D8554" t="inlineStr">
        <is>
          <t>NORRBOTTENS LÄN</t>
        </is>
      </c>
      <c r="E8554" t="inlineStr">
        <is>
          <t>GÄLLIVARE</t>
        </is>
      </c>
      <c r="F8554" t="inlineStr">
        <is>
          <t>Sveaskog</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24153-2024</t>
        </is>
      </c>
      <c r="B8555" s="1" t="n">
        <v>45456</v>
      </c>
      <c r="C8555" s="1" t="n">
        <v>45798</v>
      </c>
      <c r="D8555" t="inlineStr">
        <is>
          <t>NORRBOTTENS LÄN</t>
        </is>
      </c>
      <c r="E8555" t="inlineStr">
        <is>
          <t>GÄLLIVARE</t>
        </is>
      </c>
      <c r="F8555" t="inlineStr">
        <is>
          <t>Sveaskog</t>
        </is>
      </c>
      <c r="G8555" t="n">
        <v>12.8</v>
      </c>
      <c r="H8555" t="n">
        <v>0</v>
      </c>
      <c r="I8555" t="n">
        <v>0</v>
      </c>
      <c r="J8555" t="n">
        <v>0</v>
      </c>
      <c r="K8555" t="n">
        <v>0</v>
      </c>
      <c r="L8555" t="n">
        <v>0</v>
      </c>
      <c r="M8555" t="n">
        <v>0</v>
      </c>
      <c r="N8555" t="n">
        <v>0</v>
      </c>
      <c r="O8555" t="n">
        <v>0</v>
      </c>
      <c r="P8555" t="n">
        <v>0</v>
      </c>
      <c r="Q8555" t="n">
        <v>0</v>
      </c>
      <c r="R8555" s="2" t="inlineStr"/>
    </row>
    <row r="8556" ht="15" customHeight="1">
      <c r="A8556" t="inlineStr">
        <is>
          <t>A 24030-2024</t>
        </is>
      </c>
      <c r="B8556" s="1" t="n">
        <v>45456</v>
      </c>
      <c r="C8556" s="1" t="n">
        <v>45798</v>
      </c>
      <c r="D8556" t="inlineStr">
        <is>
          <t>NORRBOTTENS LÄN</t>
        </is>
      </c>
      <c r="E8556" t="inlineStr">
        <is>
          <t>GÄLLIVARE</t>
        </is>
      </c>
      <c r="F8556" t="inlineStr">
        <is>
          <t>Sveaskog</t>
        </is>
      </c>
      <c r="G8556" t="n">
        <v>8.6</v>
      </c>
      <c r="H8556" t="n">
        <v>0</v>
      </c>
      <c r="I8556" t="n">
        <v>0</v>
      </c>
      <c r="J8556" t="n">
        <v>0</v>
      </c>
      <c r="K8556" t="n">
        <v>0</v>
      </c>
      <c r="L8556" t="n">
        <v>0</v>
      </c>
      <c r="M8556" t="n">
        <v>0</v>
      </c>
      <c r="N8556" t="n">
        <v>0</v>
      </c>
      <c r="O8556" t="n">
        <v>0</v>
      </c>
      <c r="P8556" t="n">
        <v>0</v>
      </c>
      <c r="Q8556" t="n">
        <v>0</v>
      </c>
      <c r="R8556" s="2" t="inlineStr"/>
    </row>
    <row r="8557" ht="15" customHeight="1">
      <c r="A8557" t="inlineStr">
        <is>
          <t>A 24193-2024</t>
        </is>
      </c>
      <c r="B8557" s="1" t="n">
        <v>45456</v>
      </c>
      <c r="C8557" s="1" t="n">
        <v>45798</v>
      </c>
      <c r="D8557" t="inlineStr">
        <is>
          <t>NORRBOTTENS LÄN</t>
        </is>
      </c>
      <c r="E8557" t="inlineStr">
        <is>
          <t>BODEN</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24192-2024</t>
        </is>
      </c>
      <c r="B8558" s="1" t="n">
        <v>45456</v>
      </c>
      <c r="C8558" s="1" t="n">
        <v>45798</v>
      </c>
      <c r="D8558" t="inlineStr">
        <is>
          <t>NORRBOTTENS LÄN</t>
        </is>
      </c>
      <c r="E8558" t="inlineStr">
        <is>
          <t>BODEN</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24290-2024</t>
        </is>
      </c>
      <c r="B8559" s="1" t="n">
        <v>45457</v>
      </c>
      <c r="C8559" s="1" t="n">
        <v>45798</v>
      </c>
      <c r="D8559" t="inlineStr">
        <is>
          <t>NORRBOTTENS LÄN</t>
        </is>
      </c>
      <c r="E8559" t="inlineStr">
        <is>
          <t>ÖVERKALIX</t>
        </is>
      </c>
      <c r="G8559" t="n">
        <v>12.9</v>
      </c>
      <c r="H8559" t="n">
        <v>0</v>
      </c>
      <c r="I8559" t="n">
        <v>0</v>
      </c>
      <c r="J8559" t="n">
        <v>0</v>
      </c>
      <c r="K8559" t="n">
        <v>0</v>
      </c>
      <c r="L8559" t="n">
        <v>0</v>
      </c>
      <c r="M8559" t="n">
        <v>0</v>
      </c>
      <c r="N8559" t="n">
        <v>0</v>
      </c>
      <c r="O8559" t="n">
        <v>0</v>
      </c>
      <c r="P8559" t="n">
        <v>0</v>
      </c>
      <c r="Q8559" t="n">
        <v>0</v>
      </c>
      <c r="R8559" s="2" t="inlineStr"/>
    </row>
    <row r="8560" ht="15" customHeight="1">
      <c r="A8560" t="inlineStr">
        <is>
          <t>A 24265-2024</t>
        </is>
      </c>
      <c r="B8560" s="1" t="n">
        <v>45457</v>
      </c>
      <c r="C8560" s="1" t="n">
        <v>45798</v>
      </c>
      <c r="D8560" t="inlineStr">
        <is>
          <t>NORRBOTTENS LÄN</t>
        </is>
      </c>
      <c r="E8560" t="inlineStr">
        <is>
          <t>KALIX</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24273-2024</t>
        </is>
      </c>
      <c r="B8561" s="1" t="n">
        <v>45457</v>
      </c>
      <c r="C8561" s="1" t="n">
        <v>45798</v>
      </c>
      <c r="D8561" t="inlineStr">
        <is>
          <t>NORRBOTTENS LÄN</t>
        </is>
      </c>
      <c r="E8561" t="inlineStr">
        <is>
          <t>KALIX</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24422-2024</t>
        </is>
      </c>
      <c r="B8562" s="1" t="n">
        <v>45458</v>
      </c>
      <c r="C8562" s="1" t="n">
        <v>45798</v>
      </c>
      <c r="D8562" t="inlineStr">
        <is>
          <t>NORRBOTTENS LÄN</t>
        </is>
      </c>
      <c r="E8562" t="inlineStr">
        <is>
          <t>PITEÅ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24435-2024</t>
        </is>
      </c>
      <c r="B8563" s="1" t="n">
        <v>45457</v>
      </c>
      <c r="C8563" s="1" t="n">
        <v>45798</v>
      </c>
      <c r="D8563" t="inlineStr">
        <is>
          <t>NORRBOTTENS LÄN</t>
        </is>
      </c>
      <c r="E8563" t="inlineStr">
        <is>
          <t>BODEN</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24434-2024</t>
        </is>
      </c>
      <c r="B8564" s="1" t="n">
        <v>45457</v>
      </c>
      <c r="C8564" s="1" t="n">
        <v>45798</v>
      </c>
      <c r="D8564" t="inlineStr">
        <is>
          <t>NORRBOTTENS LÄN</t>
        </is>
      </c>
      <c r="E8564" t="inlineStr">
        <is>
          <t>BODEN</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24243-2024</t>
        </is>
      </c>
      <c r="B8565" s="1" t="n">
        <v>45457</v>
      </c>
      <c r="C8565" s="1" t="n">
        <v>45798</v>
      </c>
      <c r="D8565" t="inlineStr">
        <is>
          <t>NORRBOTTENS LÄN</t>
        </is>
      </c>
      <c r="E8565" t="inlineStr">
        <is>
          <t>KALIX</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24395-2024</t>
        </is>
      </c>
      <c r="B8566" s="1" t="n">
        <v>45457</v>
      </c>
      <c r="C8566" s="1" t="n">
        <v>45798</v>
      </c>
      <c r="D8566" t="inlineStr">
        <is>
          <t>NORRBOTTENS LÄN</t>
        </is>
      </c>
      <c r="E8566" t="inlineStr">
        <is>
          <t>ÖVERKALIX</t>
        </is>
      </c>
      <c r="F8566" t="inlineStr">
        <is>
          <t>Sveaskog</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24420-2024</t>
        </is>
      </c>
      <c r="B8567" s="1" t="n">
        <v>45458</v>
      </c>
      <c r="C8567" s="1" t="n">
        <v>45798</v>
      </c>
      <c r="D8567" t="inlineStr">
        <is>
          <t>NORRBOTTENS LÄN</t>
        </is>
      </c>
      <c r="E8567" t="inlineStr">
        <is>
          <t>PAJALA</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24433-2024</t>
        </is>
      </c>
      <c r="B8568" s="1" t="n">
        <v>45457</v>
      </c>
      <c r="C8568" s="1" t="n">
        <v>45798</v>
      </c>
      <c r="D8568" t="inlineStr">
        <is>
          <t>NORRBOTTENS LÄN</t>
        </is>
      </c>
      <c r="E8568" t="inlineStr">
        <is>
          <t>BODEN</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24500-2024</t>
        </is>
      </c>
      <c r="B8569" s="1" t="n">
        <v>45459</v>
      </c>
      <c r="C8569" s="1" t="n">
        <v>45798</v>
      </c>
      <c r="D8569" t="inlineStr">
        <is>
          <t>NORRBOTTENS LÄN</t>
        </is>
      </c>
      <c r="E8569" t="inlineStr">
        <is>
          <t>BODEN</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24785-2024</t>
        </is>
      </c>
      <c r="B8570" s="1" t="n">
        <v>45460</v>
      </c>
      <c r="C8570" s="1" t="n">
        <v>45798</v>
      </c>
      <c r="D8570" t="inlineStr">
        <is>
          <t>NORRBOTTENS LÄN</t>
        </is>
      </c>
      <c r="E8570" t="inlineStr">
        <is>
          <t>ÖVERTORNEÅ</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24740-2024</t>
        </is>
      </c>
      <c r="B8571" s="1" t="n">
        <v>45460</v>
      </c>
      <c r="C8571" s="1" t="n">
        <v>45798</v>
      </c>
      <c r="D8571" t="inlineStr">
        <is>
          <t>NORRBOTTENS LÄN</t>
        </is>
      </c>
      <c r="E8571" t="inlineStr">
        <is>
          <t>GÄLLIVARE</t>
        </is>
      </c>
      <c r="F8571" t="inlineStr">
        <is>
          <t>Sveaskog</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24744-2024</t>
        </is>
      </c>
      <c r="B8572" s="1" t="n">
        <v>45460</v>
      </c>
      <c r="C8572" s="1" t="n">
        <v>45798</v>
      </c>
      <c r="D8572" t="inlineStr">
        <is>
          <t>NORRBOTTENS LÄN</t>
        </is>
      </c>
      <c r="E8572" t="inlineStr">
        <is>
          <t>BODEN</t>
        </is>
      </c>
      <c r="F8572" t="inlineStr">
        <is>
          <t>Övriga Aktiebolag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24733-2024</t>
        </is>
      </c>
      <c r="B8573" s="1" t="n">
        <v>45460</v>
      </c>
      <c r="C8573" s="1" t="n">
        <v>45798</v>
      </c>
      <c r="D8573" t="inlineStr">
        <is>
          <t>NORRBOTTENS LÄN</t>
        </is>
      </c>
      <c r="E8573" t="inlineStr">
        <is>
          <t>BODEN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24656-2024</t>
        </is>
      </c>
      <c r="B8574" s="1" t="n">
        <v>45460</v>
      </c>
      <c r="C8574" s="1" t="n">
        <v>45798</v>
      </c>
      <c r="D8574" t="inlineStr">
        <is>
          <t>NORRBOTTENS LÄN</t>
        </is>
      </c>
      <c r="E8574" t="inlineStr">
        <is>
          <t>ÖVERTORNEÅ</t>
        </is>
      </c>
      <c r="F8574" t="inlineStr">
        <is>
          <t>Sveaskog</t>
        </is>
      </c>
      <c r="G8574" t="n">
        <v>16.9</v>
      </c>
      <c r="H8574" t="n">
        <v>0</v>
      </c>
      <c r="I8574" t="n">
        <v>0</v>
      </c>
      <c r="J8574" t="n">
        <v>0</v>
      </c>
      <c r="K8574" t="n">
        <v>0</v>
      </c>
      <c r="L8574" t="n">
        <v>0</v>
      </c>
      <c r="M8574" t="n">
        <v>0</v>
      </c>
      <c r="N8574" t="n">
        <v>0</v>
      </c>
      <c r="O8574" t="n">
        <v>0</v>
      </c>
      <c r="P8574" t="n">
        <v>0</v>
      </c>
      <c r="Q8574" t="n">
        <v>0</v>
      </c>
      <c r="R8574" s="2" t="inlineStr"/>
    </row>
    <row r="8575" ht="15" customHeight="1">
      <c r="A8575" t="inlineStr">
        <is>
          <t>A 24644-2024</t>
        </is>
      </c>
      <c r="B8575" s="1" t="n">
        <v>45460</v>
      </c>
      <c r="C8575" s="1" t="n">
        <v>45798</v>
      </c>
      <c r="D8575" t="inlineStr">
        <is>
          <t>NORRBOTTENS LÄN</t>
        </is>
      </c>
      <c r="E8575" t="inlineStr">
        <is>
          <t>ÖVERTORNEÅ</t>
        </is>
      </c>
      <c r="F8575" t="inlineStr">
        <is>
          <t>Sveaskog</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24616-2024</t>
        </is>
      </c>
      <c r="B8576" s="1" t="n">
        <v>45460</v>
      </c>
      <c r="C8576" s="1" t="n">
        <v>45798</v>
      </c>
      <c r="D8576" t="inlineStr">
        <is>
          <t>NORRBOTTENS LÄN</t>
        </is>
      </c>
      <c r="E8576" t="inlineStr">
        <is>
          <t>KALIX</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24549-2024</t>
        </is>
      </c>
      <c r="B8577" s="1" t="n">
        <v>45460</v>
      </c>
      <c r="C8577" s="1" t="n">
        <v>45798</v>
      </c>
      <c r="D8577" t="inlineStr">
        <is>
          <t>NORRBOTTENS LÄN</t>
        </is>
      </c>
      <c r="E8577" t="inlineStr">
        <is>
          <t>ÖVERKALIX</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24557-2024</t>
        </is>
      </c>
      <c r="B8578" s="1" t="n">
        <v>45460</v>
      </c>
      <c r="C8578" s="1" t="n">
        <v>45798</v>
      </c>
      <c r="D8578" t="inlineStr">
        <is>
          <t>NORRBOTTENS LÄN</t>
        </is>
      </c>
      <c r="E8578" t="inlineStr">
        <is>
          <t>ÖVERTORNEÅ</t>
        </is>
      </c>
      <c r="G8578" t="n">
        <v>17.2</v>
      </c>
      <c r="H8578" t="n">
        <v>0</v>
      </c>
      <c r="I8578" t="n">
        <v>0</v>
      </c>
      <c r="J8578" t="n">
        <v>0</v>
      </c>
      <c r="K8578" t="n">
        <v>0</v>
      </c>
      <c r="L8578" t="n">
        <v>0</v>
      </c>
      <c r="M8578" t="n">
        <v>0</v>
      </c>
      <c r="N8578" t="n">
        <v>0</v>
      </c>
      <c r="O8578" t="n">
        <v>0</v>
      </c>
      <c r="P8578" t="n">
        <v>0</v>
      </c>
      <c r="Q8578" t="n">
        <v>0</v>
      </c>
      <c r="R8578" s="2" t="inlineStr"/>
    </row>
    <row r="8579" ht="15" customHeight="1">
      <c r="A8579" t="inlineStr">
        <is>
          <t>A 24647-2024</t>
        </is>
      </c>
      <c r="B8579" s="1" t="n">
        <v>45460</v>
      </c>
      <c r="C8579" s="1" t="n">
        <v>45798</v>
      </c>
      <c r="D8579" t="inlineStr">
        <is>
          <t>NORRBOTTENS LÄN</t>
        </is>
      </c>
      <c r="E8579" t="inlineStr">
        <is>
          <t>ÖVERTORNEÅ</t>
        </is>
      </c>
      <c r="F8579" t="inlineStr">
        <is>
          <t>Sveaskog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24591-2024</t>
        </is>
      </c>
      <c r="B8580" s="1" t="n">
        <v>45460</v>
      </c>
      <c r="C8580" s="1" t="n">
        <v>45798</v>
      </c>
      <c r="D8580" t="inlineStr">
        <is>
          <t>NORRBOTTENS LÄN</t>
        </is>
      </c>
      <c r="E8580" t="inlineStr">
        <is>
          <t>GÄLLIVARE</t>
        </is>
      </c>
      <c r="F8580" t="inlineStr">
        <is>
          <t>Allmännings- och besparingsskogar</t>
        </is>
      </c>
      <c r="G8580" t="n">
        <v>25.5</v>
      </c>
      <c r="H8580" t="n">
        <v>0</v>
      </c>
      <c r="I8580" t="n">
        <v>0</v>
      </c>
      <c r="J8580" t="n">
        <v>0</v>
      </c>
      <c r="K8580" t="n">
        <v>0</v>
      </c>
      <c r="L8580" t="n">
        <v>0</v>
      </c>
      <c r="M8580" t="n">
        <v>0</v>
      </c>
      <c r="N8580" t="n">
        <v>0</v>
      </c>
      <c r="O8580" t="n">
        <v>0</v>
      </c>
      <c r="P8580" t="n">
        <v>0</v>
      </c>
      <c r="Q8580" t="n">
        <v>0</v>
      </c>
      <c r="R8580" s="2" t="inlineStr"/>
    </row>
    <row r="8581" ht="15" customHeight="1">
      <c r="A8581" t="inlineStr">
        <is>
          <t>A 24574-2024</t>
        </is>
      </c>
      <c r="B8581" s="1" t="n">
        <v>45460</v>
      </c>
      <c r="C8581" s="1" t="n">
        <v>45798</v>
      </c>
      <c r="D8581" t="inlineStr">
        <is>
          <t>NORRBOTTENS LÄN</t>
        </is>
      </c>
      <c r="E8581" t="inlineStr">
        <is>
          <t>GÄLLIVARE</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24513-2024</t>
        </is>
      </c>
      <c r="B8582" s="1" t="n">
        <v>45460</v>
      </c>
      <c r="C8582" s="1" t="n">
        <v>45798</v>
      </c>
      <c r="D8582" t="inlineStr">
        <is>
          <t>NORRBOTTENS LÄN</t>
        </is>
      </c>
      <c r="E8582" t="inlineStr">
        <is>
          <t>PITEÅ</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24509-2024</t>
        </is>
      </c>
      <c r="B8583" s="1" t="n">
        <v>45460</v>
      </c>
      <c r="C8583" s="1" t="n">
        <v>45798</v>
      </c>
      <c r="D8583" t="inlineStr">
        <is>
          <t>NORRBOTTENS LÄN</t>
        </is>
      </c>
      <c r="E8583" t="inlineStr">
        <is>
          <t>PITEÅ</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24633-2024</t>
        </is>
      </c>
      <c r="B8584" s="1" t="n">
        <v>45460</v>
      </c>
      <c r="C8584" s="1" t="n">
        <v>45798</v>
      </c>
      <c r="D8584" t="inlineStr">
        <is>
          <t>NORRBOTTENS LÄN</t>
        </is>
      </c>
      <c r="E8584" t="inlineStr">
        <is>
          <t>GÄLLIVARE</t>
        </is>
      </c>
      <c r="F8584" t="inlineStr">
        <is>
          <t>Allmännings- och besparingsskogar</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24548-2024</t>
        </is>
      </c>
      <c r="B8585" s="1" t="n">
        <v>45460</v>
      </c>
      <c r="C8585" s="1" t="n">
        <v>45798</v>
      </c>
      <c r="D8585" t="inlineStr">
        <is>
          <t>NORRBOTTENS LÄN</t>
        </is>
      </c>
      <c r="E8585" t="inlineStr">
        <is>
          <t>ÖVERKALIX</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24653-2024</t>
        </is>
      </c>
      <c r="B8586" s="1" t="n">
        <v>45460</v>
      </c>
      <c r="C8586" s="1" t="n">
        <v>45798</v>
      </c>
      <c r="D8586" t="inlineStr">
        <is>
          <t>NORRBOTTENS LÄN</t>
        </is>
      </c>
      <c r="E8586" t="inlineStr">
        <is>
          <t>ÖVERTORNEÅ</t>
        </is>
      </c>
      <c r="F8586" t="inlineStr">
        <is>
          <t>Sveaskog</t>
        </is>
      </c>
      <c r="G8586" t="n">
        <v>9.699999999999999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24658-2024</t>
        </is>
      </c>
      <c r="B8587" s="1" t="n">
        <v>45460</v>
      </c>
      <c r="C8587" s="1" t="n">
        <v>45798</v>
      </c>
      <c r="D8587" t="inlineStr">
        <is>
          <t>NORRBOTTENS LÄN</t>
        </is>
      </c>
      <c r="E8587" t="inlineStr">
        <is>
          <t>ÖVERTORNEÅ</t>
        </is>
      </c>
      <c r="F8587" t="inlineStr">
        <is>
          <t>Sveaskog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24738-2024</t>
        </is>
      </c>
      <c r="B8588" s="1" t="n">
        <v>45460</v>
      </c>
      <c r="C8588" s="1" t="n">
        <v>45798</v>
      </c>
      <c r="D8588" t="inlineStr">
        <is>
          <t>NORRBOTTENS LÄN</t>
        </is>
      </c>
      <c r="E8588" t="inlineStr">
        <is>
          <t>ÖVERKALIX</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24734-2024</t>
        </is>
      </c>
      <c r="B8589" s="1" t="n">
        <v>45460</v>
      </c>
      <c r="C8589" s="1" t="n">
        <v>45798</v>
      </c>
      <c r="D8589" t="inlineStr">
        <is>
          <t>NORRBOTTENS LÄN</t>
        </is>
      </c>
      <c r="E8589" t="inlineStr">
        <is>
          <t>GÄLLIVARE</t>
        </is>
      </c>
      <c r="F8589" t="inlineStr">
        <is>
          <t>Sveaskog</t>
        </is>
      </c>
      <c r="G8589" t="n">
        <v>11.7</v>
      </c>
      <c r="H8589" t="n">
        <v>0</v>
      </c>
      <c r="I8589" t="n">
        <v>0</v>
      </c>
      <c r="J8589" t="n">
        <v>0</v>
      </c>
      <c r="K8589" t="n">
        <v>0</v>
      </c>
      <c r="L8589" t="n">
        <v>0</v>
      </c>
      <c r="M8589" t="n">
        <v>0</v>
      </c>
      <c r="N8589" t="n">
        <v>0</v>
      </c>
      <c r="O8589" t="n">
        <v>0</v>
      </c>
      <c r="P8589" t="n">
        <v>0</v>
      </c>
      <c r="Q8589" t="n">
        <v>0</v>
      </c>
      <c r="R8589" s="2" t="inlineStr"/>
    </row>
    <row r="8590" ht="15" customHeight="1">
      <c r="A8590" t="inlineStr">
        <is>
          <t>A 24666-2024</t>
        </is>
      </c>
      <c r="B8590" s="1" t="n">
        <v>45460</v>
      </c>
      <c r="C8590" s="1" t="n">
        <v>45798</v>
      </c>
      <c r="D8590" t="inlineStr">
        <is>
          <t>NORRBOTTENS LÄN</t>
        </is>
      </c>
      <c r="E8590" t="inlineStr">
        <is>
          <t>ÖVERTORNEÅ</t>
        </is>
      </c>
      <c r="F8590" t="inlineStr">
        <is>
          <t>Sveaskog</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24979-2024</t>
        </is>
      </c>
      <c r="B8591" s="1" t="n">
        <v>45461</v>
      </c>
      <c r="C8591" s="1" t="n">
        <v>45798</v>
      </c>
      <c r="D8591" t="inlineStr">
        <is>
          <t>NORRBOTTENS LÄN</t>
        </is>
      </c>
      <c r="E8591" t="inlineStr">
        <is>
          <t>LULEÅ</t>
        </is>
      </c>
      <c r="G8591" t="n">
        <v>16.3</v>
      </c>
      <c r="H8591" t="n">
        <v>0</v>
      </c>
      <c r="I8591" t="n">
        <v>0</v>
      </c>
      <c r="J8591" t="n">
        <v>0</v>
      </c>
      <c r="K8591" t="n">
        <v>0</v>
      </c>
      <c r="L8591" t="n">
        <v>0</v>
      </c>
      <c r="M8591" t="n">
        <v>0</v>
      </c>
      <c r="N8591" t="n">
        <v>0</v>
      </c>
      <c r="O8591" t="n">
        <v>0</v>
      </c>
      <c r="P8591" t="n">
        <v>0</v>
      </c>
      <c r="Q8591" t="n">
        <v>0</v>
      </c>
      <c r="R8591" s="2" t="inlineStr"/>
    </row>
    <row r="8592" ht="15" customHeight="1">
      <c r="A8592" t="inlineStr">
        <is>
          <t>A 24963-2024</t>
        </is>
      </c>
      <c r="B8592" s="1" t="n">
        <v>45461</v>
      </c>
      <c r="C8592" s="1" t="n">
        <v>45798</v>
      </c>
      <c r="D8592" t="inlineStr">
        <is>
          <t>NORRBOTTENS LÄN</t>
        </is>
      </c>
      <c r="E8592" t="inlineStr">
        <is>
          <t>PAJALA</t>
        </is>
      </c>
      <c r="F8592" t="inlineStr">
        <is>
          <t>Sveaskog</t>
        </is>
      </c>
      <c r="G8592" t="n">
        <v>12.7</v>
      </c>
      <c r="H8592" t="n">
        <v>0</v>
      </c>
      <c r="I8592" t="n">
        <v>0</v>
      </c>
      <c r="J8592" t="n">
        <v>0</v>
      </c>
      <c r="K8592" t="n">
        <v>0</v>
      </c>
      <c r="L8592" t="n">
        <v>0</v>
      </c>
      <c r="M8592" t="n">
        <v>0</v>
      </c>
      <c r="N8592" t="n">
        <v>0</v>
      </c>
      <c r="O8592" t="n">
        <v>0</v>
      </c>
      <c r="P8592" t="n">
        <v>0</v>
      </c>
      <c r="Q8592" t="n">
        <v>0</v>
      </c>
      <c r="R8592" s="2" t="inlineStr"/>
    </row>
    <row r="8593" ht="15" customHeight="1">
      <c r="A8593" t="inlineStr">
        <is>
          <t>A 24854-2024</t>
        </is>
      </c>
      <c r="B8593" s="1" t="n">
        <v>45461</v>
      </c>
      <c r="C8593" s="1" t="n">
        <v>45798</v>
      </c>
      <c r="D8593" t="inlineStr">
        <is>
          <t>NORRBOTTENS LÄN</t>
        </is>
      </c>
      <c r="E8593" t="inlineStr">
        <is>
          <t>ARVIDSJAUR</t>
        </is>
      </c>
      <c r="F8593" t="inlineStr">
        <is>
          <t>Sveaskog</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24926-2024</t>
        </is>
      </c>
      <c r="B8594" s="1" t="n">
        <v>45461</v>
      </c>
      <c r="C8594" s="1" t="n">
        <v>45798</v>
      </c>
      <c r="D8594" t="inlineStr">
        <is>
          <t>NORRBOTTENS LÄN</t>
        </is>
      </c>
      <c r="E8594" t="inlineStr">
        <is>
          <t>GÄLLIVARE</t>
        </is>
      </c>
      <c r="F8594" t="inlineStr">
        <is>
          <t>Sveaskog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24973-2024</t>
        </is>
      </c>
      <c r="B8595" s="1" t="n">
        <v>45461</v>
      </c>
      <c r="C8595" s="1" t="n">
        <v>45798</v>
      </c>
      <c r="D8595" t="inlineStr">
        <is>
          <t>NORRBOTTENS LÄN</t>
        </is>
      </c>
      <c r="E8595" t="inlineStr">
        <is>
          <t>PITEÅ</t>
        </is>
      </c>
      <c r="G8595" t="n">
        <v>11.9</v>
      </c>
      <c r="H8595" t="n">
        <v>0</v>
      </c>
      <c r="I8595" t="n">
        <v>0</v>
      </c>
      <c r="J8595" t="n">
        <v>0</v>
      </c>
      <c r="K8595" t="n">
        <v>0</v>
      </c>
      <c r="L8595" t="n">
        <v>0</v>
      </c>
      <c r="M8595" t="n">
        <v>0</v>
      </c>
      <c r="N8595" t="n">
        <v>0</v>
      </c>
      <c r="O8595" t="n">
        <v>0</v>
      </c>
      <c r="P8595" t="n">
        <v>0</v>
      </c>
      <c r="Q8595" t="n">
        <v>0</v>
      </c>
      <c r="R8595" s="2" t="inlineStr"/>
    </row>
    <row r="8596" ht="15" customHeight="1">
      <c r="A8596" t="inlineStr">
        <is>
          <t>A 24872-2024</t>
        </is>
      </c>
      <c r="B8596" s="1" t="n">
        <v>45461</v>
      </c>
      <c r="C8596" s="1" t="n">
        <v>45798</v>
      </c>
      <c r="D8596" t="inlineStr">
        <is>
          <t>NORRBOTTENS LÄN</t>
        </is>
      </c>
      <c r="E8596" t="inlineStr">
        <is>
          <t>BODEN</t>
        </is>
      </c>
      <c r="F8596" t="inlineStr">
        <is>
          <t>Sveaskog</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24860-2024</t>
        </is>
      </c>
      <c r="B8597" s="1" t="n">
        <v>45461</v>
      </c>
      <c r="C8597" s="1" t="n">
        <v>45798</v>
      </c>
      <c r="D8597" t="inlineStr">
        <is>
          <t>NORRBOTTENS LÄN</t>
        </is>
      </c>
      <c r="E8597" t="inlineStr">
        <is>
          <t>ARVIDSJAUR</t>
        </is>
      </c>
      <c r="F8597" t="inlineStr">
        <is>
          <t>Allmännings- och besparingsskogar</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24836-2024</t>
        </is>
      </c>
      <c r="B8598" s="1" t="n">
        <v>45461</v>
      </c>
      <c r="C8598" s="1" t="n">
        <v>45798</v>
      </c>
      <c r="D8598" t="inlineStr">
        <is>
          <t>NORRBOTTENS LÄN</t>
        </is>
      </c>
      <c r="E8598" t="inlineStr">
        <is>
          <t>ARVIDSJAUR</t>
        </is>
      </c>
      <c r="F8598" t="inlineStr">
        <is>
          <t>Allmännings- och besparingsskogar</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24827-2024</t>
        </is>
      </c>
      <c r="B8599" s="1" t="n">
        <v>45461</v>
      </c>
      <c r="C8599" s="1" t="n">
        <v>45798</v>
      </c>
      <c r="D8599" t="inlineStr">
        <is>
          <t>NORRBOTTENS LÄN</t>
        </is>
      </c>
      <c r="E8599" t="inlineStr">
        <is>
          <t>PITEÅ</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25038-2024</t>
        </is>
      </c>
      <c r="B8600" s="1" t="n">
        <v>45461</v>
      </c>
      <c r="C8600" s="1" t="n">
        <v>45798</v>
      </c>
      <c r="D8600" t="inlineStr">
        <is>
          <t>NORRBOTTENS LÄN</t>
        </is>
      </c>
      <c r="E8600" t="inlineStr">
        <is>
          <t>BODEN</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25367-2024</t>
        </is>
      </c>
      <c r="B8601" s="1" t="n">
        <v>45462</v>
      </c>
      <c r="C8601" s="1" t="n">
        <v>45798</v>
      </c>
      <c r="D8601" t="inlineStr">
        <is>
          <t>NORRBOTTENS LÄN</t>
        </is>
      </c>
      <c r="E8601" t="inlineStr">
        <is>
          <t>BODEN</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25404-2024</t>
        </is>
      </c>
      <c r="B8602" s="1" t="n">
        <v>45462</v>
      </c>
      <c r="C8602" s="1" t="n">
        <v>45798</v>
      </c>
      <c r="D8602" t="inlineStr">
        <is>
          <t>NORRBOTTENS LÄN</t>
        </is>
      </c>
      <c r="E8602" t="inlineStr">
        <is>
          <t>PITEÅ</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25414-2024</t>
        </is>
      </c>
      <c r="B8603" s="1" t="n">
        <v>45462</v>
      </c>
      <c r="C8603" s="1" t="n">
        <v>45798</v>
      </c>
      <c r="D8603" t="inlineStr">
        <is>
          <t>NORRBOTTENS LÄN</t>
        </is>
      </c>
      <c r="E8603" t="inlineStr">
        <is>
          <t>PITEÅ</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25339-2024</t>
        </is>
      </c>
      <c r="B8604" s="1" t="n">
        <v>45462</v>
      </c>
      <c r="C8604" s="1" t="n">
        <v>45798</v>
      </c>
      <c r="D8604" t="inlineStr">
        <is>
          <t>NORRBOTTENS LÄN</t>
        </is>
      </c>
      <c r="E8604" t="inlineStr">
        <is>
          <t>LULEÅ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25340-2024</t>
        </is>
      </c>
      <c r="B8605" s="1" t="n">
        <v>45462</v>
      </c>
      <c r="C8605" s="1" t="n">
        <v>45798</v>
      </c>
      <c r="D8605" t="inlineStr">
        <is>
          <t>NORRBOTTENS LÄN</t>
        </is>
      </c>
      <c r="E8605" t="inlineStr">
        <is>
          <t>LULEÅ</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25342-2024</t>
        </is>
      </c>
      <c r="B8606" s="1" t="n">
        <v>45462</v>
      </c>
      <c r="C8606" s="1" t="n">
        <v>45798</v>
      </c>
      <c r="D8606" t="inlineStr">
        <is>
          <t>NORRBOTTENS LÄN</t>
        </is>
      </c>
      <c r="E8606" t="inlineStr">
        <is>
          <t>PITEÅ</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25121-2024</t>
        </is>
      </c>
      <c r="B8607" s="1" t="n">
        <v>45462</v>
      </c>
      <c r="C8607" s="1" t="n">
        <v>45798</v>
      </c>
      <c r="D8607" t="inlineStr">
        <is>
          <t>NORRBOTTENS LÄN</t>
        </is>
      </c>
      <c r="E8607" t="inlineStr">
        <is>
          <t>ARVIDSJAUR</t>
        </is>
      </c>
      <c r="F8607" t="inlineStr">
        <is>
          <t>Sveaskog</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25309-2024</t>
        </is>
      </c>
      <c r="B8608" s="1" t="n">
        <v>45462</v>
      </c>
      <c r="C8608" s="1" t="n">
        <v>45798</v>
      </c>
      <c r="D8608" t="inlineStr">
        <is>
          <t>NORRBOTTENS LÄN</t>
        </is>
      </c>
      <c r="E8608" t="inlineStr">
        <is>
          <t>ÖVERTORNEÅ</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25256-2024</t>
        </is>
      </c>
      <c r="B8609" s="1" t="n">
        <v>45462</v>
      </c>
      <c r="C8609" s="1" t="n">
        <v>45798</v>
      </c>
      <c r="D8609" t="inlineStr">
        <is>
          <t>NORRBOTTENS LÄN</t>
        </is>
      </c>
      <c r="E8609" t="inlineStr">
        <is>
          <t>PITEÅ</t>
        </is>
      </c>
      <c r="G8609" t="n">
        <v>7.4</v>
      </c>
      <c r="H8609" t="n">
        <v>0</v>
      </c>
      <c r="I8609" t="n">
        <v>0</v>
      </c>
      <c r="J8609" t="n">
        <v>0</v>
      </c>
      <c r="K8609" t="n">
        <v>0</v>
      </c>
      <c r="L8609" t="n">
        <v>0</v>
      </c>
      <c r="M8609" t="n">
        <v>0</v>
      </c>
      <c r="N8609" t="n">
        <v>0</v>
      </c>
      <c r="O8609" t="n">
        <v>0</v>
      </c>
      <c r="P8609" t="n">
        <v>0</v>
      </c>
      <c r="Q8609" t="n">
        <v>0</v>
      </c>
      <c r="R8609" s="2" t="inlineStr"/>
    </row>
    <row r="8610" ht="15" customHeight="1">
      <c r="A8610" t="inlineStr">
        <is>
          <t>A 25164-2024</t>
        </is>
      </c>
      <c r="B8610" s="1" t="n">
        <v>45462</v>
      </c>
      <c r="C8610" s="1" t="n">
        <v>45798</v>
      </c>
      <c r="D8610" t="inlineStr">
        <is>
          <t>NORRBOTTENS LÄN</t>
        </is>
      </c>
      <c r="E8610" t="inlineStr">
        <is>
          <t>HAPARANDA</t>
        </is>
      </c>
      <c r="G8610" t="n">
        <v>11.1</v>
      </c>
      <c r="H8610" t="n">
        <v>0</v>
      </c>
      <c r="I8610" t="n">
        <v>0</v>
      </c>
      <c r="J8610" t="n">
        <v>0</v>
      </c>
      <c r="K8610" t="n">
        <v>0</v>
      </c>
      <c r="L8610" t="n">
        <v>0</v>
      </c>
      <c r="M8610" t="n">
        <v>0</v>
      </c>
      <c r="N8610" t="n">
        <v>0</v>
      </c>
      <c r="O8610" t="n">
        <v>0</v>
      </c>
      <c r="P8610" t="n">
        <v>0</v>
      </c>
      <c r="Q8610" t="n">
        <v>0</v>
      </c>
      <c r="R8610" s="2" t="inlineStr"/>
    </row>
    <row r="8611" ht="15" customHeight="1">
      <c r="A8611" t="inlineStr">
        <is>
          <t>A 25160-2024</t>
        </is>
      </c>
      <c r="B8611" s="1" t="n">
        <v>45462</v>
      </c>
      <c r="C8611" s="1" t="n">
        <v>45798</v>
      </c>
      <c r="D8611" t="inlineStr">
        <is>
          <t>NORRBOTTENS LÄN</t>
        </is>
      </c>
      <c r="E8611" t="inlineStr">
        <is>
          <t>HAPARANDA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25043-2024</t>
        </is>
      </c>
      <c r="B8612" s="1" t="n">
        <v>45462</v>
      </c>
      <c r="C8612" s="1" t="n">
        <v>45798</v>
      </c>
      <c r="D8612" t="inlineStr">
        <is>
          <t>NORRBOTTENS LÄN</t>
        </is>
      </c>
      <c r="E8612" t="inlineStr">
        <is>
          <t>ARVIDSJAUR</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25295-2024</t>
        </is>
      </c>
      <c r="B8613" s="1" t="n">
        <v>45462</v>
      </c>
      <c r="C8613" s="1" t="n">
        <v>45798</v>
      </c>
      <c r="D8613" t="inlineStr">
        <is>
          <t>NORRBOTTENS LÄN</t>
        </is>
      </c>
      <c r="E8613" t="inlineStr">
        <is>
          <t>PITEÅ</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25103-2024</t>
        </is>
      </c>
      <c r="B8614" s="1" t="n">
        <v>45462</v>
      </c>
      <c r="C8614" s="1" t="n">
        <v>45798</v>
      </c>
      <c r="D8614" t="inlineStr">
        <is>
          <t>NORRBOTTENS LÄN</t>
        </is>
      </c>
      <c r="E8614" t="inlineStr">
        <is>
          <t>ÄLVSBYN</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25341-2024</t>
        </is>
      </c>
      <c r="B8615" s="1" t="n">
        <v>45462</v>
      </c>
      <c r="C8615" s="1" t="n">
        <v>45798</v>
      </c>
      <c r="D8615" t="inlineStr">
        <is>
          <t>NORRBOTTENS LÄN</t>
        </is>
      </c>
      <c r="E8615" t="inlineStr">
        <is>
          <t>BODEN</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25259-2024</t>
        </is>
      </c>
      <c r="B8616" s="1" t="n">
        <v>45462</v>
      </c>
      <c r="C8616" s="1" t="n">
        <v>45798</v>
      </c>
      <c r="D8616" t="inlineStr">
        <is>
          <t>NORRBOTTENS LÄN</t>
        </is>
      </c>
      <c r="E8616" t="inlineStr">
        <is>
          <t>PAJALA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25247-2024</t>
        </is>
      </c>
      <c r="B8617" s="1" t="n">
        <v>45462</v>
      </c>
      <c r="C8617" s="1" t="n">
        <v>45798</v>
      </c>
      <c r="D8617" t="inlineStr">
        <is>
          <t>NORRBOTTENS LÄN</t>
        </is>
      </c>
      <c r="E8617" t="inlineStr">
        <is>
          <t>KALIX</t>
        </is>
      </c>
      <c r="F8617" t="inlineStr">
        <is>
          <t>Sveaskog</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25239-2024</t>
        </is>
      </c>
      <c r="B8618" s="1" t="n">
        <v>45462</v>
      </c>
      <c r="C8618" s="1" t="n">
        <v>45798</v>
      </c>
      <c r="D8618" t="inlineStr">
        <is>
          <t>NORRBOTTENS LÄN</t>
        </is>
      </c>
      <c r="E8618" t="inlineStr">
        <is>
          <t>KALIX</t>
        </is>
      </c>
      <c r="F8618" t="inlineStr">
        <is>
          <t>Sveaskog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25159-2024</t>
        </is>
      </c>
      <c r="B8619" s="1" t="n">
        <v>45462</v>
      </c>
      <c r="C8619" s="1" t="n">
        <v>45798</v>
      </c>
      <c r="D8619" t="inlineStr">
        <is>
          <t>NORRBOTTENS LÄN</t>
        </is>
      </c>
      <c r="E8619" t="inlineStr">
        <is>
          <t>HAPARANDA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25394-2024</t>
        </is>
      </c>
      <c r="B8620" s="1" t="n">
        <v>45463</v>
      </c>
      <c r="C8620" s="1" t="n">
        <v>45798</v>
      </c>
      <c r="D8620" t="inlineStr">
        <is>
          <t>NORRBOTTENS LÄN</t>
        </is>
      </c>
      <c r="E8620" t="inlineStr">
        <is>
          <t>BODEN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25707-2024</t>
        </is>
      </c>
      <c r="B8621" s="1" t="n">
        <v>45464</v>
      </c>
      <c r="C8621" s="1" t="n">
        <v>45798</v>
      </c>
      <c r="D8621" t="inlineStr">
        <is>
          <t>NORRBOTTENS LÄN</t>
        </is>
      </c>
      <c r="E8621" t="inlineStr">
        <is>
          <t>JOKKMOKK</t>
        </is>
      </c>
      <c r="F8621" t="inlineStr">
        <is>
          <t>Naturvårdsverket</t>
        </is>
      </c>
      <c r="G8621" t="n">
        <v>9.5</v>
      </c>
      <c r="H8621" t="n">
        <v>0</v>
      </c>
      <c r="I8621" t="n">
        <v>0</v>
      </c>
      <c r="J8621" t="n">
        <v>0</v>
      </c>
      <c r="K8621" t="n">
        <v>0</v>
      </c>
      <c r="L8621" t="n">
        <v>0</v>
      </c>
      <c r="M8621" t="n">
        <v>0</v>
      </c>
      <c r="N8621" t="n">
        <v>0</v>
      </c>
      <c r="O8621" t="n">
        <v>0</v>
      </c>
      <c r="P8621" t="n">
        <v>0</v>
      </c>
      <c r="Q8621" t="n">
        <v>0</v>
      </c>
      <c r="R8621" s="2" t="inlineStr"/>
    </row>
    <row r="8622" ht="15" customHeight="1">
      <c r="A8622" t="inlineStr">
        <is>
          <t>A 25715-2024</t>
        </is>
      </c>
      <c r="B8622" s="1" t="n">
        <v>45463</v>
      </c>
      <c r="C8622" s="1" t="n">
        <v>45798</v>
      </c>
      <c r="D8622" t="inlineStr">
        <is>
          <t>NORRBOTTENS LÄN</t>
        </is>
      </c>
      <c r="E8622" t="inlineStr">
        <is>
          <t>JOKKMOKK</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25676-2024</t>
        </is>
      </c>
      <c r="B8623" s="1" t="n">
        <v>45463</v>
      </c>
      <c r="C8623" s="1" t="n">
        <v>45798</v>
      </c>
      <c r="D8623" t="inlineStr">
        <is>
          <t>NORRBOTTENS LÄN</t>
        </is>
      </c>
      <c r="E8623" t="inlineStr">
        <is>
          <t>LULEÅ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25692-2024</t>
        </is>
      </c>
      <c r="B8624" s="1" t="n">
        <v>45464</v>
      </c>
      <c r="C8624" s="1" t="n">
        <v>45798</v>
      </c>
      <c r="D8624" t="inlineStr">
        <is>
          <t>NORRBOTTENS LÄN</t>
        </is>
      </c>
      <c r="E8624" t="inlineStr">
        <is>
          <t>ÖVERKALIX</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25708-2024</t>
        </is>
      </c>
      <c r="B8625" s="1" t="n">
        <v>45464</v>
      </c>
      <c r="C8625" s="1" t="n">
        <v>45798</v>
      </c>
      <c r="D8625" t="inlineStr">
        <is>
          <t>NORRBOTTENS LÄN</t>
        </is>
      </c>
      <c r="E8625" t="inlineStr">
        <is>
          <t>JOKKMOKK</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25722-2024</t>
        </is>
      </c>
      <c r="B8626" s="1" t="n">
        <v>45463</v>
      </c>
      <c r="C8626" s="1" t="n">
        <v>45798</v>
      </c>
      <c r="D8626" t="inlineStr">
        <is>
          <t>NORRBOTTENS LÄN</t>
        </is>
      </c>
      <c r="E8626" t="inlineStr">
        <is>
          <t>JOKKMOKK</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25716-2024</t>
        </is>
      </c>
      <c r="B8627" s="1" t="n">
        <v>45463</v>
      </c>
      <c r="C8627" s="1" t="n">
        <v>45798</v>
      </c>
      <c r="D8627" t="inlineStr">
        <is>
          <t>NORRBOTTENS LÄN</t>
        </is>
      </c>
      <c r="E8627" t="inlineStr">
        <is>
          <t>JOKKMOKK</t>
        </is>
      </c>
      <c r="F8627" t="inlineStr">
        <is>
          <t>SCA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25632-2024</t>
        </is>
      </c>
      <c r="B8628" s="1" t="n">
        <v>45463</v>
      </c>
      <c r="C8628" s="1" t="n">
        <v>45798</v>
      </c>
      <c r="D8628" t="inlineStr">
        <is>
          <t>NORRBOTTENS LÄN</t>
        </is>
      </c>
      <c r="E8628" t="inlineStr">
        <is>
          <t>JOKKMOKK</t>
        </is>
      </c>
      <c r="F8628" t="inlineStr">
        <is>
          <t>Sveaskog</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25616-2024</t>
        </is>
      </c>
      <c r="B8629" s="1" t="n">
        <v>45463</v>
      </c>
      <c r="C8629" s="1" t="n">
        <v>45798</v>
      </c>
      <c r="D8629" t="inlineStr">
        <is>
          <t>NORRBOTTENS LÄN</t>
        </is>
      </c>
      <c r="E8629" t="inlineStr">
        <is>
          <t>JOKKMOKK</t>
        </is>
      </c>
      <c r="F8629" t="inlineStr">
        <is>
          <t>Sveaskog</t>
        </is>
      </c>
      <c r="G8629" t="n">
        <v>19.3</v>
      </c>
      <c r="H8629" t="n">
        <v>0</v>
      </c>
      <c r="I8629" t="n">
        <v>0</v>
      </c>
      <c r="J8629" t="n">
        <v>0</v>
      </c>
      <c r="K8629" t="n">
        <v>0</v>
      </c>
      <c r="L8629" t="n">
        <v>0</v>
      </c>
      <c r="M8629" t="n">
        <v>0</v>
      </c>
      <c r="N8629" t="n">
        <v>0</v>
      </c>
      <c r="O8629" t="n">
        <v>0</v>
      </c>
      <c r="P8629" t="n">
        <v>0</v>
      </c>
      <c r="Q8629" t="n">
        <v>0</v>
      </c>
      <c r="R8629" s="2" t="inlineStr"/>
    </row>
    <row r="8630" ht="15" customHeight="1">
      <c r="A8630" t="inlineStr">
        <is>
          <t>A 25634-2024</t>
        </is>
      </c>
      <c r="B8630" s="1" t="n">
        <v>45463</v>
      </c>
      <c r="C8630" s="1" t="n">
        <v>45798</v>
      </c>
      <c r="D8630" t="inlineStr">
        <is>
          <t>NORRBOTTENS LÄN</t>
        </is>
      </c>
      <c r="E8630" t="inlineStr">
        <is>
          <t>JOKKMOKK</t>
        </is>
      </c>
      <c r="F8630" t="inlineStr">
        <is>
          <t>Sveaskog</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25618-2024</t>
        </is>
      </c>
      <c r="B8631" s="1" t="n">
        <v>45463</v>
      </c>
      <c r="C8631" s="1" t="n">
        <v>45798</v>
      </c>
      <c r="D8631" t="inlineStr">
        <is>
          <t>NORRBOTTENS LÄN</t>
        </is>
      </c>
      <c r="E8631" t="inlineStr">
        <is>
          <t>PITEÅ</t>
        </is>
      </c>
      <c r="F8631" t="inlineStr">
        <is>
          <t>Sveaskog</t>
        </is>
      </c>
      <c r="G8631" t="n">
        <v>8.800000000000001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25614-2024</t>
        </is>
      </c>
      <c r="B8632" s="1" t="n">
        <v>45463</v>
      </c>
      <c r="C8632" s="1" t="n">
        <v>45798</v>
      </c>
      <c r="D8632" t="inlineStr">
        <is>
          <t>NORRBOTTENS LÄN</t>
        </is>
      </c>
      <c r="E8632" t="inlineStr">
        <is>
          <t>PITEÅ</t>
        </is>
      </c>
      <c r="G8632" t="n">
        <v>19.9</v>
      </c>
      <c r="H8632" t="n">
        <v>0</v>
      </c>
      <c r="I8632" t="n">
        <v>0</v>
      </c>
      <c r="J8632" t="n">
        <v>0</v>
      </c>
      <c r="K8632" t="n">
        <v>0</v>
      </c>
      <c r="L8632" t="n">
        <v>0</v>
      </c>
      <c r="M8632" t="n">
        <v>0</v>
      </c>
      <c r="N8632" t="n">
        <v>0</v>
      </c>
      <c r="O8632" t="n">
        <v>0</v>
      </c>
      <c r="P8632" t="n">
        <v>0</v>
      </c>
      <c r="Q8632" t="n">
        <v>0</v>
      </c>
      <c r="R8632" s="2" t="inlineStr"/>
    </row>
    <row r="8633" ht="15" customHeight="1">
      <c r="A8633" t="inlineStr">
        <is>
          <t>A 25584-2024</t>
        </is>
      </c>
      <c r="B8633" s="1" t="n">
        <v>45463</v>
      </c>
      <c r="C8633" s="1" t="n">
        <v>45798</v>
      </c>
      <c r="D8633" t="inlineStr">
        <is>
          <t>NORRBOTTENS LÄN</t>
        </is>
      </c>
      <c r="E8633" t="inlineStr">
        <is>
          <t>PITEÅ</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25578-2024</t>
        </is>
      </c>
      <c r="B8634" s="1" t="n">
        <v>45463</v>
      </c>
      <c r="C8634" s="1" t="n">
        <v>45798</v>
      </c>
      <c r="D8634" t="inlineStr">
        <is>
          <t>NORRBOTTENS LÄN</t>
        </is>
      </c>
      <c r="E8634" t="inlineStr">
        <is>
          <t>LULEÅ</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25554-2024</t>
        </is>
      </c>
      <c r="B8635" s="1" t="n">
        <v>45463</v>
      </c>
      <c r="C8635" s="1" t="n">
        <v>45798</v>
      </c>
      <c r="D8635" t="inlineStr">
        <is>
          <t>NORRBOTTENS LÄN</t>
        </is>
      </c>
      <c r="E8635" t="inlineStr">
        <is>
          <t>BODEN</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25698-2024</t>
        </is>
      </c>
      <c r="B8636" s="1" t="n">
        <v>45464</v>
      </c>
      <c r="C8636" s="1" t="n">
        <v>45798</v>
      </c>
      <c r="D8636" t="inlineStr">
        <is>
          <t>NORRBOTTENS LÄN</t>
        </is>
      </c>
      <c r="E8636" t="inlineStr">
        <is>
          <t>ÖVERKALIX</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25694-2024</t>
        </is>
      </c>
      <c r="B8637" s="1" t="n">
        <v>45463</v>
      </c>
      <c r="C8637" s="1" t="n">
        <v>45798</v>
      </c>
      <c r="D8637" t="inlineStr">
        <is>
          <t>NORRBOTTENS LÄN</t>
        </is>
      </c>
      <c r="E8637" t="inlineStr">
        <is>
          <t>KALIX</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25791-2024</t>
        </is>
      </c>
      <c r="B8638" s="1" t="n">
        <v>45463</v>
      </c>
      <c r="C8638" s="1" t="n">
        <v>45798</v>
      </c>
      <c r="D8638" t="inlineStr">
        <is>
          <t>NORRBOTTENS LÄN</t>
        </is>
      </c>
      <c r="E8638" t="inlineStr">
        <is>
          <t>LULEÅ</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25522-2024</t>
        </is>
      </c>
      <c r="B8639" s="1" t="n">
        <v>45463</v>
      </c>
      <c r="C8639" s="1" t="n">
        <v>45798</v>
      </c>
      <c r="D8639" t="inlineStr">
        <is>
          <t>NORRBOTTENS LÄN</t>
        </is>
      </c>
      <c r="E8639" t="inlineStr">
        <is>
          <t>KALIX</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25497-2024</t>
        </is>
      </c>
      <c r="B8640" s="1" t="n">
        <v>45463</v>
      </c>
      <c r="C8640" s="1" t="n">
        <v>45798</v>
      </c>
      <c r="D8640" t="inlineStr">
        <is>
          <t>NORRBOTTENS LÄN</t>
        </is>
      </c>
      <c r="E8640" t="inlineStr">
        <is>
          <t>PAJALA</t>
        </is>
      </c>
      <c r="F8640" t="inlineStr">
        <is>
          <t>Sveaskog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25493-2024</t>
        </is>
      </c>
      <c r="B8641" s="1" t="n">
        <v>45463</v>
      </c>
      <c r="C8641" s="1" t="n">
        <v>45798</v>
      </c>
      <c r="D8641" t="inlineStr">
        <is>
          <t>NORRBOTTENS LÄN</t>
        </is>
      </c>
      <c r="E8641" t="inlineStr">
        <is>
          <t>GÄLLIVARE</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25489-2024</t>
        </is>
      </c>
      <c r="B8642" s="1" t="n">
        <v>45463</v>
      </c>
      <c r="C8642" s="1" t="n">
        <v>45798</v>
      </c>
      <c r="D8642" t="inlineStr">
        <is>
          <t>NORRBOTTENS LÄN</t>
        </is>
      </c>
      <c r="E8642" t="inlineStr">
        <is>
          <t>ÖVERKALIX</t>
        </is>
      </c>
      <c r="F8642" t="inlineStr">
        <is>
          <t>Sveaskog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25721-2024</t>
        </is>
      </c>
      <c r="B8643" s="1" t="n">
        <v>45463</v>
      </c>
      <c r="C8643" s="1" t="n">
        <v>45798</v>
      </c>
      <c r="D8643" t="inlineStr">
        <is>
          <t>NORRBOTTENS LÄN</t>
        </is>
      </c>
      <c r="E8643" t="inlineStr">
        <is>
          <t>JOKKMOKK</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25599-2024</t>
        </is>
      </c>
      <c r="B8644" s="1" t="n">
        <v>45463</v>
      </c>
      <c r="C8644" s="1" t="n">
        <v>45798</v>
      </c>
      <c r="D8644" t="inlineStr">
        <is>
          <t>NORRBOTTENS LÄN</t>
        </is>
      </c>
      <c r="E8644" t="inlineStr">
        <is>
          <t>ARVIDSJAUR</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25575-2024</t>
        </is>
      </c>
      <c r="B8645" s="1" t="n">
        <v>45463</v>
      </c>
      <c r="C8645" s="1" t="n">
        <v>45798</v>
      </c>
      <c r="D8645" t="inlineStr">
        <is>
          <t>NORRBOTTENS LÄN</t>
        </is>
      </c>
      <c r="E8645" t="inlineStr">
        <is>
          <t>BODEN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25567-2024</t>
        </is>
      </c>
      <c r="B8646" s="1" t="n">
        <v>45463</v>
      </c>
      <c r="C8646" s="1" t="n">
        <v>45798</v>
      </c>
      <c r="D8646" t="inlineStr">
        <is>
          <t>NORRBOTTENS LÄN</t>
        </is>
      </c>
      <c r="E8646" t="inlineStr">
        <is>
          <t>LULEÅ</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25559-2024</t>
        </is>
      </c>
      <c r="B8647" s="1" t="n">
        <v>45463</v>
      </c>
      <c r="C8647" s="1" t="n">
        <v>45798</v>
      </c>
      <c r="D8647" t="inlineStr">
        <is>
          <t>NORRBOTTENS LÄN</t>
        </is>
      </c>
      <c r="E8647" t="inlineStr">
        <is>
          <t>BODEN</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25535-2024</t>
        </is>
      </c>
      <c r="B8648" s="1" t="n">
        <v>45463</v>
      </c>
      <c r="C8648" s="1" t="n">
        <v>45798</v>
      </c>
      <c r="D8648" t="inlineStr">
        <is>
          <t>NORRBOTTENS LÄN</t>
        </is>
      </c>
      <c r="E8648" t="inlineStr">
        <is>
          <t>BODEN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25709-2024</t>
        </is>
      </c>
      <c r="B8649" s="1" t="n">
        <v>45464</v>
      </c>
      <c r="C8649" s="1" t="n">
        <v>45798</v>
      </c>
      <c r="D8649" t="inlineStr">
        <is>
          <t>NORRBOTTENS LÄN</t>
        </is>
      </c>
      <c r="E8649" t="inlineStr">
        <is>
          <t>JOKKMOKK</t>
        </is>
      </c>
      <c r="F8649" t="inlineStr">
        <is>
          <t>SCA</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25697-2024</t>
        </is>
      </c>
      <c r="B8650" s="1" t="n">
        <v>45463</v>
      </c>
      <c r="C8650" s="1" t="n">
        <v>45798</v>
      </c>
      <c r="D8650" t="inlineStr">
        <is>
          <t>NORRBOTTENS LÄN</t>
        </is>
      </c>
      <c r="E8650" t="inlineStr">
        <is>
          <t>ÖVERKALIX</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25693-2024</t>
        </is>
      </c>
      <c r="B8651" s="1" t="n">
        <v>45464</v>
      </c>
      <c r="C8651" s="1" t="n">
        <v>45798</v>
      </c>
      <c r="D8651" t="inlineStr">
        <is>
          <t>NORRBOTTENS LÄN</t>
        </is>
      </c>
      <c r="E8651" t="inlineStr">
        <is>
          <t>PAJALA</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25488-2024</t>
        </is>
      </c>
      <c r="B8652" s="1" t="n">
        <v>45463</v>
      </c>
      <c r="C8652" s="1" t="n">
        <v>45798</v>
      </c>
      <c r="D8652" t="inlineStr">
        <is>
          <t>NORRBOTTENS LÄN</t>
        </is>
      </c>
      <c r="E8652" t="inlineStr">
        <is>
          <t>GÄLLIVARE</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25420-2024</t>
        </is>
      </c>
      <c r="B8653" s="1" t="n">
        <v>45463</v>
      </c>
      <c r="C8653" s="1" t="n">
        <v>45798</v>
      </c>
      <c r="D8653" t="inlineStr">
        <is>
          <t>NORRBOTTENS LÄN</t>
        </is>
      </c>
      <c r="E8653" t="inlineStr">
        <is>
          <t>ÄLVSBYN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25560-2024</t>
        </is>
      </c>
      <c r="B8654" s="1" t="n">
        <v>45463</v>
      </c>
      <c r="C8654" s="1" t="n">
        <v>45798</v>
      </c>
      <c r="D8654" t="inlineStr">
        <is>
          <t>NORRBOTTENS LÄN</t>
        </is>
      </c>
      <c r="E8654" t="inlineStr">
        <is>
          <t>PITEÅ</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25503-2024</t>
        </is>
      </c>
      <c r="B8655" s="1" t="n">
        <v>45463</v>
      </c>
      <c r="C8655" s="1" t="n">
        <v>45798</v>
      </c>
      <c r="D8655" t="inlineStr">
        <is>
          <t>NORRBOTTENS LÄN</t>
        </is>
      </c>
      <c r="E8655" t="inlineStr">
        <is>
          <t>GÄLLIVARE</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25467-2024</t>
        </is>
      </c>
      <c r="B8656" s="1" t="n">
        <v>45463</v>
      </c>
      <c r="C8656" s="1" t="n">
        <v>45798</v>
      </c>
      <c r="D8656" t="inlineStr">
        <is>
          <t>NORRBOTTENS LÄN</t>
        </is>
      </c>
      <c r="E8656" t="inlineStr">
        <is>
          <t>GÄLLIVARE</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25798-2024</t>
        </is>
      </c>
      <c r="B8657" s="1" t="n">
        <v>45463</v>
      </c>
      <c r="C8657" s="1" t="n">
        <v>45798</v>
      </c>
      <c r="D8657" t="inlineStr">
        <is>
          <t>NORRBOTTENS LÄN</t>
        </is>
      </c>
      <c r="E8657" t="inlineStr">
        <is>
          <t>LULEÅ</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25510-2024</t>
        </is>
      </c>
      <c r="B8658" s="1" t="n">
        <v>45463</v>
      </c>
      <c r="C8658" s="1" t="n">
        <v>45798</v>
      </c>
      <c r="D8658" t="inlineStr">
        <is>
          <t>NORRBOTTENS LÄN</t>
        </is>
      </c>
      <c r="E8658" t="inlineStr">
        <is>
          <t>ÖVERKALIX</t>
        </is>
      </c>
      <c r="F8658" t="inlineStr">
        <is>
          <t>Sveaskog</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25506-2024</t>
        </is>
      </c>
      <c r="B8659" s="1" t="n">
        <v>45463</v>
      </c>
      <c r="C8659" s="1" t="n">
        <v>45798</v>
      </c>
      <c r="D8659" t="inlineStr">
        <is>
          <t>NORRBOTTENS LÄN</t>
        </is>
      </c>
      <c r="E8659" t="inlineStr">
        <is>
          <t>ÖVERKALIX</t>
        </is>
      </c>
      <c r="F8659" t="inlineStr">
        <is>
          <t>Sveaskog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25498-2024</t>
        </is>
      </c>
      <c r="B8660" s="1" t="n">
        <v>45463</v>
      </c>
      <c r="C8660" s="1" t="n">
        <v>45798</v>
      </c>
      <c r="D8660" t="inlineStr">
        <is>
          <t>NORRBOTTENS LÄN</t>
        </is>
      </c>
      <c r="E8660" t="inlineStr">
        <is>
          <t>ÖVERTORNEÅ</t>
        </is>
      </c>
      <c r="F8660" t="inlineStr">
        <is>
          <t>Sveaskog</t>
        </is>
      </c>
      <c r="G8660" t="n">
        <v>17.2</v>
      </c>
      <c r="H8660" t="n">
        <v>0</v>
      </c>
      <c r="I8660" t="n">
        <v>0</v>
      </c>
      <c r="J8660" t="n">
        <v>0</v>
      </c>
      <c r="K8660" t="n">
        <v>0</v>
      </c>
      <c r="L8660" t="n">
        <v>0</v>
      </c>
      <c r="M8660" t="n">
        <v>0</v>
      </c>
      <c r="N8660" t="n">
        <v>0</v>
      </c>
      <c r="O8660" t="n">
        <v>0</v>
      </c>
      <c r="P8660" t="n">
        <v>0</v>
      </c>
      <c r="Q8660" t="n">
        <v>0</v>
      </c>
      <c r="R8660" s="2" t="inlineStr"/>
    </row>
    <row r="8661" ht="15" customHeight="1">
      <c r="A8661" t="inlineStr">
        <is>
          <t>A 25478-2024</t>
        </is>
      </c>
      <c r="B8661" s="1" t="n">
        <v>45463</v>
      </c>
      <c r="C8661" s="1" t="n">
        <v>45798</v>
      </c>
      <c r="D8661" t="inlineStr">
        <is>
          <t>NORRBOTTENS LÄN</t>
        </is>
      </c>
      <c r="E8661" t="inlineStr">
        <is>
          <t>ARVIDSJAUR</t>
        </is>
      </c>
      <c r="F8661" t="inlineStr">
        <is>
          <t>Sveaskog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25457-2024</t>
        </is>
      </c>
      <c r="B8662" s="1" t="n">
        <v>45463</v>
      </c>
      <c r="C8662" s="1" t="n">
        <v>45798</v>
      </c>
      <c r="D8662" t="inlineStr">
        <is>
          <t>NORRBOTTENS LÄN</t>
        </is>
      </c>
      <c r="E8662" t="inlineStr">
        <is>
          <t>ÄLVSBYN</t>
        </is>
      </c>
      <c r="F8662" t="inlineStr">
        <is>
          <t>Sveaskog</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25733-2024</t>
        </is>
      </c>
      <c r="B8663" s="1" t="n">
        <v>45464</v>
      </c>
      <c r="C8663" s="1" t="n">
        <v>45798</v>
      </c>
      <c r="D8663" t="inlineStr">
        <is>
          <t>NORRBOTTENS LÄN</t>
        </is>
      </c>
      <c r="E8663" t="inlineStr">
        <is>
          <t>PAJALA</t>
        </is>
      </c>
      <c r="F8663" t="inlineStr">
        <is>
          <t>Sveaskog</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25735-2024</t>
        </is>
      </c>
      <c r="B8664" s="1" t="n">
        <v>45464</v>
      </c>
      <c r="C8664" s="1" t="n">
        <v>45798</v>
      </c>
      <c r="D8664" t="inlineStr">
        <is>
          <t>NORRBOTTENS LÄN</t>
        </is>
      </c>
      <c r="E8664" t="inlineStr">
        <is>
          <t>BODEN</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25734-2024</t>
        </is>
      </c>
      <c r="B8665" s="1" t="n">
        <v>45464</v>
      </c>
      <c r="C8665" s="1" t="n">
        <v>45798</v>
      </c>
      <c r="D8665" t="inlineStr">
        <is>
          <t>NORRBOTTENS LÄN</t>
        </is>
      </c>
      <c r="E8665" t="inlineStr">
        <is>
          <t>PAJALA</t>
        </is>
      </c>
      <c r="F8665" t="inlineStr">
        <is>
          <t>Sveaskog</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25790-2024</t>
        </is>
      </c>
      <c r="B8666" s="1" t="n">
        <v>45467</v>
      </c>
      <c r="C8666" s="1" t="n">
        <v>45798</v>
      </c>
      <c r="D8666" t="inlineStr">
        <is>
          <t>NORRBOTTENS LÄN</t>
        </is>
      </c>
      <c r="E8666" t="inlineStr">
        <is>
          <t>ARVIDSJAUR</t>
        </is>
      </c>
      <c r="F8666" t="inlineStr">
        <is>
          <t>Sveaskog</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25825-2024</t>
        </is>
      </c>
      <c r="B8667" s="1" t="n">
        <v>45467</v>
      </c>
      <c r="C8667" s="1" t="n">
        <v>45798</v>
      </c>
      <c r="D8667" t="inlineStr">
        <is>
          <t>NORRBOTTENS LÄN</t>
        </is>
      </c>
      <c r="E8667" t="inlineStr">
        <is>
          <t>BODEN</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25835-2024</t>
        </is>
      </c>
      <c r="B8668" s="1" t="n">
        <v>45467</v>
      </c>
      <c r="C8668" s="1" t="n">
        <v>45798</v>
      </c>
      <c r="D8668" t="inlineStr">
        <is>
          <t>NORRBOTTENS LÄN</t>
        </is>
      </c>
      <c r="E8668" t="inlineStr">
        <is>
          <t>PITEÅ</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25905-2024</t>
        </is>
      </c>
      <c r="B8669" s="1" t="n">
        <v>45467</v>
      </c>
      <c r="C8669" s="1" t="n">
        <v>45798</v>
      </c>
      <c r="D8669" t="inlineStr">
        <is>
          <t>NORRBOTTENS LÄN</t>
        </is>
      </c>
      <c r="E8669" t="inlineStr">
        <is>
          <t>GÄLLIVARE</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25913-2024</t>
        </is>
      </c>
      <c r="B8670" s="1" t="n">
        <v>45467</v>
      </c>
      <c r="C8670" s="1" t="n">
        <v>45798</v>
      </c>
      <c r="D8670" t="inlineStr">
        <is>
          <t>NORRBOTTENS LÄN</t>
        </is>
      </c>
      <c r="E8670" t="inlineStr">
        <is>
          <t>ARVIDSJAUR</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25928-2024</t>
        </is>
      </c>
      <c r="B8671" s="1" t="n">
        <v>45467</v>
      </c>
      <c r="C8671" s="1" t="n">
        <v>45798</v>
      </c>
      <c r="D8671" t="inlineStr">
        <is>
          <t>NORRBOTTENS LÄN</t>
        </is>
      </c>
      <c r="E8671" t="inlineStr">
        <is>
          <t>ARJEPLOG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25940-2024</t>
        </is>
      </c>
      <c r="B8672" s="1" t="n">
        <v>45467</v>
      </c>
      <c r="C8672" s="1" t="n">
        <v>45798</v>
      </c>
      <c r="D8672" t="inlineStr">
        <is>
          <t>NORRBOTTENS LÄN</t>
        </is>
      </c>
      <c r="E8672" t="inlineStr">
        <is>
          <t>GÄLLIVARE</t>
        </is>
      </c>
      <c r="G8672" t="n">
        <v>11.2</v>
      </c>
      <c r="H8672" t="n">
        <v>0</v>
      </c>
      <c r="I8672" t="n">
        <v>0</v>
      </c>
      <c r="J8672" t="n">
        <v>0</v>
      </c>
      <c r="K8672" t="n">
        <v>0</v>
      </c>
      <c r="L8672" t="n">
        <v>0</v>
      </c>
      <c r="M8672" t="n">
        <v>0</v>
      </c>
      <c r="N8672" t="n">
        <v>0</v>
      </c>
      <c r="O8672" t="n">
        <v>0</v>
      </c>
      <c r="P8672" t="n">
        <v>0</v>
      </c>
      <c r="Q8672" t="n">
        <v>0</v>
      </c>
      <c r="R8672" s="2" t="inlineStr"/>
    </row>
    <row r="8673" ht="15" customHeight="1">
      <c r="A8673" t="inlineStr">
        <is>
          <t>A 25941-2024</t>
        </is>
      </c>
      <c r="B8673" s="1" t="n">
        <v>45467</v>
      </c>
      <c r="C8673" s="1" t="n">
        <v>45798</v>
      </c>
      <c r="D8673" t="inlineStr">
        <is>
          <t>NORRBOTTENS LÄN</t>
        </is>
      </c>
      <c r="E8673" t="inlineStr">
        <is>
          <t>GÄLLIVARE</t>
        </is>
      </c>
      <c r="F8673" t="inlineStr">
        <is>
          <t>Allmännings- och besparingsskogar</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25945-2024</t>
        </is>
      </c>
      <c r="B8674" s="1" t="n">
        <v>45467</v>
      </c>
      <c r="C8674" s="1" t="n">
        <v>45798</v>
      </c>
      <c r="D8674" t="inlineStr">
        <is>
          <t>NORRBOTTENS LÄN</t>
        </is>
      </c>
      <c r="E8674" t="inlineStr">
        <is>
          <t>GÄLLIVARE</t>
        </is>
      </c>
      <c r="G8674" t="n">
        <v>12.1</v>
      </c>
      <c r="H8674" t="n">
        <v>0</v>
      </c>
      <c r="I8674" t="n">
        <v>0</v>
      </c>
      <c r="J8674" t="n">
        <v>0</v>
      </c>
      <c r="K8674" t="n">
        <v>0</v>
      </c>
      <c r="L8674" t="n">
        <v>0</v>
      </c>
      <c r="M8674" t="n">
        <v>0</v>
      </c>
      <c r="N8674" t="n">
        <v>0</v>
      </c>
      <c r="O8674" t="n">
        <v>0</v>
      </c>
      <c r="P8674" t="n">
        <v>0</v>
      </c>
      <c r="Q8674" t="n">
        <v>0</v>
      </c>
      <c r="R8674" s="2" t="inlineStr"/>
    </row>
    <row r="8675" ht="15" customHeight="1">
      <c r="A8675" t="inlineStr">
        <is>
          <t>A 25969-2024</t>
        </is>
      </c>
      <c r="B8675" s="1" t="n">
        <v>45467</v>
      </c>
      <c r="C8675" s="1" t="n">
        <v>45798</v>
      </c>
      <c r="D8675" t="inlineStr">
        <is>
          <t>NORRBOTTENS LÄN</t>
        </is>
      </c>
      <c r="E8675" t="inlineStr">
        <is>
          <t>PITEÅ</t>
        </is>
      </c>
      <c r="F8675" t="inlineStr">
        <is>
          <t>Kommuner</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25958-2024</t>
        </is>
      </c>
      <c r="B8676" s="1" t="n">
        <v>45467</v>
      </c>
      <c r="C8676" s="1" t="n">
        <v>45798</v>
      </c>
      <c r="D8676" t="inlineStr">
        <is>
          <t>NORRBOTTENS LÄN</t>
        </is>
      </c>
      <c r="E8676" t="inlineStr">
        <is>
          <t>ÖVERKALIX</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26002-2024</t>
        </is>
      </c>
      <c r="B8677" s="1" t="n">
        <v>45468</v>
      </c>
      <c r="C8677" s="1" t="n">
        <v>45798</v>
      </c>
      <c r="D8677" t="inlineStr">
        <is>
          <t>NORRBOTTENS LÄN</t>
        </is>
      </c>
      <c r="E8677" t="inlineStr">
        <is>
          <t>PITEÅ</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25923-2024</t>
        </is>
      </c>
      <c r="B8678" s="1" t="n">
        <v>45467</v>
      </c>
      <c r="C8678" s="1" t="n">
        <v>45798</v>
      </c>
      <c r="D8678" t="inlineStr">
        <is>
          <t>NORRBOTTENS LÄN</t>
        </is>
      </c>
      <c r="E8678" t="inlineStr">
        <is>
          <t>GÄLLIVARE</t>
        </is>
      </c>
      <c r="F8678" t="inlineStr">
        <is>
          <t>Allmännings- och besparingsskogar</t>
        </is>
      </c>
      <c r="G8678" t="n">
        <v>15.1</v>
      </c>
      <c r="H8678" t="n">
        <v>0</v>
      </c>
      <c r="I8678" t="n">
        <v>0</v>
      </c>
      <c r="J8678" t="n">
        <v>0</v>
      </c>
      <c r="K8678" t="n">
        <v>0</v>
      </c>
      <c r="L8678" t="n">
        <v>0</v>
      </c>
      <c r="M8678" t="n">
        <v>0</v>
      </c>
      <c r="N8678" t="n">
        <v>0</v>
      </c>
      <c r="O8678" t="n">
        <v>0</v>
      </c>
      <c r="P8678" t="n">
        <v>0</v>
      </c>
      <c r="Q8678" t="n">
        <v>0</v>
      </c>
      <c r="R8678" s="2" t="inlineStr"/>
    </row>
    <row r="8679" ht="15" customHeight="1">
      <c r="A8679" t="inlineStr">
        <is>
          <t>A 25927-2024</t>
        </is>
      </c>
      <c r="B8679" s="1" t="n">
        <v>45467</v>
      </c>
      <c r="C8679" s="1" t="n">
        <v>45798</v>
      </c>
      <c r="D8679" t="inlineStr">
        <is>
          <t>NORRBOTTENS LÄN</t>
        </is>
      </c>
      <c r="E8679" t="inlineStr">
        <is>
          <t>GÄLLIVARE</t>
        </is>
      </c>
      <c r="F8679" t="inlineStr">
        <is>
          <t>Allmännings- och besparingsskogar</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25935-2024</t>
        </is>
      </c>
      <c r="B8680" s="1" t="n">
        <v>45467</v>
      </c>
      <c r="C8680" s="1" t="n">
        <v>45798</v>
      </c>
      <c r="D8680" t="inlineStr">
        <is>
          <t>NORRBOTTENS LÄN</t>
        </is>
      </c>
      <c r="E8680" t="inlineStr">
        <is>
          <t>GÄLLIVARE</t>
        </is>
      </c>
      <c r="F8680" t="inlineStr">
        <is>
          <t>Allmännings- och besparingsskogar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25939-2024</t>
        </is>
      </c>
      <c r="B8681" s="1" t="n">
        <v>45467</v>
      </c>
      <c r="C8681" s="1" t="n">
        <v>45798</v>
      </c>
      <c r="D8681" t="inlineStr">
        <is>
          <t>NORRBOTTENS LÄN</t>
        </is>
      </c>
      <c r="E8681" t="inlineStr">
        <is>
          <t>KALIX</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25947-2024</t>
        </is>
      </c>
      <c r="B8682" s="1" t="n">
        <v>45467</v>
      </c>
      <c r="C8682" s="1" t="n">
        <v>45798</v>
      </c>
      <c r="D8682" t="inlineStr">
        <is>
          <t>NORRBOTTENS LÄN</t>
        </is>
      </c>
      <c r="E8682" t="inlineStr">
        <is>
          <t>PAJALA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25951-2024</t>
        </is>
      </c>
      <c r="B8683" s="1" t="n">
        <v>45467</v>
      </c>
      <c r="C8683" s="1" t="n">
        <v>45798</v>
      </c>
      <c r="D8683" t="inlineStr">
        <is>
          <t>NORRBOTTENS LÄN</t>
        </is>
      </c>
      <c r="E8683" t="inlineStr">
        <is>
          <t>BODEN</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25955-2024</t>
        </is>
      </c>
      <c r="B8684" s="1" t="n">
        <v>45467</v>
      </c>
      <c r="C8684" s="1" t="n">
        <v>45798</v>
      </c>
      <c r="D8684" t="inlineStr">
        <is>
          <t>NORRBOTTENS LÄN</t>
        </is>
      </c>
      <c r="E8684" t="inlineStr">
        <is>
          <t>PITEÅ</t>
        </is>
      </c>
      <c r="F8684" t="inlineStr">
        <is>
          <t>Kommuner</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25991-2024</t>
        </is>
      </c>
      <c r="B8685" s="1" t="n">
        <v>45467</v>
      </c>
      <c r="C8685" s="1" t="n">
        <v>45798</v>
      </c>
      <c r="D8685" t="inlineStr">
        <is>
          <t>NORRBOTTENS LÄN</t>
        </is>
      </c>
      <c r="E8685" t="inlineStr">
        <is>
          <t>ÖVERKALIX</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26003-2024</t>
        </is>
      </c>
      <c r="B8686" s="1" t="n">
        <v>45467</v>
      </c>
      <c r="C8686" s="1" t="n">
        <v>45798</v>
      </c>
      <c r="D8686" t="inlineStr">
        <is>
          <t>NORRBOTTENS LÄN</t>
        </is>
      </c>
      <c r="E8686" t="inlineStr">
        <is>
          <t>ÄLVSBYN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26103-2024</t>
        </is>
      </c>
      <c r="B8687" s="1" t="n">
        <v>45467</v>
      </c>
      <c r="C8687" s="1" t="n">
        <v>45798</v>
      </c>
      <c r="D8687" t="inlineStr">
        <is>
          <t>NORRBOTTENS LÄN</t>
        </is>
      </c>
      <c r="E8687" t="inlineStr">
        <is>
          <t>ARJEPLOG</t>
        </is>
      </c>
      <c r="G8687" t="n">
        <v>17.2</v>
      </c>
      <c r="H8687" t="n">
        <v>0</v>
      </c>
      <c r="I8687" t="n">
        <v>0</v>
      </c>
      <c r="J8687" t="n">
        <v>0</v>
      </c>
      <c r="K8687" t="n">
        <v>0</v>
      </c>
      <c r="L8687" t="n">
        <v>0</v>
      </c>
      <c r="M8687" t="n">
        <v>0</v>
      </c>
      <c r="N8687" t="n">
        <v>0</v>
      </c>
      <c r="O8687" t="n">
        <v>0</v>
      </c>
      <c r="P8687" t="n">
        <v>0</v>
      </c>
      <c r="Q8687" t="n">
        <v>0</v>
      </c>
      <c r="R8687" s="2" t="inlineStr"/>
    </row>
    <row r="8688" ht="15" customHeight="1">
      <c r="A8688" t="inlineStr">
        <is>
          <t>A 26142-2024</t>
        </is>
      </c>
      <c r="B8688" s="1" t="n">
        <v>45467</v>
      </c>
      <c r="C8688" s="1" t="n">
        <v>45798</v>
      </c>
      <c r="D8688" t="inlineStr">
        <is>
          <t>NORRBOTTENS LÄN</t>
        </is>
      </c>
      <c r="E8688" t="inlineStr">
        <is>
          <t>ÖVERTORNEÅ</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26167-2024</t>
        </is>
      </c>
      <c r="B8689" s="1" t="n">
        <v>45467</v>
      </c>
      <c r="C8689" s="1" t="n">
        <v>45798</v>
      </c>
      <c r="D8689" t="inlineStr">
        <is>
          <t>NORRBOTTENS LÄN</t>
        </is>
      </c>
      <c r="E8689" t="inlineStr">
        <is>
          <t>ÖVERTORNEÅ</t>
        </is>
      </c>
      <c r="G8689" t="n">
        <v>12.2</v>
      </c>
      <c r="H8689" t="n">
        <v>0</v>
      </c>
      <c r="I8689" t="n">
        <v>0</v>
      </c>
      <c r="J8689" t="n">
        <v>0</v>
      </c>
      <c r="K8689" t="n">
        <v>0</v>
      </c>
      <c r="L8689" t="n">
        <v>0</v>
      </c>
      <c r="M8689" t="n">
        <v>0</v>
      </c>
      <c r="N8689" t="n">
        <v>0</v>
      </c>
      <c r="O8689" t="n">
        <v>0</v>
      </c>
      <c r="P8689" t="n">
        <v>0</v>
      </c>
      <c r="Q8689" t="n">
        <v>0</v>
      </c>
      <c r="R8689" s="2" t="inlineStr"/>
    </row>
    <row r="8690" ht="15" customHeight="1">
      <c r="A8690" t="inlineStr">
        <is>
          <t>A 26209-2024</t>
        </is>
      </c>
      <c r="B8690" s="1" t="n">
        <v>45467</v>
      </c>
      <c r="C8690" s="1" t="n">
        <v>45798</v>
      </c>
      <c r="D8690" t="inlineStr">
        <is>
          <t>NORRBOTTENS LÄN</t>
        </is>
      </c>
      <c r="E8690" t="inlineStr">
        <is>
          <t>ÖVERTORNEÅ</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26118-2024</t>
        </is>
      </c>
      <c r="B8691" s="1" t="n">
        <v>45467</v>
      </c>
      <c r="C8691" s="1" t="n">
        <v>45798</v>
      </c>
      <c r="D8691" t="inlineStr">
        <is>
          <t>NORRBOTTENS LÄN</t>
        </is>
      </c>
      <c r="E8691" t="inlineStr">
        <is>
          <t>ÖVERTORNEÅ</t>
        </is>
      </c>
      <c r="G8691" t="n">
        <v>12.4</v>
      </c>
      <c r="H8691" t="n">
        <v>0</v>
      </c>
      <c r="I8691" t="n">
        <v>0</v>
      </c>
      <c r="J8691" t="n">
        <v>0</v>
      </c>
      <c r="K8691" t="n">
        <v>0</v>
      </c>
      <c r="L8691" t="n">
        <v>0</v>
      </c>
      <c r="M8691" t="n">
        <v>0</v>
      </c>
      <c r="N8691" t="n">
        <v>0</v>
      </c>
      <c r="O8691" t="n">
        <v>0</v>
      </c>
      <c r="P8691" t="n">
        <v>0</v>
      </c>
      <c r="Q8691" t="n">
        <v>0</v>
      </c>
      <c r="R8691" s="2" t="inlineStr"/>
    </row>
    <row r="8692" ht="15" customHeight="1">
      <c r="A8692" t="inlineStr">
        <is>
          <t>A 26148-2024</t>
        </is>
      </c>
      <c r="B8692" s="1" t="n">
        <v>45467</v>
      </c>
      <c r="C8692" s="1" t="n">
        <v>45798</v>
      </c>
      <c r="D8692" t="inlineStr">
        <is>
          <t>NORRBOTTENS LÄN</t>
        </is>
      </c>
      <c r="E8692" t="inlineStr">
        <is>
          <t>ARJEPLOG</t>
        </is>
      </c>
      <c r="G8692" t="n">
        <v>18.1</v>
      </c>
      <c r="H8692" t="n">
        <v>0</v>
      </c>
      <c r="I8692" t="n">
        <v>0</v>
      </c>
      <c r="J8692" t="n">
        <v>0</v>
      </c>
      <c r="K8692" t="n">
        <v>0</v>
      </c>
      <c r="L8692" t="n">
        <v>0</v>
      </c>
      <c r="M8692" t="n">
        <v>0</v>
      </c>
      <c r="N8692" t="n">
        <v>0</v>
      </c>
      <c r="O8692" t="n">
        <v>0</v>
      </c>
      <c r="P8692" t="n">
        <v>0</v>
      </c>
      <c r="Q8692" t="n">
        <v>0</v>
      </c>
      <c r="R8692" s="2" t="inlineStr"/>
    </row>
    <row r="8693" ht="15" customHeight="1">
      <c r="A8693" t="inlineStr">
        <is>
          <t>A 26126-2024</t>
        </is>
      </c>
      <c r="B8693" s="1" t="n">
        <v>45467</v>
      </c>
      <c r="C8693" s="1" t="n">
        <v>45798</v>
      </c>
      <c r="D8693" t="inlineStr">
        <is>
          <t>NORRBOTTENS LÄN</t>
        </is>
      </c>
      <c r="E8693" t="inlineStr">
        <is>
          <t>ARJEPLOG</t>
        </is>
      </c>
      <c r="G8693" t="n">
        <v>26.4</v>
      </c>
      <c r="H8693" t="n">
        <v>0</v>
      </c>
      <c r="I8693" t="n">
        <v>0</v>
      </c>
      <c r="J8693" t="n">
        <v>0</v>
      </c>
      <c r="K8693" t="n">
        <v>0</v>
      </c>
      <c r="L8693" t="n">
        <v>0</v>
      </c>
      <c r="M8693" t="n">
        <v>0</v>
      </c>
      <c r="N8693" t="n">
        <v>0</v>
      </c>
      <c r="O8693" t="n">
        <v>0</v>
      </c>
      <c r="P8693" t="n">
        <v>0</v>
      </c>
      <c r="Q8693" t="n">
        <v>0</v>
      </c>
      <c r="R8693" s="2" t="inlineStr"/>
    </row>
    <row r="8694" ht="15" customHeight="1">
      <c r="A8694" t="inlineStr">
        <is>
          <t>A 26162-2024</t>
        </is>
      </c>
      <c r="B8694" s="1" t="n">
        <v>45467</v>
      </c>
      <c r="C8694" s="1" t="n">
        <v>45798</v>
      </c>
      <c r="D8694" t="inlineStr">
        <is>
          <t>NORRBOTTENS LÄN</t>
        </is>
      </c>
      <c r="E8694" t="inlineStr">
        <is>
          <t>ÖVERTORNEÅ</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26198-2024</t>
        </is>
      </c>
      <c r="B8695" s="1" t="n">
        <v>45467</v>
      </c>
      <c r="C8695" s="1" t="n">
        <v>45798</v>
      </c>
      <c r="D8695" t="inlineStr">
        <is>
          <t>NORRBOTTENS LÄN</t>
        </is>
      </c>
      <c r="E8695" t="inlineStr">
        <is>
          <t>ÖVERTORNEÅ</t>
        </is>
      </c>
      <c r="G8695" t="n">
        <v>8.699999999999999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26109-2024</t>
        </is>
      </c>
      <c r="B8696" s="1" t="n">
        <v>45467</v>
      </c>
      <c r="C8696" s="1" t="n">
        <v>45798</v>
      </c>
      <c r="D8696" t="inlineStr">
        <is>
          <t>NORRBOTTENS LÄN</t>
        </is>
      </c>
      <c r="E8696" t="inlineStr">
        <is>
          <t>ARJEPLOG</t>
        </is>
      </c>
      <c r="G8696" t="n">
        <v>16.6</v>
      </c>
      <c r="H8696" t="n">
        <v>0</v>
      </c>
      <c r="I8696" t="n">
        <v>0</v>
      </c>
      <c r="J8696" t="n">
        <v>0</v>
      </c>
      <c r="K8696" t="n">
        <v>0</v>
      </c>
      <c r="L8696" t="n">
        <v>0</v>
      </c>
      <c r="M8696" t="n">
        <v>0</v>
      </c>
      <c r="N8696" t="n">
        <v>0</v>
      </c>
      <c r="O8696" t="n">
        <v>0</v>
      </c>
      <c r="P8696" t="n">
        <v>0</v>
      </c>
      <c r="Q8696" t="n">
        <v>0</v>
      </c>
      <c r="R8696" s="2" t="inlineStr"/>
    </row>
    <row r="8697" ht="15" customHeight="1">
      <c r="A8697" t="inlineStr">
        <is>
          <t>A 26143-2024</t>
        </is>
      </c>
      <c r="B8697" s="1" t="n">
        <v>45467</v>
      </c>
      <c r="C8697" s="1" t="n">
        <v>45798</v>
      </c>
      <c r="D8697" t="inlineStr">
        <is>
          <t>NORRBOTTENS LÄN</t>
        </is>
      </c>
      <c r="E8697" t="inlineStr">
        <is>
          <t>ARJEPLOG</t>
        </is>
      </c>
      <c r="G8697" t="n">
        <v>8.1</v>
      </c>
      <c r="H8697" t="n">
        <v>0</v>
      </c>
      <c r="I8697" t="n">
        <v>0</v>
      </c>
      <c r="J8697" t="n">
        <v>0</v>
      </c>
      <c r="K8697" t="n">
        <v>0</v>
      </c>
      <c r="L8697" t="n">
        <v>0</v>
      </c>
      <c r="M8697" t="n">
        <v>0</v>
      </c>
      <c r="N8697" t="n">
        <v>0</v>
      </c>
      <c r="O8697" t="n">
        <v>0</v>
      </c>
      <c r="P8697" t="n">
        <v>0</v>
      </c>
      <c r="Q8697" t="n">
        <v>0</v>
      </c>
      <c r="R8697" s="2" t="inlineStr"/>
    </row>
    <row r="8698" ht="15" customHeight="1">
      <c r="A8698" t="inlineStr">
        <is>
          <t>A 26181-2024</t>
        </is>
      </c>
      <c r="B8698" s="1" t="n">
        <v>45467</v>
      </c>
      <c r="C8698" s="1" t="n">
        <v>45798</v>
      </c>
      <c r="D8698" t="inlineStr">
        <is>
          <t>NORRBOTTENS LÄN</t>
        </is>
      </c>
      <c r="E8698" t="inlineStr">
        <is>
          <t>ÖVERTORNEÅ</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26337-2024</t>
        </is>
      </c>
      <c r="B8699" s="1" t="n">
        <v>45468</v>
      </c>
      <c r="C8699" s="1" t="n">
        <v>45798</v>
      </c>
      <c r="D8699" t="inlineStr">
        <is>
          <t>NORRBOTTENS LÄN</t>
        </is>
      </c>
      <c r="E8699" t="inlineStr">
        <is>
          <t>GÄLLIVARE</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26470-2024</t>
        </is>
      </c>
      <c r="B8700" s="1" t="n">
        <v>45468</v>
      </c>
      <c r="C8700" s="1" t="n">
        <v>45798</v>
      </c>
      <c r="D8700" t="inlineStr">
        <is>
          <t>NORRBOTTENS LÄN</t>
        </is>
      </c>
      <c r="E8700" t="inlineStr">
        <is>
          <t>ARJEPLOG</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26299-2024</t>
        </is>
      </c>
      <c r="B8701" s="1" t="n">
        <v>45469</v>
      </c>
      <c r="C8701" s="1" t="n">
        <v>45798</v>
      </c>
      <c r="D8701" t="inlineStr">
        <is>
          <t>NORRBOTTENS LÄN</t>
        </is>
      </c>
      <c r="E8701" t="inlineStr">
        <is>
          <t>ÖVERTORNEÅ</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26252-2024</t>
        </is>
      </c>
      <c r="B8702" s="1" t="n">
        <v>45468</v>
      </c>
      <c r="C8702" s="1" t="n">
        <v>45798</v>
      </c>
      <c r="D8702" t="inlineStr">
        <is>
          <t>NORRBOTTENS LÄN</t>
        </is>
      </c>
      <c r="E8702" t="inlineStr">
        <is>
          <t>KALIX</t>
        </is>
      </c>
      <c r="G8702" t="n">
        <v>11.6</v>
      </c>
      <c r="H8702" t="n">
        <v>0</v>
      </c>
      <c r="I8702" t="n">
        <v>0</v>
      </c>
      <c r="J8702" t="n">
        <v>0</v>
      </c>
      <c r="K8702" t="n">
        <v>0</v>
      </c>
      <c r="L8702" t="n">
        <v>0</v>
      </c>
      <c r="M8702" t="n">
        <v>0</v>
      </c>
      <c r="N8702" t="n">
        <v>0</v>
      </c>
      <c r="O8702" t="n">
        <v>0</v>
      </c>
      <c r="P8702" t="n">
        <v>0</v>
      </c>
      <c r="Q8702" t="n">
        <v>0</v>
      </c>
      <c r="R8702" s="2" t="inlineStr"/>
    </row>
    <row r="8703" ht="15" customHeight="1">
      <c r="A8703" t="inlineStr">
        <is>
          <t>A 26159-2024</t>
        </is>
      </c>
      <c r="B8703" s="1" t="n">
        <v>45468</v>
      </c>
      <c r="C8703" s="1" t="n">
        <v>45798</v>
      </c>
      <c r="D8703" t="inlineStr">
        <is>
          <t>NORRBOTTENS LÄN</t>
        </is>
      </c>
      <c r="E8703" t="inlineStr">
        <is>
          <t>PITEÅ</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26158-2024</t>
        </is>
      </c>
      <c r="B8704" s="1" t="n">
        <v>45468</v>
      </c>
      <c r="C8704" s="1" t="n">
        <v>45798</v>
      </c>
      <c r="D8704" t="inlineStr">
        <is>
          <t>NORRBOTTENS LÄN</t>
        </is>
      </c>
      <c r="E8704" t="inlineStr">
        <is>
          <t>PITEÅ</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26479-2024</t>
        </is>
      </c>
      <c r="B8705" s="1" t="n">
        <v>45468</v>
      </c>
      <c r="C8705" s="1" t="n">
        <v>45798</v>
      </c>
      <c r="D8705" t="inlineStr">
        <is>
          <t>NORRBOTTENS LÄN</t>
        </is>
      </c>
      <c r="E8705" t="inlineStr">
        <is>
          <t>ARJEPLOG</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26434-2024</t>
        </is>
      </c>
      <c r="B8706" s="1" t="n">
        <v>45468</v>
      </c>
      <c r="C8706" s="1" t="n">
        <v>45798</v>
      </c>
      <c r="D8706" t="inlineStr">
        <is>
          <t>NORRBOTTENS LÄN</t>
        </is>
      </c>
      <c r="E8706" t="inlineStr">
        <is>
          <t>PAJALA</t>
        </is>
      </c>
      <c r="G8706" t="n">
        <v>24.4</v>
      </c>
      <c r="H8706" t="n">
        <v>0</v>
      </c>
      <c r="I8706" t="n">
        <v>0</v>
      </c>
      <c r="J8706" t="n">
        <v>0</v>
      </c>
      <c r="K8706" t="n">
        <v>0</v>
      </c>
      <c r="L8706" t="n">
        <v>0</v>
      </c>
      <c r="M8706" t="n">
        <v>0</v>
      </c>
      <c r="N8706" t="n">
        <v>0</v>
      </c>
      <c r="O8706" t="n">
        <v>0</v>
      </c>
      <c r="P8706" t="n">
        <v>0</v>
      </c>
      <c r="Q8706" t="n">
        <v>0</v>
      </c>
      <c r="R8706" s="2" t="inlineStr"/>
    </row>
    <row r="8707" ht="15" customHeight="1">
      <c r="A8707" t="inlineStr">
        <is>
          <t>A 26276-2024</t>
        </is>
      </c>
      <c r="B8707" s="1" t="n">
        <v>45468</v>
      </c>
      <c r="C8707" s="1" t="n">
        <v>45798</v>
      </c>
      <c r="D8707" t="inlineStr">
        <is>
          <t>NORRBOTTENS LÄN</t>
        </is>
      </c>
      <c r="E8707" t="inlineStr">
        <is>
          <t>ÄLVSBYN</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26251-2024</t>
        </is>
      </c>
      <c r="B8708" s="1" t="n">
        <v>45468</v>
      </c>
      <c r="C8708" s="1" t="n">
        <v>45798</v>
      </c>
      <c r="D8708" t="inlineStr">
        <is>
          <t>NORRBOTTENS LÄN</t>
        </is>
      </c>
      <c r="E8708" t="inlineStr">
        <is>
          <t>KALIX</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26183-2024</t>
        </is>
      </c>
      <c r="B8709" s="1" t="n">
        <v>45468</v>
      </c>
      <c r="C8709" s="1" t="n">
        <v>45798</v>
      </c>
      <c r="D8709" t="inlineStr">
        <is>
          <t>NORRBOTTENS LÄN</t>
        </is>
      </c>
      <c r="E8709" t="inlineStr">
        <is>
          <t>GÄLLIVARE</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26432-2024</t>
        </is>
      </c>
      <c r="B8710" s="1" t="n">
        <v>45469</v>
      </c>
      <c r="C8710" s="1" t="n">
        <v>45798</v>
      </c>
      <c r="D8710" t="inlineStr">
        <is>
          <t>NORRBOTTENS LÄN</t>
        </is>
      </c>
      <c r="E8710" t="inlineStr">
        <is>
          <t>LULEÅ</t>
        </is>
      </c>
      <c r="G8710" t="n">
        <v>9.800000000000001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26472-2024</t>
        </is>
      </c>
      <c r="B8711" s="1" t="n">
        <v>45469</v>
      </c>
      <c r="C8711" s="1" t="n">
        <v>45798</v>
      </c>
      <c r="D8711" t="inlineStr">
        <is>
          <t>NORRBOTTENS LÄN</t>
        </is>
      </c>
      <c r="E8711" t="inlineStr">
        <is>
          <t>ARJEPLOG</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26486-2024</t>
        </is>
      </c>
      <c r="B8712" s="1" t="n">
        <v>45469</v>
      </c>
      <c r="C8712" s="1" t="n">
        <v>45798</v>
      </c>
      <c r="D8712" t="inlineStr">
        <is>
          <t>NORRBOTTENS LÄN</t>
        </is>
      </c>
      <c r="E8712" t="inlineStr">
        <is>
          <t>ARJEPLOG</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26506-2024</t>
        </is>
      </c>
      <c r="B8713" s="1" t="n">
        <v>45469</v>
      </c>
      <c r="C8713" s="1" t="n">
        <v>45798</v>
      </c>
      <c r="D8713" t="inlineStr">
        <is>
          <t>NORRBOTTENS LÄN</t>
        </is>
      </c>
      <c r="E8713" t="inlineStr">
        <is>
          <t>ARJEPLOG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26435-2024</t>
        </is>
      </c>
      <c r="B8714" s="1" t="n">
        <v>45469</v>
      </c>
      <c r="C8714" s="1" t="n">
        <v>45798</v>
      </c>
      <c r="D8714" t="inlineStr">
        <is>
          <t>NORRBOTTENS LÄN</t>
        </is>
      </c>
      <c r="E8714" t="inlineStr">
        <is>
          <t>GÄLLIVARE</t>
        </is>
      </c>
      <c r="G8714" t="n">
        <v>31.9</v>
      </c>
      <c r="H8714" t="n">
        <v>0</v>
      </c>
      <c r="I8714" t="n">
        <v>0</v>
      </c>
      <c r="J8714" t="n">
        <v>0</v>
      </c>
      <c r="K8714" t="n">
        <v>0</v>
      </c>
      <c r="L8714" t="n">
        <v>0</v>
      </c>
      <c r="M8714" t="n">
        <v>0</v>
      </c>
      <c r="N8714" t="n">
        <v>0</v>
      </c>
      <c r="O8714" t="n">
        <v>0</v>
      </c>
      <c r="P8714" t="n">
        <v>0</v>
      </c>
      <c r="Q8714" t="n">
        <v>0</v>
      </c>
      <c r="R8714" s="2" t="inlineStr"/>
    </row>
    <row r="8715" ht="15" customHeight="1">
      <c r="A8715" t="inlineStr">
        <is>
          <t>A 26558-2024</t>
        </is>
      </c>
      <c r="B8715" s="1" t="n">
        <v>45469</v>
      </c>
      <c r="C8715" s="1" t="n">
        <v>45798</v>
      </c>
      <c r="D8715" t="inlineStr">
        <is>
          <t>NORRBOTTENS LÄN</t>
        </is>
      </c>
      <c r="E8715" t="inlineStr">
        <is>
          <t>GÄLLIVARE</t>
        </is>
      </c>
      <c r="F8715" t="inlineStr">
        <is>
          <t>Sveaskog</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26582-2024</t>
        </is>
      </c>
      <c r="B8716" s="1" t="n">
        <v>45469</v>
      </c>
      <c r="C8716" s="1" t="n">
        <v>45798</v>
      </c>
      <c r="D8716" t="inlineStr">
        <is>
          <t>NORRBOTTENS LÄN</t>
        </is>
      </c>
      <c r="E8716" t="inlineStr">
        <is>
          <t>LULEÅ</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26586-2024</t>
        </is>
      </c>
      <c r="B8717" s="1" t="n">
        <v>45469</v>
      </c>
      <c r="C8717" s="1" t="n">
        <v>45798</v>
      </c>
      <c r="D8717" t="inlineStr">
        <is>
          <t>NORRBOTTENS LÄN</t>
        </is>
      </c>
      <c r="E8717" t="inlineStr">
        <is>
          <t>LULEÅ</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26594-2024</t>
        </is>
      </c>
      <c r="B8718" s="1" t="n">
        <v>45469</v>
      </c>
      <c r="C8718" s="1" t="n">
        <v>45798</v>
      </c>
      <c r="D8718" t="inlineStr">
        <is>
          <t>NORRBOTTENS LÄN</t>
        </is>
      </c>
      <c r="E8718" t="inlineStr">
        <is>
          <t>LULEÅ</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26643-2024</t>
        </is>
      </c>
      <c r="B8719" s="1" t="n">
        <v>45470</v>
      </c>
      <c r="C8719" s="1" t="n">
        <v>45798</v>
      </c>
      <c r="D8719" t="inlineStr">
        <is>
          <t>NORRBOTTENS LÄN</t>
        </is>
      </c>
      <c r="E8719" t="inlineStr">
        <is>
          <t>PAJALA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26587-2024</t>
        </is>
      </c>
      <c r="B8720" s="1" t="n">
        <v>45469</v>
      </c>
      <c r="C8720" s="1" t="n">
        <v>45798</v>
      </c>
      <c r="D8720" t="inlineStr">
        <is>
          <t>NORRBOTTENS LÄN</t>
        </is>
      </c>
      <c r="E8720" t="inlineStr">
        <is>
          <t>LULEÅ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26543-2024</t>
        </is>
      </c>
      <c r="B8721" s="1" t="n">
        <v>45469</v>
      </c>
      <c r="C8721" s="1" t="n">
        <v>45798</v>
      </c>
      <c r="D8721" t="inlineStr">
        <is>
          <t>NORRBOTTENS LÄN</t>
        </is>
      </c>
      <c r="E8721" t="inlineStr">
        <is>
          <t>GÄLLIVARE</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26366-2024</t>
        </is>
      </c>
      <c r="B8722" s="1" t="n">
        <v>45469</v>
      </c>
      <c r="C8722" s="1" t="n">
        <v>45798</v>
      </c>
      <c r="D8722" t="inlineStr">
        <is>
          <t>NORRBOTTENS LÄN</t>
        </is>
      </c>
      <c r="E8722" t="inlineStr">
        <is>
          <t>ÖVERKALIX</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26350-2024</t>
        </is>
      </c>
      <c r="B8723" s="1" t="n">
        <v>45469</v>
      </c>
      <c r="C8723" s="1" t="n">
        <v>45798</v>
      </c>
      <c r="D8723" t="inlineStr">
        <is>
          <t>NORRBOTTENS LÄN</t>
        </is>
      </c>
      <c r="E8723" t="inlineStr">
        <is>
          <t>ÖVERKALIX</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26560-2024</t>
        </is>
      </c>
      <c r="B8724" s="1" t="n">
        <v>45469</v>
      </c>
      <c r="C8724" s="1" t="n">
        <v>45798</v>
      </c>
      <c r="D8724" t="inlineStr">
        <is>
          <t>NORRBOTTENS LÄN</t>
        </is>
      </c>
      <c r="E8724" t="inlineStr">
        <is>
          <t>GÄLLIVARE</t>
        </is>
      </c>
      <c r="F8724" t="inlineStr">
        <is>
          <t>Sveaskog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26564-2024</t>
        </is>
      </c>
      <c r="B8725" s="1" t="n">
        <v>45469</v>
      </c>
      <c r="C8725" s="1" t="n">
        <v>45798</v>
      </c>
      <c r="D8725" t="inlineStr">
        <is>
          <t>NORRBOTTENS LÄN</t>
        </is>
      </c>
      <c r="E8725" t="inlineStr">
        <is>
          <t>GÄLLIVARE</t>
        </is>
      </c>
      <c r="F8725" t="inlineStr">
        <is>
          <t>Sveaskog</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26580-2024</t>
        </is>
      </c>
      <c r="B8726" s="1" t="n">
        <v>45469</v>
      </c>
      <c r="C8726" s="1" t="n">
        <v>45798</v>
      </c>
      <c r="D8726" t="inlineStr">
        <is>
          <t>NORRBOTTENS LÄN</t>
        </is>
      </c>
      <c r="E8726" t="inlineStr">
        <is>
          <t>LULEÅ</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26588-2024</t>
        </is>
      </c>
      <c r="B8727" s="1" t="n">
        <v>45469</v>
      </c>
      <c r="C8727" s="1" t="n">
        <v>45798</v>
      </c>
      <c r="D8727" t="inlineStr">
        <is>
          <t>NORRBOTTENS LÄN</t>
        </is>
      </c>
      <c r="E8727" t="inlineStr">
        <is>
          <t>LULEÅ</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26970-2024</t>
        </is>
      </c>
      <c r="B8728" s="1" t="n">
        <v>45470</v>
      </c>
      <c r="C8728" s="1" t="n">
        <v>45798</v>
      </c>
      <c r="D8728" t="inlineStr">
        <is>
          <t>NORRBOTTENS LÄN</t>
        </is>
      </c>
      <c r="E8728" t="inlineStr">
        <is>
          <t>ARJEPLOG</t>
        </is>
      </c>
      <c r="G8728" t="n">
        <v>17.4</v>
      </c>
      <c r="H8728" t="n">
        <v>0</v>
      </c>
      <c r="I8728" t="n">
        <v>0</v>
      </c>
      <c r="J8728" t="n">
        <v>0</v>
      </c>
      <c r="K8728" t="n">
        <v>0</v>
      </c>
      <c r="L8728" t="n">
        <v>0</v>
      </c>
      <c r="M8728" t="n">
        <v>0</v>
      </c>
      <c r="N8728" t="n">
        <v>0</v>
      </c>
      <c r="O8728" t="n">
        <v>0</v>
      </c>
      <c r="P8728" t="n">
        <v>0</v>
      </c>
      <c r="Q8728" t="n">
        <v>0</v>
      </c>
      <c r="R8728" s="2" t="inlineStr"/>
    </row>
    <row r="8729" ht="15" customHeight="1">
      <c r="A8729" t="inlineStr">
        <is>
          <t>A 26806-2024</t>
        </is>
      </c>
      <c r="B8729" s="1" t="n">
        <v>45470</v>
      </c>
      <c r="C8729" s="1" t="n">
        <v>45798</v>
      </c>
      <c r="D8729" t="inlineStr">
        <is>
          <t>NORRBOTTENS LÄN</t>
        </is>
      </c>
      <c r="E8729" t="inlineStr">
        <is>
          <t>BODEN</t>
        </is>
      </c>
      <c r="F8729" t="inlineStr">
        <is>
          <t>Övriga Aktiebolag</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26743-2024</t>
        </is>
      </c>
      <c r="B8730" s="1" t="n">
        <v>45470</v>
      </c>
      <c r="C8730" s="1" t="n">
        <v>45798</v>
      </c>
      <c r="D8730" t="inlineStr">
        <is>
          <t>NORRBOTTENS LÄN</t>
        </is>
      </c>
      <c r="E8730" t="inlineStr">
        <is>
          <t>LULEÅ</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26689-2024</t>
        </is>
      </c>
      <c r="B8731" s="1" t="n">
        <v>45470</v>
      </c>
      <c r="C8731" s="1" t="n">
        <v>45798</v>
      </c>
      <c r="D8731" t="inlineStr">
        <is>
          <t>NORRBOTTENS LÄN</t>
        </is>
      </c>
      <c r="E8731" t="inlineStr">
        <is>
          <t>ARVIDSJAUR</t>
        </is>
      </c>
      <c r="F8731" t="inlineStr">
        <is>
          <t>Sveaskog</t>
        </is>
      </c>
      <c r="G8731" t="n">
        <v>11.8</v>
      </c>
      <c r="H8731" t="n">
        <v>0</v>
      </c>
      <c r="I8731" t="n">
        <v>0</v>
      </c>
      <c r="J8731" t="n">
        <v>0</v>
      </c>
      <c r="K8731" t="n">
        <v>0</v>
      </c>
      <c r="L8731" t="n">
        <v>0</v>
      </c>
      <c r="M8731" t="n">
        <v>0</v>
      </c>
      <c r="N8731" t="n">
        <v>0</v>
      </c>
      <c r="O8731" t="n">
        <v>0</v>
      </c>
      <c r="P8731" t="n">
        <v>0</v>
      </c>
      <c r="Q8731" t="n">
        <v>0</v>
      </c>
      <c r="R8731" s="2" t="inlineStr"/>
    </row>
    <row r="8732" ht="15" customHeight="1">
      <c r="A8732" t="inlineStr">
        <is>
          <t>A 26684-2024</t>
        </is>
      </c>
      <c r="B8732" s="1" t="n">
        <v>45470</v>
      </c>
      <c r="C8732" s="1" t="n">
        <v>45798</v>
      </c>
      <c r="D8732" t="inlineStr">
        <is>
          <t>NORRBOTTENS LÄN</t>
        </is>
      </c>
      <c r="E8732" t="inlineStr">
        <is>
          <t>ARVIDSJAUR</t>
        </is>
      </c>
      <c r="F8732" t="inlineStr">
        <is>
          <t>Sveaskog</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26820-2024</t>
        </is>
      </c>
      <c r="B8733" s="1" t="n">
        <v>45470</v>
      </c>
      <c r="C8733" s="1" t="n">
        <v>45798</v>
      </c>
      <c r="D8733" t="inlineStr">
        <is>
          <t>NORRBOTTENS LÄN</t>
        </is>
      </c>
      <c r="E8733" t="inlineStr">
        <is>
          <t>BODEN</t>
        </is>
      </c>
      <c r="F8733" t="inlineStr">
        <is>
          <t>Sveaskog</t>
        </is>
      </c>
      <c r="G8733" t="n">
        <v>10.5</v>
      </c>
      <c r="H8733" t="n">
        <v>0</v>
      </c>
      <c r="I8733" t="n">
        <v>0</v>
      </c>
      <c r="J8733" t="n">
        <v>0</v>
      </c>
      <c r="K8733" t="n">
        <v>0</v>
      </c>
      <c r="L8733" t="n">
        <v>0</v>
      </c>
      <c r="M8733" t="n">
        <v>0</v>
      </c>
      <c r="N8733" t="n">
        <v>0</v>
      </c>
      <c r="O8733" t="n">
        <v>0</v>
      </c>
      <c r="P8733" t="n">
        <v>0</v>
      </c>
      <c r="Q8733" t="n">
        <v>0</v>
      </c>
      <c r="R8733" s="2" t="inlineStr"/>
    </row>
    <row r="8734" ht="15" customHeight="1">
      <c r="A8734" t="inlineStr">
        <is>
          <t>A 26686-2024</t>
        </is>
      </c>
      <c r="B8734" s="1" t="n">
        <v>45470</v>
      </c>
      <c r="C8734" s="1" t="n">
        <v>45798</v>
      </c>
      <c r="D8734" t="inlineStr">
        <is>
          <t>NORRBOTTENS LÄN</t>
        </is>
      </c>
      <c r="E8734" t="inlineStr">
        <is>
          <t>ARVIDSJAUR</t>
        </is>
      </c>
      <c r="F8734" t="inlineStr">
        <is>
          <t>Sveaskog</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26835-2024</t>
        </is>
      </c>
      <c r="B8735" s="1" t="n">
        <v>45470</v>
      </c>
      <c r="C8735" s="1" t="n">
        <v>45798</v>
      </c>
      <c r="D8735" t="inlineStr">
        <is>
          <t>NORRBOTTENS LÄN</t>
        </is>
      </c>
      <c r="E8735" t="inlineStr">
        <is>
          <t>ARVIDSJAUR</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26823-2024</t>
        </is>
      </c>
      <c r="B8736" s="1" t="n">
        <v>45470</v>
      </c>
      <c r="C8736" s="1" t="n">
        <v>45798</v>
      </c>
      <c r="D8736" t="inlineStr">
        <is>
          <t>NORRBOTTENS LÄN</t>
        </is>
      </c>
      <c r="E8736" t="inlineStr">
        <is>
          <t>GÄLLIVARE</t>
        </is>
      </c>
      <c r="F8736" t="inlineStr">
        <is>
          <t>Sveaskog</t>
        </is>
      </c>
      <c r="G8736" t="n">
        <v>16.7</v>
      </c>
      <c r="H8736" t="n">
        <v>0</v>
      </c>
      <c r="I8736" t="n">
        <v>0</v>
      </c>
      <c r="J8736" t="n">
        <v>0</v>
      </c>
      <c r="K8736" t="n">
        <v>0</v>
      </c>
      <c r="L8736" t="n">
        <v>0</v>
      </c>
      <c r="M8736" t="n">
        <v>0</v>
      </c>
      <c r="N8736" t="n">
        <v>0</v>
      </c>
      <c r="O8736" t="n">
        <v>0</v>
      </c>
      <c r="P8736" t="n">
        <v>0</v>
      </c>
      <c r="Q8736" t="n">
        <v>0</v>
      </c>
      <c r="R8736" s="2" t="inlineStr"/>
    </row>
    <row r="8737" ht="15" customHeight="1">
      <c r="A8737" t="inlineStr">
        <is>
          <t>A 26819-2024</t>
        </is>
      </c>
      <c r="B8737" s="1" t="n">
        <v>45470</v>
      </c>
      <c r="C8737" s="1" t="n">
        <v>45798</v>
      </c>
      <c r="D8737" t="inlineStr">
        <is>
          <t>NORRBOTTENS LÄN</t>
        </is>
      </c>
      <c r="E8737" t="inlineStr">
        <is>
          <t>ARVIDSJAUR</t>
        </is>
      </c>
      <c r="F8737" t="inlineStr">
        <is>
          <t>Sveaskog</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26691-2024</t>
        </is>
      </c>
      <c r="B8738" s="1" t="n">
        <v>45470</v>
      </c>
      <c r="C8738" s="1" t="n">
        <v>45798</v>
      </c>
      <c r="D8738" t="inlineStr">
        <is>
          <t>NORRBOTTENS LÄN</t>
        </is>
      </c>
      <c r="E8738" t="inlineStr">
        <is>
          <t>ARVIDSJAUR</t>
        </is>
      </c>
      <c r="F8738" t="inlineStr">
        <is>
          <t>Sveaskog</t>
        </is>
      </c>
      <c r="G8738" t="n">
        <v>21.6</v>
      </c>
      <c r="H8738" t="n">
        <v>0</v>
      </c>
      <c r="I8738" t="n">
        <v>0</v>
      </c>
      <c r="J8738" t="n">
        <v>0</v>
      </c>
      <c r="K8738" t="n">
        <v>0</v>
      </c>
      <c r="L8738" t="n">
        <v>0</v>
      </c>
      <c r="M8738" t="n">
        <v>0</v>
      </c>
      <c r="N8738" t="n">
        <v>0</v>
      </c>
      <c r="O8738" t="n">
        <v>0</v>
      </c>
      <c r="P8738" t="n">
        <v>0</v>
      </c>
      <c r="Q8738" t="n">
        <v>0</v>
      </c>
      <c r="R8738" s="2" t="inlineStr"/>
    </row>
    <row r="8739" ht="15" customHeight="1">
      <c r="A8739" t="inlineStr">
        <is>
          <t>A 26925-2024</t>
        </is>
      </c>
      <c r="B8739" s="1" t="n">
        <v>45471</v>
      </c>
      <c r="C8739" s="1" t="n">
        <v>45798</v>
      </c>
      <c r="D8739" t="inlineStr">
        <is>
          <t>NORRBOTTENS LÄN</t>
        </is>
      </c>
      <c r="E8739" t="inlineStr">
        <is>
          <t>LULEÅ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26921-2024</t>
        </is>
      </c>
      <c r="B8740" s="1" t="n">
        <v>45471</v>
      </c>
      <c r="C8740" s="1" t="n">
        <v>45798</v>
      </c>
      <c r="D8740" t="inlineStr">
        <is>
          <t>NORRBOTTENS LÄN</t>
        </is>
      </c>
      <c r="E8740" t="inlineStr">
        <is>
          <t>ÖVERTORNEÅ</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26901-2024</t>
        </is>
      </c>
      <c r="B8741" s="1" t="n">
        <v>45470</v>
      </c>
      <c r="C8741" s="1" t="n">
        <v>45798</v>
      </c>
      <c r="D8741" t="inlineStr">
        <is>
          <t>NORRBOTTENS LÄN</t>
        </is>
      </c>
      <c r="E8741" t="inlineStr">
        <is>
          <t>PITEÅ</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26841-2024</t>
        </is>
      </c>
      <c r="B8742" s="1" t="n">
        <v>45470</v>
      </c>
      <c r="C8742" s="1" t="n">
        <v>45798</v>
      </c>
      <c r="D8742" t="inlineStr">
        <is>
          <t>NORRBOTTENS LÄN</t>
        </is>
      </c>
      <c r="E8742" t="inlineStr">
        <is>
          <t>ARVIDSJAUR</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26727-2024</t>
        </is>
      </c>
      <c r="B8743" s="1" t="n">
        <v>45470</v>
      </c>
      <c r="C8743" s="1" t="n">
        <v>45798</v>
      </c>
      <c r="D8743" t="inlineStr">
        <is>
          <t>NORRBOTTENS LÄN</t>
        </is>
      </c>
      <c r="E8743" t="inlineStr">
        <is>
          <t>ÄLVSBYN</t>
        </is>
      </c>
      <c r="F8743" t="inlineStr">
        <is>
          <t>Sveaskog</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26687-2024</t>
        </is>
      </c>
      <c r="B8744" s="1" t="n">
        <v>45470</v>
      </c>
      <c r="C8744" s="1" t="n">
        <v>45798</v>
      </c>
      <c r="D8744" t="inlineStr">
        <is>
          <t>NORRBOTTENS LÄN</t>
        </is>
      </c>
      <c r="E8744" t="inlineStr">
        <is>
          <t>ARVIDSJAUR</t>
        </is>
      </c>
      <c r="F8744" t="inlineStr">
        <is>
          <t>Sveaskog</t>
        </is>
      </c>
      <c r="G8744" t="n">
        <v>7.7</v>
      </c>
      <c r="H8744" t="n">
        <v>0</v>
      </c>
      <c r="I8744" t="n">
        <v>0</v>
      </c>
      <c r="J8744" t="n">
        <v>0</v>
      </c>
      <c r="K8744" t="n">
        <v>0</v>
      </c>
      <c r="L8744" t="n">
        <v>0</v>
      </c>
      <c r="M8744" t="n">
        <v>0</v>
      </c>
      <c r="N8744" t="n">
        <v>0</v>
      </c>
      <c r="O8744" t="n">
        <v>0</v>
      </c>
      <c r="P8744" t="n">
        <v>0</v>
      </c>
      <c r="Q8744" t="n">
        <v>0</v>
      </c>
      <c r="R8744" s="2" t="inlineStr"/>
    </row>
    <row r="8745" ht="15" customHeight="1">
      <c r="A8745" t="inlineStr">
        <is>
          <t>A 26675-2024</t>
        </is>
      </c>
      <c r="B8745" s="1" t="n">
        <v>45470</v>
      </c>
      <c r="C8745" s="1" t="n">
        <v>45798</v>
      </c>
      <c r="D8745" t="inlineStr">
        <is>
          <t>NORRBOTTENS LÄN</t>
        </is>
      </c>
      <c r="E8745" t="inlineStr">
        <is>
          <t>KALIX</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27057-2024</t>
        </is>
      </c>
      <c r="B8746" s="1" t="n">
        <v>45471</v>
      </c>
      <c r="C8746" s="1" t="n">
        <v>45798</v>
      </c>
      <c r="D8746" t="inlineStr">
        <is>
          <t>NORRBOTTENS LÄN</t>
        </is>
      </c>
      <c r="E8746" t="inlineStr">
        <is>
          <t>ÖVERKALIX</t>
        </is>
      </c>
      <c r="F8746" t="inlineStr">
        <is>
          <t>Sveaskog</t>
        </is>
      </c>
      <c r="G8746" t="n">
        <v>32.6</v>
      </c>
      <c r="H8746" t="n">
        <v>0</v>
      </c>
      <c r="I8746" t="n">
        <v>0</v>
      </c>
      <c r="J8746" t="n">
        <v>0</v>
      </c>
      <c r="K8746" t="n">
        <v>0</v>
      </c>
      <c r="L8746" t="n">
        <v>0</v>
      </c>
      <c r="M8746" t="n">
        <v>0</v>
      </c>
      <c r="N8746" t="n">
        <v>0</v>
      </c>
      <c r="O8746" t="n">
        <v>0</v>
      </c>
      <c r="P8746" t="n">
        <v>0</v>
      </c>
      <c r="Q8746" t="n">
        <v>0</v>
      </c>
      <c r="R8746" s="2" t="inlineStr"/>
    </row>
    <row r="8747" ht="15" customHeight="1">
      <c r="A8747" t="inlineStr">
        <is>
          <t>A 26969-2024</t>
        </is>
      </c>
      <c r="B8747" s="1" t="n">
        <v>45471</v>
      </c>
      <c r="C8747" s="1" t="n">
        <v>45798</v>
      </c>
      <c r="D8747" t="inlineStr">
        <is>
          <t>NORRBOTTENS LÄN</t>
        </is>
      </c>
      <c r="E8747" t="inlineStr">
        <is>
          <t>JOKKMOKK</t>
        </is>
      </c>
      <c r="F8747" t="inlineStr">
        <is>
          <t>Sveaskog</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27054-2024</t>
        </is>
      </c>
      <c r="B8748" s="1" t="n">
        <v>45471</v>
      </c>
      <c r="C8748" s="1" t="n">
        <v>45798</v>
      </c>
      <c r="D8748" t="inlineStr">
        <is>
          <t>NORRBOTTENS LÄN</t>
        </is>
      </c>
      <c r="E8748" t="inlineStr">
        <is>
          <t>ÖVERKALIX</t>
        </is>
      </c>
      <c r="F8748" t="inlineStr">
        <is>
          <t>Sveaskog</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27060-2024</t>
        </is>
      </c>
      <c r="B8749" s="1" t="n">
        <v>45471</v>
      </c>
      <c r="C8749" s="1" t="n">
        <v>45798</v>
      </c>
      <c r="D8749" t="inlineStr">
        <is>
          <t>NORRBOTTENS LÄN</t>
        </is>
      </c>
      <c r="E8749" t="inlineStr">
        <is>
          <t>ÖVERKALIX</t>
        </is>
      </c>
      <c r="F8749" t="inlineStr">
        <is>
          <t>Sveaskog</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27118-2024</t>
        </is>
      </c>
      <c r="B8750" s="1" t="n">
        <v>45471</v>
      </c>
      <c r="C8750" s="1" t="n">
        <v>45798</v>
      </c>
      <c r="D8750" t="inlineStr">
        <is>
          <t>NORRBOTTENS LÄN</t>
        </is>
      </c>
      <c r="E8750" t="inlineStr">
        <is>
          <t>ARVIDSJAUR</t>
        </is>
      </c>
      <c r="F8750" t="inlineStr">
        <is>
          <t>Sveaskog</t>
        </is>
      </c>
      <c r="G8750" t="n">
        <v>18.2</v>
      </c>
      <c r="H8750" t="n">
        <v>0</v>
      </c>
      <c r="I8750" t="n">
        <v>0</v>
      </c>
      <c r="J8750" t="n">
        <v>0</v>
      </c>
      <c r="K8750" t="n">
        <v>0</v>
      </c>
      <c r="L8750" t="n">
        <v>0</v>
      </c>
      <c r="M8750" t="n">
        <v>0</v>
      </c>
      <c r="N8750" t="n">
        <v>0</v>
      </c>
      <c r="O8750" t="n">
        <v>0</v>
      </c>
      <c r="P8750" t="n">
        <v>0</v>
      </c>
      <c r="Q8750" t="n">
        <v>0</v>
      </c>
      <c r="R8750" s="2" t="inlineStr"/>
    </row>
    <row r="8751" ht="15" customHeight="1">
      <c r="A8751" t="inlineStr">
        <is>
          <t>A 27019-2024</t>
        </is>
      </c>
      <c r="B8751" s="1" t="n">
        <v>45471</v>
      </c>
      <c r="C8751" s="1" t="n">
        <v>45798</v>
      </c>
      <c r="D8751" t="inlineStr">
        <is>
          <t>NORRBOTTENS LÄN</t>
        </is>
      </c>
      <c r="E8751" t="inlineStr">
        <is>
          <t>BODEN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27099-2024</t>
        </is>
      </c>
      <c r="B8752" s="1" t="n">
        <v>45471</v>
      </c>
      <c r="C8752" s="1" t="n">
        <v>45798</v>
      </c>
      <c r="D8752" t="inlineStr">
        <is>
          <t>NORRBOTTENS LÄN</t>
        </is>
      </c>
      <c r="E8752" t="inlineStr">
        <is>
          <t>PAJALA</t>
        </is>
      </c>
      <c r="F8752" t="inlineStr">
        <is>
          <t>Sveaskog</t>
        </is>
      </c>
      <c r="G8752" t="n">
        <v>16.3</v>
      </c>
      <c r="H8752" t="n">
        <v>0</v>
      </c>
      <c r="I8752" t="n">
        <v>0</v>
      </c>
      <c r="J8752" t="n">
        <v>0</v>
      </c>
      <c r="K8752" t="n">
        <v>0</v>
      </c>
      <c r="L8752" t="n">
        <v>0</v>
      </c>
      <c r="M8752" t="n">
        <v>0</v>
      </c>
      <c r="N8752" t="n">
        <v>0</v>
      </c>
      <c r="O8752" t="n">
        <v>0</v>
      </c>
      <c r="P8752" t="n">
        <v>0</v>
      </c>
      <c r="Q8752" t="n">
        <v>0</v>
      </c>
      <c r="R8752" s="2" t="inlineStr"/>
    </row>
    <row r="8753" ht="15" customHeight="1">
      <c r="A8753" t="inlineStr">
        <is>
          <t>A 27240-2024</t>
        </is>
      </c>
      <c r="B8753" s="1" t="n">
        <v>45471</v>
      </c>
      <c r="C8753" s="1" t="n">
        <v>45798</v>
      </c>
      <c r="D8753" t="inlineStr">
        <is>
          <t>NORRBOTTENS LÄN</t>
        </is>
      </c>
      <c r="E8753" t="inlineStr">
        <is>
          <t>ARJEPLOG</t>
        </is>
      </c>
      <c r="F8753" t="inlineStr">
        <is>
          <t>Allmännings- och besparingsskogar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27009-2024</t>
        </is>
      </c>
      <c r="B8754" s="1" t="n">
        <v>45471</v>
      </c>
      <c r="C8754" s="1" t="n">
        <v>45798</v>
      </c>
      <c r="D8754" t="inlineStr">
        <is>
          <t>NORRBOTTENS LÄN</t>
        </is>
      </c>
      <c r="E8754" t="inlineStr">
        <is>
          <t>BODEN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27274-2024</t>
        </is>
      </c>
      <c r="B8755" s="1" t="n">
        <v>45471</v>
      </c>
      <c r="C8755" s="1" t="n">
        <v>45798</v>
      </c>
      <c r="D8755" t="inlineStr">
        <is>
          <t>NORRBOTTENS LÄN</t>
        </is>
      </c>
      <c r="E8755" t="inlineStr">
        <is>
          <t>PITEÅ</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27278-2024</t>
        </is>
      </c>
      <c r="B8756" s="1" t="n">
        <v>45472</v>
      </c>
      <c r="C8756" s="1" t="n">
        <v>45798</v>
      </c>
      <c r="D8756" t="inlineStr">
        <is>
          <t>NORRBOTTENS LÄN</t>
        </is>
      </c>
      <c r="E8756" t="inlineStr">
        <is>
          <t>PITEÅ</t>
        </is>
      </c>
      <c r="G8756" t="n">
        <v>31.2</v>
      </c>
      <c r="H8756" t="n">
        <v>0</v>
      </c>
      <c r="I8756" t="n">
        <v>0</v>
      </c>
      <c r="J8756" t="n">
        <v>0</v>
      </c>
      <c r="K8756" t="n">
        <v>0</v>
      </c>
      <c r="L8756" t="n">
        <v>0</v>
      </c>
      <c r="M8756" t="n">
        <v>0</v>
      </c>
      <c r="N8756" t="n">
        <v>0</v>
      </c>
      <c r="O8756" t="n">
        <v>0</v>
      </c>
      <c r="P8756" t="n">
        <v>0</v>
      </c>
      <c r="Q8756" t="n">
        <v>0</v>
      </c>
      <c r="R8756" s="2" t="inlineStr"/>
    </row>
    <row r="8757" ht="15" customHeight="1">
      <c r="A8757" t="inlineStr">
        <is>
          <t>A 27277-2024</t>
        </is>
      </c>
      <c r="B8757" s="1" t="n">
        <v>45472</v>
      </c>
      <c r="C8757" s="1" t="n">
        <v>45798</v>
      </c>
      <c r="D8757" t="inlineStr">
        <is>
          <t>NORRBOTTENS LÄN</t>
        </is>
      </c>
      <c r="E8757" t="inlineStr">
        <is>
          <t>PITEÅ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27312-2024</t>
        </is>
      </c>
      <c r="B8758" s="1" t="n">
        <v>45472</v>
      </c>
      <c r="C8758" s="1" t="n">
        <v>45798</v>
      </c>
      <c r="D8758" t="inlineStr">
        <is>
          <t>NORRBOTTENS LÄN</t>
        </is>
      </c>
      <c r="E8758" t="inlineStr">
        <is>
          <t>GÄLLIVARE</t>
        </is>
      </c>
      <c r="F8758" t="inlineStr">
        <is>
          <t>SCA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27014-2024</t>
        </is>
      </c>
      <c r="B8759" s="1" t="n">
        <v>45471</v>
      </c>
      <c r="C8759" s="1" t="n">
        <v>45798</v>
      </c>
      <c r="D8759" t="inlineStr">
        <is>
          <t>NORRBOTTENS LÄN</t>
        </is>
      </c>
      <c r="E8759" t="inlineStr">
        <is>
          <t>BODEN</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27006-2024</t>
        </is>
      </c>
      <c r="B8760" s="1" t="n">
        <v>45471</v>
      </c>
      <c r="C8760" s="1" t="n">
        <v>45798</v>
      </c>
      <c r="D8760" t="inlineStr">
        <is>
          <t>NORRBOTTENS LÄN</t>
        </is>
      </c>
      <c r="E8760" t="inlineStr">
        <is>
          <t>BODEN</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27311-2024</t>
        </is>
      </c>
      <c r="B8761" s="1" t="n">
        <v>45472</v>
      </c>
      <c r="C8761" s="1" t="n">
        <v>45798</v>
      </c>
      <c r="D8761" t="inlineStr">
        <is>
          <t>NORRBOTTENS LÄN</t>
        </is>
      </c>
      <c r="E8761" t="inlineStr">
        <is>
          <t>GÄLLIVARE</t>
        </is>
      </c>
      <c r="F8761" t="inlineStr">
        <is>
          <t>SCA</t>
        </is>
      </c>
      <c r="G8761" t="n">
        <v>14.5</v>
      </c>
      <c r="H8761" t="n">
        <v>0</v>
      </c>
      <c r="I8761" t="n">
        <v>0</v>
      </c>
      <c r="J8761" t="n">
        <v>0</v>
      </c>
      <c r="K8761" t="n">
        <v>0</v>
      </c>
      <c r="L8761" t="n">
        <v>0</v>
      </c>
      <c r="M8761" t="n">
        <v>0</v>
      </c>
      <c r="N8761" t="n">
        <v>0</v>
      </c>
      <c r="O8761" t="n">
        <v>0</v>
      </c>
      <c r="P8761" t="n">
        <v>0</v>
      </c>
      <c r="Q8761" t="n">
        <v>0</v>
      </c>
      <c r="R8761" s="2" t="inlineStr"/>
    </row>
    <row r="8762" ht="15" customHeight="1">
      <c r="A8762" t="inlineStr">
        <is>
          <t>A 27326-2024</t>
        </is>
      </c>
      <c r="B8762" s="1" t="n">
        <v>45472</v>
      </c>
      <c r="C8762" s="1" t="n">
        <v>45798</v>
      </c>
      <c r="D8762" t="inlineStr">
        <is>
          <t>NORRBOTTENS LÄN</t>
        </is>
      </c>
      <c r="E8762" t="inlineStr">
        <is>
          <t>PAJALA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27325-2024</t>
        </is>
      </c>
      <c r="B8763" s="1" t="n">
        <v>45472</v>
      </c>
      <c r="C8763" s="1" t="n">
        <v>45798</v>
      </c>
      <c r="D8763" t="inlineStr">
        <is>
          <t>NORRBOTTENS LÄN</t>
        </is>
      </c>
      <c r="E8763" t="inlineStr">
        <is>
          <t>PAJALA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27652-2024</t>
        </is>
      </c>
      <c r="B8764" s="1" t="n">
        <v>45475</v>
      </c>
      <c r="C8764" s="1" t="n">
        <v>45798</v>
      </c>
      <c r="D8764" t="inlineStr">
        <is>
          <t>NORRBOTTENS LÄN</t>
        </is>
      </c>
      <c r="E8764" t="inlineStr">
        <is>
          <t>JOKKMOKK</t>
        </is>
      </c>
      <c r="F8764" t="inlineStr">
        <is>
          <t>SCA</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27636-2024</t>
        </is>
      </c>
      <c r="B8765" s="1" t="n">
        <v>45474</v>
      </c>
      <c r="C8765" s="1" t="n">
        <v>45798</v>
      </c>
      <c r="D8765" t="inlineStr">
        <is>
          <t>NORRBOTTENS LÄN</t>
        </is>
      </c>
      <c r="E8765" t="inlineStr">
        <is>
          <t>BODEN</t>
        </is>
      </c>
      <c r="F8765" t="inlineStr">
        <is>
          <t>SCA</t>
        </is>
      </c>
      <c r="G8765" t="n">
        <v>11.6</v>
      </c>
      <c r="H8765" t="n">
        <v>0</v>
      </c>
      <c r="I8765" t="n">
        <v>0</v>
      </c>
      <c r="J8765" t="n">
        <v>0</v>
      </c>
      <c r="K8765" t="n">
        <v>0</v>
      </c>
      <c r="L8765" t="n">
        <v>0</v>
      </c>
      <c r="M8765" t="n">
        <v>0</v>
      </c>
      <c r="N8765" t="n">
        <v>0</v>
      </c>
      <c r="O8765" t="n">
        <v>0</v>
      </c>
      <c r="P8765" t="n">
        <v>0</v>
      </c>
      <c r="Q8765" t="n">
        <v>0</v>
      </c>
      <c r="R8765" s="2" t="inlineStr"/>
    </row>
    <row r="8766" ht="15" customHeight="1">
      <c r="A8766" t="inlineStr">
        <is>
          <t>A 27524-2024</t>
        </is>
      </c>
      <c r="B8766" s="1" t="n">
        <v>45474</v>
      </c>
      <c r="C8766" s="1" t="n">
        <v>45798</v>
      </c>
      <c r="D8766" t="inlineStr">
        <is>
          <t>NORRBOTTENS LÄN</t>
        </is>
      </c>
      <c r="E8766" t="inlineStr">
        <is>
          <t>BODEN</t>
        </is>
      </c>
      <c r="F8766" t="inlineStr">
        <is>
          <t>Övriga Aktiebolag</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27448-2024</t>
        </is>
      </c>
      <c r="B8767" s="1" t="n">
        <v>45474</v>
      </c>
      <c r="C8767" s="1" t="n">
        <v>45798</v>
      </c>
      <c r="D8767" t="inlineStr">
        <is>
          <t>NORRBOTTENS LÄN</t>
        </is>
      </c>
      <c r="E8767" t="inlineStr">
        <is>
          <t>PAJALA</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27515-2024</t>
        </is>
      </c>
      <c r="B8768" s="1" t="n">
        <v>45474</v>
      </c>
      <c r="C8768" s="1" t="n">
        <v>45798</v>
      </c>
      <c r="D8768" t="inlineStr">
        <is>
          <t>NORRBOTTENS LÄN</t>
        </is>
      </c>
      <c r="E8768" t="inlineStr">
        <is>
          <t>GÄLLIVARE</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27651-2024</t>
        </is>
      </c>
      <c r="B8769" s="1" t="n">
        <v>45475</v>
      </c>
      <c r="C8769" s="1" t="n">
        <v>45798</v>
      </c>
      <c r="D8769" t="inlineStr">
        <is>
          <t>NORRBOTTENS LÄN</t>
        </is>
      </c>
      <c r="E8769" t="inlineStr">
        <is>
          <t>JOKKMOKK</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27655-2024</t>
        </is>
      </c>
      <c r="B8770" s="1" t="n">
        <v>45475</v>
      </c>
      <c r="C8770" s="1" t="n">
        <v>45798</v>
      </c>
      <c r="D8770" t="inlineStr">
        <is>
          <t>NORRBOTTENS LÄN</t>
        </is>
      </c>
      <c r="E8770" t="inlineStr">
        <is>
          <t>JOKKMOKK</t>
        </is>
      </c>
      <c r="F8770" t="inlineStr">
        <is>
          <t>SCA</t>
        </is>
      </c>
      <c r="G8770" t="n">
        <v>10.2</v>
      </c>
      <c r="H8770" t="n">
        <v>0</v>
      </c>
      <c r="I8770" t="n">
        <v>0</v>
      </c>
      <c r="J8770" t="n">
        <v>0</v>
      </c>
      <c r="K8770" t="n">
        <v>0</v>
      </c>
      <c r="L8770" t="n">
        <v>0</v>
      </c>
      <c r="M8770" t="n">
        <v>0</v>
      </c>
      <c r="N8770" t="n">
        <v>0</v>
      </c>
      <c r="O8770" t="n">
        <v>0</v>
      </c>
      <c r="P8770" t="n">
        <v>0</v>
      </c>
      <c r="Q8770" t="n">
        <v>0</v>
      </c>
      <c r="R8770" s="2" t="inlineStr"/>
    </row>
    <row r="8771" ht="15" customHeight="1">
      <c r="A8771" t="inlineStr">
        <is>
          <t>A 27550-2024</t>
        </is>
      </c>
      <c r="B8771" s="1" t="n">
        <v>45474</v>
      </c>
      <c r="C8771" s="1" t="n">
        <v>45798</v>
      </c>
      <c r="D8771" t="inlineStr">
        <is>
          <t>NORRBOTTENS LÄN</t>
        </is>
      </c>
      <c r="E8771" t="inlineStr">
        <is>
          <t>ÄLVSBYN</t>
        </is>
      </c>
      <c r="F8771" t="inlineStr">
        <is>
          <t>Övriga Aktiebolag</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27656-2024</t>
        </is>
      </c>
      <c r="B8772" s="1" t="n">
        <v>45475</v>
      </c>
      <c r="C8772" s="1" t="n">
        <v>45798</v>
      </c>
      <c r="D8772" t="inlineStr">
        <is>
          <t>NORRBOTTENS LÄN</t>
        </is>
      </c>
      <c r="E8772" t="inlineStr">
        <is>
          <t>JOKKMOKK</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27650-2024</t>
        </is>
      </c>
      <c r="B8773" s="1" t="n">
        <v>45475</v>
      </c>
      <c r="C8773" s="1" t="n">
        <v>45798</v>
      </c>
      <c r="D8773" t="inlineStr">
        <is>
          <t>NORRBOTTENS LÄN</t>
        </is>
      </c>
      <c r="E8773" t="inlineStr">
        <is>
          <t>JOKKMOKK</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27654-2024</t>
        </is>
      </c>
      <c r="B8774" s="1" t="n">
        <v>45475</v>
      </c>
      <c r="C8774" s="1" t="n">
        <v>45798</v>
      </c>
      <c r="D8774" t="inlineStr">
        <is>
          <t>NORRBOTTENS LÄN</t>
        </is>
      </c>
      <c r="E8774" t="inlineStr">
        <is>
          <t>JOKKMOKK</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27658-2024</t>
        </is>
      </c>
      <c r="B8775" s="1" t="n">
        <v>45475</v>
      </c>
      <c r="C8775" s="1" t="n">
        <v>45798</v>
      </c>
      <c r="D8775" t="inlineStr">
        <is>
          <t>NORRBOTTENS LÄN</t>
        </is>
      </c>
      <c r="E8775" t="inlineStr">
        <is>
          <t>JOKKMOKK</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27666-2024</t>
        </is>
      </c>
      <c r="B8776" s="1" t="n">
        <v>45475</v>
      </c>
      <c r="C8776" s="1" t="n">
        <v>45798</v>
      </c>
      <c r="D8776" t="inlineStr">
        <is>
          <t>NORRBOTTENS LÄN</t>
        </is>
      </c>
      <c r="E8776" t="inlineStr">
        <is>
          <t>GÄLLIVARE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27625-2024</t>
        </is>
      </c>
      <c r="B8777" s="1" t="n">
        <v>45475</v>
      </c>
      <c r="C8777" s="1" t="n">
        <v>45798</v>
      </c>
      <c r="D8777" t="inlineStr">
        <is>
          <t>NORRBOTTENS LÄN</t>
        </is>
      </c>
      <c r="E8777" t="inlineStr">
        <is>
          <t>PAJALA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27653-2024</t>
        </is>
      </c>
      <c r="B8778" s="1" t="n">
        <v>45475</v>
      </c>
      <c r="C8778" s="1" t="n">
        <v>45798</v>
      </c>
      <c r="D8778" t="inlineStr">
        <is>
          <t>NORRBOTTENS LÄN</t>
        </is>
      </c>
      <c r="E8778" t="inlineStr">
        <is>
          <t>JOKKMOKK</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27657-2024</t>
        </is>
      </c>
      <c r="B8779" s="1" t="n">
        <v>45475</v>
      </c>
      <c r="C8779" s="1" t="n">
        <v>45798</v>
      </c>
      <c r="D8779" t="inlineStr">
        <is>
          <t>NORRBOTTENS LÄN</t>
        </is>
      </c>
      <c r="E8779" t="inlineStr">
        <is>
          <t>JOKKMOKK</t>
        </is>
      </c>
      <c r="F8779" t="inlineStr">
        <is>
          <t>SCA</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27883-2024</t>
        </is>
      </c>
      <c r="B8780" s="1" t="n">
        <v>45475</v>
      </c>
      <c r="C8780" s="1" t="n">
        <v>45798</v>
      </c>
      <c r="D8780" t="inlineStr">
        <is>
          <t>NORRBOTTENS LÄN</t>
        </is>
      </c>
      <c r="E8780" t="inlineStr">
        <is>
          <t>GÄLLIVARE</t>
        </is>
      </c>
      <c r="F8780" t="inlineStr">
        <is>
          <t>Sveaskog</t>
        </is>
      </c>
      <c r="G8780" t="n">
        <v>8.9</v>
      </c>
      <c r="H8780" t="n">
        <v>0</v>
      </c>
      <c r="I8780" t="n">
        <v>0</v>
      </c>
      <c r="J8780" t="n">
        <v>0</v>
      </c>
      <c r="K8780" t="n">
        <v>0</v>
      </c>
      <c r="L8780" t="n">
        <v>0</v>
      </c>
      <c r="M8780" t="n">
        <v>0</v>
      </c>
      <c r="N8780" t="n">
        <v>0</v>
      </c>
      <c r="O8780" t="n">
        <v>0</v>
      </c>
      <c r="P8780" t="n">
        <v>0</v>
      </c>
      <c r="Q8780" t="n">
        <v>0</v>
      </c>
      <c r="R8780" s="2" t="inlineStr"/>
    </row>
    <row r="8781" ht="15" customHeight="1">
      <c r="A8781" t="inlineStr">
        <is>
          <t>A 27912-2024</t>
        </is>
      </c>
      <c r="B8781" s="1" t="n">
        <v>45476</v>
      </c>
      <c r="C8781" s="1" t="n">
        <v>45798</v>
      </c>
      <c r="D8781" t="inlineStr">
        <is>
          <t>NORRBOTTENS LÄN</t>
        </is>
      </c>
      <c r="E8781" t="inlineStr">
        <is>
          <t>ÄLVSBYN</t>
        </is>
      </c>
      <c r="F8781" t="inlineStr">
        <is>
          <t>SCA</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27882-2024</t>
        </is>
      </c>
      <c r="B8782" s="1" t="n">
        <v>45475</v>
      </c>
      <c r="C8782" s="1" t="n">
        <v>45798</v>
      </c>
      <c r="D8782" t="inlineStr">
        <is>
          <t>NORRBOTTENS LÄN</t>
        </is>
      </c>
      <c r="E8782" t="inlineStr">
        <is>
          <t>GÄLLIVARE</t>
        </is>
      </c>
      <c r="F8782" t="inlineStr">
        <is>
          <t>Sveaskog</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27770-2024</t>
        </is>
      </c>
      <c r="B8783" s="1" t="n">
        <v>45475</v>
      </c>
      <c r="C8783" s="1" t="n">
        <v>45798</v>
      </c>
      <c r="D8783" t="inlineStr">
        <is>
          <t>NORRBOTTENS LÄN</t>
        </is>
      </c>
      <c r="E8783" t="inlineStr">
        <is>
          <t>PAJALA</t>
        </is>
      </c>
      <c r="G8783" t="n">
        <v>15.3</v>
      </c>
      <c r="H8783" t="n">
        <v>0</v>
      </c>
      <c r="I8783" t="n">
        <v>0</v>
      </c>
      <c r="J8783" t="n">
        <v>0</v>
      </c>
      <c r="K8783" t="n">
        <v>0</v>
      </c>
      <c r="L8783" t="n">
        <v>0</v>
      </c>
      <c r="M8783" t="n">
        <v>0</v>
      </c>
      <c r="N8783" t="n">
        <v>0</v>
      </c>
      <c r="O8783" t="n">
        <v>0</v>
      </c>
      <c r="P8783" t="n">
        <v>0</v>
      </c>
      <c r="Q8783" t="n">
        <v>0</v>
      </c>
      <c r="R8783" s="2" t="inlineStr"/>
    </row>
    <row r="8784" ht="15" customHeight="1">
      <c r="A8784" t="inlineStr">
        <is>
          <t>A 27742-2024</t>
        </is>
      </c>
      <c r="B8784" s="1" t="n">
        <v>45475</v>
      </c>
      <c r="C8784" s="1" t="n">
        <v>45798</v>
      </c>
      <c r="D8784" t="inlineStr">
        <is>
          <t>NORRBOTTENS LÄN</t>
        </is>
      </c>
      <c r="E8784" t="inlineStr">
        <is>
          <t>ARVIDSJAUR</t>
        </is>
      </c>
      <c r="G8784" t="n">
        <v>16.8</v>
      </c>
      <c r="H8784" t="n">
        <v>0</v>
      </c>
      <c r="I8784" t="n">
        <v>0</v>
      </c>
      <c r="J8784" t="n">
        <v>0</v>
      </c>
      <c r="K8784" t="n">
        <v>0</v>
      </c>
      <c r="L8784" t="n">
        <v>0</v>
      </c>
      <c r="M8784" t="n">
        <v>0</v>
      </c>
      <c r="N8784" t="n">
        <v>0</v>
      </c>
      <c r="O8784" t="n">
        <v>0</v>
      </c>
      <c r="P8784" t="n">
        <v>0</v>
      </c>
      <c r="Q8784" t="n">
        <v>0</v>
      </c>
      <c r="R8784" s="2" t="inlineStr"/>
    </row>
    <row r="8785" ht="15" customHeight="1">
      <c r="A8785" t="inlineStr">
        <is>
          <t>A 27683-2024</t>
        </is>
      </c>
      <c r="B8785" s="1" t="n">
        <v>45475</v>
      </c>
      <c r="C8785" s="1" t="n">
        <v>45798</v>
      </c>
      <c r="D8785" t="inlineStr">
        <is>
          <t>NORRBOTTENS LÄN</t>
        </is>
      </c>
      <c r="E8785" t="inlineStr">
        <is>
          <t>GÄLLIVARE</t>
        </is>
      </c>
      <c r="F8785" t="inlineStr">
        <is>
          <t>Sveaskog</t>
        </is>
      </c>
      <c r="G8785" t="n">
        <v>12.9</v>
      </c>
      <c r="H8785" t="n">
        <v>0</v>
      </c>
      <c r="I8785" t="n">
        <v>0</v>
      </c>
      <c r="J8785" t="n">
        <v>0</v>
      </c>
      <c r="K8785" t="n">
        <v>0</v>
      </c>
      <c r="L8785" t="n">
        <v>0</v>
      </c>
      <c r="M8785" t="n">
        <v>0</v>
      </c>
      <c r="N8785" t="n">
        <v>0</v>
      </c>
      <c r="O8785" t="n">
        <v>0</v>
      </c>
      <c r="P8785" t="n">
        <v>0</v>
      </c>
      <c r="Q8785" t="n">
        <v>0</v>
      </c>
      <c r="R8785" s="2" t="inlineStr"/>
    </row>
    <row r="8786" ht="15" customHeight="1">
      <c r="A8786" t="inlineStr">
        <is>
          <t>A 27712-2024</t>
        </is>
      </c>
      <c r="B8786" s="1" t="n">
        <v>45475</v>
      </c>
      <c r="C8786" s="1" t="n">
        <v>45798</v>
      </c>
      <c r="D8786" t="inlineStr">
        <is>
          <t>NORRBOTTENS LÄN</t>
        </is>
      </c>
      <c r="E8786" t="inlineStr">
        <is>
          <t>LULEÅ</t>
        </is>
      </c>
      <c r="G8786" t="n">
        <v>14.2</v>
      </c>
      <c r="H8786" t="n">
        <v>0</v>
      </c>
      <c r="I8786" t="n">
        <v>0</v>
      </c>
      <c r="J8786" t="n">
        <v>0</v>
      </c>
      <c r="K8786" t="n">
        <v>0</v>
      </c>
      <c r="L8786" t="n">
        <v>0</v>
      </c>
      <c r="M8786" t="n">
        <v>0</v>
      </c>
      <c r="N8786" t="n">
        <v>0</v>
      </c>
      <c r="O8786" t="n">
        <v>0</v>
      </c>
      <c r="P8786" t="n">
        <v>0</v>
      </c>
      <c r="Q8786" t="n">
        <v>0</v>
      </c>
      <c r="R8786" s="2" t="inlineStr"/>
    </row>
    <row r="8787" ht="15" customHeight="1">
      <c r="A8787" t="inlineStr">
        <is>
          <t>A 27776-2024</t>
        </is>
      </c>
      <c r="B8787" s="1" t="n">
        <v>45475</v>
      </c>
      <c r="C8787" s="1" t="n">
        <v>45798</v>
      </c>
      <c r="D8787" t="inlineStr">
        <is>
          <t>NORRBOTTENS LÄN</t>
        </is>
      </c>
      <c r="E8787" t="inlineStr">
        <is>
          <t>PAJALA</t>
        </is>
      </c>
      <c r="G8787" t="n">
        <v>20.5</v>
      </c>
      <c r="H8787" t="n">
        <v>0</v>
      </c>
      <c r="I8787" t="n">
        <v>0</v>
      </c>
      <c r="J8787" t="n">
        <v>0</v>
      </c>
      <c r="K8787" t="n">
        <v>0</v>
      </c>
      <c r="L8787" t="n">
        <v>0</v>
      </c>
      <c r="M8787" t="n">
        <v>0</v>
      </c>
      <c r="N8787" t="n">
        <v>0</v>
      </c>
      <c r="O8787" t="n">
        <v>0</v>
      </c>
      <c r="P8787" t="n">
        <v>0</v>
      </c>
      <c r="Q8787" t="n">
        <v>0</v>
      </c>
      <c r="R8787" s="2" t="inlineStr"/>
    </row>
    <row r="8788" ht="15" customHeight="1">
      <c r="A8788" t="inlineStr">
        <is>
          <t>A 27777-2024</t>
        </is>
      </c>
      <c r="B8788" s="1" t="n">
        <v>45475</v>
      </c>
      <c r="C8788" s="1" t="n">
        <v>45798</v>
      </c>
      <c r="D8788" t="inlineStr">
        <is>
          <t>NORRBOTTENS LÄN</t>
        </is>
      </c>
      <c r="E8788" t="inlineStr">
        <is>
          <t>PAJALA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27725-2024</t>
        </is>
      </c>
      <c r="B8789" s="1" t="n">
        <v>45475</v>
      </c>
      <c r="C8789" s="1" t="n">
        <v>45798</v>
      </c>
      <c r="D8789" t="inlineStr">
        <is>
          <t>NORRBOTTENS LÄN</t>
        </is>
      </c>
      <c r="E8789" t="inlineStr">
        <is>
          <t>GÄLLIVARE</t>
        </is>
      </c>
      <c r="F8789" t="inlineStr">
        <is>
          <t>Sveaskog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27767-2024</t>
        </is>
      </c>
      <c r="B8790" s="1" t="n">
        <v>45475</v>
      </c>
      <c r="C8790" s="1" t="n">
        <v>45798</v>
      </c>
      <c r="D8790" t="inlineStr">
        <is>
          <t>NORRBOTTENS LÄN</t>
        </is>
      </c>
      <c r="E8790" t="inlineStr">
        <is>
          <t>PAJALA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28046-2024</t>
        </is>
      </c>
      <c r="B8791" s="1" t="n">
        <v>45476</v>
      </c>
      <c r="C8791" s="1" t="n">
        <v>45798</v>
      </c>
      <c r="D8791" t="inlineStr">
        <is>
          <t>NORRBOTTENS LÄN</t>
        </is>
      </c>
      <c r="E8791" t="inlineStr">
        <is>
          <t>GÄLLIVARE</t>
        </is>
      </c>
      <c r="F8791" t="inlineStr">
        <is>
          <t>Sveaskog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28074-2024</t>
        </is>
      </c>
      <c r="B8792" s="1" t="n">
        <v>45476</v>
      </c>
      <c r="C8792" s="1" t="n">
        <v>45798</v>
      </c>
      <c r="D8792" t="inlineStr">
        <is>
          <t>NORRBOTTENS LÄN</t>
        </is>
      </c>
      <c r="E8792" t="inlineStr">
        <is>
          <t>BODEN</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28078-2024</t>
        </is>
      </c>
      <c r="B8793" s="1" t="n">
        <v>45476</v>
      </c>
      <c r="C8793" s="1" t="n">
        <v>45798</v>
      </c>
      <c r="D8793" t="inlineStr">
        <is>
          <t>NORRBOTTENS LÄN</t>
        </is>
      </c>
      <c r="E8793" t="inlineStr">
        <is>
          <t>BODEN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28134-2024</t>
        </is>
      </c>
      <c r="B8794" s="1" t="n">
        <v>45476</v>
      </c>
      <c r="C8794" s="1" t="n">
        <v>45798</v>
      </c>
      <c r="D8794" t="inlineStr">
        <is>
          <t>NORRBOTTENS LÄN</t>
        </is>
      </c>
      <c r="E8794" t="inlineStr">
        <is>
          <t>BODEN</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28163-2024</t>
        </is>
      </c>
      <c r="B8795" s="1" t="n">
        <v>45477</v>
      </c>
      <c r="C8795" s="1" t="n">
        <v>45798</v>
      </c>
      <c r="D8795" t="inlineStr">
        <is>
          <t>NORRBOTTENS LÄN</t>
        </is>
      </c>
      <c r="E8795" t="inlineStr">
        <is>
          <t>ÄLVSBYN</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28115-2024</t>
        </is>
      </c>
      <c r="B8796" s="1" t="n">
        <v>45476</v>
      </c>
      <c r="C8796" s="1" t="n">
        <v>45798</v>
      </c>
      <c r="D8796" t="inlineStr">
        <is>
          <t>NORRBOTTENS LÄN</t>
        </is>
      </c>
      <c r="E8796" t="inlineStr">
        <is>
          <t>GÄLLIVARE</t>
        </is>
      </c>
      <c r="F8796" t="inlineStr">
        <is>
          <t>Sveaskog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28111-2024</t>
        </is>
      </c>
      <c r="B8797" s="1" t="n">
        <v>45476</v>
      </c>
      <c r="C8797" s="1" t="n">
        <v>45798</v>
      </c>
      <c r="D8797" t="inlineStr">
        <is>
          <t>NORRBOTTENS LÄN</t>
        </is>
      </c>
      <c r="E8797" t="inlineStr">
        <is>
          <t>GÄLLIVARE</t>
        </is>
      </c>
      <c r="F8797" t="inlineStr">
        <is>
          <t>Sveaskog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28193-2024</t>
        </is>
      </c>
      <c r="B8798" s="1" t="n">
        <v>45476</v>
      </c>
      <c r="C8798" s="1" t="n">
        <v>45798</v>
      </c>
      <c r="D8798" t="inlineStr">
        <is>
          <t>NORRBOTTENS LÄN</t>
        </is>
      </c>
      <c r="E8798" t="inlineStr">
        <is>
          <t>GÄLLIVARE</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28150-2024</t>
        </is>
      </c>
      <c r="B8799" s="1" t="n">
        <v>45476</v>
      </c>
      <c r="C8799" s="1" t="n">
        <v>45798</v>
      </c>
      <c r="D8799" t="inlineStr">
        <is>
          <t>NORRBOTTENS LÄN</t>
        </is>
      </c>
      <c r="E8799" t="inlineStr">
        <is>
          <t>LULEÅ</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28010-2024</t>
        </is>
      </c>
      <c r="B8800" s="1" t="n">
        <v>45476</v>
      </c>
      <c r="C8800" s="1" t="n">
        <v>45798</v>
      </c>
      <c r="D8800" t="inlineStr">
        <is>
          <t>NORRBOTTENS LÄN</t>
        </is>
      </c>
      <c r="E8800" t="inlineStr">
        <is>
          <t>GÄLLIVARE</t>
        </is>
      </c>
      <c r="F8800" t="inlineStr">
        <is>
          <t>Sveaskog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28141-2024</t>
        </is>
      </c>
      <c r="B8801" s="1" t="n">
        <v>45476</v>
      </c>
      <c r="C8801" s="1" t="n">
        <v>45798</v>
      </c>
      <c r="D8801" t="inlineStr">
        <is>
          <t>NORRBOTTENS LÄN</t>
        </is>
      </c>
      <c r="E8801" t="inlineStr">
        <is>
          <t>LULEÅ</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28104-2024</t>
        </is>
      </c>
      <c r="B8802" s="1" t="n">
        <v>45476</v>
      </c>
      <c r="C8802" s="1" t="n">
        <v>45798</v>
      </c>
      <c r="D8802" t="inlineStr">
        <is>
          <t>NORRBOTTENS LÄN</t>
        </is>
      </c>
      <c r="E8802" t="inlineStr">
        <is>
          <t>GÄLLIVARE</t>
        </is>
      </c>
      <c r="F8802" t="inlineStr">
        <is>
          <t>Sveaskog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28036-2024</t>
        </is>
      </c>
      <c r="B8803" s="1" t="n">
        <v>45476</v>
      </c>
      <c r="C8803" s="1" t="n">
        <v>45798</v>
      </c>
      <c r="D8803" t="inlineStr">
        <is>
          <t>NORRBOTTENS LÄN</t>
        </is>
      </c>
      <c r="E8803" t="inlineStr">
        <is>
          <t>JOKKMOKK</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28079-2024</t>
        </is>
      </c>
      <c r="B8804" s="1" t="n">
        <v>45476</v>
      </c>
      <c r="C8804" s="1" t="n">
        <v>45798</v>
      </c>
      <c r="D8804" t="inlineStr">
        <is>
          <t>NORRBOTTENS LÄN</t>
        </is>
      </c>
      <c r="E8804" t="inlineStr">
        <is>
          <t>BODEN</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28067-2024</t>
        </is>
      </c>
      <c r="B8805" s="1" t="n">
        <v>45476</v>
      </c>
      <c r="C8805" s="1" t="n">
        <v>45798</v>
      </c>
      <c r="D8805" t="inlineStr">
        <is>
          <t>NORRBOTTENS LÄN</t>
        </is>
      </c>
      <c r="E8805" t="inlineStr">
        <is>
          <t>BODEN</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28007-2024</t>
        </is>
      </c>
      <c r="B8806" s="1" t="n">
        <v>45476</v>
      </c>
      <c r="C8806" s="1" t="n">
        <v>45798</v>
      </c>
      <c r="D8806" t="inlineStr">
        <is>
          <t>NORRBOTTENS LÄN</t>
        </is>
      </c>
      <c r="E8806" t="inlineStr">
        <is>
          <t>PAJALA</t>
        </is>
      </c>
      <c r="G8806" t="n">
        <v>16.5</v>
      </c>
      <c r="H8806" t="n">
        <v>0</v>
      </c>
      <c r="I8806" t="n">
        <v>0</v>
      </c>
      <c r="J8806" t="n">
        <v>0</v>
      </c>
      <c r="K8806" t="n">
        <v>0</v>
      </c>
      <c r="L8806" t="n">
        <v>0</v>
      </c>
      <c r="M8806" t="n">
        <v>0</v>
      </c>
      <c r="N8806" t="n">
        <v>0</v>
      </c>
      <c r="O8806" t="n">
        <v>0</v>
      </c>
      <c r="P8806" t="n">
        <v>0</v>
      </c>
      <c r="Q8806" t="n">
        <v>0</v>
      </c>
      <c r="R8806" s="2" t="inlineStr"/>
    </row>
    <row r="8807" ht="15" customHeight="1">
      <c r="A8807" t="inlineStr">
        <is>
          <t>A 27944-2024</t>
        </is>
      </c>
      <c r="B8807" s="1" t="n">
        <v>45476</v>
      </c>
      <c r="C8807" s="1" t="n">
        <v>45798</v>
      </c>
      <c r="D8807" t="inlineStr">
        <is>
          <t>NORRBOTTENS LÄN</t>
        </is>
      </c>
      <c r="E8807" t="inlineStr">
        <is>
          <t>ARVIDSJAUR</t>
        </is>
      </c>
      <c r="F8807" t="inlineStr">
        <is>
          <t>Sveaskog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28452-2024</t>
        </is>
      </c>
      <c r="B8808" s="1" t="n">
        <v>45477</v>
      </c>
      <c r="C8808" s="1" t="n">
        <v>45798</v>
      </c>
      <c r="D8808" t="inlineStr">
        <is>
          <t>NORRBOTTENS LÄN</t>
        </is>
      </c>
      <c r="E8808" t="inlineStr">
        <is>
          <t>PAJALA</t>
        </is>
      </c>
      <c r="G8808" t="n">
        <v>25.2</v>
      </c>
      <c r="H8808" t="n">
        <v>0</v>
      </c>
      <c r="I8808" t="n">
        <v>0</v>
      </c>
      <c r="J8808" t="n">
        <v>0</v>
      </c>
      <c r="K8808" t="n">
        <v>0</v>
      </c>
      <c r="L8808" t="n">
        <v>0</v>
      </c>
      <c r="M8808" t="n">
        <v>0</v>
      </c>
      <c r="N8808" t="n">
        <v>0</v>
      </c>
      <c r="O8808" t="n">
        <v>0</v>
      </c>
      <c r="P8808" t="n">
        <v>0</v>
      </c>
      <c r="Q8808" t="n">
        <v>0</v>
      </c>
      <c r="R8808" s="2" t="inlineStr"/>
    </row>
    <row r="8809" ht="15" customHeight="1">
      <c r="A8809" t="inlineStr">
        <is>
          <t>A 28440-2024</t>
        </is>
      </c>
      <c r="B8809" s="1" t="n">
        <v>45477</v>
      </c>
      <c r="C8809" s="1" t="n">
        <v>45798</v>
      </c>
      <c r="D8809" t="inlineStr">
        <is>
          <t>NORRBOTTENS LÄN</t>
        </is>
      </c>
      <c r="E8809" t="inlineStr">
        <is>
          <t>PAJALA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28387-2024</t>
        </is>
      </c>
      <c r="B8810" s="1" t="n">
        <v>45477</v>
      </c>
      <c r="C8810" s="1" t="n">
        <v>45798</v>
      </c>
      <c r="D8810" t="inlineStr">
        <is>
          <t>NORRBOTTENS LÄN</t>
        </is>
      </c>
      <c r="E8810" t="inlineStr">
        <is>
          <t>PAJALA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28405-2024</t>
        </is>
      </c>
      <c r="B8811" s="1" t="n">
        <v>45477</v>
      </c>
      <c r="C8811" s="1" t="n">
        <v>45798</v>
      </c>
      <c r="D8811" t="inlineStr">
        <is>
          <t>NORRBOTTENS LÄN</t>
        </is>
      </c>
      <c r="E8811" t="inlineStr">
        <is>
          <t>PAJALA</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28447-2024</t>
        </is>
      </c>
      <c r="B8812" s="1" t="n">
        <v>45477</v>
      </c>
      <c r="C8812" s="1" t="n">
        <v>45798</v>
      </c>
      <c r="D8812" t="inlineStr">
        <is>
          <t>NORRBOTTENS LÄN</t>
        </is>
      </c>
      <c r="E8812" t="inlineStr">
        <is>
          <t>PAJALA</t>
        </is>
      </c>
      <c r="G8812" t="n">
        <v>23.6</v>
      </c>
      <c r="H8812" t="n">
        <v>0</v>
      </c>
      <c r="I8812" t="n">
        <v>0</v>
      </c>
      <c r="J8812" t="n">
        <v>0</v>
      </c>
      <c r="K8812" t="n">
        <v>0</v>
      </c>
      <c r="L8812" t="n">
        <v>0</v>
      </c>
      <c r="M8812" t="n">
        <v>0</v>
      </c>
      <c r="N8812" t="n">
        <v>0</v>
      </c>
      <c r="O8812" t="n">
        <v>0</v>
      </c>
      <c r="P8812" t="n">
        <v>0</v>
      </c>
      <c r="Q8812" t="n">
        <v>0</v>
      </c>
      <c r="R8812" s="2" t="inlineStr"/>
    </row>
    <row r="8813" ht="15" customHeight="1">
      <c r="A8813" t="inlineStr">
        <is>
          <t>A 28513-2024</t>
        </is>
      </c>
      <c r="B8813" s="1" t="n">
        <v>45478</v>
      </c>
      <c r="C8813" s="1" t="n">
        <v>45798</v>
      </c>
      <c r="D8813" t="inlineStr">
        <is>
          <t>NORRBOTTENS LÄN</t>
        </is>
      </c>
      <c r="E8813" t="inlineStr">
        <is>
          <t>ÄLVSBYN</t>
        </is>
      </c>
      <c r="F8813" t="inlineStr">
        <is>
          <t>SCA</t>
        </is>
      </c>
      <c r="G8813" t="n">
        <v>19.1</v>
      </c>
      <c r="H8813" t="n">
        <v>0</v>
      </c>
      <c r="I8813" t="n">
        <v>0</v>
      </c>
      <c r="J8813" t="n">
        <v>0</v>
      </c>
      <c r="K8813" t="n">
        <v>0</v>
      </c>
      <c r="L8813" t="n">
        <v>0</v>
      </c>
      <c r="M8813" t="n">
        <v>0</v>
      </c>
      <c r="N8813" t="n">
        <v>0</v>
      </c>
      <c r="O8813" t="n">
        <v>0</v>
      </c>
      <c r="P8813" t="n">
        <v>0</v>
      </c>
      <c r="Q8813" t="n">
        <v>0</v>
      </c>
      <c r="R8813" s="2" t="inlineStr"/>
    </row>
    <row r="8814" ht="15" customHeight="1">
      <c r="A8814" t="inlineStr">
        <is>
          <t>A 28358-2024</t>
        </is>
      </c>
      <c r="B8814" s="1" t="n">
        <v>45477</v>
      </c>
      <c r="C8814" s="1" t="n">
        <v>45798</v>
      </c>
      <c r="D8814" t="inlineStr">
        <is>
          <t>NORRBOTTENS LÄN</t>
        </is>
      </c>
      <c r="E8814" t="inlineStr">
        <is>
          <t>ÄLVSBYN</t>
        </is>
      </c>
      <c r="F8814" t="inlineStr">
        <is>
          <t>Sveaskog</t>
        </is>
      </c>
      <c r="G8814" t="n">
        <v>40.6</v>
      </c>
      <c r="H8814" t="n">
        <v>0</v>
      </c>
      <c r="I8814" t="n">
        <v>0</v>
      </c>
      <c r="J8814" t="n">
        <v>0</v>
      </c>
      <c r="K8814" t="n">
        <v>0</v>
      </c>
      <c r="L8814" t="n">
        <v>0</v>
      </c>
      <c r="M8814" t="n">
        <v>0</v>
      </c>
      <c r="N8814" t="n">
        <v>0</v>
      </c>
      <c r="O8814" t="n">
        <v>0</v>
      </c>
      <c r="P8814" t="n">
        <v>0</v>
      </c>
      <c r="Q8814" t="n">
        <v>0</v>
      </c>
      <c r="R8814" s="2" t="inlineStr"/>
    </row>
    <row r="8815" ht="15" customHeight="1">
      <c r="A8815" t="inlineStr">
        <is>
          <t>A 28314-2024</t>
        </is>
      </c>
      <c r="B8815" s="1" t="n">
        <v>45477</v>
      </c>
      <c r="C8815" s="1" t="n">
        <v>45798</v>
      </c>
      <c r="D8815" t="inlineStr">
        <is>
          <t>NORRBOTTENS LÄN</t>
        </is>
      </c>
      <c r="E8815" t="inlineStr">
        <is>
          <t>ÄLVSBYN</t>
        </is>
      </c>
      <c r="F8815" t="inlineStr">
        <is>
          <t>Sveaskog</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28498-2024</t>
        </is>
      </c>
      <c r="B8816" s="1" t="n">
        <v>45478</v>
      </c>
      <c r="C8816" s="1" t="n">
        <v>45798</v>
      </c>
      <c r="D8816" t="inlineStr">
        <is>
          <t>NORRBOTTENS LÄN</t>
        </is>
      </c>
      <c r="E8816" t="inlineStr">
        <is>
          <t>LULEÅ</t>
        </is>
      </c>
      <c r="G8816" t="n">
        <v>8.800000000000001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28434-2024</t>
        </is>
      </c>
      <c r="B8817" s="1" t="n">
        <v>45477</v>
      </c>
      <c r="C8817" s="1" t="n">
        <v>45798</v>
      </c>
      <c r="D8817" t="inlineStr">
        <is>
          <t>NORRBOTTENS LÄN</t>
        </is>
      </c>
      <c r="E8817" t="inlineStr">
        <is>
          <t>PAJALA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28236-2024</t>
        </is>
      </c>
      <c r="B8818" s="1" t="n">
        <v>45477</v>
      </c>
      <c r="C8818" s="1" t="n">
        <v>45798</v>
      </c>
      <c r="D8818" t="inlineStr">
        <is>
          <t>NORRBOTTENS LÄN</t>
        </is>
      </c>
      <c r="E8818" t="inlineStr">
        <is>
          <t>ÖVERKALIX</t>
        </is>
      </c>
      <c r="F8818" t="inlineStr">
        <is>
          <t>Sveaskog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28651-2024</t>
        </is>
      </c>
      <c r="B8819" s="1" t="n">
        <v>45478</v>
      </c>
      <c r="C8819" s="1" t="n">
        <v>45798</v>
      </c>
      <c r="D8819" t="inlineStr">
        <is>
          <t>NORRBOTTENS LÄN</t>
        </is>
      </c>
      <c r="E8819" t="inlineStr">
        <is>
          <t>BODEN</t>
        </is>
      </c>
      <c r="F8819" t="inlineStr">
        <is>
          <t>Sveaskog</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28720-2024</t>
        </is>
      </c>
      <c r="B8820" s="1" t="n">
        <v>45478</v>
      </c>
      <c r="C8820" s="1" t="n">
        <v>45798</v>
      </c>
      <c r="D8820" t="inlineStr">
        <is>
          <t>NORRBOTTENS LÄN</t>
        </is>
      </c>
      <c r="E8820" t="inlineStr">
        <is>
          <t>PITEÅ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28772-2024</t>
        </is>
      </c>
      <c r="B8821" s="1" t="n">
        <v>45478</v>
      </c>
      <c r="C8821" s="1" t="n">
        <v>45798</v>
      </c>
      <c r="D8821" t="inlineStr">
        <is>
          <t>NORRBOTTENS LÄN</t>
        </is>
      </c>
      <c r="E8821" t="inlineStr">
        <is>
          <t>BODEN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28861-2024</t>
        </is>
      </c>
      <c r="B8822" s="1" t="n">
        <v>45479</v>
      </c>
      <c r="C8822" s="1" t="n">
        <v>45798</v>
      </c>
      <c r="D8822" t="inlineStr">
        <is>
          <t>NORRBOTTENS LÄN</t>
        </is>
      </c>
      <c r="E8822" t="inlineStr">
        <is>
          <t>PITEÅ</t>
        </is>
      </c>
      <c r="G8822" t="n">
        <v>44.7</v>
      </c>
      <c r="H8822" t="n">
        <v>0</v>
      </c>
      <c r="I8822" t="n">
        <v>0</v>
      </c>
      <c r="J8822" t="n">
        <v>0</v>
      </c>
      <c r="K8822" t="n">
        <v>0</v>
      </c>
      <c r="L8822" t="n">
        <v>0</v>
      </c>
      <c r="M8822" t="n">
        <v>0</v>
      </c>
      <c r="N8822" t="n">
        <v>0</v>
      </c>
      <c r="O8822" t="n">
        <v>0</v>
      </c>
      <c r="P8822" t="n">
        <v>0</v>
      </c>
      <c r="Q8822" t="n">
        <v>0</v>
      </c>
      <c r="R8822" s="2" t="inlineStr"/>
    </row>
    <row r="8823" ht="15" customHeight="1">
      <c r="A8823" t="inlineStr">
        <is>
          <t>A 28700-2024</t>
        </is>
      </c>
      <c r="B8823" s="1" t="n">
        <v>45478</v>
      </c>
      <c r="C8823" s="1" t="n">
        <v>45798</v>
      </c>
      <c r="D8823" t="inlineStr">
        <is>
          <t>NORRBOTTENS LÄN</t>
        </is>
      </c>
      <c r="E8823" t="inlineStr">
        <is>
          <t>GÄLLIVARE</t>
        </is>
      </c>
      <c r="F8823" t="inlineStr">
        <is>
          <t>Sveaskog</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28713-2024</t>
        </is>
      </c>
      <c r="B8824" s="1" t="n">
        <v>45478</v>
      </c>
      <c r="C8824" s="1" t="n">
        <v>45798</v>
      </c>
      <c r="D8824" t="inlineStr">
        <is>
          <t>NORRBOTTENS LÄN</t>
        </is>
      </c>
      <c r="E8824" t="inlineStr">
        <is>
          <t>PITEÅ</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28721-2024</t>
        </is>
      </c>
      <c r="B8825" s="1" t="n">
        <v>45478</v>
      </c>
      <c r="C8825" s="1" t="n">
        <v>45798</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28862-2024</t>
        </is>
      </c>
      <c r="B8826" s="1" t="n">
        <v>45479</v>
      </c>
      <c r="C8826" s="1" t="n">
        <v>45798</v>
      </c>
      <c r="D8826" t="inlineStr">
        <is>
          <t>NORRBOTTENS LÄN</t>
        </is>
      </c>
      <c r="E8826" t="inlineStr">
        <is>
          <t>ÄLVSBYN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28710-2024</t>
        </is>
      </c>
      <c r="B8827" s="1" t="n">
        <v>45478</v>
      </c>
      <c r="C8827" s="1" t="n">
        <v>45798</v>
      </c>
      <c r="D8827" t="inlineStr">
        <is>
          <t>NORRBOTTENS LÄN</t>
        </is>
      </c>
      <c r="E8827" t="inlineStr">
        <is>
          <t>PITEÅ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28718-2024</t>
        </is>
      </c>
      <c r="B8828" s="1" t="n">
        <v>45478</v>
      </c>
      <c r="C8828" s="1" t="n">
        <v>45798</v>
      </c>
      <c r="D8828" t="inlineStr">
        <is>
          <t>NORRBOTTENS LÄN</t>
        </is>
      </c>
      <c r="E8828" t="inlineStr">
        <is>
          <t>PITEÅ</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28758-2024</t>
        </is>
      </c>
      <c r="B8829" s="1" t="n">
        <v>45478</v>
      </c>
      <c r="C8829" s="1" t="n">
        <v>45798</v>
      </c>
      <c r="D8829" t="inlineStr">
        <is>
          <t>NORRBOTTENS LÄN</t>
        </is>
      </c>
      <c r="E8829" t="inlineStr">
        <is>
          <t>BODEN</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28762-2024</t>
        </is>
      </c>
      <c r="B8830" s="1" t="n">
        <v>45478</v>
      </c>
      <c r="C8830" s="1" t="n">
        <v>45798</v>
      </c>
      <c r="D8830" t="inlineStr">
        <is>
          <t>NORRBOTTENS LÄN</t>
        </is>
      </c>
      <c r="E8830" t="inlineStr">
        <is>
          <t>BODEN</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28859-2024</t>
        </is>
      </c>
      <c r="B8831" s="1" t="n">
        <v>45479</v>
      </c>
      <c r="C8831" s="1" t="n">
        <v>45798</v>
      </c>
      <c r="D8831" t="inlineStr">
        <is>
          <t>NORRBOTTENS LÄN</t>
        </is>
      </c>
      <c r="E8831" t="inlineStr">
        <is>
          <t>PITEÅ</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28707-2024</t>
        </is>
      </c>
      <c r="B8832" s="1" t="n">
        <v>45478</v>
      </c>
      <c r="C8832" s="1" t="n">
        <v>45798</v>
      </c>
      <c r="D8832" t="inlineStr">
        <is>
          <t>NORRBOTTENS LÄN</t>
        </is>
      </c>
      <c r="E8832" t="inlineStr">
        <is>
          <t>PITEÅ</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28715-2024</t>
        </is>
      </c>
      <c r="B8833" s="1" t="n">
        <v>45478</v>
      </c>
      <c r="C8833" s="1" t="n">
        <v>45798</v>
      </c>
      <c r="D8833" t="inlineStr">
        <is>
          <t>NORRBOTTENS LÄN</t>
        </is>
      </c>
      <c r="E8833" t="inlineStr">
        <is>
          <t>PITEÅ</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28727-2024</t>
        </is>
      </c>
      <c r="B8834" s="1" t="n">
        <v>45478</v>
      </c>
      <c r="C8834" s="1" t="n">
        <v>45798</v>
      </c>
      <c r="D8834" t="inlineStr">
        <is>
          <t>NORRBOTTENS LÄN</t>
        </is>
      </c>
      <c r="E8834" t="inlineStr">
        <is>
          <t>PITEÅ</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28767-2024</t>
        </is>
      </c>
      <c r="B8835" s="1" t="n">
        <v>45478</v>
      </c>
      <c r="C8835" s="1" t="n">
        <v>45798</v>
      </c>
      <c r="D8835" t="inlineStr">
        <is>
          <t>NORRBOTTENS LÄN</t>
        </is>
      </c>
      <c r="E8835" t="inlineStr">
        <is>
          <t>BODEN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28803-2024</t>
        </is>
      </c>
      <c r="B8836" s="1" t="n">
        <v>45478</v>
      </c>
      <c r="C8836" s="1" t="n">
        <v>45798</v>
      </c>
      <c r="D8836" t="inlineStr">
        <is>
          <t>NORRBOTTENS LÄN</t>
        </is>
      </c>
      <c r="E8836" t="inlineStr">
        <is>
          <t>ARVIDSJAUR</t>
        </is>
      </c>
      <c r="F8836" t="inlineStr">
        <is>
          <t>Övriga Aktiebolag</t>
        </is>
      </c>
      <c r="G8836" t="n">
        <v>16.5</v>
      </c>
      <c r="H8836" t="n">
        <v>0</v>
      </c>
      <c r="I8836" t="n">
        <v>0</v>
      </c>
      <c r="J8836" t="n">
        <v>0</v>
      </c>
      <c r="K8836" t="n">
        <v>0</v>
      </c>
      <c r="L8836" t="n">
        <v>0</v>
      </c>
      <c r="M8836" t="n">
        <v>0</v>
      </c>
      <c r="N8836" t="n">
        <v>0</v>
      </c>
      <c r="O8836" t="n">
        <v>0</v>
      </c>
      <c r="P8836" t="n">
        <v>0</v>
      </c>
      <c r="Q8836" t="n">
        <v>0</v>
      </c>
      <c r="R8836" s="2" t="inlineStr"/>
    </row>
    <row r="8837" ht="15" customHeight="1">
      <c r="A8837" t="inlineStr">
        <is>
          <t>A 28840-2024</t>
        </is>
      </c>
      <c r="B8837" s="1" t="n">
        <v>45478</v>
      </c>
      <c r="C8837" s="1" t="n">
        <v>45798</v>
      </c>
      <c r="D8837" t="inlineStr">
        <is>
          <t>NORRBOTTENS LÄN</t>
        </is>
      </c>
      <c r="E8837" t="inlineStr">
        <is>
          <t>KALIX</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28887-2024</t>
        </is>
      </c>
      <c r="B8838" s="1" t="n">
        <v>45480</v>
      </c>
      <c r="C8838" s="1" t="n">
        <v>45798</v>
      </c>
      <c r="D8838" t="inlineStr">
        <is>
          <t>NORRBOTTENS LÄN</t>
        </is>
      </c>
      <c r="E8838" t="inlineStr">
        <is>
          <t>ARVIDSJAUR</t>
        </is>
      </c>
      <c r="F8838" t="inlineStr">
        <is>
          <t>SCA</t>
        </is>
      </c>
      <c r="G8838" t="n">
        <v>11.9</v>
      </c>
      <c r="H8838" t="n">
        <v>0</v>
      </c>
      <c r="I8838" t="n">
        <v>0</v>
      </c>
      <c r="J8838" t="n">
        <v>0</v>
      </c>
      <c r="K8838" t="n">
        <v>0</v>
      </c>
      <c r="L8838" t="n">
        <v>0</v>
      </c>
      <c r="M8838" t="n">
        <v>0</v>
      </c>
      <c r="N8838" t="n">
        <v>0</v>
      </c>
      <c r="O8838" t="n">
        <v>0</v>
      </c>
      <c r="P8838" t="n">
        <v>0</v>
      </c>
      <c r="Q8838" t="n">
        <v>0</v>
      </c>
      <c r="R8838" s="2" t="inlineStr"/>
    </row>
    <row r="8839" ht="15" customHeight="1">
      <c r="A8839" t="inlineStr">
        <is>
          <t>A 28898-2024</t>
        </is>
      </c>
      <c r="B8839" s="1" t="n">
        <v>45480</v>
      </c>
      <c r="C8839" s="1" t="n">
        <v>45798</v>
      </c>
      <c r="D8839" t="inlineStr">
        <is>
          <t>NORRBOTTENS LÄN</t>
        </is>
      </c>
      <c r="E8839" t="inlineStr">
        <is>
          <t>BODEN</t>
        </is>
      </c>
      <c r="G8839" t="n">
        <v>42.8</v>
      </c>
      <c r="H8839" t="n">
        <v>0</v>
      </c>
      <c r="I8839" t="n">
        <v>0</v>
      </c>
      <c r="J8839" t="n">
        <v>0</v>
      </c>
      <c r="K8839" t="n">
        <v>0</v>
      </c>
      <c r="L8839" t="n">
        <v>0</v>
      </c>
      <c r="M8839" t="n">
        <v>0</v>
      </c>
      <c r="N8839" t="n">
        <v>0</v>
      </c>
      <c r="O8839" t="n">
        <v>0</v>
      </c>
      <c r="P8839" t="n">
        <v>0</v>
      </c>
      <c r="Q8839" t="n">
        <v>0</v>
      </c>
      <c r="R8839" s="2" t="inlineStr"/>
    </row>
    <row r="8840" ht="15" customHeight="1">
      <c r="A8840" t="inlineStr">
        <is>
          <t>A 29010-2024</t>
        </is>
      </c>
      <c r="B8840" s="1" t="n">
        <v>45481</v>
      </c>
      <c r="C8840" s="1" t="n">
        <v>45798</v>
      </c>
      <c r="D8840" t="inlineStr">
        <is>
          <t>NORRBOTTENS LÄN</t>
        </is>
      </c>
      <c r="E8840" t="inlineStr">
        <is>
          <t>GÄLLIVARE</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28953-2024</t>
        </is>
      </c>
      <c r="B8841" s="1" t="n">
        <v>45481</v>
      </c>
      <c r="C8841" s="1" t="n">
        <v>45798</v>
      </c>
      <c r="D8841" t="inlineStr">
        <is>
          <t>NORRBOTTENS LÄN</t>
        </is>
      </c>
      <c r="E8841" t="inlineStr">
        <is>
          <t>ÖVERTORNEÅ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29109-2024</t>
        </is>
      </c>
      <c r="B8842" s="1" t="n">
        <v>45482</v>
      </c>
      <c r="C8842" s="1" t="n">
        <v>45798</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29078-2024</t>
        </is>
      </c>
      <c r="B8843" s="1" t="n">
        <v>45481</v>
      </c>
      <c r="C8843" s="1" t="n">
        <v>45798</v>
      </c>
      <c r="D8843" t="inlineStr">
        <is>
          <t>NORRBOTTENS LÄN</t>
        </is>
      </c>
      <c r="E8843" t="inlineStr">
        <is>
          <t>PAJALA</t>
        </is>
      </c>
      <c r="G8843" t="n">
        <v>21.3</v>
      </c>
      <c r="H8843" t="n">
        <v>0</v>
      </c>
      <c r="I8843" t="n">
        <v>0</v>
      </c>
      <c r="J8843" t="n">
        <v>0</v>
      </c>
      <c r="K8843" t="n">
        <v>0</v>
      </c>
      <c r="L8843" t="n">
        <v>0</v>
      </c>
      <c r="M8843" t="n">
        <v>0</v>
      </c>
      <c r="N8843" t="n">
        <v>0</v>
      </c>
      <c r="O8843" t="n">
        <v>0</v>
      </c>
      <c r="P8843" t="n">
        <v>0</v>
      </c>
      <c r="Q8843" t="n">
        <v>0</v>
      </c>
      <c r="R8843" s="2" t="inlineStr"/>
    </row>
    <row r="8844" ht="15" customHeight="1">
      <c r="A8844" t="inlineStr">
        <is>
          <t>A 28956-2024</t>
        </is>
      </c>
      <c r="B8844" s="1" t="n">
        <v>45481</v>
      </c>
      <c r="C8844" s="1" t="n">
        <v>45798</v>
      </c>
      <c r="D8844" t="inlineStr">
        <is>
          <t>NORRBOTTENS LÄN</t>
        </is>
      </c>
      <c r="E8844" t="inlineStr">
        <is>
          <t>KALIX</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28927-2024</t>
        </is>
      </c>
      <c r="B8845" s="1" t="n">
        <v>45481</v>
      </c>
      <c r="C8845" s="1" t="n">
        <v>45798</v>
      </c>
      <c r="D8845" t="inlineStr">
        <is>
          <t>NORRBOTTENS LÄN</t>
        </is>
      </c>
      <c r="E8845" t="inlineStr">
        <is>
          <t>ÖVERTORNEÅ</t>
        </is>
      </c>
      <c r="F8845" t="inlineStr">
        <is>
          <t>Sveaskog</t>
        </is>
      </c>
      <c r="G8845" t="n">
        <v>7.8</v>
      </c>
      <c r="H8845" t="n">
        <v>0</v>
      </c>
      <c r="I8845" t="n">
        <v>0</v>
      </c>
      <c r="J8845" t="n">
        <v>0</v>
      </c>
      <c r="K8845" t="n">
        <v>0</v>
      </c>
      <c r="L8845" t="n">
        <v>0</v>
      </c>
      <c r="M8845" t="n">
        <v>0</v>
      </c>
      <c r="N8845" t="n">
        <v>0</v>
      </c>
      <c r="O8845" t="n">
        <v>0</v>
      </c>
      <c r="P8845" t="n">
        <v>0</v>
      </c>
      <c r="Q8845" t="n">
        <v>0</v>
      </c>
      <c r="R8845" s="2" t="inlineStr"/>
    </row>
    <row r="8846" ht="15" customHeight="1">
      <c r="A8846" t="inlineStr">
        <is>
          <t>A 29110-2024</t>
        </is>
      </c>
      <c r="B8846" s="1" t="n">
        <v>45482</v>
      </c>
      <c r="C8846" s="1" t="n">
        <v>45798</v>
      </c>
      <c r="D8846" t="inlineStr">
        <is>
          <t>NORRBOTTENS LÄN</t>
        </is>
      </c>
      <c r="E8846" t="inlineStr">
        <is>
          <t>ÄLVSBYN</t>
        </is>
      </c>
      <c r="F8846" t="inlineStr">
        <is>
          <t>SCA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28928-2024</t>
        </is>
      </c>
      <c r="B8847" s="1" t="n">
        <v>45481</v>
      </c>
      <c r="C8847" s="1" t="n">
        <v>45798</v>
      </c>
      <c r="D8847" t="inlineStr">
        <is>
          <t>NORRBOTTENS LÄN</t>
        </is>
      </c>
      <c r="E8847" t="inlineStr">
        <is>
          <t>ÖVERTORNEÅ</t>
        </is>
      </c>
      <c r="F8847" t="inlineStr">
        <is>
          <t>Sveaskog</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29112-2024</t>
        </is>
      </c>
      <c r="B8848" s="1" t="n">
        <v>45482</v>
      </c>
      <c r="C8848" s="1" t="n">
        <v>45798</v>
      </c>
      <c r="D8848" t="inlineStr">
        <is>
          <t>NORRBOTTENS LÄN</t>
        </is>
      </c>
      <c r="E8848" t="inlineStr">
        <is>
          <t>ÄLVSBYN</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28926-2024</t>
        </is>
      </c>
      <c r="B8849" s="1" t="n">
        <v>45481</v>
      </c>
      <c r="C8849" s="1" t="n">
        <v>45798</v>
      </c>
      <c r="D8849" t="inlineStr">
        <is>
          <t>NORRBOTTENS LÄN</t>
        </is>
      </c>
      <c r="E8849" t="inlineStr">
        <is>
          <t>ARVIDSJAUR</t>
        </is>
      </c>
      <c r="F8849" t="inlineStr">
        <is>
          <t>Sveaskog</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29011-2024</t>
        </is>
      </c>
      <c r="B8850" s="1" t="n">
        <v>45481</v>
      </c>
      <c r="C8850" s="1" t="n">
        <v>45798</v>
      </c>
      <c r="D8850" t="inlineStr">
        <is>
          <t>NORRBOTTENS LÄN</t>
        </is>
      </c>
      <c r="E8850" t="inlineStr">
        <is>
          <t>GÄLLIVARE</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28958-2024</t>
        </is>
      </c>
      <c r="B8851" s="1" t="n">
        <v>45481</v>
      </c>
      <c r="C8851" s="1" t="n">
        <v>45798</v>
      </c>
      <c r="D8851" t="inlineStr">
        <is>
          <t>NORRBOTTENS LÄN</t>
        </is>
      </c>
      <c r="E8851" t="inlineStr">
        <is>
          <t>KALIX</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28925-2024</t>
        </is>
      </c>
      <c r="B8852" s="1" t="n">
        <v>45481</v>
      </c>
      <c r="C8852" s="1" t="n">
        <v>45798</v>
      </c>
      <c r="D8852" t="inlineStr">
        <is>
          <t>NORRBOTTENS LÄN</t>
        </is>
      </c>
      <c r="E8852" t="inlineStr">
        <is>
          <t>ARVIDSJAUR</t>
        </is>
      </c>
      <c r="F8852" t="inlineStr">
        <is>
          <t>Sveaskog</t>
        </is>
      </c>
      <c r="G8852" t="n">
        <v>14.6</v>
      </c>
      <c r="H8852" t="n">
        <v>0</v>
      </c>
      <c r="I8852" t="n">
        <v>0</v>
      </c>
      <c r="J8852" t="n">
        <v>0</v>
      </c>
      <c r="K8852" t="n">
        <v>0</v>
      </c>
      <c r="L8852" t="n">
        <v>0</v>
      </c>
      <c r="M8852" t="n">
        <v>0</v>
      </c>
      <c r="N8852" t="n">
        <v>0</v>
      </c>
      <c r="O8852" t="n">
        <v>0</v>
      </c>
      <c r="P8852" t="n">
        <v>0</v>
      </c>
      <c r="Q8852" t="n">
        <v>0</v>
      </c>
      <c r="R8852" s="2" t="inlineStr"/>
    </row>
    <row r="8853" ht="15" customHeight="1">
      <c r="A8853" t="inlineStr">
        <is>
          <t>A 29111-2024</t>
        </is>
      </c>
      <c r="B8853" s="1" t="n">
        <v>45482</v>
      </c>
      <c r="C8853" s="1" t="n">
        <v>45798</v>
      </c>
      <c r="D8853" t="inlineStr">
        <is>
          <t>NORRBOTTENS LÄN</t>
        </is>
      </c>
      <c r="E8853" t="inlineStr">
        <is>
          <t>ÄLVSBYN</t>
        </is>
      </c>
      <c r="F8853" t="inlineStr">
        <is>
          <t>SCA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29146-2024</t>
        </is>
      </c>
      <c r="B8854" s="1" t="n">
        <v>45482</v>
      </c>
      <c r="C8854" s="1" t="n">
        <v>45798</v>
      </c>
      <c r="D8854" t="inlineStr">
        <is>
          <t>NORRBOTTENS LÄN</t>
        </is>
      </c>
      <c r="E8854" t="inlineStr">
        <is>
          <t>KALIX</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29281-2024</t>
        </is>
      </c>
      <c r="B8855" s="1" t="n">
        <v>45483</v>
      </c>
      <c r="C8855" s="1" t="n">
        <v>45798</v>
      </c>
      <c r="D8855" t="inlineStr">
        <is>
          <t>NORRBOTTENS LÄN</t>
        </is>
      </c>
      <c r="E8855" t="inlineStr">
        <is>
          <t>BODEN</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29213-2024</t>
        </is>
      </c>
      <c r="B8856" s="1" t="n">
        <v>45482</v>
      </c>
      <c r="C8856" s="1" t="n">
        <v>45798</v>
      </c>
      <c r="D8856" t="inlineStr">
        <is>
          <t>NORRBOTTENS LÄN</t>
        </is>
      </c>
      <c r="E8856" t="inlineStr">
        <is>
          <t>JOKKMOKK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29237-2024</t>
        </is>
      </c>
      <c r="B8857" s="1" t="n">
        <v>45483</v>
      </c>
      <c r="C8857" s="1" t="n">
        <v>45798</v>
      </c>
      <c r="D8857" t="inlineStr">
        <is>
          <t>NORRBOTTENS LÄN</t>
        </is>
      </c>
      <c r="E8857" t="inlineStr">
        <is>
          <t>LULEÅ</t>
        </is>
      </c>
      <c r="G8857" t="n">
        <v>10.3</v>
      </c>
      <c r="H8857" t="n">
        <v>0</v>
      </c>
      <c r="I8857" t="n">
        <v>0</v>
      </c>
      <c r="J8857" t="n">
        <v>0</v>
      </c>
      <c r="K8857" t="n">
        <v>0</v>
      </c>
      <c r="L8857" t="n">
        <v>0</v>
      </c>
      <c r="M8857" t="n">
        <v>0</v>
      </c>
      <c r="N8857" t="n">
        <v>0</v>
      </c>
      <c r="O8857" t="n">
        <v>0</v>
      </c>
      <c r="P8857" t="n">
        <v>0</v>
      </c>
      <c r="Q8857" t="n">
        <v>0</v>
      </c>
      <c r="R8857" s="2" t="inlineStr"/>
    </row>
    <row r="8858" ht="15" customHeight="1">
      <c r="A8858" t="inlineStr">
        <is>
          <t>A 29190-2024</t>
        </is>
      </c>
      <c r="B8858" s="1" t="n">
        <v>45482</v>
      </c>
      <c r="C8858" s="1" t="n">
        <v>45798</v>
      </c>
      <c r="D8858" t="inlineStr">
        <is>
          <t>NORRBOTTENS LÄN</t>
        </is>
      </c>
      <c r="E8858" t="inlineStr">
        <is>
          <t>PITEÅ</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29282-2024</t>
        </is>
      </c>
      <c r="B8859" s="1" t="n">
        <v>45483</v>
      </c>
      <c r="C8859" s="1" t="n">
        <v>45798</v>
      </c>
      <c r="D8859" t="inlineStr">
        <is>
          <t>NORRBOTTENS LÄN</t>
        </is>
      </c>
      <c r="E8859" t="inlineStr">
        <is>
          <t>BODEN</t>
        </is>
      </c>
      <c r="F8859" t="inlineStr">
        <is>
          <t>SCA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29254-2024</t>
        </is>
      </c>
      <c r="B8860" s="1" t="n">
        <v>45482</v>
      </c>
      <c r="C8860" s="1" t="n">
        <v>45798</v>
      </c>
      <c r="D8860" t="inlineStr">
        <is>
          <t>NORRBOTTENS LÄN</t>
        </is>
      </c>
      <c r="E8860" t="inlineStr">
        <is>
          <t>GÄLLIVARE</t>
        </is>
      </c>
      <c r="F8860" t="inlineStr">
        <is>
          <t>SCA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29238-2024</t>
        </is>
      </c>
      <c r="B8861" s="1" t="n">
        <v>45483</v>
      </c>
      <c r="C8861" s="1" t="n">
        <v>45798</v>
      </c>
      <c r="D8861" t="inlineStr">
        <is>
          <t>NORRBOTTENS LÄN</t>
        </is>
      </c>
      <c r="E8861" t="inlineStr">
        <is>
          <t>PAJALA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29185-2024</t>
        </is>
      </c>
      <c r="B8862" s="1" t="n">
        <v>45482</v>
      </c>
      <c r="C8862" s="1" t="n">
        <v>45798</v>
      </c>
      <c r="D8862" t="inlineStr">
        <is>
          <t>NORRBOTTENS LÄN</t>
        </is>
      </c>
      <c r="E8862" t="inlineStr">
        <is>
          <t>PITEÅ</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29253-2024</t>
        </is>
      </c>
      <c r="B8863" s="1" t="n">
        <v>45482</v>
      </c>
      <c r="C8863" s="1" t="n">
        <v>45798</v>
      </c>
      <c r="D8863" t="inlineStr">
        <is>
          <t>NORRBOTTENS LÄN</t>
        </is>
      </c>
      <c r="E8863" t="inlineStr">
        <is>
          <t>GÄLLIVARE</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29212-2024</t>
        </is>
      </c>
      <c r="B8864" s="1" t="n">
        <v>45482</v>
      </c>
      <c r="C8864" s="1" t="n">
        <v>45798</v>
      </c>
      <c r="D8864" t="inlineStr">
        <is>
          <t>NORRBOTTENS LÄN</t>
        </is>
      </c>
      <c r="E8864" t="inlineStr">
        <is>
          <t>JOKKMOKK</t>
        </is>
      </c>
      <c r="G8864" t="n">
        <v>8.5</v>
      </c>
      <c r="H8864" t="n">
        <v>0</v>
      </c>
      <c r="I8864" t="n">
        <v>0</v>
      </c>
      <c r="J8864" t="n">
        <v>0</v>
      </c>
      <c r="K8864" t="n">
        <v>0</v>
      </c>
      <c r="L8864" t="n">
        <v>0</v>
      </c>
      <c r="M8864" t="n">
        <v>0</v>
      </c>
      <c r="N8864" t="n">
        <v>0</v>
      </c>
      <c r="O8864" t="n">
        <v>0</v>
      </c>
      <c r="P8864" t="n">
        <v>0</v>
      </c>
      <c r="Q8864" t="n">
        <v>0</v>
      </c>
      <c r="R8864" s="2" t="inlineStr"/>
    </row>
    <row r="8865" ht="15" customHeight="1">
      <c r="A8865" t="inlineStr">
        <is>
          <t>A 29191-2024</t>
        </is>
      </c>
      <c r="B8865" s="1" t="n">
        <v>45482</v>
      </c>
      <c r="C8865" s="1" t="n">
        <v>45798</v>
      </c>
      <c r="D8865" t="inlineStr">
        <is>
          <t>NORRBOTTENS LÄN</t>
        </is>
      </c>
      <c r="E8865" t="inlineStr">
        <is>
          <t>PITEÅ</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29137-2024</t>
        </is>
      </c>
      <c r="B8866" s="1" t="n">
        <v>45482</v>
      </c>
      <c r="C8866" s="1" t="n">
        <v>45798</v>
      </c>
      <c r="D8866" t="inlineStr">
        <is>
          <t>NORRBOTTENS LÄN</t>
        </is>
      </c>
      <c r="E8866" t="inlineStr">
        <is>
          <t>KALIX</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29377-2024</t>
        </is>
      </c>
      <c r="B8867" s="1" t="n">
        <v>45483</v>
      </c>
      <c r="C8867" s="1" t="n">
        <v>45798</v>
      </c>
      <c r="D8867" t="inlineStr">
        <is>
          <t>NORRBOTTENS LÄN</t>
        </is>
      </c>
      <c r="E8867" t="inlineStr">
        <is>
          <t>BODEN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29328-2024</t>
        </is>
      </c>
      <c r="B8868" s="1" t="n">
        <v>45483</v>
      </c>
      <c r="C8868" s="1" t="n">
        <v>45798</v>
      </c>
      <c r="D8868" t="inlineStr">
        <is>
          <t>NORRBOTTENS LÄN</t>
        </is>
      </c>
      <c r="E8868" t="inlineStr">
        <is>
          <t>BODEN</t>
        </is>
      </c>
      <c r="G8868" t="n">
        <v>10.6</v>
      </c>
      <c r="H8868" t="n">
        <v>0</v>
      </c>
      <c r="I8868" t="n">
        <v>0</v>
      </c>
      <c r="J8868" t="n">
        <v>0</v>
      </c>
      <c r="K8868" t="n">
        <v>0</v>
      </c>
      <c r="L8868" t="n">
        <v>0</v>
      </c>
      <c r="M8868" t="n">
        <v>0</v>
      </c>
      <c r="N8868" t="n">
        <v>0</v>
      </c>
      <c r="O8868" t="n">
        <v>0</v>
      </c>
      <c r="P8868" t="n">
        <v>0</v>
      </c>
      <c r="Q8868" t="n">
        <v>0</v>
      </c>
      <c r="R8868" s="2" t="inlineStr"/>
    </row>
    <row r="8869" ht="15" customHeight="1">
      <c r="A8869" t="inlineStr">
        <is>
          <t>A 29368-2024</t>
        </is>
      </c>
      <c r="B8869" s="1" t="n">
        <v>45483</v>
      </c>
      <c r="C8869" s="1" t="n">
        <v>45798</v>
      </c>
      <c r="D8869" t="inlineStr">
        <is>
          <t>NORRBOTTENS LÄN</t>
        </is>
      </c>
      <c r="E8869" t="inlineStr">
        <is>
          <t>ARVIDSJAUR</t>
        </is>
      </c>
      <c r="F8869" t="inlineStr">
        <is>
          <t>Sveaskog</t>
        </is>
      </c>
      <c r="G8869" t="n">
        <v>30.6</v>
      </c>
      <c r="H8869" t="n">
        <v>0</v>
      </c>
      <c r="I8869" t="n">
        <v>0</v>
      </c>
      <c r="J8869" t="n">
        <v>0</v>
      </c>
      <c r="K8869" t="n">
        <v>0</v>
      </c>
      <c r="L8869" t="n">
        <v>0</v>
      </c>
      <c r="M8869" t="n">
        <v>0</v>
      </c>
      <c r="N8869" t="n">
        <v>0</v>
      </c>
      <c r="O8869" t="n">
        <v>0</v>
      </c>
      <c r="P8869" t="n">
        <v>0</v>
      </c>
      <c r="Q8869" t="n">
        <v>0</v>
      </c>
      <c r="R8869" s="2" t="inlineStr"/>
    </row>
    <row r="8870" ht="15" customHeight="1">
      <c r="A8870" t="inlineStr">
        <is>
          <t>A 29372-2024</t>
        </is>
      </c>
      <c r="B8870" s="1" t="n">
        <v>45483</v>
      </c>
      <c r="C8870" s="1" t="n">
        <v>45798</v>
      </c>
      <c r="D8870" t="inlineStr">
        <is>
          <t>NORRBOTTENS LÄN</t>
        </is>
      </c>
      <c r="E8870" t="inlineStr">
        <is>
          <t>ARVIDSJAUR</t>
        </is>
      </c>
      <c r="F8870" t="inlineStr">
        <is>
          <t>Sveaskog</t>
        </is>
      </c>
      <c r="G8870" t="n">
        <v>28.1</v>
      </c>
      <c r="H8870" t="n">
        <v>0</v>
      </c>
      <c r="I8870" t="n">
        <v>0</v>
      </c>
      <c r="J8870" t="n">
        <v>0</v>
      </c>
      <c r="K8870" t="n">
        <v>0</v>
      </c>
      <c r="L8870" t="n">
        <v>0</v>
      </c>
      <c r="M8870" t="n">
        <v>0</v>
      </c>
      <c r="N8870" t="n">
        <v>0</v>
      </c>
      <c r="O8870" t="n">
        <v>0</v>
      </c>
      <c r="P8870" t="n">
        <v>0</v>
      </c>
      <c r="Q8870" t="n">
        <v>0</v>
      </c>
      <c r="R8870" s="2" t="inlineStr"/>
    </row>
    <row r="8871" ht="15" customHeight="1">
      <c r="A8871" t="inlineStr">
        <is>
          <t>A 29381-2024</t>
        </is>
      </c>
      <c r="B8871" s="1" t="n">
        <v>45483</v>
      </c>
      <c r="C8871" s="1" t="n">
        <v>45798</v>
      </c>
      <c r="D8871" t="inlineStr">
        <is>
          <t>NORRBOTTENS LÄN</t>
        </is>
      </c>
      <c r="E8871" t="inlineStr">
        <is>
          <t>GÄLLIVARE</t>
        </is>
      </c>
      <c r="F8871" t="inlineStr">
        <is>
          <t>Sveaskog</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29385-2024</t>
        </is>
      </c>
      <c r="B8872" s="1" t="n">
        <v>45483</v>
      </c>
      <c r="C8872" s="1" t="n">
        <v>45798</v>
      </c>
      <c r="D8872" t="inlineStr">
        <is>
          <t>NORRBOTTENS LÄN</t>
        </is>
      </c>
      <c r="E8872" t="inlineStr">
        <is>
          <t>GÄLLIVARE</t>
        </is>
      </c>
      <c r="F8872" t="inlineStr">
        <is>
          <t>Sveaskog</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29649-2024</t>
        </is>
      </c>
      <c r="B8873" s="1" t="n">
        <v>45484</v>
      </c>
      <c r="C8873" s="1" t="n">
        <v>45798</v>
      </c>
      <c r="D8873" t="inlineStr">
        <is>
          <t>NORRBOTTENS LÄN</t>
        </is>
      </c>
      <c r="E8873" t="inlineStr">
        <is>
          <t>ARJEPLOG</t>
        </is>
      </c>
      <c r="F8873" t="inlineStr">
        <is>
          <t>Allmännings- och besparingsskogar</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29681-2024</t>
        </is>
      </c>
      <c r="B8874" s="1" t="n">
        <v>45485</v>
      </c>
      <c r="C8874" s="1" t="n">
        <v>45798</v>
      </c>
      <c r="D8874" t="inlineStr">
        <is>
          <t>NORRBOTTENS LÄN</t>
        </is>
      </c>
      <c r="E8874" t="inlineStr">
        <is>
          <t>ARVIDSJAUR</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29648-2024</t>
        </is>
      </c>
      <c r="B8875" s="1" t="n">
        <v>45484</v>
      </c>
      <c r="C8875" s="1" t="n">
        <v>45798</v>
      </c>
      <c r="D8875" t="inlineStr">
        <is>
          <t>NORRBOTTENS LÄN</t>
        </is>
      </c>
      <c r="E8875" t="inlineStr">
        <is>
          <t>LULEÅ</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29677-2024</t>
        </is>
      </c>
      <c r="B8876" s="1" t="n">
        <v>45485</v>
      </c>
      <c r="C8876" s="1" t="n">
        <v>45798</v>
      </c>
      <c r="D8876" t="inlineStr">
        <is>
          <t>NORRBOTTENS LÄN</t>
        </is>
      </c>
      <c r="E8876" t="inlineStr">
        <is>
          <t>ARVIDSJAUR</t>
        </is>
      </c>
      <c r="F8876" t="inlineStr">
        <is>
          <t>SCA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29683-2024</t>
        </is>
      </c>
      <c r="B8877" s="1" t="n">
        <v>45485</v>
      </c>
      <c r="C8877" s="1" t="n">
        <v>45798</v>
      </c>
      <c r="D8877" t="inlineStr">
        <is>
          <t>NORRBOTTENS LÄN</t>
        </is>
      </c>
      <c r="E8877" t="inlineStr">
        <is>
          <t>ÄLVSBYN</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29682-2024</t>
        </is>
      </c>
      <c r="B8878" s="1" t="n">
        <v>45485</v>
      </c>
      <c r="C8878" s="1" t="n">
        <v>45798</v>
      </c>
      <c r="D8878" t="inlineStr">
        <is>
          <t>NORRBOTTENS LÄN</t>
        </is>
      </c>
      <c r="E8878" t="inlineStr">
        <is>
          <t>ÄLVSBYN</t>
        </is>
      </c>
      <c r="F8878" t="inlineStr">
        <is>
          <t>SCA</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29678-2024</t>
        </is>
      </c>
      <c r="B8879" s="1" t="n">
        <v>45485</v>
      </c>
      <c r="C8879" s="1" t="n">
        <v>45798</v>
      </c>
      <c r="D8879" t="inlineStr">
        <is>
          <t>NORRBOTTENS LÄN</t>
        </is>
      </c>
      <c r="E8879" t="inlineStr">
        <is>
          <t>PITEÅ</t>
        </is>
      </c>
      <c r="F8879" t="inlineStr">
        <is>
          <t>SCA</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29674-2024</t>
        </is>
      </c>
      <c r="B8880" s="1" t="n">
        <v>45485</v>
      </c>
      <c r="C8880" s="1" t="n">
        <v>45798</v>
      </c>
      <c r="D8880" t="inlineStr">
        <is>
          <t>NORRBOTTENS LÄN</t>
        </is>
      </c>
      <c r="E8880" t="inlineStr">
        <is>
          <t>ARVIDSJAUR</t>
        </is>
      </c>
      <c r="F8880" t="inlineStr">
        <is>
          <t>SCA</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29676-2024</t>
        </is>
      </c>
      <c r="B8881" s="1" t="n">
        <v>45485</v>
      </c>
      <c r="C8881" s="1" t="n">
        <v>45798</v>
      </c>
      <c r="D8881" t="inlineStr">
        <is>
          <t>NORRBOTTENS LÄN</t>
        </is>
      </c>
      <c r="E8881" t="inlineStr">
        <is>
          <t>ARVIDSJAUR</t>
        </is>
      </c>
      <c r="F8881" t="inlineStr">
        <is>
          <t>SCA</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29604-2024</t>
        </is>
      </c>
      <c r="B8882" s="1" t="n">
        <v>45484</v>
      </c>
      <c r="C8882" s="1" t="n">
        <v>45798</v>
      </c>
      <c r="D8882" t="inlineStr">
        <is>
          <t>NORRBOTTENS LÄN</t>
        </is>
      </c>
      <c r="E8882" t="inlineStr">
        <is>
          <t>PAJALA</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29552-2024</t>
        </is>
      </c>
      <c r="B8883" s="1" t="n">
        <v>45484</v>
      </c>
      <c r="C8883" s="1" t="n">
        <v>45798</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29555-2024</t>
        </is>
      </c>
      <c r="B8884" s="1" t="n">
        <v>45484</v>
      </c>
      <c r="C8884" s="1" t="n">
        <v>45798</v>
      </c>
      <c r="D8884" t="inlineStr">
        <is>
          <t>NORRBOTTENS LÄN</t>
        </is>
      </c>
      <c r="E8884" t="inlineStr">
        <is>
          <t>LULEÅ</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29551-2024</t>
        </is>
      </c>
      <c r="B8885" s="1" t="n">
        <v>45484</v>
      </c>
      <c r="C8885" s="1" t="n">
        <v>45798</v>
      </c>
      <c r="D8885" t="inlineStr">
        <is>
          <t>NORRBOTTENS LÄN</t>
        </is>
      </c>
      <c r="E8885" t="inlineStr">
        <is>
          <t>PAJALA</t>
        </is>
      </c>
      <c r="F8885" t="inlineStr">
        <is>
          <t>Sveaskog</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29650-2024</t>
        </is>
      </c>
      <c r="B8886" s="1" t="n">
        <v>45484</v>
      </c>
      <c r="C8886" s="1" t="n">
        <v>45798</v>
      </c>
      <c r="D8886" t="inlineStr">
        <is>
          <t>NORRBOTTENS LÄN</t>
        </is>
      </c>
      <c r="E8886" t="inlineStr">
        <is>
          <t>LULEÅ</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29550-2024</t>
        </is>
      </c>
      <c r="B8887" s="1" t="n">
        <v>45484</v>
      </c>
      <c r="C8887" s="1" t="n">
        <v>45798</v>
      </c>
      <c r="D8887" t="inlineStr">
        <is>
          <t>NORRBOTTENS LÄN</t>
        </is>
      </c>
      <c r="E8887" t="inlineStr">
        <is>
          <t>LULEÅ</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29542-2024</t>
        </is>
      </c>
      <c r="B8888" s="1" t="n">
        <v>45484</v>
      </c>
      <c r="C8888" s="1" t="n">
        <v>45798</v>
      </c>
      <c r="D8888" t="inlineStr">
        <is>
          <t>NORRBOTTENS LÄN</t>
        </is>
      </c>
      <c r="E8888" t="inlineStr">
        <is>
          <t>PAJALA</t>
        </is>
      </c>
      <c r="G8888" t="n">
        <v>10.4</v>
      </c>
      <c r="H8888" t="n">
        <v>0</v>
      </c>
      <c r="I8888" t="n">
        <v>0</v>
      </c>
      <c r="J8888" t="n">
        <v>0</v>
      </c>
      <c r="K8888" t="n">
        <v>0</v>
      </c>
      <c r="L8888" t="n">
        <v>0</v>
      </c>
      <c r="M8888" t="n">
        <v>0</v>
      </c>
      <c r="N8888" t="n">
        <v>0</v>
      </c>
      <c r="O8888" t="n">
        <v>0</v>
      </c>
      <c r="P8888" t="n">
        <v>0</v>
      </c>
      <c r="Q8888" t="n">
        <v>0</v>
      </c>
      <c r="R8888" s="2" t="inlineStr"/>
    </row>
    <row r="8889" ht="15" customHeight="1">
      <c r="A8889" t="inlineStr">
        <is>
          <t>A 29750-2024</t>
        </is>
      </c>
      <c r="B8889" s="1" t="n">
        <v>45485</v>
      </c>
      <c r="C8889" s="1" t="n">
        <v>45798</v>
      </c>
      <c r="D8889" t="inlineStr">
        <is>
          <t>NORRBOTTENS LÄN</t>
        </is>
      </c>
      <c r="E8889" t="inlineStr">
        <is>
          <t>GÄLLIVARE</t>
        </is>
      </c>
      <c r="F8889" t="inlineStr">
        <is>
          <t>Sveaskog</t>
        </is>
      </c>
      <c r="G8889" t="n">
        <v>7.9</v>
      </c>
      <c r="H8889" t="n">
        <v>0</v>
      </c>
      <c r="I8889" t="n">
        <v>0</v>
      </c>
      <c r="J8889" t="n">
        <v>0</v>
      </c>
      <c r="K8889" t="n">
        <v>0</v>
      </c>
      <c r="L8889" t="n">
        <v>0</v>
      </c>
      <c r="M8889" t="n">
        <v>0</v>
      </c>
      <c r="N8889" t="n">
        <v>0</v>
      </c>
      <c r="O8889" t="n">
        <v>0</v>
      </c>
      <c r="P8889" t="n">
        <v>0</v>
      </c>
      <c r="Q8889" t="n">
        <v>0</v>
      </c>
      <c r="R8889" s="2" t="inlineStr"/>
    </row>
    <row r="8890" ht="15" customHeight="1">
      <c r="A8890" t="inlineStr">
        <is>
          <t>A 29782-2024</t>
        </is>
      </c>
      <c r="B8890" s="1" t="n">
        <v>45485</v>
      </c>
      <c r="C8890" s="1" t="n">
        <v>45798</v>
      </c>
      <c r="D8890" t="inlineStr">
        <is>
          <t>NORRBOTTENS LÄN</t>
        </is>
      </c>
      <c r="E8890" t="inlineStr">
        <is>
          <t>GÄLLIVARE</t>
        </is>
      </c>
      <c r="F8890" t="inlineStr">
        <is>
          <t>Sveaskog</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29814-2024</t>
        </is>
      </c>
      <c r="B8891" s="1" t="n">
        <v>45485</v>
      </c>
      <c r="C8891" s="1" t="n">
        <v>45798</v>
      </c>
      <c r="D8891" t="inlineStr">
        <is>
          <t>NORRBOTTENS LÄN</t>
        </is>
      </c>
      <c r="E8891" t="inlineStr">
        <is>
          <t>PAJALA</t>
        </is>
      </c>
      <c r="F8891" t="inlineStr">
        <is>
          <t>Sveaskog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29751-2024</t>
        </is>
      </c>
      <c r="B8892" s="1" t="n">
        <v>45485</v>
      </c>
      <c r="C8892" s="1" t="n">
        <v>45798</v>
      </c>
      <c r="D8892" t="inlineStr">
        <is>
          <t>NORRBOTTENS LÄN</t>
        </is>
      </c>
      <c r="E8892" t="inlineStr">
        <is>
          <t>GÄLLIVARE</t>
        </is>
      </c>
      <c r="F8892" t="inlineStr">
        <is>
          <t>Sveaskog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29760-2024</t>
        </is>
      </c>
      <c r="B8893" s="1" t="n">
        <v>45485</v>
      </c>
      <c r="C8893" s="1" t="n">
        <v>45798</v>
      </c>
      <c r="D8893" t="inlineStr">
        <is>
          <t>NORRBOTTENS LÄN</t>
        </is>
      </c>
      <c r="E8893" t="inlineStr">
        <is>
          <t>GÄLLIVARE</t>
        </is>
      </c>
      <c r="F8893" t="inlineStr">
        <is>
          <t>Sveaskog</t>
        </is>
      </c>
      <c r="G8893" t="n">
        <v>19.2</v>
      </c>
      <c r="H8893" t="n">
        <v>0</v>
      </c>
      <c r="I8893" t="n">
        <v>0</v>
      </c>
      <c r="J8893" t="n">
        <v>0</v>
      </c>
      <c r="K8893" t="n">
        <v>0</v>
      </c>
      <c r="L8893" t="n">
        <v>0</v>
      </c>
      <c r="M8893" t="n">
        <v>0</v>
      </c>
      <c r="N8893" t="n">
        <v>0</v>
      </c>
      <c r="O8893" t="n">
        <v>0</v>
      </c>
      <c r="P8893" t="n">
        <v>0</v>
      </c>
      <c r="Q8893" t="n">
        <v>0</v>
      </c>
      <c r="R8893" s="2" t="inlineStr"/>
    </row>
    <row r="8894" ht="15" customHeight="1">
      <c r="A8894" t="inlineStr">
        <is>
          <t>A 29753-2024</t>
        </is>
      </c>
      <c r="B8894" s="1" t="n">
        <v>45485</v>
      </c>
      <c r="C8894" s="1" t="n">
        <v>45798</v>
      </c>
      <c r="D8894" t="inlineStr">
        <is>
          <t>NORRBOTTENS LÄN</t>
        </is>
      </c>
      <c r="E8894" t="inlineStr">
        <is>
          <t>GÄLLIVARE</t>
        </is>
      </c>
      <c r="F8894" t="inlineStr">
        <is>
          <t>Sveaskog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29804-2024</t>
        </is>
      </c>
      <c r="B8895" s="1" t="n">
        <v>45485</v>
      </c>
      <c r="C8895" s="1" t="n">
        <v>45798</v>
      </c>
      <c r="D8895" t="inlineStr">
        <is>
          <t>NORRBOTTENS LÄN</t>
        </is>
      </c>
      <c r="E8895" t="inlineStr">
        <is>
          <t>PAJALA</t>
        </is>
      </c>
      <c r="F8895" t="inlineStr">
        <is>
          <t>Sveaskog</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29781-2024</t>
        </is>
      </c>
      <c r="B8896" s="1" t="n">
        <v>45485</v>
      </c>
      <c r="C8896" s="1" t="n">
        <v>45798</v>
      </c>
      <c r="D8896" t="inlineStr">
        <is>
          <t>NORRBOTTENS LÄN</t>
        </is>
      </c>
      <c r="E8896" t="inlineStr">
        <is>
          <t>GÄLLIVARE</t>
        </is>
      </c>
      <c r="F8896" t="inlineStr">
        <is>
          <t>Sveaskog</t>
        </is>
      </c>
      <c r="G8896" t="n">
        <v>23.4</v>
      </c>
      <c r="H8896" t="n">
        <v>0</v>
      </c>
      <c r="I8896" t="n">
        <v>0</v>
      </c>
      <c r="J8896" t="n">
        <v>0</v>
      </c>
      <c r="K8896" t="n">
        <v>0</v>
      </c>
      <c r="L8896" t="n">
        <v>0</v>
      </c>
      <c r="M8896" t="n">
        <v>0</v>
      </c>
      <c r="N8896" t="n">
        <v>0</v>
      </c>
      <c r="O8896" t="n">
        <v>0</v>
      </c>
      <c r="P8896" t="n">
        <v>0</v>
      </c>
      <c r="Q8896" t="n">
        <v>0</v>
      </c>
      <c r="R8896" s="2" t="inlineStr"/>
    </row>
    <row r="8897" ht="15" customHeight="1">
      <c r="A8897" t="inlineStr">
        <is>
          <t>A 29805-2024</t>
        </is>
      </c>
      <c r="B8897" s="1" t="n">
        <v>45485</v>
      </c>
      <c r="C8897" s="1" t="n">
        <v>45798</v>
      </c>
      <c r="D8897" t="inlineStr">
        <is>
          <t>NORRBOTTENS LÄN</t>
        </is>
      </c>
      <c r="E8897" t="inlineStr">
        <is>
          <t>PAJALA</t>
        </is>
      </c>
      <c r="F8897" t="inlineStr">
        <is>
          <t>Sveaskog</t>
        </is>
      </c>
      <c r="G8897" t="n">
        <v>14.8</v>
      </c>
      <c r="H8897" t="n">
        <v>0</v>
      </c>
      <c r="I8897" t="n">
        <v>0</v>
      </c>
      <c r="J8897" t="n">
        <v>0</v>
      </c>
      <c r="K8897" t="n">
        <v>0</v>
      </c>
      <c r="L8897" t="n">
        <v>0</v>
      </c>
      <c r="M8897" t="n">
        <v>0</v>
      </c>
      <c r="N8897" t="n">
        <v>0</v>
      </c>
      <c r="O8897" t="n">
        <v>0</v>
      </c>
      <c r="P8897" t="n">
        <v>0</v>
      </c>
      <c r="Q8897" t="n">
        <v>0</v>
      </c>
      <c r="R8897" s="2" t="inlineStr"/>
    </row>
    <row r="8898" ht="15" customHeight="1">
      <c r="A8898" t="inlineStr">
        <is>
          <t>A 29809-2024</t>
        </is>
      </c>
      <c r="B8898" s="1" t="n">
        <v>45485</v>
      </c>
      <c r="C8898" s="1" t="n">
        <v>45798</v>
      </c>
      <c r="D8898" t="inlineStr">
        <is>
          <t>NORRBOTTENS LÄN</t>
        </is>
      </c>
      <c r="E8898" t="inlineStr">
        <is>
          <t>PAJALA</t>
        </is>
      </c>
      <c r="F8898" t="inlineStr">
        <is>
          <t>Sveaskog</t>
        </is>
      </c>
      <c r="G8898" t="n">
        <v>9.4</v>
      </c>
      <c r="H8898" t="n">
        <v>0</v>
      </c>
      <c r="I8898" t="n">
        <v>0</v>
      </c>
      <c r="J8898" t="n">
        <v>0</v>
      </c>
      <c r="K8898" t="n">
        <v>0</v>
      </c>
      <c r="L8898" t="n">
        <v>0</v>
      </c>
      <c r="M8898" t="n">
        <v>0</v>
      </c>
      <c r="N8898" t="n">
        <v>0</v>
      </c>
      <c r="O8898" t="n">
        <v>0</v>
      </c>
      <c r="P8898" t="n">
        <v>0</v>
      </c>
      <c r="Q8898" t="n">
        <v>0</v>
      </c>
      <c r="R8898" s="2" t="inlineStr"/>
    </row>
    <row r="8899" ht="15" customHeight="1">
      <c r="A8899" t="inlineStr">
        <is>
          <t>A 30010-2024</t>
        </is>
      </c>
      <c r="B8899" s="1" t="n">
        <v>45485</v>
      </c>
      <c r="C8899" s="1" t="n">
        <v>45798</v>
      </c>
      <c r="D8899" t="inlineStr">
        <is>
          <t>NORRBOTTENS LÄN</t>
        </is>
      </c>
      <c r="E8899" t="inlineStr">
        <is>
          <t>HAPARANDA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29817-2024</t>
        </is>
      </c>
      <c r="B8900" s="1" t="n">
        <v>45485</v>
      </c>
      <c r="C8900" s="1" t="n">
        <v>45798</v>
      </c>
      <c r="D8900" t="inlineStr">
        <is>
          <t>NORRBOTTENS LÄN</t>
        </is>
      </c>
      <c r="E8900" t="inlineStr">
        <is>
          <t>PAJALA</t>
        </is>
      </c>
      <c r="F8900" t="inlineStr">
        <is>
          <t>Sveaskog</t>
        </is>
      </c>
      <c r="G8900" t="n">
        <v>25.7</v>
      </c>
      <c r="H8900" t="n">
        <v>0</v>
      </c>
      <c r="I8900" t="n">
        <v>0</v>
      </c>
      <c r="J8900" t="n">
        <v>0</v>
      </c>
      <c r="K8900" t="n">
        <v>0</v>
      </c>
      <c r="L8900" t="n">
        <v>0</v>
      </c>
      <c r="M8900" t="n">
        <v>0</v>
      </c>
      <c r="N8900" t="n">
        <v>0</v>
      </c>
      <c r="O8900" t="n">
        <v>0</v>
      </c>
      <c r="P8900" t="n">
        <v>0</v>
      </c>
      <c r="Q8900" t="n">
        <v>0</v>
      </c>
      <c r="R8900" s="2" t="inlineStr"/>
    </row>
    <row r="8901" ht="15" customHeight="1">
      <c r="A8901" t="inlineStr">
        <is>
          <t>A 30013-2024</t>
        </is>
      </c>
      <c r="B8901" s="1" t="n">
        <v>45485</v>
      </c>
      <c r="C8901" s="1" t="n">
        <v>45798</v>
      </c>
      <c r="D8901" t="inlineStr">
        <is>
          <t>NORRBOTTENS LÄN</t>
        </is>
      </c>
      <c r="E8901" t="inlineStr">
        <is>
          <t>HAPARANDA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29885-2024</t>
        </is>
      </c>
      <c r="B8902" s="1" t="n">
        <v>45487</v>
      </c>
      <c r="C8902" s="1" t="n">
        <v>45798</v>
      </c>
      <c r="D8902" t="inlineStr">
        <is>
          <t>NORRBOTTENS LÄN</t>
        </is>
      </c>
      <c r="E8902" t="inlineStr">
        <is>
          <t>ÖVERTORNEÅ</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29878-2024</t>
        </is>
      </c>
      <c r="B8903" s="1" t="n">
        <v>45486</v>
      </c>
      <c r="C8903" s="1" t="n">
        <v>45798</v>
      </c>
      <c r="D8903" t="inlineStr">
        <is>
          <t>NORRBOTTENS LÄN</t>
        </is>
      </c>
      <c r="E8903" t="inlineStr">
        <is>
          <t>PAJALA</t>
        </is>
      </c>
      <c r="G8903" t="n">
        <v>9.699999999999999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29886-2024</t>
        </is>
      </c>
      <c r="B8904" s="1" t="n">
        <v>45486</v>
      </c>
      <c r="C8904" s="1" t="n">
        <v>45798</v>
      </c>
      <c r="D8904" t="inlineStr">
        <is>
          <t>NORRBOTTENS LÄN</t>
        </is>
      </c>
      <c r="E8904" t="inlineStr">
        <is>
          <t>ÖVERTORNEÅ</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29924-2024</t>
        </is>
      </c>
      <c r="B8905" s="1" t="n">
        <v>45488</v>
      </c>
      <c r="C8905" s="1" t="n">
        <v>45798</v>
      </c>
      <c r="D8905" t="inlineStr">
        <is>
          <t>NORRBOTTENS LÄN</t>
        </is>
      </c>
      <c r="E8905" t="inlineStr">
        <is>
          <t>PAJALA</t>
        </is>
      </c>
      <c r="F8905" t="inlineStr">
        <is>
          <t>Sveaskog</t>
        </is>
      </c>
      <c r="G8905" t="n">
        <v>12.4</v>
      </c>
      <c r="H8905" t="n">
        <v>0</v>
      </c>
      <c r="I8905" t="n">
        <v>0</v>
      </c>
      <c r="J8905" t="n">
        <v>0</v>
      </c>
      <c r="K8905" t="n">
        <v>0</v>
      </c>
      <c r="L8905" t="n">
        <v>0</v>
      </c>
      <c r="M8905" t="n">
        <v>0</v>
      </c>
      <c r="N8905" t="n">
        <v>0</v>
      </c>
      <c r="O8905" t="n">
        <v>0</v>
      </c>
      <c r="P8905" t="n">
        <v>0</v>
      </c>
      <c r="Q8905" t="n">
        <v>0</v>
      </c>
      <c r="R8905" s="2" t="inlineStr"/>
    </row>
    <row r="8906" ht="15" customHeight="1">
      <c r="A8906" t="inlineStr">
        <is>
          <t>A 30041-2024</t>
        </is>
      </c>
      <c r="B8906" s="1" t="n">
        <v>45488</v>
      </c>
      <c r="C8906" s="1" t="n">
        <v>45798</v>
      </c>
      <c r="D8906" t="inlineStr">
        <is>
          <t>NORRBOTTENS LÄN</t>
        </is>
      </c>
      <c r="E8906" t="inlineStr">
        <is>
          <t>JOKKMOKK</t>
        </is>
      </c>
      <c r="G8906" t="n">
        <v>19.9</v>
      </c>
      <c r="H8906" t="n">
        <v>0</v>
      </c>
      <c r="I8906" t="n">
        <v>0</v>
      </c>
      <c r="J8906" t="n">
        <v>0</v>
      </c>
      <c r="K8906" t="n">
        <v>0</v>
      </c>
      <c r="L8906" t="n">
        <v>0</v>
      </c>
      <c r="M8906" t="n">
        <v>0</v>
      </c>
      <c r="N8906" t="n">
        <v>0</v>
      </c>
      <c r="O8906" t="n">
        <v>0</v>
      </c>
      <c r="P8906" t="n">
        <v>0</v>
      </c>
      <c r="Q8906" t="n">
        <v>0</v>
      </c>
      <c r="R8906" s="2" t="inlineStr"/>
    </row>
    <row r="8907" ht="15" customHeight="1">
      <c r="A8907" t="inlineStr">
        <is>
          <t>A 29944-2024</t>
        </is>
      </c>
      <c r="B8907" s="1" t="n">
        <v>45488</v>
      </c>
      <c r="C8907" s="1" t="n">
        <v>45798</v>
      </c>
      <c r="D8907" t="inlineStr">
        <is>
          <t>NORRBOTTENS LÄN</t>
        </is>
      </c>
      <c r="E8907" t="inlineStr">
        <is>
          <t>PITEÅ</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29992-2024</t>
        </is>
      </c>
      <c r="B8908" s="1" t="n">
        <v>45488</v>
      </c>
      <c r="C8908" s="1" t="n">
        <v>45798</v>
      </c>
      <c r="D8908" t="inlineStr">
        <is>
          <t>NORRBOTTENS LÄN</t>
        </is>
      </c>
      <c r="E8908" t="inlineStr">
        <is>
          <t>PAJALA</t>
        </is>
      </c>
      <c r="F8908" t="inlineStr">
        <is>
          <t>Sveaskog</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30099-2024</t>
        </is>
      </c>
      <c r="B8909" s="1" t="n">
        <v>45489</v>
      </c>
      <c r="C8909" s="1" t="n">
        <v>45798</v>
      </c>
      <c r="D8909" t="inlineStr">
        <is>
          <t>NORRBOTTENS LÄN</t>
        </is>
      </c>
      <c r="E8909" t="inlineStr">
        <is>
          <t>JOKKMOKK</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30181-2024</t>
        </is>
      </c>
      <c r="B8910" s="1" t="n">
        <v>45490</v>
      </c>
      <c r="C8910" s="1" t="n">
        <v>45798</v>
      </c>
      <c r="D8910" t="inlineStr">
        <is>
          <t>NORRBOTTENS LÄN</t>
        </is>
      </c>
      <c r="E8910" t="inlineStr">
        <is>
          <t>PITEÅ</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30075-2024</t>
        </is>
      </c>
      <c r="B8911" s="1" t="n">
        <v>45489</v>
      </c>
      <c r="C8911" s="1" t="n">
        <v>45798</v>
      </c>
      <c r="D8911" t="inlineStr">
        <is>
          <t>NORRBOTTENS LÄN</t>
        </is>
      </c>
      <c r="E8911" t="inlineStr">
        <is>
          <t>GÄLLIVARE</t>
        </is>
      </c>
      <c r="F8911" t="inlineStr">
        <is>
          <t>Sveaskog</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30186-2024</t>
        </is>
      </c>
      <c r="B8912" s="1" t="n">
        <v>45490</v>
      </c>
      <c r="C8912" s="1" t="n">
        <v>45798</v>
      </c>
      <c r="D8912" t="inlineStr">
        <is>
          <t>NORRBOTTENS LÄN</t>
        </is>
      </c>
      <c r="E8912" t="inlineStr">
        <is>
          <t>BODEN</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30152-2024</t>
        </is>
      </c>
      <c r="B8913" s="1" t="n">
        <v>45489</v>
      </c>
      <c r="C8913" s="1" t="n">
        <v>45798</v>
      </c>
      <c r="D8913" t="inlineStr">
        <is>
          <t>NORRBOTTENS LÄN</t>
        </is>
      </c>
      <c r="E8913" t="inlineStr">
        <is>
          <t>BODEN</t>
        </is>
      </c>
      <c r="F8913" t="inlineStr">
        <is>
          <t>Sveaskog</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30073-2024</t>
        </is>
      </c>
      <c r="B8914" s="1" t="n">
        <v>45489</v>
      </c>
      <c r="C8914" s="1" t="n">
        <v>45798</v>
      </c>
      <c r="D8914" t="inlineStr">
        <is>
          <t>NORRBOTTENS LÄN</t>
        </is>
      </c>
      <c r="E8914" t="inlineStr">
        <is>
          <t>GÄLLIVARE</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30093-2024</t>
        </is>
      </c>
      <c r="B8915" s="1" t="n">
        <v>45489</v>
      </c>
      <c r="C8915" s="1" t="n">
        <v>45798</v>
      </c>
      <c r="D8915" t="inlineStr">
        <is>
          <t>NORRBOTTENS LÄN</t>
        </is>
      </c>
      <c r="E8915" t="inlineStr">
        <is>
          <t>BODEN</t>
        </is>
      </c>
      <c r="F8915" t="inlineStr">
        <is>
          <t>Sveaskog</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30308-2024</t>
        </is>
      </c>
      <c r="B8916" s="1" t="n">
        <v>45490</v>
      </c>
      <c r="C8916" s="1" t="n">
        <v>45798</v>
      </c>
      <c r="D8916" t="inlineStr">
        <is>
          <t>NORRBOTTENS LÄN</t>
        </is>
      </c>
      <c r="E8916" t="inlineStr">
        <is>
          <t>JOKKMOKK</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30305-2024</t>
        </is>
      </c>
      <c r="B8917" s="1" t="n">
        <v>45490</v>
      </c>
      <c r="C8917" s="1" t="n">
        <v>45798</v>
      </c>
      <c r="D8917" t="inlineStr">
        <is>
          <t>NORRBOTTENS LÄN</t>
        </is>
      </c>
      <c r="E8917" t="inlineStr">
        <is>
          <t>JOKKMOKK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30310-2024</t>
        </is>
      </c>
      <c r="B8918" s="1" t="n">
        <v>45490</v>
      </c>
      <c r="C8918" s="1" t="n">
        <v>45798</v>
      </c>
      <c r="D8918" t="inlineStr">
        <is>
          <t>NORRBOTTENS LÄN</t>
        </is>
      </c>
      <c r="E8918" t="inlineStr">
        <is>
          <t>JOKKMOKK</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30312-2024</t>
        </is>
      </c>
      <c r="B8919" s="1" t="n">
        <v>45490</v>
      </c>
      <c r="C8919" s="1" t="n">
        <v>45798</v>
      </c>
      <c r="D8919" t="inlineStr">
        <is>
          <t>NORRBOTTENS LÄN</t>
        </is>
      </c>
      <c r="E8919" t="inlineStr">
        <is>
          <t>JOKKMOKK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30313-2024</t>
        </is>
      </c>
      <c r="B8920" s="1" t="n">
        <v>45490</v>
      </c>
      <c r="C8920" s="1" t="n">
        <v>45798</v>
      </c>
      <c r="D8920" t="inlineStr">
        <is>
          <t>NORRBOTTENS LÄN</t>
        </is>
      </c>
      <c r="E8920" t="inlineStr">
        <is>
          <t>JOKKMOKK</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30355-2024</t>
        </is>
      </c>
      <c r="B8921" s="1" t="n">
        <v>45491</v>
      </c>
      <c r="C8921" s="1" t="n">
        <v>45798</v>
      </c>
      <c r="D8921" t="inlineStr">
        <is>
          <t>NORRBOTTENS LÄN</t>
        </is>
      </c>
      <c r="E8921" t="inlineStr">
        <is>
          <t>PAJALA</t>
        </is>
      </c>
      <c r="G8921" t="n">
        <v>24.6</v>
      </c>
      <c r="H8921" t="n">
        <v>0</v>
      </c>
      <c r="I8921" t="n">
        <v>0</v>
      </c>
      <c r="J8921" t="n">
        <v>0</v>
      </c>
      <c r="K8921" t="n">
        <v>0</v>
      </c>
      <c r="L8921" t="n">
        <v>0</v>
      </c>
      <c r="M8921" t="n">
        <v>0</v>
      </c>
      <c r="N8921" t="n">
        <v>0</v>
      </c>
      <c r="O8921" t="n">
        <v>0</v>
      </c>
      <c r="P8921" t="n">
        <v>0</v>
      </c>
      <c r="Q8921" t="n">
        <v>0</v>
      </c>
      <c r="R8921" s="2" t="inlineStr"/>
    </row>
    <row r="8922" ht="15" customHeight="1">
      <c r="A8922" t="inlineStr">
        <is>
          <t>A 30367-2024</t>
        </is>
      </c>
      <c r="B8922" s="1" t="n">
        <v>45491</v>
      </c>
      <c r="C8922" s="1" t="n">
        <v>45798</v>
      </c>
      <c r="D8922" t="inlineStr">
        <is>
          <t>NORRBOTTENS LÄN</t>
        </is>
      </c>
      <c r="E8922" t="inlineStr">
        <is>
          <t>GÄLLIVARE</t>
        </is>
      </c>
      <c r="G8922" t="n">
        <v>8</v>
      </c>
      <c r="H8922" t="n">
        <v>0</v>
      </c>
      <c r="I8922" t="n">
        <v>0</v>
      </c>
      <c r="J8922" t="n">
        <v>0</v>
      </c>
      <c r="K8922" t="n">
        <v>0</v>
      </c>
      <c r="L8922" t="n">
        <v>0</v>
      </c>
      <c r="M8922" t="n">
        <v>0</v>
      </c>
      <c r="N8922" t="n">
        <v>0</v>
      </c>
      <c r="O8922" t="n">
        <v>0</v>
      </c>
      <c r="P8922" t="n">
        <v>0</v>
      </c>
      <c r="Q8922" t="n">
        <v>0</v>
      </c>
      <c r="R8922" s="2" t="inlineStr"/>
    </row>
    <row r="8923" ht="15" customHeight="1">
      <c r="A8923" t="inlineStr">
        <is>
          <t>A 30409-2024</t>
        </is>
      </c>
      <c r="B8923" s="1" t="n">
        <v>45491</v>
      </c>
      <c r="C8923" s="1" t="n">
        <v>45798</v>
      </c>
      <c r="D8923" t="inlineStr">
        <is>
          <t>NORRBOTTENS LÄN</t>
        </is>
      </c>
      <c r="E8923" t="inlineStr">
        <is>
          <t>PAJALA</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30413-2024</t>
        </is>
      </c>
      <c r="B8924" s="1" t="n">
        <v>45491</v>
      </c>
      <c r="C8924" s="1" t="n">
        <v>45798</v>
      </c>
      <c r="D8924" t="inlineStr">
        <is>
          <t>NORRBOTTENS LÄN</t>
        </is>
      </c>
      <c r="E8924" t="inlineStr">
        <is>
          <t>PAJALA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30416-2024</t>
        </is>
      </c>
      <c r="B8925" s="1" t="n">
        <v>45491</v>
      </c>
      <c r="C8925" s="1" t="n">
        <v>45798</v>
      </c>
      <c r="D8925" t="inlineStr">
        <is>
          <t>NORRBOTTENS LÄN</t>
        </is>
      </c>
      <c r="E8925" t="inlineStr">
        <is>
          <t>PAJALA</t>
        </is>
      </c>
      <c r="G8925" t="n">
        <v>61.1</v>
      </c>
      <c r="H8925" t="n">
        <v>0</v>
      </c>
      <c r="I8925" t="n">
        <v>0</v>
      </c>
      <c r="J8925" t="n">
        <v>0</v>
      </c>
      <c r="K8925" t="n">
        <v>0</v>
      </c>
      <c r="L8925" t="n">
        <v>0</v>
      </c>
      <c r="M8925" t="n">
        <v>0</v>
      </c>
      <c r="N8925" t="n">
        <v>0</v>
      </c>
      <c r="O8925" t="n">
        <v>0</v>
      </c>
      <c r="P8925" t="n">
        <v>0</v>
      </c>
      <c r="Q8925" t="n">
        <v>0</v>
      </c>
      <c r="R8925" s="2" t="inlineStr"/>
    </row>
    <row r="8926" ht="15" customHeight="1">
      <c r="A8926" t="inlineStr">
        <is>
          <t>A 30401-2024</t>
        </is>
      </c>
      <c r="B8926" s="1" t="n">
        <v>45491</v>
      </c>
      <c r="C8926" s="1" t="n">
        <v>45798</v>
      </c>
      <c r="D8926" t="inlineStr">
        <is>
          <t>NORRBOTTENS LÄN</t>
        </is>
      </c>
      <c r="E8926" t="inlineStr">
        <is>
          <t>JOKKMOKK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30397-2024</t>
        </is>
      </c>
      <c r="B8927" s="1" t="n">
        <v>45491</v>
      </c>
      <c r="C8927" s="1" t="n">
        <v>45798</v>
      </c>
      <c r="D8927" t="inlineStr">
        <is>
          <t>NORRBOTTENS LÄN</t>
        </is>
      </c>
      <c r="E8927" t="inlineStr">
        <is>
          <t>GÄLLIVARE</t>
        </is>
      </c>
      <c r="F8927" t="inlineStr">
        <is>
          <t>Sveaskog</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30364-2024</t>
        </is>
      </c>
      <c r="B8928" s="1" t="n">
        <v>45491</v>
      </c>
      <c r="C8928" s="1" t="n">
        <v>45798</v>
      </c>
      <c r="D8928" t="inlineStr">
        <is>
          <t>NORRBOTTENS LÄN</t>
        </is>
      </c>
      <c r="E8928" t="inlineStr">
        <is>
          <t>GÄLLIVARE</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30363-2024</t>
        </is>
      </c>
      <c r="B8929" s="1" t="n">
        <v>45491</v>
      </c>
      <c r="C8929" s="1" t="n">
        <v>45798</v>
      </c>
      <c r="D8929" t="inlineStr">
        <is>
          <t>NORRBOTTENS LÄN</t>
        </is>
      </c>
      <c r="E8929" t="inlineStr">
        <is>
          <t>BODEN</t>
        </is>
      </c>
      <c r="F8929" t="inlineStr">
        <is>
          <t>Sveaskog</t>
        </is>
      </c>
      <c r="G8929" t="n">
        <v>19.5</v>
      </c>
      <c r="H8929" t="n">
        <v>0</v>
      </c>
      <c r="I8929" t="n">
        <v>0</v>
      </c>
      <c r="J8929" t="n">
        <v>0</v>
      </c>
      <c r="K8929" t="n">
        <v>0</v>
      </c>
      <c r="L8929" t="n">
        <v>0</v>
      </c>
      <c r="M8929" t="n">
        <v>0</v>
      </c>
      <c r="N8929" t="n">
        <v>0</v>
      </c>
      <c r="O8929" t="n">
        <v>0</v>
      </c>
      <c r="P8929" t="n">
        <v>0</v>
      </c>
      <c r="Q8929" t="n">
        <v>0</v>
      </c>
      <c r="R8929" s="2" t="inlineStr"/>
    </row>
    <row r="8930" ht="15" customHeight="1">
      <c r="A8930" t="inlineStr">
        <is>
          <t>A 30454-2024</t>
        </is>
      </c>
      <c r="B8930" s="1" t="n">
        <v>45492</v>
      </c>
      <c r="C8930" s="1" t="n">
        <v>45798</v>
      </c>
      <c r="D8930" t="inlineStr">
        <is>
          <t>NORRBOTTENS LÄN</t>
        </is>
      </c>
      <c r="E8930" t="inlineStr">
        <is>
          <t>PITEÅ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30431-2024</t>
        </is>
      </c>
      <c r="B8931" s="1" t="n">
        <v>45491</v>
      </c>
      <c r="C8931" s="1" t="n">
        <v>45798</v>
      </c>
      <c r="D8931" t="inlineStr">
        <is>
          <t>NORRBOTTENS LÄN</t>
        </is>
      </c>
      <c r="E8931" t="inlineStr">
        <is>
          <t>GÄLLIVARE</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30399-2024</t>
        </is>
      </c>
      <c r="B8932" s="1" t="n">
        <v>45491</v>
      </c>
      <c r="C8932" s="1" t="n">
        <v>45798</v>
      </c>
      <c r="D8932" t="inlineStr">
        <is>
          <t>NORRBOTTENS LÄN</t>
        </is>
      </c>
      <c r="E8932" t="inlineStr">
        <is>
          <t>JOKKMOKK</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30452-2024</t>
        </is>
      </c>
      <c r="B8933" s="1" t="n">
        <v>45492</v>
      </c>
      <c r="C8933" s="1" t="n">
        <v>45798</v>
      </c>
      <c r="D8933" t="inlineStr">
        <is>
          <t>NORRBOTTENS LÄN</t>
        </is>
      </c>
      <c r="E8933" t="inlineStr">
        <is>
          <t>PITEÅ</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30453-2024</t>
        </is>
      </c>
      <c r="B8934" s="1" t="n">
        <v>45492</v>
      </c>
      <c r="C8934" s="1" t="n">
        <v>45798</v>
      </c>
      <c r="D8934" t="inlineStr">
        <is>
          <t>NORRBOTTENS LÄN</t>
        </is>
      </c>
      <c r="E8934" t="inlineStr">
        <is>
          <t>PITEÅ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30451-2024</t>
        </is>
      </c>
      <c r="B8935" s="1" t="n">
        <v>45492</v>
      </c>
      <c r="C8935" s="1" t="n">
        <v>45798</v>
      </c>
      <c r="D8935" t="inlineStr">
        <is>
          <t>NORRBOTTENS LÄN</t>
        </is>
      </c>
      <c r="E8935" t="inlineStr">
        <is>
          <t>PITEÅ</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30455-2024</t>
        </is>
      </c>
      <c r="B8936" s="1" t="n">
        <v>45492</v>
      </c>
      <c r="C8936" s="1" t="n">
        <v>45798</v>
      </c>
      <c r="D8936" t="inlineStr">
        <is>
          <t>NORRBOTTENS LÄN</t>
        </is>
      </c>
      <c r="E8936" t="inlineStr">
        <is>
          <t>PITEÅ</t>
        </is>
      </c>
      <c r="G8936" t="n">
        <v>35.3</v>
      </c>
      <c r="H8936" t="n">
        <v>0</v>
      </c>
      <c r="I8936" t="n">
        <v>0</v>
      </c>
      <c r="J8936" t="n">
        <v>0</v>
      </c>
      <c r="K8936" t="n">
        <v>0</v>
      </c>
      <c r="L8936" t="n">
        <v>0</v>
      </c>
      <c r="M8936" t="n">
        <v>0</v>
      </c>
      <c r="N8936" t="n">
        <v>0</v>
      </c>
      <c r="O8936" t="n">
        <v>0</v>
      </c>
      <c r="P8936" t="n">
        <v>0</v>
      </c>
      <c r="Q8936" t="n">
        <v>0</v>
      </c>
      <c r="R8936" s="2" t="inlineStr"/>
    </row>
    <row r="8937" ht="15" customHeight="1">
      <c r="A8937" t="inlineStr">
        <is>
          <t>A 30500-2024</t>
        </is>
      </c>
      <c r="B8937" s="1" t="n">
        <v>45492</v>
      </c>
      <c r="C8937" s="1" t="n">
        <v>45798</v>
      </c>
      <c r="D8937" t="inlineStr">
        <is>
          <t>NORRBOTTENS LÄN</t>
        </is>
      </c>
      <c r="E8937" t="inlineStr">
        <is>
          <t>ÄLVSBYN</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30567-2024</t>
        </is>
      </c>
      <c r="B8938" s="1" t="n">
        <v>45492</v>
      </c>
      <c r="C8938" s="1" t="n">
        <v>45798</v>
      </c>
      <c r="D8938" t="inlineStr">
        <is>
          <t>NORRBOTTENS LÄN</t>
        </is>
      </c>
      <c r="E8938" t="inlineStr">
        <is>
          <t>KALIX</t>
        </is>
      </c>
      <c r="F8938" t="inlineStr">
        <is>
          <t>SCA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30499-2024</t>
        </is>
      </c>
      <c r="B8939" s="1" t="n">
        <v>45492</v>
      </c>
      <c r="C8939" s="1" t="n">
        <v>45798</v>
      </c>
      <c r="D8939" t="inlineStr">
        <is>
          <t>NORRBOTTENS LÄN</t>
        </is>
      </c>
      <c r="E8939" t="inlineStr">
        <is>
          <t>ÄLVSBYN</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30564-2024</t>
        </is>
      </c>
      <c r="B8940" s="1" t="n">
        <v>45493</v>
      </c>
      <c r="C8940" s="1" t="n">
        <v>45798</v>
      </c>
      <c r="D8940" t="inlineStr">
        <is>
          <t>NORRBOTTENS LÄN</t>
        </is>
      </c>
      <c r="E8940" t="inlineStr">
        <is>
          <t>LULEÅ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30598-2024</t>
        </is>
      </c>
      <c r="B8941" s="1" t="n">
        <v>45493</v>
      </c>
      <c r="C8941" s="1" t="n">
        <v>45798</v>
      </c>
      <c r="D8941" t="inlineStr">
        <is>
          <t>NORRBOTTENS LÄN</t>
        </is>
      </c>
      <c r="E8941" t="inlineStr">
        <is>
          <t>ÖVERKALIX</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30606-2024</t>
        </is>
      </c>
      <c r="B8942" s="1" t="n">
        <v>45495</v>
      </c>
      <c r="C8942" s="1" t="n">
        <v>45798</v>
      </c>
      <c r="D8942" t="inlineStr">
        <is>
          <t>NORRBOTTENS LÄN</t>
        </is>
      </c>
      <c r="E8942" t="inlineStr">
        <is>
          <t>ÄLVSBYN</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30689-2024</t>
        </is>
      </c>
      <c r="B8943" s="1" t="n">
        <v>45496</v>
      </c>
      <c r="C8943" s="1" t="n">
        <v>45798</v>
      </c>
      <c r="D8943" t="inlineStr">
        <is>
          <t>NORRBOTTENS LÄN</t>
        </is>
      </c>
      <c r="E8943" t="inlineStr">
        <is>
          <t>BODEN</t>
        </is>
      </c>
      <c r="F8943" t="inlineStr">
        <is>
          <t>SCA</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30690-2024</t>
        </is>
      </c>
      <c r="B8944" s="1" t="n">
        <v>45496</v>
      </c>
      <c r="C8944" s="1" t="n">
        <v>45798</v>
      </c>
      <c r="D8944" t="inlineStr">
        <is>
          <t>NORRBOTTENS LÄN</t>
        </is>
      </c>
      <c r="E8944" t="inlineStr">
        <is>
          <t>ÄLVSBYN</t>
        </is>
      </c>
      <c r="F8944" t="inlineStr">
        <is>
          <t>SCA</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30688-2024</t>
        </is>
      </c>
      <c r="B8945" s="1" t="n">
        <v>45496</v>
      </c>
      <c r="C8945" s="1" t="n">
        <v>45798</v>
      </c>
      <c r="D8945" t="inlineStr">
        <is>
          <t>NORRBOTTENS LÄN</t>
        </is>
      </c>
      <c r="E8945" t="inlineStr">
        <is>
          <t>ÄLVSBYN</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30788-2024</t>
        </is>
      </c>
      <c r="B8946" s="1" t="n">
        <v>45496</v>
      </c>
      <c r="C8946" s="1" t="n">
        <v>45798</v>
      </c>
      <c r="D8946" t="inlineStr">
        <is>
          <t>NORRBOTTENS LÄN</t>
        </is>
      </c>
      <c r="E8946" t="inlineStr">
        <is>
          <t>LULEÅ</t>
        </is>
      </c>
      <c r="F8946" t="inlineStr">
        <is>
          <t>Naturvårdsverket</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30784-2024</t>
        </is>
      </c>
      <c r="B8947" s="1" t="n">
        <v>45496</v>
      </c>
      <c r="C8947" s="1" t="n">
        <v>45798</v>
      </c>
      <c r="D8947" t="inlineStr">
        <is>
          <t>NORRBOTTENS LÄN</t>
        </is>
      </c>
      <c r="E8947" t="inlineStr">
        <is>
          <t>LULEÅ</t>
        </is>
      </c>
      <c r="F8947" t="inlineStr">
        <is>
          <t>Naturvårdsverket</t>
        </is>
      </c>
      <c r="G8947" t="n">
        <v>13.2</v>
      </c>
      <c r="H8947" t="n">
        <v>0</v>
      </c>
      <c r="I8947" t="n">
        <v>0</v>
      </c>
      <c r="J8947" t="n">
        <v>0</v>
      </c>
      <c r="K8947" t="n">
        <v>0</v>
      </c>
      <c r="L8947" t="n">
        <v>0</v>
      </c>
      <c r="M8947" t="n">
        <v>0</v>
      </c>
      <c r="N8947" t="n">
        <v>0</v>
      </c>
      <c r="O8947" t="n">
        <v>0</v>
      </c>
      <c r="P8947" t="n">
        <v>0</v>
      </c>
      <c r="Q8947" t="n">
        <v>0</v>
      </c>
      <c r="R8947" s="2" t="inlineStr"/>
    </row>
    <row r="8948" ht="15" customHeight="1">
      <c r="A8948" t="inlineStr">
        <is>
          <t>A 30786-2024</t>
        </is>
      </c>
      <c r="B8948" s="1" t="n">
        <v>45496</v>
      </c>
      <c r="C8948" s="1" t="n">
        <v>45798</v>
      </c>
      <c r="D8948" t="inlineStr">
        <is>
          <t>NORRBOTTENS LÄN</t>
        </is>
      </c>
      <c r="E8948" t="inlineStr">
        <is>
          <t>LULEÅ</t>
        </is>
      </c>
      <c r="F8948" t="inlineStr">
        <is>
          <t>Naturvårdsverket</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30785-2024</t>
        </is>
      </c>
      <c r="B8949" s="1" t="n">
        <v>45496</v>
      </c>
      <c r="C8949" s="1" t="n">
        <v>45798</v>
      </c>
      <c r="D8949" t="inlineStr">
        <is>
          <t>NORRBOTTENS LÄN</t>
        </is>
      </c>
      <c r="E8949" t="inlineStr">
        <is>
          <t>LULEÅ</t>
        </is>
      </c>
      <c r="F8949" t="inlineStr">
        <is>
          <t>Naturvårdsverket</t>
        </is>
      </c>
      <c r="G8949" t="n">
        <v>11.7</v>
      </c>
      <c r="H8949" t="n">
        <v>0</v>
      </c>
      <c r="I8949" t="n">
        <v>0</v>
      </c>
      <c r="J8949" t="n">
        <v>0</v>
      </c>
      <c r="K8949" t="n">
        <v>0</v>
      </c>
      <c r="L8949" t="n">
        <v>0</v>
      </c>
      <c r="M8949" t="n">
        <v>0</v>
      </c>
      <c r="N8949" t="n">
        <v>0</v>
      </c>
      <c r="O8949" t="n">
        <v>0</v>
      </c>
      <c r="P8949" t="n">
        <v>0</v>
      </c>
      <c r="Q8949" t="n">
        <v>0</v>
      </c>
      <c r="R8949" s="2" t="inlineStr"/>
    </row>
    <row r="8950" ht="15" customHeight="1">
      <c r="A8950" t="inlineStr">
        <is>
          <t>A 30787-2024</t>
        </is>
      </c>
      <c r="B8950" s="1" t="n">
        <v>45497</v>
      </c>
      <c r="C8950" s="1" t="n">
        <v>45798</v>
      </c>
      <c r="D8950" t="inlineStr">
        <is>
          <t>NORRBOTTENS LÄN</t>
        </is>
      </c>
      <c r="E8950" t="inlineStr">
        <is>
          <t>LULEÅ</t>
        </is>
      </c>
      <c r="F8950" t="inlineStr">
        <is>
          <t>Naturvårdsverket</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30866-2024</t>
        </is>
      </c>
      <c r="B8951" s="1" t="n">
        <v>45497</v>
      </c>
      <c r="C8951" s="1" t="n">
        <v>45798</v>
      </c>
      <c r="D8951" t="inlineStr">
        <is>
          <t>NORRBOTTENS LÄN</t>
        </is>
      </c>
      <c r="E8951" t="inlineStr">
        <is>
          <t>PAJALA</t>
        </is>
      </c>
      <c r="G8951" t="n">
        <v>84.3</v>
      </c>
      <c r="H8951" t="n">
        <v>0</v>
      </c>
      <c r="I8951" t="n">
        <v>0</v>
      </c>
      <c r="J8951" t="n">
        <v>0</v>
      </c>
      <c r="K8951" t="n">
        <v>0</v>
      </c>
      <c r="L8951" t="n">
        <v>0</v>
      </c>
      <c r="M8951" t="n">
        <v>0</v>
      </c>
      <c r="N8951" t="n">
        <v>0</v>
      </c>
      <c r="O8951" t="n">
        <v>0</v>
      </c>
      <c r="P8951" t="n">
        <v>0</v>
      </c>
      <c r="Q8951" t="n">
        <v>0</v>
      </c>
      <c r="R8951" s="2" t="inlineStr"/>
    </row>
    <row r="8952" ht="15" customHeight="1">
      <c r="A8952" t="inlineStr">
        <is>
          <t>A 30847-2024</t>
        </is>
      </c>
      <c r="B8952" s="1" t="n">
        <v>45497</v>
      </c>
      <c r="C8952" s="1" t="n">
        <v>45798</v>
      </c>
      <c r="D8952" t="inlineStr">
        <is>
          <t>NORRBOTTENS LÄN</t>
        </is>
      </c>
      <c r="E8952" t="inlineStr">
        <is>
          <t>GÄLLIVARE</t>
        </is>
      </c>
      <c r="F8952" t="inlineStr">
        <is>
          <t>Sveaskog</t>
        </is>
      </c>
      <c r="G8952" t="n">
        <v>28.3</v>
      </c>
      <c r="H8952" t="n">
        <v>0</v>
      </c>
      <c r="I8952" t="n">
        <v>0</v>
      </c>
      <c r="J8952" t="n">
        <v>0</v>
      </c>
      <c r="K8952" t="n">
        <v>0</v>
      </c>
      <c r="L8952" t="n">
        <v>0</v>
      </c>
      <c r="M8952" t="n">
        <v>0</v>
      </c>
      <c r="N8952" t="n">
        <v>0</v>
      </c>
      <c r="O8952" t="n">
        <v>0</v>
      </c>
      <c r="P8952" t="n">
        <v>0</v>
      </c>
      <c r="Q8952" t="n">
        <v>0</v>
      </c>
      <c r="R8952" s="2" t="inlineStr"/>
    </row>
    <row r="8953" ht="15" customHeight="1">
      <c r="A8953" t="inlineStr">
        <is>
          <t>A 30881-2024</t>
        </is>
      </c>
      <c r="B8953" s="1" t="n">
        <v>45498</v>
      </c>
      <c r="C8953" s="1" t="n">
        <v>45798</v>
      </c>
      <c r="D8953" t="inlineStr">
        <is>
          <t>NORRBOTTENS LÄN</t>
        </is>
      </c>
      <c r="E8953" t="inlineStr">
        <is>
          <t>ÖVERKALIX</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30914-2024</t>
        </is>
      </c>
      <c r="B8954" s="1" t="n">
        <v>45498</v>
      </c>
      <c r="C8954" s="1" t="n">
        <v>45798</v>
      </c>
      <c r="D8954" t="inlineStr">
        <is>
          <t>NORRBOTTENS LÄN</t>
        </is>
      </c>
      <c r="E8954" t="inlineStr">
        <is>
          <t>PAJALA</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30950-2024</t>
        </is>
      </c>
      <c r="B8955" s="1" t="n">
        <v>45499</v>
      </c>
      <c r="C8955" s="1" t="n">
        <v>45798</v>
      </c>
      <c r="D8955" t="inlineStr">
        <is>
          <t>NORRBOTTENS LÄN</t>
        </is>
      </c>
      <c r="E8955" t="inlineStr">
        <is>
          <t>LULEÅ</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31007-2024</t>
        </is>
      </c>
      <c r="B8956" s="1" t="n">
        <v>45499</v>
      </c>
      <c r="C8956" s="1" t="n">
        <v>45798</v>
      </c>
      <c r="D8956" t="inlineStr">
        <is>
          <t>NORRBOTTENS LÄN</t>
        </is>
      </c>
      <c r="E8956" t="inlineStr">
        <is>
          <t>BODEN</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31039-2024</t>
        </is>
      </c>
      <c r="B8957" s="1" t="n">
        <v>45502</v>
      </c>
      <c r="C8957" s="1" t="n">
        <v>45798</v>
      </c>
      <c r="D8957" t="inlineStr">
        <is>
          <t>NORRBOTTENS LÄN</t>
        </is>
      </c>
      <c r="E8957" t="inlineStr">
        <is>
          <t>LULEÅ</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31067-2024</t>
        </is>
      </c>
      <c r="B8958" s="1" t="n">
        <v>45502</v>
      </c>
      <c r="C8958" s="1" t="n">
        <v>45798</v>
      </c>
      <c r="D8958" t="inlineStr">
        <is>
          <t>NORRBOTTENS LÄN</t>
        </is>
      </c>
      <c r="E8958" t="inlineStr">
        <is>
          <t>HAPARANDA</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31134-2024</t>
        </is>
      </c>
      <c r="B8959" s="1" t="n">
        <v>45502</v>
      </c>
      <c r="C8959" s="1" t="n">
        <v>45798</v>
      </c>
      <c r="D8959" t="inlineStr">
        <is>
          <t>NORRBOTTENS LÄN</t>
        </is>
      </c>
      <c r="E8959" t="inlineStr">
        <is>
          <t>HAPARANDA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31126-2024</t>
        </is>
      </c>
      <c r="B8960" s="1" t="n">
        <v>45502</v>
      </c>
      <c r="C8960" s="1" t="n">
        <v>45798</v>
      </c>
      <c r="D8960" t="inlineStr">
        <is>
          <t>NORRBOTTENS LÄN</t>
        </is>
      </c>
      <c r="E8960" t="inlineStr">
        <is>
          <t>HAPARANDA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31050-2024</t>
        </is>
      </c>
      <c r="B8961" s="1" t="n">
        <v>45502</v>
      </c>
      <c r="C8961" s="1" t="n">
        <v>45798</v>
      </c>
      <c r="D8961" t="inlineStr">
        <is>
          <t>NORRBOTTENS LÄN</t>
        </is>
      </c>
      <c r="E8961" t="inlineStr">
        <is>
          <t>ARVIDSJAUR</t>
        </is>
      </c>
      <c r="G8961" t="n">
        <v>0</v>
      </c>
      <c r="H8961" t="n">
        <v>0</v>
      </c>
      <c r="I8961" t="n">
        <v>0</v>
      </c>
      <c r="J8961" t="n">
        <v>0</v>
      </c>
      <c r="K8961" t="n">
        <v>0</v>
      </c>
      <c r="L8961" t="n">
        <v>0</v>
      </c>
      <c r="M8961" t="n">
        <v>0</v>
      </c>
      <c r="N8961" t="n">
        <v>0</v>
      </c>
      <c r="O8961" t="n">
        <v>0</v>
      </c>
      <c r="P8961" t="n">
        <v>0</v>
      </c>
      <c r="Q8961" t="n">
        <v>0</v>
      </c>
      <c r="R8961" s="2" t="inlineStr"/>
    </row>
    <row r="8962" ht="15" customHeight="1">
      <c r="A8962" t="inlineStr">
        <is>
          <t>A 31104-2024</t>
        </is>
      </c>
      <c r="B8962" s="1" t="n">
        <v>45502</v>
      </c>
      <c r="C8962" s="1" t="n">
        <v>45798</v>
      </c>
      <c r="D8962" t="inlineStr">
        <is>
          <t>NORRBOTTENS LÄN</t>
        </is>
      </c>
      <c r="E8962" t="inlineStr">
        <is>
          <t>HAPARANDA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31137-2024</t>
        </is>
      </c>
      <c r="B8963" s="1" t="n">
        <v>45502</v>
      </c>
      <c r="C8963" s="1" t="n">
        <v>45798</v>
      </c>
      <c r="D8963" t="inlineStr">
        <is>
          <t>NORRBOTTENS LÄN</t>
        </is>
      </c>
      <c r="E8963" t="inlineStr">
        <is>
          <t>HAPARANDA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31097-2024</t>
        </is>
      </c>
      <c r="B8964" s="1" t="n">
        <v>45502</v>
      </c>
      <c r="C8964" s="1" t="n">
        <v>45798</v>
      </c>
      <c r="D8964" t="inlineStr">
        <is>
          <t>NORRBOTTENS LÄN</t>
        </is>
      </c>
      <c r="E8964" t="inlineStr">
        <is>
          <t>PAJALA</t>
        </is>
      </c>
      <c r="F8964" t="inlineStr">
        <is>
          <t>Allmännings- och besparingsskogar</t>
        </is>
      </c>
      <c r="G8964" t="n">
        <v>1.1</v>
      </c>
      <c r="H8964" t="n">
        <v>0</v>
      </c>
      <c r="I8964" t="n">
        <v>0</v>
      </c>
      <c r="J8964" t="n">
        <v>0</v>
      </c>
      <c r="K8964" t="n">
        <v>0</v>
      </c>
      <c r="L8964" t="n">
        <v>0</v>
      </c>
      <c r="M8964" t="n">
        <v>0</v>
      </c>
      <c r="N8964" t="n">
        <v>0</v>
      </c>
      <c r="O8964" t="n">
        <v>0</v>
      </c>
      <c r="P8964" t="n">
        <v>0</v>
      </c>
      <c r="Q8964" t="n">
        <v>0</v>
      </c>
      <c r="R8964" s="2" t="inlineStr"/>
      <c r="U8964">
        <f>HYPERLINK("https://klasma.github.io/Logging_2521/knärot/A 31097-2024 karta knärot.png", "A 31097-2024")</f>
        <v/>
      </c>
      <c r="V8964">
        <f>HYPERLINK("https://klasma.github.io/Logging_2521/klagomål/A 31097-2024 FSC-klagomål.docx", "A 31097-2024")</f>
        <v/>
      </c>
      <c r="W8964">
        <f>HYPERLINK("https://klasma.github.io/Logging_2521/klagomålsmail/A 31097-2024 FSC-klagomål mail.docx", "A 31097-2024")</f>
        <v/>
      </c>
      <c r="X8964">
        <f>HYPERLINK("https://klasma.github.io/Logging_2521/tillsyn/A 31097-2024 tillsynsbegäran.docx", "A 31097-2024")</f>
        <v/>
      </c>
      <c r="Y8964">
        <f>HYPERLINK("https://klasma.github.io/Logging_2521/tillsynsmail/A 31097-2024 tillsynsbegäran mail.docx", "A 31097-2024")</f>
        <v/>
      </c>
    </row>
    <row r="8965" ht="15" customHeight="1">
      <c r="A8965" t="inlineStr">
        <is>
          <t>A 31045-2024</t>
        </is>
      </c>
      <c r="B8965" s="1" t="n">
        <v>45502</v>
      </c>
      <c r="C8965" s="1" t="n">
        <v>45798</v>
      </c>
      <c r="D8965" t="inlineStr">
        <is>
          <t>NORRBOTTENS LÄN</t>
        </is>
      </c>
      <c r="E8965" t="inlineStr">
        <is>
          <t>BODEN</t>
        </is>
      </c>
      <c r="F8965" t="inlineStr">
        <is>
          <t>Sveaskog</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31159-2024</t>
        </is>
      </c>
      <c r="B8966" s="1" t="n">
        <v>45503</v>
      </c>
      <c r="C8966" s="1" t="n">
        <v>45798</v>
      </c>
      <c r="D8966" t="inlineStr">
        <is>
          <t>NORRBOTTENS LÄN</t>
        </is>
      </c>
      <c r="E8966" t="inlineStr">
        <is>
          <t>PITEÅ</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31290-2024</t>
        </is>
      </c>
      <c r="B8967" s="1" t="n">
        <v>45504</v>
      </c>
      <c r="C8967" s="1" t="n">
        <v>45798</v>
      </c>
      <c r="D8967" t="inlineStr">
        <is>
          <t>NORRBOTTENS LÄN</t>
        </is>
      </c>
      <c r="E8967" t="inlineStr">
        <is>
          <t>GÄLLIVARE</t>
        </is>
      </c>
      <c r="F8967" t="inlineStr">
        <is>
          <t>Sveaskog</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31281-2024</t>
        </is>
      </c>
      <c r="B8968" s="1" t="n">
        <v>45504</v>
      </c>
      <c r="C8968" s="1" t="n">
        <v>45798</v>
      </c>
      <c r="D8968" t="inlineStr">
        <is>
          <t>NORRBOTTENS LÄN</t>
        </is>
      </c>
      <c r="E8968" t="inlineStr">
        <is>
          <t>PITEÅ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31316-2024</t>
        </is>
      </c>
      <c r="B8969" s="1" t="n">
        <v>45504</v>
      </c>
      <c r="C8969" s="1" t="n">
        <v>45798</v>
      </c>
      <c r="D8969" t="inlineStr">
        <is>
          <t>NORRBOTTENS LÄN</t>
        </is>
      </c>
      <c r="E8969" t="inlineStr">
        <is>
          <t>PAJALA</t>
        </is>
      </c>
      <c r="F8969" t="inlineStr">
        <is>
          <t>Sveaskog</t>
        </is>
      </c>
      <c r="G8969" t="n">
        <v>26.3</v>
      </c>
      <c r="H8969" t="n">
        <v>0</v>
      </c>
      <c r="I8969" t="n">
        <v>0</v>
      </c>
      <c r="J8969" t="n">
        <v>0</v>
      </c>
      <c r="K8969" t="n">
        <v>0</v>
      </c>
      <c r="L8969" t="n">
        <v>0</v>
      </c>
      <c r="M8969" t="n">
        <v>0</v>
      </c>
      <c r="N8969" t="n">
        <v>0</v>
      </c>
      <c r="O8969" t="n">
        <v>0</v>
      </c>
      <c r="P8969" t="n">
        <v>0</v>
      </c>
      <c r="Q8969" t="n">
        <v>0</v>
      </c>
      <c r="R8969" s="2" t="inlineStr"/>
    </row>
    <row r="8970" ht="15" customHeight="1">
      <c r="A8970" t="inlineStr">
        <is>
          <t>A 31329-2024</t>
        </is>
      </c>
      <c r="B8970" s="1" t="n">
        <v>45504</v>
      </c>
      <c r="C8970" s="1" t="n">
        <v>45798</v>
      </c>
      <c r="D8970" t="inlineStr">
        <is>
          <t>NORRBOTTENS LÄN</t>
        </is>
      </c>
      <c r="E8970" t="inlineStr">
        <is>
          <t>ÖVERTORNEÅ</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31325-2024</t>
        </is>
      </c>
      <c r="B8971" s="1" t="n">
        <v>45504</v>
      </c>
      <c r="C8971" s="1" t="n">
        <v>45798</v>
      </c>
      <c r="D8971" t="inlineStr">
        <is>
          <t>NORRBOTTENS LÄN</t>
        </is>
      </c>
      <c r="E8971" t="inlineStr">
        <is>
          <t>ARVIDSJAUR</t>
        </is>
      </c>
      <c r="G8971" t="n">
        <v>9.1</v>
      </c>
      <c r="H8971" t="n">
        <v>0</v>
      </c>
      <c r="I8971" t="n">
        <v>0</v>
      </c>
      <c r="J8971" t="n">
        <v>0</v>
      </c>
      <c r="K8971" t="n">
        <v>0</v>
      </c>
      <c r="L8971" t="n">
        <v>0</v>
      </c>
      <c r="M8971" t="n">
        <v>0</v>
      </c>
      <c r="N8971" t="n">
        <v>0</v>
      </c>
      <c r="O8971" t="n">
        <v>0</v>
      </c>
      <c r="P8971" t="n">
        <v>0</v>
      </c>
      <c r="Q8971" t="n">
        <v>0</v>
      </c>
      <c r="R8971" s="2" t="inlineStr"/>
    </row>
    <row r="8972" ht="15" customHeight="1">
      <c r="A8972" t="inlineStr">
        <is>
          <t>A 31318-2024</t>
        </is>
      </c>
      <c r="B8972" s="1" t="n">
        <v>45504</v>
      </c>
      <c r="C8972" s="1" t="n">
        <v>45798</v>
      </c>
      <c r="D8972" t="inlineStr">
        <is>
          <t>NORRBOTTENS LÄN</t>
        </is>
      </c>
      <c r="E8972" t="inlineStr">
        <is>
          <t>ARVIDSJAUR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31450-2024</t>
        </is>
      </c>
      <c r="B8973" s="1" t="n">
        <v>45505</v>
      </c>
      <c r="C8973" s="1" t="n">
        <v>45798</v>
      </c>
      <c r="D8973" t="inlineStr">
        <is>
          <t>NORRBOTTENS LÄN</t>
        </is>
      </c>
      <c r="E8973" t="inlineStr">
        <is>
          <t>GÄLLIVARE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31551-2024</t>
        </is>
      </c>
      <c r="B8974" s="1" t="n">
        <v>45506</v>
      </c>
      <c r="C8974" s="1" t="n">
        <v>45798</v>
      </c>
      <c r="D8974" t="inlineStr">
        <is>
          <t>NORRBOTTENS LÄN</t>
        </is>
      </c>
      <c r="E8974" t="inlineStr">
        <is>
          <t>PITEÅ</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31535-2024</t>
        </is>
      </c>
      <c r="B8975" s="1" t="n">
        <v>45506</v>
      </c>
      <c r="C8975" s="1" t="n">
        <v>45798</v>
      </c>
      <c r="D8975" t="inlineStr">
        <is>
          <t>NORRBOTTENS LÄN</t>
        </is>
      </c>
      <c r="E8975" t="inlineStr">
        <is>
          <t>JOKKMOKK</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31452-2024</t>
        </is>
      </c>
      <c r="B8976" s="1" t="n">
        <v>45505</v>
      </c>
      <c r="C8976" s="1" t="n">
        <v>45798</v>
      </c>
      <c r="D8976" t="inlineStr">
        <is>
          <t>NORRBOTTENS LÄN</t>
        </is>
      </c>
      <c r="E8976" t="inlineStr">
        <is>
          <t>ÄLVSBYN</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31456-2024</t>
        </is>
      </c>
      <c r="B8977" s="1" t="n">
        <v>45505</v>
      </c>
      <c r="C8977" s="1" t="n">
        <v>45798</v>
      </c>
      <c r="D8977" t="inlineStr">
        <is>
          <t>NORRBOTTENS LÄN</t>
        </is>
      </c>
      <c r="E8977" t="inlineStr">
        <is>
          <t>BODEN</t>
        </is>
      </c>
      <c r="F8977" t="inlineStr">
        <is>
          <t>SCA</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31500-2024</t>
        </is>
      </c>
      <c r="B8978" s="1" t="n">
        <v>45506</v>
      </c>
      <c r="C8978" s="1" t="n">
        <v>45798</v>
      </c>
      <c r="D8978" t="inlineStr">
        <is>
          <t>NORRBOTTENS LÄN</t>
        </is>
      </c>
      <c r="E8978" t="inlineStr">
        <is>
          <t>PITEÅ</t>
        </is>
      </c>
      <c r="F8978" t="inlineStr">
        <is>
          <t>SCA</t>
        </is>
      </c>
      <c r="G8978" t="n">
        <v>11.4</v>
      </c>
      <c r="H8978" t="n">
        <v>0</v>
      </c>
      <c r="I8978" t="n">
        <v>0</v>
      </c>
      <c r="J8978" t="n">
        <v>0</v>
      </c>
      <c r="K8978" t="n">
        <v>0</v>
      </c>
      <c r="L8978" t="n">
        <v>0</v>
      </c>
      <c r="M8978" t="n">
        <v>0</v>
      </c>
      <c r="N8978" t="n">
        <v>0</v>
      </c>
      <c r="O8978" t="n">
        <v>0</v>
      </c>
      <c r="P8978" t="n">
        <v>0</v>
      </c>
      <c r="Q8978" t="n">
        <v>0</v>
      </c>
      <c r="R8978" s="2" t="inlineStr"/>
    </row>
    <row r="8979" ht="15" customHeight="1">
      <c r="A8979" t="inlineStr">
        <is>
          <t>A 31553-2024</t>
        </is>
      </c>
      <c r="B8979" s="1" t="n">
        <v>45505</v>
      </c>
      <c r="C8979" s="1" t="n">
        <v>45798</v>
      </c>
      <c r="D8979" t="inlineStr">
        <is>
          <t>NORRBOTTENS LÄN</t>
        </is>
      </c>
      <c r="E8979" t="inlineStr">
        <is>
          <t>ÄLVSBYN</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31533-2024</t>
        </is>
      </c>
      <c r="B8980" s="1" t="n">
        <v>45505</v>
      </c>
      <c r="C8980" s="1" t="n">
        <v>45798</v>
      </c>
      <c r="D8980" t="inlineStr">
        <is>
          <t>NORRBOTTENS LÄN</t>
        </is>
      </c>
      <c r="E8980" t="inlineStr">
        <is>
          <t>JOKKMOKK</t>
        </is>
      </c>
      <c r="F8980" t="inlineStr">
        <is>
          <t>SCA</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31490-2024</t>
        </is>
      </c>
      <c r="B8981" s="1" t="n">
        <v>45506</v>
      </c>
      <c r="C8981" s="1" t="n">
        <v>45798</v>
      </c>
      <c r="D8981" t="inlineStr">
        <is>
          <t>NORRBOTTENS LÄN</t>
        </is>
      </c>
      <c r="E8981" t="inlineStr">
        <is>
          <t>BODEN</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31465-2024</t>
        </is>
      </c>
      <c r="B8982" s="1" t="n">
        <v>45505</v>
      </c>
      <c r="C8982" s="1" t="n">
        <v>45798</v>
      </c>
      <c r="D8982" t="inlineStr">
        <is>
          <t>NORRBOTTENS LÄN</t>
        </is>
      </c>
      <c r="E8982" t="inlineStr">
        <is>
          <t>LULEÅ</t>
        </is>
      </c>
      <c r="F8982" t="inlineStr">
        <is>
          <t>Naturvårdsverket</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31534-2024</t>
        </is>
      </c>
      <c r="B8983" s="1" t="n">
        <v>45506</v>
      </c>
      <c r="C8983" s="1" t="n">
        <v>45798</v>
      </c>
      <c r="D8983" t="inlineStr">
        <is>
          <t>NORRBOTTENS LÄN</t>
        </is>
      </c>
      <c r="E8983" t="inlineStr">
        <is>
          <t>JOKKMOKK</t>
        </is>
      </c>
      <c r="F8983" t="inlineStr">
        <is>
          <t>SCA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31552-2024</t>
        </is>
      </c>
      <c r="B8984" s="1" t="n">
        <v>45506</v>
      </c>
      <c r="C8984" s="1" t="n">
        <v>45798</v>
      </c>
      <c r="D8984" t="inlineStr">
        <is>
          <t>NORRBOTTENS LÄN</t>
        </is>
      </c>
      <c r="E8984" t="inlineStr">
        <is>
          <t>PITEÅ</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31536-2024</t>
        </is>
      </c>
      <c r="B8985" s="1" t="n">
        <v>45506</v>
      </c>
      <c r="C8985" s="1" t="n">
        <v>45798</v>
      </c>
      <c r="D8985" t="inlineStr">
        <is>
          <t>NORRBOTTENS LÄN</t>
        </is>
      </c>
      <c r="E8985" t="inlineStr">
        <is>
          <t>JOKKMOKK</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31532-2024</t>
        </is>
      </c>
      <c r="B8986" s="1" t="n">
        <v>45506</v>
      </c>
      <c r="C8986" s="1" t="n">
        <v>45798</v>
      </c>
      <c r="D8986" t="inlineStr">
        <is>
          <t>NORRBOTTENS LÄN</t>
        </is>
      </c>
      <c r="E8986" t="inlineStr">
        <is>
          <t>JOKKMOKK</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31355-2024</t>
        </is>
      </c>
      <c r="B8987" s="1" t="n">
        <v>45505</v>
      </c>
      <c r="C8987" s="1" t="n">
        <v>45798</v>
      </c>
      <c r="D8987" t="inlineStr">
        <is>
          <t>NORRBOTTENS LÄN</t>
        </is>
      </c>
      <c r="E8987" t="inlineStr">
        <is>
          <t>PAJALA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31589-2024</t>
        </is>
      </c>
      <c r="B8988" s="1" t="n">
        <v>45506</v>
      </c>
      <c r="C8988" s="1" t="n">
        <v>45798</v>
      </c>
      <c r="D8988" t="inlineStr">
        <is>
          <t>NORRBOTTENS LÄN</t>
        </is>
      </c>
      <c r="E8988" t="inlineStr">
        <is>
          <t>BODEN</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31647-2024</t>
        </is>
      </c>
      <c r="B8989" s="1" t="n">
        <v>45506</v>
      </c>
      <c r="C8989" s="1" t="n">
        <v>45798</v>
      </c>
      <c r="D8989" t="inlineStr">
        <is>
          <t>NORRBOTTENS LÄN</t>
        </is>
      </c>
      <c r="E8989" t="inlineStr">
        <is>
          <t>ÖVERKALIX</t>
        </is>
      </c>
      <c r="F8989" t="inlineStr">
        <is>
          <t>Sveaskog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31754-2024</t>
        </is>
      </c>
      <c r="B8990" s="1" t="n">
        <v>45509</v>
      </c>
      <c r="C8990" s="1" t="n">
        <v>45798</v>
      </c>
      <c r="D8990" t="inlineStr">
        <is>
          <t>NORRBOTTENS LÄN</t>
        </is>
      </c>
      <c r="E8990" t="inlineStr">
        <is>
          <t>BODEN</t>
        </is>
      </c>
      <c r="G8990" t="n">
        <v>11.1</v>
      </c>
      <c r="H8990" t="n">
        <v>0</v>
      </c>
      <c r="I8990" t="n">
        <v>0</v>
      </c>
      <c r="J8990" t="n">
        <v>0</v>
      </c>
      <c r="K8990" t="n">
        <v>0</v>
      </c>
      <c r="L8990" t="n">
        <v>0</v>
      </c>
      <c r="M8990" t="n">
        <v>0</v>
      </c>
      <c r="N8990" t="n">
        <v>0</v>
      </c>
      <c r="O8990" t="n">
        <v>0</v>
      </c>
      <c r="P8990" t="n">
        <v>0</v>
      </c>
      <c r="Q8990" t="n">
        <v>0</v>
      </c>
      <c r="R8990" s="2" t="inlineStr"/>
    </row>
    <row r="8991" ht="15" customHeight="1">
      <c r="A8991" t="inlineStr">
        <is>
          <t>A 31827-2024</t>
        </is>
      </c>
      <c r="B8991" s="1" t="n">
        <v>45509</v>
      </c>
      <c r="C8991" s="1" t="n">
        <v>45798</v>
      </c>
      <c r="D8991" t="inlineStr">
        <is>
          <t>NORRBOTTENS LÄN</t>
        </is>
      </c>
      <c r="E8991" t="inlineStr">
        <is>
          <t>ÖVERTORNEÅ</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31894-2024</t>
        </is>
      </c>
      <c r="B8992" s="1" t="n">
        <v>45509</v>
      </c>
      <c r="C8992" s="1" t="n">
        <v>45798</v>
      </c>
      <c r="D8992" t="inlineStr">
        <is>
          <t>NORRBOTTENS LÄN</t>
        </is>
      </c>
      <c r="E8992" t="inlineStr">
        <is>
          <t>PITEÅ</t>
        </is>
      </c>
      <c r="F8992" t="inlineStr">
        <is>
          <t>SCA</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31893-2024</t>
        </is>
      </c>
      <c r="B8993" s="1" t="n">
        <v>45510</v>
      </c>
      <c r="C8993" s="1" t="n">
        <v>45798</v>
      </c>
      <c r="D8993" t="inlineStr">
        <is>
          <t>NORRBOTTENS LÄN</t>
        </is>
      </c>
      <c r="E8993" t="inlineStr">
        <is>
          <t>PITEÅ</t>
        </is>
      </c>
      <c r="F8993" t="inlineStr">
        <is>
          <t>SCA</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31900-2024</t>
        </is>
      </c>
      <c r="B8994" s="1" t="n">
        <v>45510</v>
      </c>
      <c r="C8994" s="1" t="n">
        <v>45798</v>
      </c>
      <c r="D8994" t="inlineStr">
        <is>
          <t>NORRBOTTENS LÄN</t>
        </is>
      </c>
      <c r="E8994" t="inlineStr">
        <is>
          <t>ÄLVSBYN</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32056-2024</t>
        </is>
      </c>
      <c r="B8995" s="1" t="n">
        <v>45511</v>
      </c>
      <c r="C8995" s="1" t="n">
        <v>45798</v>
      </c>
      <c r="D8995" t="inlineStr">
        <is>
          <t>NORRBOTTENS LÄN</t>
        </is>
      </c>
      <c r="E8995" t="inlineStr">
        <is>
          <t>KALIX</t>
        </is>
      </c>
      <c r="F8995" t="inlineStr">
        <is>
          <t>SCA</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32070-2024</t>
        </is>
      </c>
      <c r="B8996" s="1" t="n">
        <v>45511</v>
      </c>
      <c r="C8996" s="1" t="n">
        <v>45798</v>
      </c>
      <c r="D8996" t="inlineStr">
        <is>
          <t>NORRBOTTENS LÄN</t>
        </is>
      </c>
      <c r="E8996" t="inlineStr">
        <is>
          <t>KALIX</t>
        </is>
      </c>
      <c r="F8996" t="inlineStr">
        <is>
          <t>SCA</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31976-2024</t>
        </is>
      </c>
      <c r="B8997" s="1" t="n">
        <v>45510</v>
      </c>
      <c r="C8997" s="1" t="n">
        <v>45798</v>
      </c>
      <c r="D8997" t="inlineStr">
        <is>
          <t>NORRBOTTENS LÄN</t>
        </is>
      </c>
      <c r="E8997" t="inlineStr">
        <is>
          <t>ÖVERTORNEÅ</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31963-2024</t>
        </is>
      </c>
      <c r="B8998" s="1" t="n">
        <v>45510</v>
      </c>
      <c r="C8998" s="1" t="n">
        <v>45798</v>
      </c>
      <c r="D8998" t="inlineStr">
        <is>
          <t>NORRBOTTENS LÄN</t>
        </is>
      </c>
      <c r="E8998" t="inlineStr">
        <is>
          <t>BODEN</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32061-2024</t>
        </is>
      </c>
      <c r="B8999" s="1" t="n">
        <v>45510</v>
      </c>
      <c r="C8999" s="1" t="n">
        <v>45798</v>
      </c>
      <c r="D8999" t="inlineStr">
        <is>
          <t>NORRBOTTENS LÄN</t>
        </is>
      </c>
      <c r="E8999" t="inlineStr">
        <is>
          <t>ÖVERKALIX</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32003-2024</t>
        </is>
      </c>
      <c r="B9000" s="1" t="n">
        <v>45510</v>
      </c>
      <c r="C9000" s="1" t="n">
        <v>45798</v>
      </c>
      <c r="D9000" t="inlineStr">
        <is>
          <t>NORRBOTTENS LÄN</t>
        </is>
      </c>
      <c r="E9000" t="inlineStr">
        <is>
          <t>ÖVERTORNEÅ</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31987-2024</t>
        </is>
      </c>
      <c r="B9001" s="1" t="n">
        <v>45510</v>
      </c>
      <c r="C9001" s="1" t="n">
        <v>45798</v>
      </c>
      <c r="D9001" t="inlineStr">
        <is>
          <t>NORRBOTTENS LÄN</t>
        </is>
      </c>
      <c r="E9001" t="inlineStr">
        <is>
          <t>ÖVERTORNEÅ</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31983-2024</t>
        </is>
      </c>
      <c r="B9002" s="1" t="n">
        <v>45510</v>
      </c>
      <c r="C9002" s="1" t="n">
        <v>45798</v>
      </c>
      <c r="D9002" t="inlineStr">
        <is>
          <t>NORRBOTTENS LÄN</t>
        </is>
      </c>
      <c r="E9002" t="inlineStr">
        <is>
          <t>ÖVERTORNEÅ</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31961-2024</t>
        </is>
      </c>
      <c r="B9003" s="1" t="n">
        <v>45510</v>
      </c>
      <c r="C9003" s="1" t="n">
        <v>45798</v>
      </c>
      <c r="D9003" t="inlineStr">
        <is>
          <t>NORRBOTTENS LÄN</t>
        </is>
      </c>
      <c r="E9003" t="inlineStr">
        <is>
          <t>BODEN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32195-2024</t>
        </is>
      </c>
      <c r="B9004" s="1" t="n">
        <v>45511</v>
      </c>
      <c r="C9004" s="1" t="n">
        <v>45798</v>
      </c>
      <c r="D9004" t="inlineStr">
        <is>
          <t>NORRBOTTENS LÄN</t>
        </is>
      </c>
      <c r="E9004" t="inlineStr">
        <is>
          <t>ÄLVSBYN</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32250-2024</t>
        </is>
      </c>
      <c r="B9005" s="1" t="n">
        <v>45512</v>
      </c>
      <c r="C9005" s="1" t="n">
        <v>45798</v>
      </c>
      <c r="D9005" t="inlineStr">
        <is>
          <t>NORRBOTTENS LÄN</t>
        </is>
      </c>
      <c r="E9005" t="inlineStr">
        <is>
          <t>LULEÅ</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32251-2024</t>
        </is>
      </c>
      <c r="B9006" s="1" t="n">
        <v>45512</v>
      </c>
      <c r="C9006" s="1" t="n">
        <v>45798</v>
      </c>
      <c r="D9006" t="inlineStr">
        <is>
          <t>NORRBOTTENS LÄN</t>
        </is>
      </c>
      <c r="E9006" t="inlineStr">
        <is>
          <t>PITEÅ</t>
        </is>
      </c>
      <c r="F9006" t="inlineStr">
        <is>
          <t>SCA</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32196-2024</t>
        </is>
      </c>
      <c r="B9007" s="1" t="n">
        <v>45511</v>
      </c>
      <c r="C9007" s="1" t="n">
        <v>45798</v>
      </c>
      <c r="D9007" t="inlineStr">
        <is>
          <t>NORRBOTTENS LÄN</t>
        </is>
      </c>
      <c r="E9007" t="inlineStr">
        <is>
          <t>PITEÅ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32202-2024</t>
        </is>
      </c>
      <c r="B9008" s="1" t="n">
        <v>45511</v>
      </c>
      <c r="C9008" s="1" t="n">
        <v>45798</v>
      </c>
      <c r="D9008" t="inlineStr">
        <is>
          <t>NORRBOTTENS LÄN</t>
        </is>
      </c>
      <c r="E9008" t="inlineStr">
        <is>
          <t>ÄLVSBYN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32276-2024</t>
        </is>
      </c>
      <c r="B9009" s="1" t="n">
        <v>45512</v>
      </c>
      <c r="C9009" s="1" t="n">
        <v>45798</v>
      </c>
      <c r="D9009" t="inlineStr">
        <is>
          <t>NORRBOTTENS LÄN</t>
        </is>
      </c>
      <c r="E9009" t="inlineStr">
        <is>
          <t>BODEN</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32466-2024</t>
        </is>
      </c>
      <c r="B9010" s="1" t="n">
        <v>45513</v>
      </c>
      <c r="C9010" s="1" t="n">
        <v>45798</v>
      </c>
      <c r="D9010" t="inlineStr">
        <is>
          <t>NORRBOTTENS LÄN</t>
        </is>
      </c>
      <c r="E9010" t="inlineStr">
        <is>
          <t>PITEÅ</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32450-2024</t>
        </is>
      </c>
      <c r="B9011" s="1" t="n">
        <v>45513</v>
      </c>
      <c r="C9011" s="1" t="n">
        <v>45798</v>
      </c>
      <c r="D9011" t="inlineStr">
        <is>
          <t>NORRBOTTENS LÄN</t>
        </is>
      </c>
      <c r="E9011" t="inlineStr">
        <is>
          <t>PITEÅ</t>
        </is>
      </c>
      <c r="F9011" t="inlineStr">
        <is>
          <t>SCA</t>
        </is>
      </c>
      <c r="G9011" t="n">
        <v>9.9</v>
      </c>
      <c r="H9011" t="n">
        <v>0</v>
      </c>
      <c r="I9011" t="n">
        <v>0</v>
      </c>
      <c r="J9011" t="n">
        <v>0</v>
      </c>
      <c r="K9011" t="n">
        <v>0</v>
      </c>
      <c r="L9011" t="n">
        <v>0</v>
      </c>
      <c r="M9011" t="n">
        <v>0</v>
      </c>
      <c r="N9011" t="n">
        <v>0</v>
      </c>
      <c r="O9011" t="n">
        <v>0</v>
      </c>
      <c r="P9011" t="n">
        <v>0</v>
      </c>
      <c r="Q9011" t="n">
        <v>0</v>
      </c>
      <c r="R9011" s="2" t="inlineStr"/>
    </row>
    <row r="9012" ht="15" customHeight="1">
      <c r="A9012" t="inlineStr">
        <is>
          <t>A 32347-2024</t>
        </is>
      </c>
      <c r="B9012" s="1" t="n">
        <v>45512</v>
      </c>
      <c r="C9012" s="1" t="n">
        <v>45798</v>
      </c>
      <c r="D9012" t="inlineStr">
        <is>
          <t>NORRBOTTENS LÄN</t>
        </is>
      </c>
      <c r="E9012" t="inlineStr">
        <is>
          <t>BODEN</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32615-2024</t>
        </is>
      </c>
      <c r="B9013" s="1" t="n">
        <v>45513</v>
      </c>
      <c r="C9013" s="1" t="n">
        <v>45798</v>
      </c>
      <c r="D9013" t="inlineStr">
        <is>
          <t>NORRBOTTENS LÄN</t>
        </is>
      </c>
      <c r="E9013" t="inlineStr">
        <is>
          <t>ÖVERKALIX</t>
        </is>
      </c>
      <c r="F9013" t="inlineStr">
        <is>
          <t>Sveaskog</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32635-2024</t>
        </is>
      </c>
      <c r="B9014" s="1" t="n">
        <v>45514</v>
      </c>
      <c r="C9014" s="1" t="n">
        <v>45798</v>
      </c>
      <c r="D9014" t="inlineStr">
        <is>
          <t>NORRBOTTENS LÄN</t>
        </is>
      </c>
      <c r="E9014" t="inlineStr">
        <is>
          <t>PITEÅ</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32477-2024</t>
        </is>
      </c>
      <c r="B9015" s="1" t="n">
        <v>45513</v>
      </c>
      <c r="C9015" s="1" t="n">
        <v>45798</v>
      </c>
      <c r="D9015" t="inlineStr">
        <is>
          <t>NORRBOTTENS LÄN</t>
        </is>
      </c>
      <c r="E9015" t="inlineStr">
        <is>
          <t>ÖVERKALIX</t>
        </is>
      </c>
      <c r="F9015" t="inlineStr">
        <is>
          <t>Sveaskog</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32701-2024</t>
        </is>
      </c>
      <c r="B9016" s="1" t="n">
        <v>45513</v>
      </c>
      <c r="C9016" s="1" t="n">
        <v>45798</v>
      </c>
      <c r="D9016" t="inlineStr">
        <is>
          <t>NORRBOTTENS LÄN</t>
        </is>
      </c>
      <c r="E9016" t="inlineStr">
        <is>
          <t>ARVIDSJAUR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32478-2024</t>
        </is>
      </c>
      <c r="B9017" s="1" t="n">
        <v>45513</v>
      </c>
      <c r="C9017" s="1" t="n">
        <v>45798</v>
      </c>
      <c r="D9017" t="inlineStr">
        <is>
          <t>NORRBOTTENS LÄN</t>
        </is>
      </c>
      <c r="E9017" t="inlineStr">
        <is>
          <t>ÖVERKALIX</t>
        </is>
      </c>
      <c r="F9017" t="inlineStr">
        <is>
          <t>Sveaskog</t>
        </is>
      </c>
      <c r="G9017" t="n">
        <v>18.5</v>
      </c>
      <c r="H9017" t="n">
        <v>0</v>
      </c>
      <c r="I9017" t="n">
        <v>0</v>
      </c>
      <c r="J9017" t="n">
        <v>0</v>
      </c>
      <c r="K9017" t="n">
        <v>0</v>
      </c>
      <c r="L9017" t="n">
        <v>0</v>
      </c>
      <c r="M9017" t="n">
        <v>0</v>
      </c>
      <c r="N9017" t="n">
        <v>0</v>
      </c>
      <c r="O9017" t="n">
        <v>0</v>
      </c>
      <c r="P9017" t="n">
        <v>0</v>
      </c>
      <c r="Q9017" t="n">
        <v>0</v>
      </c>
      <c r="R9017" s="2" t="inlineStr"/>
    </row>
    <row r="9018" ht="15" customHeight="1">
      <c r="A9018" t="inlineStr">
        <is>
          <t>A 32552-2024</t>
        </is>
      </c>
      <c r="B9018" s="1" t="n">
        <v>45513</v>
      </c>
      <c r="C9018" s="1" t="n">
        <v>45798</v>
      </c>
      <c r="D9018" t="inlineStr">
        <is>
          <t>NORRBOTTENS LÄN</t>
        </is>
      </c>
      <c r="E9018" t="inlineStr">
        <is>
          <t>ARVIDSJAUR</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32576-2024</t>
        </is>
      </c>
      <c r="B9019" s="1" t="n">
        <v>45513</v>
      </c>
      <c r="C9019" s="1" t="n">
        <v>45798</v>
      </c>
      <c r="D9019" t="inlineStr">
        <is>
          <t>NORRBOTTENS LÄN</t>
        </is>
      </c>
      <c r="E9019" t="inlineStr">
        <is>
          <t>ÖVERTORNEÅ</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32616-2024</t>
        </is>
      </c>
      <c r="B9020" s="1" t="n">
        <v>45513</v>
      </c>
      <c r="C9020" s="1" t="n">
        <v>45798</v>
      </c>
      <c r="D9020" t="inlineStr">
        <is>
          <t>NORRBOTTENS LÄN</t>
        </is>
      </c>
      <c r="E9020" t="inlineStr">
        <is>
          <t>ÖVERKALIX</t>
        </is>
      </c>
      <c r="F9020" t="inlineStr">
        <is>
          <t>Sveaskog</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32657-2024</t>
        </is>
      </c>
      <c r="B9021" s="1" t="n">
        <v>45513</v>
      </c>
      <c r="C9021" s="1" t="n">
        <v>45798</v>
      </c>
      <c r="D9021" t="inlineStr">
        <is>
          <t>NORRBOTTENS LÄN</t>
        </is>
      </c>
      <c r="E9021" t="inlineStr">
        <is>
          <t>ÄLVSBYN</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32634-2024</t>
        </is>
      </c>
      <c r="B9022" s="1" t="n">
        <v>45514</v>
      </c>
      <c r="C9022" s="1" t="n">
        <v>45798</v>
      </c>
      <c r="D9022" t="inlineStr">
        <is>
          <t>NORRBOTTENS LÄN</t>
        </is>
      </c>
      <c r="E9022" t="inlineStr">
        <is>
          <t>PITEÅ</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32642-2024</t>
        </is>
      </c>
      <c r="B9023" s="1" t="n">
        <v>45514</v>
      </c>
      <c r="C9023" s="1" t="n">
        <v>45798</v>
      </c>
      <c r="D9023" t="inlineStr">
        <is>
          <t>NORRBOTTENS LÄN</t>
        </is>
      </c>
      <c r="E9023" t="inlineStr">
        <is>
          <t>ÄLVSBYN</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32643-2024</t>
        </is>
      </c>
      <c r="B9024" s="1" t="n">
        <v>45514</v>
      </c>
      <c r="C9024" s="1" t="n">
        <v>45798</v>
      </c>
      <c r="D9024" t="inlineStr">
        <is>
          <t>NORRBOTTENS LÄN</t>
        </is>
      </c>
      <c r="E9024" t="inlineStr">
        <is>
          <t>ÄLVSBYN</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32581-2024</t>
        </is>
      </c>
      <c r="B9025" s="1" t="n">
        <v>45513</v>
      </c>
      <c r="C9025" s="1" t="n">
        <v>45798</v>
      </c>
      <c r="D9025" t="inlineStr">
        <is>
          <t>NORRBOTTENS LÄN</t>
        </is>
      </c>
      <c r="E9025" t="inlineStr">
        <is>
          <t>ÖVERTORNEÅ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32597-2024</t>
        </is>
      </c>
      <c r="B9026" s="1" t="n">
        <v>45513</v>
      </c>
      <c r="C9026" s="1" t="n">
        <v>45798</v>
      </c>
      <c r="D9026" t="inlineStr">
        <is>
          <t>NORRBOTTENS LÄN</t>
        </is>
      </c>
      <c r="E9026" t="inlineStr">
        <is>
          <t>ÖVERTORNEÅ</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32605-2024</t>
        </is>
      </c>
      <c r="B9027" s="1" t="n">
        <v>45513</v>
      </c>
      <c r="C9027" s="1" t="n">
        <v>45798</v>
      </c>
      <c r="D9027" t="inlineStr">
        <is>
          <t>NORRBOTTENS LÄN</t>
        </is>
      </c>
      <c r="E9027" t="inlineStr">
        <is>
          <t>ARVIDSJAUR</t>
        </is>
      </c>
      <c r="F9027" t="inlineStr">
        <is>
          <t>Sveaskog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32633-2024</t>
        </is>
      </c>
      <c r="B9028" s="1" t="n">
        <v>45514</v>
      </c>
      <c r="C9028" s="1" t="n">
        <v>45798</v>
      </c>
      <c r="D9028" t="inlineStr">
        <is>
          <t>NORRBOTTENS LÄN</t>
        </is>
      </c>
      <c r="E9028" t="inlineStr">
        <is>
          <t>PITEÅ</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32681-2024</t>
        </is>
      </c>
      <c r="B9029" s="1" t="n">
        <v>45515</v>
      </c>
      <c r="C9029" s="1" t="n">
        <v>45798</v>
      </c>
      <c r="D9029" t="inlineStr">
        <is>
          <t>NORRBOTTENS LÄN</t>
        </is>
      </c>
      <c r="E9029" t="inlineStr">
        <is>
          <t>ÖVERTORNEÅ</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32779-2024</t>
        </is>
      </c>
      <c r="B9030" s="1" t="n">
        <v>45516</v>
      </c>
      <c r="C9030" s="1" t="n">
        <v>45798</v>
      </c>
      <c r="D9030" t="inlineStr">
        <is>
          <t>NORRBOTTENS LÄN</t>
        </is>
      </c>
      <c r="E9030" t="inlineStr">
        <is>
          <t>PAJALA</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32741-2024</t>
        </is>
      </c>
      <c r="B9031" s="1" t="n">
        <v>45516</v>
      </c>
      <c r="C9031" s="1" t="n">
        <v>45798</v>
      </c>
      <c r="D9031" t="inlineStr">
        <is>
          <t>NORRBOTTENS LÄN</t>
        </is>
      </c>
      <c r="E9031" t="inlineStr">
        <is>
          <t>ÖVERTORNEÅ</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32905-2024</t>
        </is>
      </c>
      <c r="B9032" s="1" t="n">
        <v>45516</v>
      </c>
      <c r="C9032" s="1" t="n">
        <v>45798</v>
      </c>
      <c r="D9032" t="inlineStr">
        <is>
          <t>NORRBOTTENS LÄN</t>
        </is>
      </c>
      <c r="E9032" t="inlineStr">
        <is>
          <t>ÄLVSBYN</t>
        </is>
      </c>
      <c r="F9032" t="inlineStr">
        <is>
          <t>SCA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32906-2024</t>
        </is>
      </c>
      <c r="B9033" s="1" t="n">
        <v>45516</v>
      </c>
      <c r="C9033" s="1" t="n">
        <v>45798</v>
      </c>
      <c r="D9033" t="inlineStr">
        <is>
          <t>NORRBOTTENS LÄN</t>
        </is>
      </c>
      <c r="E9033" t="inlineStr">
        <is>
          <t>BODEN</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32853-2024</t>
        </is>
      </c>
      <c r="B9034" s="1" t="n">
        <v>45516</v>
      </c>
      <c r="C9034" s="1" t="n">
        <v>45798</v>
      </c>
      <c r="D9034" t="inlineStr">
        <is>
          <t>NORRBOTTENS LÄN</t>
        </is>
      </c>
      <c r="E9034" t="inlineStr">
        <is>
          <t>JOKKMOKK</t>
        </is>
      </c>
      <c r="F9034" t="inlineStr">
        <is>
          <t>Sveaskog</t>
        </is>
      </c>
      <c r="G9034" t="n">
        <v>40.4</v>
      </c>
      <c r="H9034" t="n">
        <v>0</v>
      </c>
      <c r="I9034" t="n">
        <v>0</v>
      </c>
      <c r="J9034" t="n">
        <v>0</v>
      </c>
      <c r="K9034" t="n">
        <v>0</v>
      </c>
      <c r="L9034" t="n">
        <v>0</v>
      </c>
      <c r="M9034" t="n">
        <v>0</v>
      </c>
      <c r="N9034" t="n">
        <v>0</v>
      </c>
      <c r="O9034" t="n">
        <v>0</v>
      </c>
      <c r="P9034" t="n">
        <v>0</v>
      </c>
      <c r="Q9034" t="n">
        <v>0</v>
      </c>
      <c r="R9034" s="2" t="inlineStr"/>
    </row>
    <row r="9035" ht="15" customHeight="1">
      <c r="A9035" t="inlineStr">
        <is>
          <t>A 32913-2024</t>
        </is>
      </c>
      <c r="B9035" s="1" t="n">
        <v>45517</v>
      </c>
      <c r="C9035" s="1" t="n">
        <v>45798</v>
      </c>
      <c r="D9035" t="inlineStr">
        <is>
          <t>NORRBOTTENS LÄN</t>
        </is>
      </c>
      <c r="E9035" t="inlineStr">
        <is>
          <t>BODEN</t>
        </is>
      </c>
      <c r="F9035" t="inlineStr">
        <is>
          <t>SCA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32801-2024</t>
        </is>
      </c>
      <c r="B9036" s="1" t="n">
        <v>45516</v>
      </c>
      <c r="C9036" s="1" t="n">
        <v>45798</v>
      </c>
      <c r="D9036" t="inlineStr">
        <is>
          <t>NORRBOTTENS LÄN</t>
        </is>
      </c>
      <c r="E9036" t="inlineStr">
        <is>
          <t>GÄLLIVARE</t>
        </is>
      </c>
      <c r="F9036" t="inlineStr">
        <is>
          <t>Sveaskog</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32912-2024</t>
        </is>
      </c>
      <c r="B9037" s="1" t="n">
        <v>45516</v>
      </c>
      <c r="C9037" s="1" t="n">
        <v>45798</v>
      </c>
      <c r="D9037" t="inlineStr">
        <is>
          <t>NORRBOTTENS LÄN</t>
        </is>
      </c>
      <c r="E9037" t="inlineStr">
        <is>
          <t>BODEN</t>
        </is>
      </c>
      <c r="F9037" t="inlineStr">
        <is>
          <t>SCA</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32920-2024</t>
        </is>
      </c>
      <c r="B9038" s="1" t="n">
        <v>45517</v>
      </c>
      <c r="C9038" s="1" t="n">
        <v>45798</v>
      </c>
      <c r="D9038" t="inlineStr">
        <is>
          <t>NORRBOTTENS LÄN</t>
        </is>
      </c>
      <c r="E9038" t="inlineStr">
        <is>
          <t>JOKKMOKK</t>
        </is>
      </c>
      <c r="F9038" t="inlineStr">
        <is>
          <t>SCA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32915-2024</t>
        </is>
      </c>
      <c r="B9039" s="1" t="n">
        <v>45516</v>
      </c>
      <c r="C9039" s="1" t="n">
        <v>45798</v>
      </c>
      <c r="D9039" t="inlineStr">
        <is>
          <t>NORRBOTTENS LÄN</t>
        </is>
      </c>
      <c r="E9039" t="inlineStr">
        <is>
          <t>JOKKMOKK</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32738-2024</t>
        </is>
      </c>
      <c r="B9040" s="1" t="n">
        <v>45516</v>
      </c>
      <c r="C9040" s="1" t="n">
        <v>45798</v>
      </c>
      <c r="D9040" t="inlineStr">
        <is>
          <t>NORRBOTTENS LÄN</t>
        </is>
      </c>
      <c r="E9040" t="inlineStr">
        <is>
          <t>ÖVERTORNEÅ</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33084-2024</t>
        </is>
      </c>
      <c r="B9041" s="1" t="n">
        <v>45517</v>
      </c>
      <c r="C9041" s="1" t="n">
        <v>45798</v>
      </c>
      <c r="D9041" t="inlineStr">
        <is>
          <t>NORRBOTTENS LÄN</t>
        </is>
      </c>
      <c r="E9041" t="inlineStr">
        <is>
          <t>ARVIDSJAUR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33072-2024</t>
        </is>
      </c>
      <c r="B9042" s="1" t="n">
        <v>45517</v>
      </c>
      <c r="C9042" s="1" t="n">
        <v>45798</v>
      </c>
      <c r="D9042" t="inlineStr">
        <is>
          <t>NORRBOTTENS LÄN</t>
        </is>
      </c>
      <c r="E9042" t="inlineStr">
        <is>
          <t>PAJALA</t>
        </is>
      </c>
      <c r="F9042" t="inlineStr">
        <is>
          <t>Allmännings- och besparingsskogar</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33118-2024</t>
        </is>
      </c>
      <c r="B9043" s="1" t="n">
        <v>45518</v>
      </c>
      <c r="C9043" s="1" t="n">
        <v>45798</v>
      </c>
      <c r="D9043" t="inlineStr">
        <is>
          <t>NORRBOTTENS LÄN</t>
        </is>
      </c>
      <c r="E9043" t="inlineStr">
        <is>
          <t>PITEÅ</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33115-2024</t>
        </is>
      </c>
      <c r="B9044" s="1" t="n">
        <v>45518</v>
      </c>
      <c r="C9044" s="1" t="n">
        <v>45798</v>
      </c>
      <c r="D9044" t="inlineStr">
        <is>
          <t>NORRBOTTENS LÄN</t>
        </is>
      </c>
      <c r="E9044" t="inlineStr">
        <is>
          <t>PITEÅ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33117-2024</t>
        </is>
      </c>
      <c r="B9045" s="1" t="n">
        <v>45518</v>
      </c>
      <c r="C9045" s="1" t="n">
        <v>45798</v>
      </c>
      <c r="D9045" t="inlineStr">
        <is>
          <t>NORRBOTTENS LÄN</t>
        </is>
      </c>
      <c r="E9045" t="inlineStr">
        <is>
          <t>PITEÅ</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32952-2024</t>
        </is>
      </c>
      <c r="B9046" s="1" t="n">
        <v>45517</v>
      </c>
      <c r="C9046" s="1" t="n">
        <v>45798</v>
      </c>
      <c r="D9046" t="inlineStr">
        <is>
          <t>NORRBOTTENS LÄN</t>
        </is>
      </c>
      <c r="E9046" t="inlineStr">
        <is>
          <t>ÄLVSBYN</t>
        </is>
      </c>
      <c r="F9046" t="inlineStr">
        <is>
          <t>Sveaskog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33116-2024</t>
        </is>
      </c>
      <c r="B9047" s="1" t="n">
        <v>45518</v>
      </c>
      <c r="C9047" s="1" t="n">
        <v>45798</v>
      </c>
      <c r="D9047" t="inlineStr">
        <is>
          <t>NORRBOTTENS LÄN</t>
        </is>
      </c>
      <c r="E9047" t="inlineStr">
        <is>
          <t>PITEÅ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32953-2024</t>
        </is>
      </c>
      <c r="B9048" s="1" t="n">
        <v>45517</v>
      </c>
      <c r="C9048" s="1" t="n">
        <v>45798</v>
      </c>
      <c r="D9048" t="inlineStr">
        <is>
          <t>NORRBOTTENS LÄN</t>
        </is>
      </c>
      <c r="E9048" t="inlineStr">
        <is>
          <t>PITEÅ</t>
        </is>
      </c>
      <c r="F9048" t="inlineStr">
        <is>
          <t>Sveaskog</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32957-2024</t>
        </is>
      </c>
      <c r="B9049" s="1" t="n">
        <v>45517</v>
      </c>
      <c r="C9049" s="1" t="n">
        <v>45798</v>
      </c>
      <c r="D9049" t="inlineStr">
        <is>
          <t>NORRBOTTENS LÄN</t>
        </is>
      </c>
      <c r="E9049" t="inlineStr">
        <is>
          <t>JOKKMOKK</t>
        </is>
      </c>
      <c r="F9049" t="inlineStr">
        <is>
          <t>Sveaskog</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32955-2024</t>
        </is>
      </c>
      <c r="B9050" s="1" t="n">
        <v>45517</v>
      </c>
      <c r="C9050" s="1" t="n">
        <v>45798</v>
      </c>
      <c r="D9050" t="inlineStr">
        <is>
          <t>NORRBOTTENS LÄN</t>
        </is>
      </c>
      <c r="E9050" t="inlineStr">
        <is>
          <t>ÄLVSBYN</t>
        </is>
      </c>
      <c r="F9050" t="inlineStr">
        <is>
          <t>Sveaskog</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33315-2024</t>
        </is>
      </c>
      <c r="B9051" s="1" t="n">
        <v>45519</v>
      </c>
      <c r="C9051" s="1" t="n">
        <v>45798</v>
      </c>
      <c r="D9051" t="inlineStr">
        <is>
          <t>NORRBOTTENS LÄN</t>
        </is>
      </c>
      <c r="E9051" t="inlineStr">
        <is>
          <t>ÖVERKALIX</t>
        </is>
      </c>
      <c r="F9051" t="inlineStr">
        <is>
          <t>SCA</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33323-2024</t>
        </is>
      </c>
      <c r="B9052" s="1" t="n">
        <v>45519</v>
      </c>
      <c r="C9052" s="1" t="n">
        <v>45798</v>
      </c>
      <c r="D9052" t="inlineStr">
        <is>
          <t>NORRBOTTENS LÄN</t>
        </is>
      </c>
      <c r="E9052" t="inlineStr">
        <is>
          <t>JOKKMOKK</t>
        </is>
      </c>
      <c r="F9052" t="inlineStr">
        <is>
          <t>SCA</t>
        </is>
      </c>
      <c r="G9052" t="n">
        <v>16.7</v>
      </c>
      <c r="H9052" t="n">
        <v>0</v>
      </c>
      <c r="I9052" t="n">
        <v>0</v>
      </c>
      <c r="J9052" t="n">
        <v>0</v>
      </c>
      <c r="K9052" t="n">
        <v>0</v>
      </c>
      <c r="L9052" t="n">
        <v>0</v>
      </c>
      <c r="M9052" t="n">
        <v>0</v>
      </c>
      <c r="N9052" t="n">
        <v>0</v>
      </c>
      <c r="O9052" t="n">
        <v>0</v>
      </c>
      <c r="P9052" t="n">
        <v>0</v>
      </c>
      <c r="Q9052" t="n">
        <v>0</v>
      </c>
      <c r="R9052" s="2" t="inlineStr"/>
    </row>
    <row r="9053" ht="15" customHeight="1">
      <c r="A9053" t="inlineStr">
        <is>
          <t>A 33289-2024</t>
        </is>
      </c>
      <c r="B9053" s="1" t="n">
        <v>45518</v>
      </c>
      <c r="C9053" s="1" t="n">
        <v>45798</v>
      </c>
      <c r="D9053" t="inlineStr">
        <is>
          <t>NORRBOTTENS LÄN</t>
        </is>
      </c>
      <c r="E9053" t="inlineStr">
        <is>
          <t>BODEN</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33303-2024</t>
        </is>
      </c>
      <c r="B9054" s="1" t="n">
        <v>45519</v>
      </c>
      <c r="C9054" s="1" t="n">
        <v>45798</v>
      </c>
      <c r="D9054" t="inlineStr">
        <is>
          <t>NORRBOTTENS LÄN</t>
        </is>
      </c>
      <c r="E9054" t="inlineStr">
        <is>
          <t>ÄLVSBYN</t>
        </is>
      </c>
      <c r="F9054" t="inlineStr">
        <is>
          <t>SCA</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33234-2024</t>
        </is>
      </c>
      <c r="B9055" s="1" t="n">
        <v>45518</v>
      </c>
      <c r="C9055" s="1" t="n">
        <v>45798</v>
      </c>
      <c r="D9055" t="inlineStr">
        <is>
          <t>NORRBOTTENS LÄN</t>
        </is>
      </c>
      <c r="E9055" t="inlineStr">
        <is>
          <t>ÄLVSBYN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33207-2024</t>
        </is>
      </c>
      <c r="B9056" s="1" t="n">
        <v>45518</v>
      </c>
      <c r="C9056" s="1" t="n">
        <v>45798</v>
      </c>
      <c r="D9056" t="inlineStr">
        <is>
          <t>NORRBOTTENS LÄN</t>
        </is>
      </c>
      <c r="E9056" t="inlineStr">
        <is>
          <t>PITEÅ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33195-2024</t>
        </is>
      </c>
      <c r="B9057" s="1" t="n">
        <v>45518</v>
      </c>
      <c r="C9057" s="1" t="n">
        <v>45798</v>
      </c>
      <c r="D9057" t="inlineStr">
        <is>
          <t>NORRBOTTENS LÄN</t>
        </is>
      </c>
      <c r="E9057" t="inlineStr">
        <is>
          <t>KALIX</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33179-2024</t>
        </is>
      </c>
      <c r="B9058" s="1" t="n">
        <v>45518</v>
      </c>
      <c r="C9058" s="1" t="n">
        <v>45798</v>
      </c>
      <c r="D9058" t="inlineStr">
        <is>
          <t>NORRBOTTENS LÄN</t>
        </is>
      </c>
      <c r="E9058" t="inlineStr">
        <is>
          <t>ARVIDSJAUR</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33301-2024</t>
        </is>
      </c>
      <c r="B9059" s="1" t="n">
        <v>45519</v>
      </c>
      <c r="C9059" s="1" t="n">
        <v>45798</v>
      </c>
      <c r="D9059" t="inlineStr">
        <is>
          <t>NORRBOTTENS LÄN</t>
        </is>
      </c>
      <c r="E9059" t="inlineStr">
        <is>
          <t>ÖVERKALIX</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33336-2024</t>
        </is>
      </c>
      <c r="B9060" s="1" t="n">
        <v>45519</v>
      </c>
      <c r="C9060" s="1" t="n">
        <v>45798</v>
      </c>
      <c r="D9060" t="inlineStr">
        <is>
          <t>NORRBOTTENS LÄN</t>
        </is>
      </c>
      <c r="E9060" t="inlineStr">
        <is>
          <t>ÄLVSBYN</t>
        </is>
      </c>
      <c r="F9060" t="inlineStr">
        <is>
          <t>Sveaskog</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33364-2024</t>
        </is>
      </c>
      <c r="B9061" s="1" t="n">
        <v>45519</v>
      </c>
      <c r="C9061" s="1" t="n">
        <v>45798</v>
      </c>
      <c r="D9061" t="inlineStr">
        <is>
          <t>NORRBOTTENS LÄN</t>
        </is>
      </c>
      <c r="E9061" t="inlineStr">
        <is>
          <t>KALIX</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33447-2024</t>
        </is>
      </c>
      <c r="B9062" s="1" t="n">
        <v>45519</v>
      </c>
      <c r="C9062" s="1" t="n">
        <v>45798</v>
      </c>
      <c r="D9062" t="inlineStr">
        <is>
          <t>NORRBOTTENS LÄN</t>
        </is>
      </c>
      <c r="E9062" t="inlineStr">
        <is>
          <t>ARVIDSJAUR</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33335-2024</t>
        </is>
      </c>
      <c r="B9063" s="1" t="n">
        <v>45519</v>
      </c>
      <c r="C9063" s="1" t="n">
        <v>45798</v>
      </c>
      <c r="D9063" t="inlineStr">
        <is>
          <t>NORRBOTTENS LÄN</t>
        </is>
      </c>
      <c r="E9063" t="inlineStr">
        <is>
          <t>ARVIDSJAUR</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33606-2024</t>
        </is>
      </c>
      <c r="B9064" s="1" t="n">
        <v>45520</v>
      </c>
      <c r="C9064" s="1" t="n">
        <v>45798</v>
      </c>
      <c r="D9064" t="inlineStr">
        <is>
          <t>NORRBOTTENS LÄN</t>
        </is>
      </c>
      <c r="E9064" t="inlineStr">
        <is>
          <t>ÖVERKALIX</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33572-2024</t>
        </is>
      </c>
      <c r="B9065" s="1" t="n">
        <v>45520</v>
      </c>
      <c r="C9065" s="1" t="n">
        <v>45798</v>
      </c>
      <c r="D9065" t="inlineStr">
        <is>
          <t>NORRBOTTENS LÄN</t>
        </is>
      </c>
      <c r="E9065" t="inlineStr">
        <is>
          <t>ÖVERTORNEÅ</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33600-2024</t>
        </is>
      </c>
      <c r="B9066" s="1" t="n">
        <v>45520</v>
      </c>
      <c r="C9066" s="1" t="n">
        <v>45798</v>
      </c>
      <c r="D9066" t="inlineStr">
        <is>
          <t>NORRBOTTENS LÄN</t>
        </is>
      </c>
      <c r="E9066" t="inlineStr">
        <is>
          <t>ÖVERTORNEÅ</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33604-2024</t>
        </is>
      </c>
      <c r="B9067" s="1" t="n">
        <v>45520</v>
      </c>
      <c r="C9067" s="1" t="n">
        <v>45798</v>
      </c>
      <c r="D9067" t="inlineStr">
        <is>
          <t>NORRBOTTENS LÄN</t>
        </is>
      </c>
      <c r="E9067" t="inlineStr">
        <is>
          <t>BODEN</t>
        </is>
      </c>
      <c r="F9067" t="inlineStr">
        <is>
          <t>Sveaskog</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33597-2024</t>
        </is>
      </c>
      <c r="B9068" s="1" t="n">
        <v>45520</v>
      </c>
      <c r="C9068" s="1" t="n">
        <v>45798</v>
      </c>
      <c r="D9068" t="inlineStr">
        <is>
          <t>NORRBOTTENS LÄN</t>
        </is>
      </c>
      <c r="E9068" t="inlineStr">
        <is>
          <t>PITEÅ</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33761-2024</t>
        </is>
      </c>
      <c r="B9069" s="1" t="n">
        <v>45520</v>
      </c>
      <c r="C9069" s="1" t="n">
        <v>45798</v>
      </c>
      <c r="D9069" t="inlineStr">
        <is>
          <t>NORRBOTTENS LÄN</t>
        </is>
      </c>
      <c r="E9069" t="inlineStr">
        <is>
          <t>ÖVERKALIX</t>
        </is>
      </c>
      <c r="F9069" t="inlineStr">
        <is>
          <t>Sveaskog</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33798-2024</t>
        </is>
      </c>
      <c r="B9070" s="1" t="n">
        <v>45520</v>
      </c>
      <c r="C9070" s="1" t="n">
        <v>45798</v>
      </c>
      <c r="D9070" t="inlineStr">
        <is>
          <t>NORRBOTTENS LÄN</t>
        </is>
      </c>
      <c r="E9070" t="inlineStr">
        <is>
          <t>KALIX</t>
        </is>
      </c>
      <c r="F9070" t="inlineStr">
        <is>
          <t>SCA</t>
        </is>
      </c>
      <c r="G9070" t="n">
        <v>23.6</v>
      </c>
      <c r="H9070" t="n">
        <v>0</v>
      </c>
      <c r="I9070" t="n">
        <v>0</v>
      </c>
      <c r="J9070" t="n">
        <v>0</v>
      </c>
      <c r="K9070" t="n">
        <v>0</v>
      </c>
      <c r="L9070" t="n">
        <v>0</v>
      </c>
      <c r="M9070" t="n">
        <v>0</v>
      </c>
      <c r="N9070" t="n">
        <v>0</v>
      </c>
      <c r="O9070" t="n">
        <v>0</v>
      </c>
      <c r="P9070" t="n">
        <v>0</v>
      </c>
      <c r="Q9070" t="n">
        <v>0</v>
      </c>
      <c r="R9070" s="2" t="inlineStr"/>
    </row>
    <row r="9071" ht="15" customHeight="1">
      <c r="A9071" t="inlineStr">
        <is>
          <t>A 33728-2024</t>
        </is>
      </c>
      <c r="B9071" s="1" t="n">
        <v>45520</v>
      </c>
      <c r="C9071" s="1" t="n">
        <v>45798</v>
      </c>
      <c r="D9071" t="inlineStr">
        <is>
          <t>NORRBOTTENS LÄN</t>
        </is>
      </c>
      <c r="E9071" t="inlineStr">
        <is>
          <t>HAPARANDA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33736-2024</t>
        </is>
      </c>
      <c r="B9072" s="1" t="n">
        <v>45520</v>
      </c>
      <c r="C9072" s="1" t="n">
        <v>45798</v>
      </c>
      <c r="D9072" t="inlineStr">
        <is>
          <t>NORRBOTTENS LÄN</t>
        </is>
      </c>
      <c r="E9072" t="inlineStr">
        <is>
          <t>PITEÅ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33827-2024</t>
        </is>
      </c>
      <c r="B9073" s="1" t="n">
        <v>45520</v>
      </c>
      <c r="C9073" s="1" t="n">
        <v>45798</v>
      </c>
      <c r="D9073" t="inlineStr">
        <is>
          <t>NORRBOTTENS LÄN</t>
        </is>
      </c>
      <c r="E9073" t="inlineStr">
        <is>
          <t>JOKKMOKK</t>
        </is>
      </c>
      <c r="F9073" t="inlineStr">
        <is>
          <t>SCA</t>
        </is>
      </c>
      <c r="G9073" t="n">
        <v>12.8</v>
      </c>
      <c r="H9073" t="n">
        <v>0</v>
      </c>
      <c r="I9073" t="n">
        <v>0</v>
      </c>
      <c r="J9073" t="n">
        <v>0</v>
      </c>
      <c r="K9073" t="n">
        <v>0</v>
      </c>
      <c r="L9073" t="n">
        <v>0</v>
      </c>
      <c r="M9073" t="n">
        <v>0</v>
      </c>
      <c r="N9073" t="n">
        <v>0</v>
      </c>
      <c r="O9073" t="n">
        <v>0</v>
      </c>
      <c r="P9073" t="n">
        <v>0</v>
      </c>
      <c r="Q9073" t="n">
        <v>0</v>
      </c>
      <c r="R9073" s="2" t="inlineStr"/>
    </row>
    <row r="9074" ht="15" customHeight="1">
      <c r="A9074" t="inlineStr">
        <is>
          <t>A 33859-2024</t>
        </is>
      </c>
      <c r="B9074" s="1" t="n">
        <v>45520</v>
      </c>
      <c r="C9074" s="1" t="n">
        <v>45798</v>
      </c>
      <c r="D9074" t="inlineStr">
        <is>
          <t>NORRBOTTENS LÄN</t>
        </is>
      </c>
      <c r="E9074" t="inlineStr">
        <is>
          <t>PITEÅ</t>
        </is>
      </c>
      <c r="G9074" t="n">
        <v>11.1</v>
      </c>
      <c r="H9074" t="n">
        <v>0</v>
      </c>
      <c r="I9074" t="n">
        <v>0</v>
      </c>
      <c r="J9074" t="n">
        <v>0</v>
      </c>
      <c r="K9074" t="n">
        <v>0</v>
      </c>
      <c r="L9074" t="n">
        <v>0</v>
      </c>
      <c r="M9074" t="n">
        <v>0</v>
      </c>
      <c r="N9074" t="n">
        <v>0</v>
      </c>
      <c r="O9074" t="n">
        <v>0</v>
      </c>
      <c r="P9074" t="n">
        <v>0</v>
      </c>
      <c r="Q9074" t="n">
        <v>0</v>
      </c>
      <c r="R9074" s="2" t="inlineStr"/>
    </row>
    <row r="9075" ht="15" customHeight="1">
      <c r="A9075" t="inlineStr">
        <is>
          <t>A 33927-2024</t>
        </is>
      </c>
      <c r="B9075" s="1" t="n">
        <v>45523</v>
      </c>
      <c r="C9075" s="1" t="n">
        <v>45798</v>
      </c>
      <c r="D9075" t="inlineStr">
        <is>
          <t>NORRBOTTENS LÄN</t>
        </is>
      </c>
      <c r="E9075" t="inlineStr">
        <is>
          <t>PITEÅ</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33961-2024</t>
        </is>
      </c>
      <c r="B9076" s="1" t="n">
        <v>45523</v>
      </c>
      <c r="C9076" s="1" t="n">
        <v>45798</v>
      </c>
      <c r="D9076" t="inlineStr">
        <is>
          <t>NORRBOTTENS LÄN</t>
        </is>
      </c>
      <c r="E9076" t="inlineStr">
        <is>
          <t>PITEÅ</t>
        </is>
      </c>
      <c r="F9076" t="inlineStr">
        <is>
          <t>SCA</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34042-2024</t>
        </is>
      </c>
      <c r="B9077" s="1" t="n">
        <v>45523</v>
      </c>
      <c r="C9077" s="1" t="n">
        <v>45798</v>
      </c>
      <c r="D9077" t="inlineStr">
        <is>
          <t>NORRBOTTENS LÄN</t>
        </is>
      </c>
      <c r="E9077" t="inlineStr">
        <is>
          <t>PAJALA</t>
        </is>
      </c>
      <c r="G9077" t="n">
        <v>12.5</v>
      </c>
      <c r="H9077" t="n">
        <v>0</v>
      </c>
      <c r="I9077" t="n">
        <v>0</v>
      </c>
      <c r="J9077" t="n">
        <v>0</v>
      </c>
      <c r="K9077" t="n">
        <v>0</v>
      </c>
      <c r="L9077" t="n">
        <v>0</v>
      </c>
      <c r="M9077" t="n">
        <v>0</v>
      </c>
      <c r="N9077" t="n">
        <v>0</v>
      </c>
      <c r="O9077" t="n">
        <v>0</v>
      </c>
      <c r="P9077" t="n">
        <v>0</v>
      </c>
      <c r="Q9077" t="n">
        <v>0</v>
      </c>
      <c r="R9077" s="2" t="inlineStr"/>
    </row>
    <row r="9078" ht="15" customHeight="1">
      <c r="A9078" t="inlineStr">
        <is>
          <t>A 33889-2024</t>
        </is>
      </c>
      <c r="B9078" s="1" t="n">
        <v>45523</v>
      </c>
      <c r="C9078" s="1" t="n">
        <v>45798</v>
      </c>
      <c r="D9078" t="inlineStr">
        <is>
          <t>NORRBOTTENS LÄN</t>
        </is>
      </c>
      <c r="E9078" t="inlineStr">
        <is>
          <t>PAJALA</t>
        </is>
      </c>
      <c r="G9078" t="n">
        <v>10.7</v>
      </c>
      <c r="H9078" t="n">
        <v>0</v>
      </c>
      <c r="I9078" t="n">
        <v>0</v>
      </c>
      <c r="J9078" t="n">
        <v>0</v>
      </c>
      <c r="K9078" t="n">
        <v>0</v>
      </c>
      <c r="L9078" t="n">
        <v>0</v>
      </c>
      <c r="M9078" t="n">
        <v>0</v>
      </c>
      <c r="N9078" t="n">
        <v>0</v>
      </c>
      <c r="O9078" t="n">
        <v>0</v>
      </c>
      <c r="P9078" t="n">
        <v>0</v>
      </c>
      <c r="Q9078" t="n">
        <v>0</v>
      </c>
      <c r="R9078" s="2" t="inlineStr"/>
    </row>
    <row r="9079" ht="15" customHeight="1">
      <c r="A9079" t="inlineStr">
        <is>
          <t>A 33923-2024</t>
        </is>
      </c>
      <c r="B9079" s="1" t="n">
        <v>45523</v>
      </c>
      <c r="C9079" s="1" t="n">
        <v>45798</v>
      </c>
      <c r="D9079" t="inlineStr">
        <is>
          <t>NORRBOTTENS LÄN</t>
        </is>
      </c>
      <c r="E9079" t="inlineStr">
        <is>
          <t>PITEÅ</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33946-2024</t>
        </is>
      </c>
      <c r="B9080" s="1" t="n">
        <v>45523</v>
      </c>
      <c r="C9080" s="1" t="n">
        <v>45798</v>
      </c>
      <c r="D9080" t="inlineStr">
        <is>
          <t>NORRBOTTENS LÄN</t>
        </is>
      </c>
      <c r="E9080" t="inlineStr">
        <is>
          <t>ÄLVSBYN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33899-2024</t>
        </is>
      </c>
      <c r="B9081" s="1" t="n">
        <v>45523</v>
      </c>
      <c r="C9081" s="1" t="n">
        <v>45798</v>
      </c>
      <c r="D9081" t="inlineStr">
        <is>
          <t>NORRBOTTENS LÄN</t>
        </is>
      </c>
      <c r="E9081" t="inlineStr">
        <is>
          <t>PAJALA</t>
        </is>
      </c>
      <c r="G9081" t="n">
        <v>26.8</v>
      </c>
      <c r="H9081" t="n">
        <v>0</v>
      </c>
      <c r="I9081" t="n">
        <v>0</v>
      </c>
      <c r="J9081" t="n">
        <v>0</v>
      </c>
      <c r="K9081" t="n">
        <v>0</v>
      </c>
      <c r="L9081" t="n">
        <v>0</v>
      </c>
      <c r="M9081" t="n">
        <v>0</v>
      </c>
      <c r="N9081" t="n">
        <v>0</v>
      </c>
      <c r="O9081" t="n">
        <v>0</v>
      </c>
      <c r="P9081" t="n">
        <v>0</v>
      </c>
      <c r="Q9081" t="n">
        <v>0</v>
      </c>
      <c r="R9081" s="2" t="inlineStr"/>
    </row>
    <row r="9082" ht="15" customHeight="1">
      <c r="A9082" t="inlineStr">
        <is>
          <t>A 33903-2024</t>
        </is>
      </c>
      <c r="B9082" s="1" t="n">
        <v>45523</v>
      </c>
      <c r="C9082" s="1" t="n">
        <v>45798</v>
      </c>
      <c r="D9082" t="inlineStr">
        <is>
          <t>NORRBOTTENS LÄN</t>
        </is>
      </c>
      <c r="E9082" t="inlineStr">
        <is>
          <t>PAJALA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33915-2024</t>
        </is>
      </c>
      <c r="B9083" s="1" t="n">
        <v>45523</v>
      </c>
      <c r="C9083" s="1" t="n">
        <v>45798</v>
      </c>
      <c r="D9083" t="inlineStr">
        <is>
          <t>NORRBOTTENS LÄN</t>
        </is>
      </c>
      <c r="E9083" t="inlineStr">
        <is>
          <t>BODEN</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33929-2024</t>
        </is>
      </c>
      <c r="B9084" s="1" t="n">
        <v>45523</v>
      </c>
      <c r="C9084" s="1" t="n">
        <v>45798</v>
      </c>
      <c r="D9084" t="inlineStr">
        <is>
          <t>NORRBOTTENS LÄN</t>
        </is>
      </c>
      <c r="E9084" t="inlineStr">
        <is>
          <t>PITEÅ</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34007-2024</t>
        </is>
      </c>
      <c r="B9085" s="1" t="n">
        <v>45523</v>
      </c>
      <c r="C9085" s="1" t="n">
        <v>45798</v>
      </c>
      <c r="D9085" t="inlineStr">
        <is>
          <t>NORRBOTTENS LÄN</t>
        </is>
      </c>
      <c r="E9085" t="inlineStr">
        <is>
          <t>ÖVERTORNEÅ</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34010-2024</t>
        </is>
      </c>
      <c r="B9086" s="1" t="n">
        <v>45523</v>
      </c>
      <c r="C9086" s="1" t="n">
        <v>45798</v>
      </c>
      <c r="D9086" t="inlineStr">
        <is>
          <t>NORRBOTTENS LÄN</t>
        </is>
      </c>
      <c r="E9086" t="inlineStr">
        <is>
          <t>PITEÅ</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34019-2024</t>
        </is>
      </c>
      <c r="B9087" s="1" t="n">
        <v>45523</v>
      </c>
      <c r="C9087" s="1" t="n">
        <v>45798</v>
      </c>
      <c r="D9087" t="inlineStr">
        <is>
          <t>NORRBOTTENS LÄN</t>
        </is>
      </c>
      <c r="E9087" t="inlineStr">
        <is>
          <t>PITEÅ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34089-2024</t>
        </is>
      </c>
      <c r="B9088" s="1" t="n">
        <v>45523</v>
      </c>
      <c r="C9088" s="1" t="n">
        <v>45798</v>
      </c>
      <c r="D9088" t="inlineStr">
        <is>
          <t>NORRBOTTENS LÄN</t>
        </is>
      </c>
      <c r="E9088" t="inlineStr">
        <is>
          <t>PAJALA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34097-2024</t>
        </is>
      </c>
      <c r="B9089" s="1" t="n">
        <v>45523</v>
      </c>
      <c r="C9089" s="1" t="n">
        <v>45798</v>
      </c>
      <c r="D9089" t="inlineStr">
        <is>
          <t>NORRBOTTENS LÄN</t>
        </is>
      </c>
      <c r="E9089" t="inlineStr">
        <is>
          <t>PAJALA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34071-2024</t>
        </is>
      </c>
      <c r="B9090" s="1" t="n">
        <v>45523</v>
      </c>
      <c r="C9090" s="1" t="n">
        <v>45798</v>
      </c>
      <c r="D9090" t="inlineStr">
        <is>
          <t>NORRBOTTENS LÄN</t>
        </is>
      </c>
      <c r="E9090" t="inlineStr">
        <is>
          <t>PAJALA</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34083-2024</t>
        </is>
      </c>
      <c r="B9091" s="1" t="n">
        <v>45523</v>
      </c>
      <c r="C9091" s="1" t="n">
        <v>45798</v>
      </c>
      <c r="D9091" t="inlineStr">
        <is>
          <t>NORRBOTTENS LÄN</t>
        </is>
      </c>
      <c r="E9091" t="inlineStr">
        <is>
          <t>PAJALA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34087-2024</t>
        </is>
      </c>
      <c r="B9092" s="1" t="n">
        <v>45523</v>
      </c>
      <c r="C9092" s="1" t="n">
        <v>45798</v>
      </c>
      <c r="D9092" t="inlineStr">
        <is>
          <t>NORRBOTTENS LÄN</t>
        </is>
      </c>
      <c r="E9092" t="inlineStr">
        <is>
          <t>PAJALA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34092-2024</t>
        </is>
      </c>
      <c r="B9093" s="1" t="n">
        <v>45523</v>
      </c>
      <c r="C9093" s="1" t="n">
        <v>45798</v>
      </c>
      <c r="D9093" t="inlineStr">
        <is>
          <t>NORRBOTTENS LÄN</t>
        </is>
      </c>
      <c r="E9093" t="inlineStr">
        <is>
          <t>PAJALA</t>
        </is>
      </c>
      <c r="G9093" t="n">
        <v>11.7</v>
      </c>
      <c r="H9093" t="n">
        <v>0</v>
      </c>
      <c r="I9093" t="n">
        <v>0</v>
      </c>
      <c r="J9093" t="n">
        <v>0</v>
      </c>
      <c r="K9093" t="n">
        <v>0</v>
      </c>
      <c r="L9093" t="n">
        <v>0</v>
      </c>
      <c r="M9093" t="n">
        <v>0</v>
      </c>
      <c r="N9093" t="n">
        <v>0</v>
      </c>
      <c r="O9093" t="n">
        <v>0</v>
      </c>
      <c r="P9093" t="n">
        <v>0</v>
      </c>
      <c r="Q9093" t="n">
        <v>0</v>
      </c>
      <c r="R9093" s="2" t="inlineStr"/>
    </row>
    <row r="9094" ht="15" customHeight="1">
      <c r="A9094" t="inlineStr">
        <is>
          <t>A 34096-2024</t>
        </is>
      </c>
      <c r="B9094" s="1" t="n">
        <v>45523</v>
      </c>
      <c r="C9094" s="1" t="n">
        <v>45798</v>
      </c>
      <c r="D9094" t="inlineStr">
        <is>
          <t>NORRBOTTENS LÄN</t>
        </is>
      </c>
      <c r="E9094" t="inlineStr">
        <is>
          <t>PAJALA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34202-2024</t>
        </is>
      </c>
      <c r="B9095" s="1" t="n">
        <v>45524</v>
      </c>
      <c r="C9095" s="1" t="n">
        <v>45798</v>
      </c>
      <c r="D9095" t="inlineStr">
        <is>
          <t>NORRBOTTENS LÄN</t>
        </is>
      </c>
      <c r="E9095" t="inlineStr">
        <is>
          <t>PAJALA</t>
        </is>
      </c>
      <c r="G9095" t="n">
        <v>14.2</v>
      </c>
      <c r="H9095" t="n">
        <v>0</v>
      </c>
      <c r="I9095" t="n">
        <v>0</v>
      </c>
      <c r="J9095" t="n">
        <v>0</v>
      </c>
      <c r="K9095" t="n">
        <v>0</v>
      </c>
      <c r="L9095" t="n">
        <v>0</v>
      </c>
      <c r="M9095" t="n">
        <v>0</v>
      </c>
      <c r="N9095" t="n">
        <v>0</v>
      </c>
      <c r="O9095" t="n">
        <v>0</v>
      </c>
      <c r="P9095" t="n">
        <v>0</v>
      </c>
      <c r="Q9095" t="n">
        <v>0</v>
      </c>
      <c r="R9095" s="2" t="inlineStr"/>
    </row>
    <row r="9096" ht="15" customHeight="1">
      <c r="A9096" t="inlineStr">
        <is>
          <t>A 34354-2024</t>
        </is>
      </c>
      <c r="B9096" s="1" t="n">
        <v>45525</v>
      </c>
      <c r="C9096" s="1" t="n">
        <v>45798</v>
      </c>
      <c r="D9096" t="inlineStr">
        <is>
          <t>NORRBOTTENS LÄN</t>
        </is>
      </c>
      <c r="E9096" t="inlineStr">
        <is>
          <t>PITEÅ</t>
        </is>
      </c>
      <c r="F9096" t="inlineStr">
        <is>
          <t>Sveaskog</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34495-2024</t>
        </is>
      </c>
      <c r="B9097" s="1" t="n">
        <v>45525</v>
      </c>
      <c r="C9097" s="1" t="n">
        <v>45798</v>
      </c>
      <c r="D9097" t="inlineStr">
        <is>
          <t>NORRBOTTENS LÄN</t>
        </is>
      </c>
      <c r="E9097" t="inlineStr">
        <is>
          <t>BODEN</t>
        </is>
      </c>
      <c r="G9097" t="n">
        <v>8.199999999999999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34403-2024</t>
        </is>
      </c>
      <c r="B9098" s="1" t="n">
        <v>45525</v>
      </c>
      <c r="C9098" s="1" t="n">
        <v>45798</v>
      </c>
      <c r="D9098" t="inlineStr">
        <is>
          <t>NORRBOTTENS LÄN</t>
        </is>
      </c>
      <c r="E9098" t="inlineStr">
        <is>
          <t>BODEN</t>
        </is>
      </c>
      <c r="F9098" t="inlineStr">
        <is>
          <t>Kommuner</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34356-2024</t>
        </is>
      </c>
      <c r="B9099" s="1" t="n">
        <v>45525</v>
      </c>
      <c r="C9099" s="1" t="n">
        <v>45798</v>
      </c>
      <c r="D9099" t="inlineStr">
        <is>
          <t>NORRBOTTENS LÄN</t>
        </is>
      </c>
      <c r="E9099" t="inlineStr">
        <is>
          <t>ÄLVSBYN</t>
        </is>
      </c>
      <c r="F9099" t="inlineStr">
        <is>
          <t>Övriga Aktiebolag</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34448-2024</t>
        </is>
      </c>
      <c r="B9100" s="1" t="n">
        <v>45525</v>
      </c>
      <c r="C9100" s="1" t="n">
        <v>45798</v>
      </c>
      <c r="D9100" t="inlineStr">
        <is>
          <t>NORRBOTTENS LÄN</t>
        </is>
      </c>
      <c r="E9100" t="inlineStr">
        <is>
          <t>ÄLVSBYN</t>
        </is>
      </c>
      <c r="F9100" t="inlineStr">
        <is>
          <t>Övriga Aktiebolag</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34598-2024</t>
        </is>
      </c>
      <c r="B9101" s="1" t="n">
        <v>45526</v>
      </c>
      <c r="C9101" s="1" t="n">
        <v>45798</v>
      </c>
      <c r="D9101" t="inlineStr">
        <is>
          <t>NORRBOTTENS LÄN</t>
        </is>
      </c>
      <c r="E9101" t="inlineStr">
        <is>
          <t>JOKKMOKK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34708-2024</t>
        </is>
      </c>
      <c r="B9102" s="1" t="n">
        <v>45526</v>
      </c>
      <c r="C9102" s="1" t="n">
        <v>45798</v>
      </c>
      <c r="D9102" t="inlineStr">
        <is>
          <t>NORRBOTTENS LÄN</t>
        </is>
      </c>
      <c r="E9102" t="inlineStr">
        <is>
          <t>PAJALA</t>
        </is>
      </c>
      <c r="G9102" t="n">
        <v>24.4</v>
      </c>
      <c r="H9102" t="n">
        <v>0</v>
      </c>
      <c r="I9102" t="n">
        <v>0</v>
      </c>
      <c r="J9102" t="n">
        <v>0</v>
      </c>
      <c r="K9102" t="n">
        <v>0</v>
      </c>
      <c r="L9102" t="n">
        <v>0</v>
      </c>
      <c r="M9102" t="n">
        <v>0</v>
      </c>
      <c r="N9102" t="n">
        <v>0</v>
      </c>
      <c r="O9102" t="n">
        <v>0</v>
      </c>
      <c r="P9102" t="n">
        <v>0</v>
      </c>
      <c r="Q9102" t="n">
        <v>0</v>
      </c>
      <c r="R9102" s="2" t="inlineStr"/>
    </row>
    <row r="9103" ht="15" customHeight="1">
      <c r="A9103" t="inlineStr">
        <is>
          <t>A 34581-2024</t>
        </is>
      </c>
      <c r="B9103" s="1" t="n">
        <v>45526</v>
      </c>
      <c r="C9103" s="1" t="n">
        <v>45798</v>
      </c>
      <c r="D9103" t="inlineStr">
        <is>
          <t>NORRBOTTENS LÄN</t>
        </is>
      </c>
      <c r="E9103" t="inlineStr">
        <is>
          <t>HAPARANDA</t>
        </is>
      </c>
      <c r="G9103" t="n">
        <v>16.7</v>
      </c>
      <c r="H9103" t="n">
        <v>0</v>
      </c>
      <c r="I9103" t="n">
        <v>0</v>
      </c>
      <c r="J9103" t="n">
        <v>0</v>
      </c>
      <c r="K9103" t="n">
        <v>0</v>
      </c>
      <c r="L9103" t="n">
        <v>0</v>
      </c>
      <c r="M9103" t="n">
        <v>0</v>
      </c>
      <c r="N9103" t="n">
        <v>0</v>
      </c>
      <c r="O9103" t="n">
        <v>0</v>
      </c>
      <c r="P9103" t="n">
        <v>0</v>
      </c>
      <c r="Q9103" t="n">
        <v>0</v>
      </c>
      <c r="R9103" s="2" t="inlineStr"/>
    </row>
    <row r="9104" ht="15" customHeight="1">
      <c r="A9104" t="inlineStr">
        <is>
          <t>A 34741-2024</t>
        </is>
      </c>
      <c r="B9104" s="1" t="n">
        <v>45526</v>
      </c>
      <c r="C9104" s="1" t="n">
        <v>45798</v>
      </c>
      <c r="D9104" t="inlineStr">
        <is>
          <t>NORRBOTTENS LÄN</t>
        </is>
      </c>
      <c r="E9104" t="inlineStr">
        <is>
          <t>GÄLLIVARE</t>
        </is>
      </c>
      <c r="F9104" t="inlineStr">
        <is>
          <t>Sveaskog</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34774-2024</t>
        </is>
      </c>
      <c r="B9105" s="1" t="n">
        <v>45526</v>
      </c>
      <c r="C9105" s="1" t="n">
        <v>45798</v>
      </c>
      <c r="D9105" t="inlineStr">
        <is>
          <t>NORRBOTTENS LÄN</t>
        </is>
      </c>
      <c r="E9105" t="inlineStr">
        <is>
          <t>BODEN</t>
        </is>
      </c>
      <c r="G9105" t="n">
        <v>8.699999999999999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34693-2024</t>
        </is>
      </c>
      <c r="B9106" s="1" t="n">
        <v>45526</v>
      </c>
      <c r="C9106" s="1" t="n">
        <v>45798</v>
      </c>
      <c r="D9106" t="inlineStr">
        <is>
          <t>NORRBOTTENS LÄN</t>
        </is>
      </c>
      <c r="E9106" t="inlineStr">
        <is>
          <t>ÄLVSBYN</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34701-2024</t>
        </is>
      </c>
      <c r="B9107" s="1" t="n">
        <v>45526</v>
      </c>
      <c r="C9107" s="1" t="n">
        <v>45798</v>
      </c>
      <c r="D9107" t="inlineStr">
        <is>
          <t>NORRBOTTENS LÄN</t>
        </is>
      </c>
      <c r="E9107" t="inlineStr">
        <is>
          <t>ÖVERTORNEÅ</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34709-2024</t>
        </is>
      </c>
      <c r="B9108" s="1" t="n">
        <v>45526</v>
      </c>
      <c r="C9108" s="1" t="n">
        <v>45798</v>
      </c>
      <c r="D9108" t="inlineStr">
        <is>
          <t>NORRBOTTENS LÄN</t>
        </is>
      </c>
      <c r="E9108" t="inlineStr">
        <is>
          <t>PAJALA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34579-2024</t>
        </is>
      </c>
      <c r="B9109" s="1" t="n">
        <v>45526</v>
      </c>
      <c r="C9109" s="1" t="n">
        <v>45798</v>
      </c>
      <c r="D9109" t="inlineStr">
        <is>
          <t>NORRBOTTENS LÄN</t>
        </is>
      </c>
      <c r="E9109" t="inlineStr">
        <is>
          <t>ÖVERTORNEÅ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34609-2024</t>
        </is>
      </c>
      <c r="B9110" s="1" t="n">
        <v>45526</v>
      </c>
      <c r="C9110" s="1" t="n">
        <v>45798</v>
      </c>
      <c r="D9110" t="inlineStr">
        <is>
          <t>NORRBOTTENS LÄN</t>
        </is>
      </c>
      <c r="E9110" t="inlineStr">
        <is>
          <t>JOKKMOKK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34639-2024</t>
        </is>
      </c>
      <c r="B9111" s="1" t="n">
        <v>45526</v>
      </c>
      <c r="C9111" s="1" t="n">
        <v>45798</v>
      </c>
      <c r="D9111" t="inlineStr">
        <is>
          <t>NORRBOTTENS LÄN</t>
        </is>
      </c>
      <c r="E9111" t="inlineStr">
        <is>
          <t>JOKKMOKK</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34651-2024</t>
        </is>
      </c>
      <c r="B9112" s="1" t="n">
        <v>45526</v>
      </c>
      <c r="C9112" s="1" t="n">
        <v>45798</v>
      </c>
      <c r="D9112" t="inlineStr">
        <is>
          <t>NORRBOTTENS LÄN</t>
        </is>
      </c>
      <c r="E9112" t="inlineStr">
        <is>
          <t>ÖVERKALIX</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34695-2024</t>
        </is>
      </c>
      <c r="B9113" s="1" t="n">
        <v>45526</v>
      </c>
      <c r="C9113" s="1" t="n">
        <v>45798</v>
      </c>
      <c r="D9113" t="inlineStr">
        <is>
          <t>NORRBOTTENS LÄN</t>
        </is>
      </c>
      <c r="E9113" t="inlineStr">
        <is>
          <t>PAJALA</t>
        </is>
      </c>
      <c r="G9113" t="n">
        <v>24.4</v>
      </c>
      <c r="H9113" t="n">
        <v>0</v>
      </c>
      <c r="I9113" t="n">
        <v>0</v>
      </c>
      <c r="J9113" t="n">
        <v>0</v>
      </c>
      <c r="K9113" t="n">
        <v>0</v>
      </c>
      <c r="L9113" t="n">
        <v>0</v>
      </c>
      <c r="M9113" t="n">
        <v>0</v>
      </c>
      <c r="N9113" t="n">
        <v>0</v>
      </c>
      <c r="O9113" t="n">
        <v>0</v>
      </c>
      <c r="P9113" t="n">
        <v>0</v>
      </c>
      <c r="Q9113" t="n">
        <v>0</v>
      </c>
      <c r="R9113" s="2" t="inlineStr"/>
    </row>
    <row r="9114" ht="15" customHeight="1">
      <c r="A9114" t="inlineStr">
        <is>
          <t>A 34707-2024</t>
        </is>
      </c>
      <c r="B9114" s="1" t="n">
        <v>45526</v>
      </c>
      <c r="C9114" s="1" t="n">
        <v>45798</v>
      </c>
      <c r="D9114" t="inlineStr">
        <is>
          <t>NORRBOTTENS LÄN</t>
        </is>
      </c>
      <c r="E9114" t="inlineStr">
        <is>
          <t>PAJALA</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34724-2024</t>
        </is>
      </c>
      <c r="B9115" s="1" t="n">
        <v>45526</v>
      </c>
      <c r="C9115" s="1" t="n">
        <v>45798</v>
      </c>
      <c r="D9115" t="inlineStr">
        <is>
          <t>NORRBOTTENS LÄN</t>
        </is>
      </c>
      <c r="E9115" t="inlineStr">
        <is>
          <t>PITEÅ</t>
        </is>
      </c>
      <c r="F9115" t="inlineStr">
        <is>
          <t>SCA</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34745-2024</t>
        </is>
      </c>
      <c r="B9116" s="1" t="n">
        <v>45526</v>
      </c>
      <c r="C9116" s="1" t="n">
        <v>45798</v>
      </c>
      <c r="D9116" t="inlineStr">
        <is>
          <t>NORRBOTTENS LÄN</t>
        </is>
      </c>
      <c r="E9116" t="inlineStr">
        <is>
          <t>GÄLLIVARE</t>
        </is>
      </c>
      <c r="F9116" t="inlineStr">
        <is>
          <t>Sveaskog</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34781-2024</t>
        </is>
      </c>
      <c r="B9117" s="1" t="n">
        <v>45526</v>
      </c>
      <c r="C9117" s="1" t="n">
        <v>45798</v>
      </c>
      <c r="D9117" t="inlineStr">
        <is>
          <t>NORRBOTTENS LÄN</t>
        </is>
      </c>
      <c r="E9117" t="inlineStr">
        <is>
          <t>PITEÅ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34797-2024</t>
        </is>
      </c>
      <c r="B9118" s="1" t="n">
        <v>45526</v>
      </c>
      <c r="C9118" s="1" t="n">
        <v>45798</v>
      </c>
      <c r="D9118" t="inlineStr">
        <is>
          <t>NORRBOTTENS LÄN</t>
        </is>
      </c>
      <c r="E9118" t="inlineStr">
        <is>
          <t>LULEÅ</t>
        </is>
      </c>
      <c r="G9118" t="n">
        <v>27.6</v>
      </c>
      <c r="H9118" t="n">
        <v>0</v>
      </c>
      <c r="I9118" t="n">
        <v>0</v>
      </c>
      <c r="J9118" t="n">
        <v>0</v>
      </c>
      <c r="K9118" t="n">
        <v>0</v>
      </c>
      <c r="L9118" t="n">
        <v>0</v>
      </c>
      <c r="M9118" t="n">
        <v>0</v>
      </c>
      <c r="N9118" t="n">
        <v>0</v>
      </c>
      <c r="O9118" t="n">
        <v>0</v>
      </c>
      <c r="P9118" t="n">
        <v>0</v>
      </c>
      <c r="Q9118" t="n">
        <v>0</v>
      </c>
      <c r="R9118" s="2" t="inlineStr"/>
    </row>
    <row r="9119" ht="15" customHeight="1">
      <c r="A9119" t="inlineStr">
        <is>
          <t>A 34702-2024</t>
        </is>
      </c>
      <c r="B9119" s="1" t="n">
        <v>45526</v>
      </c>
      <c r="C9119" s="1" t="n">
        <v>45798</v>
      </c>
      <c r="D9119" t="inlineStr">
        <is>
          <t>NORRBOTTENS LÄN</t>
        </is>
      </c>
      <c r="E9119" t="inlineStr">
        <is>
          <t>ÖVERTORNEÅ</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34731-2024</t>
        </is>
      </c>
      <c r="B9120" s="1" t="n">
        <v>45526</v>
      </c>
      <c r="C9120" s="1" t="n">
        <v>45798</v>
      </c>
      <c r="D9120" t="inlineStr">
        <is>
          <t>NORRBOTTENS LÄN</t>
        </is>
      </c>
      <c r="E9120" t="inlineStr">
        <is>
          <t>PAJALA</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35039-2024</t>
        </is>
      </c>
      <c r="B9121" s="1" t="n">
        <v>45527</v>
      </c>
      <c r="C9121" s="1" t="n">
        <v>45798</v>
      </c>
      <c r="D9121" t="inlineStr">
        <is>
          <t>NORRBOTTENS LÄN</t>
        </is>
      </c>
      <c r="E9121" t="inlineStr">
        <is>
          <t>PITEÅ</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34922-2024</t>
        </is>
      </c>
      <c r="B9122" s="1" t="n">
        <v>45527</v>
      </c>
      <c r="C9122" s="1" t="n">
        <v>45798</v>
      </c>
      <c r="D9122" t="inlineStr">
        <is>
          <t>NORRBOTTENS LÄN</t>
        </is>
      </c>
      <c r="E9122" t="inlineStr">
        <is>
          <t>PITEÅ</t>
        </is>
      </c>
      <c r="F9122" t="inlineStr">
        <is>
          <t>Sveaskog</t>
        </is>
      </c>
      <c r="G9122" t="n">
        <v>18.1</v>
      </c>
      <c r="H9122" t="n">
        <v>0</v>
      </c>
      <c r="I9122" t="n">
        <v>0</v>
      </c>
      <c r="J9122" t="n">
        <v>0</v>
      </c>
      <c r="K9122" t="n">
        <v>0</v>
      </c>
      <c r="L9122" t="n">
        <v>0</v>
      </c>
      <c r="M9122" t="n">
        <v>0</v>
      </c>
      <c r="N9122" t="n">
        <v>0</v>
      </c>
      <c r="O9122" t="n">
        <v>0</v>
      </c>
      <c r="P9122" t="n">
        <v>0</v>
      </c>
      <c r="Q9122" t="n">
        <v>0</v>
      </c>
      <c r="R9122" s="2" t="inlineStr"/>
    </row>
    <row r="9123" ht="15" customHeight="1">
      <c r="A9123" t="inlineStr">
        <is>
          <t>A 34890-2024</t>
        </is>
      </c>
      <c r="B9123" s="1" t="n">
        <v>45527</v>
      </c>
      <c r="C9123" s="1" t="n">
        <v>45798</v>
      </c>
      <c r="D9123" t="inlineStr">
        <is>
          <t>NORRBOTTENS LÄN</t>
        </is>
      </c>
      <c r="E9123" t="inlineStr">
        <is>
          <t>JOKKMOKK</t>
        </is>
      </c>
      <c r="F9123" t="inlineStr">
        <is>
          <t>SCA</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34862-2024</t>
        </is>
      </c>
      <c r="B9124" s="1" t="n">
        <v>45527</v>
      </c>
      <c r="C9124" s="1" t="n">
        <v>45798</v>
      </c>
      <c r="D9124" t="inlineStr">
        <is>
          <t>NORRBOTTENS LÄN</t>
        </is>
      </c>
      <c r="E9124" t="inlineStr">
        <is>
          <t>PITEÅ</t>
        </is>
      </c>
      <c r="F9124" t="inlineStr">
        <is>
          <t>SCA</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34864-2024</t>
        </is>
      </c>
      <c r="B9125" s="1" t="n">
        <v>45527</v>
      </c>
      <c r="C9125" s="1" t="n">
        <v>45798</v>
      </c>
      <c r="D9125" t="inlineStr">
        <is>
          <t>NORRBOTTENS LÄN</t>
        </is>
      </c>
      <c r="E9125" t="inlineStr">
        <is>
          <t>PITEÅ</t>
        </is>
      </c>
      <c r="F9125" t="inlineStr">
        <is>
          <t>SCA</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35034-2024</t>
        </is>
      </c>
      <c r="B9126" s="1" t="n">
        <v>45527</v>
      </c>
      <c r="C9126" s="1" t="n">
        <v>45798</v>
      </c>
      <c r="D9126" t="inlineStr">
        <is>
          <t>NORRBOTTENS LÄN</t>
        </is>
      </c>
      <c r="E9126" t="inlineStr">
        <is>
          <t>PITEÅ</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34969-2024</t>
        </is>
      </c>
      <c r="B9127" s="1" t="n">
        <v>45527</v>
      </c>
      <c r="C9127" s="1" t="n">
        <v>45798</v>
      </c>
      <c r="D9127" t="inlineStr">
        <is>
          <t>NORRBOTTENS LÄN</t>
        </is>
      </c>
      <c r="E9127" t="inlineStr">
        <is>
          <t>BODEN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34865-2024</t>
        </is>
      </c>
      <c r="B9128" s="1" t="n">
        <v>45527</v>
      </c>
      <c r="C9128" s="1" t="n">
        <v>45798</v>
      </c>
      <c r="D9128" t="inlineStr">
        <is>
          <t>NORRBOTTENS LÄN</t>
        </is>
      </c>
      <c r="E9128" t="inlineStr">
        <is>
          <t>PITEÅ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35033-2024</t>
        </is>
      </c>
      <c r="B9129" s="1" t="n">
        <v>45527</v>
      </c>
      <c r="C9129" s="1" t="n">
        <v>45798</v>
      </c>
      <c r="D9129" t="inlineStr">
        <is>
          <t>NORRBOTTENS LÄN</t>
        </is>
      </c>
      <c r="E9129" t="inlineStr">
        <is>
          <t>PITEÅ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34992-2024</t>
        </is>
      </c>
      <c r="B9130" s="1" t="n">
        <v>45527</v>
      </c>
      <c r="C9130" s="1" t="n">
        <v>45798</v>
      </c>
      <c r="D9130" t="inlineStr">
        <is>
          <t>NORRBOTTENS LÄN</t>
        </is>
      </c>
      <c r="E9130" t="inlineStr">
        <is>
          <t>LULEÅ</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35115-2024</t>
        </is>
      </c>
      <c r="B9131" s="1" t="n">
        <v>45530</v>
      </c>
      <c r="C9131" s="1" t="n">
        <v>45798</v>
      </c>
      <c r="D9131" t="inlineStr">
        <is>
          <t>NORRBOTTENS LÄN</t>
        </is>
      </c>
      <c r="E9131" t="inlineStr">
        <is>
          <t>BODEN</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35158-2024</t>
        </is>
      </c>
      <c r="B9132" s="1" t="n">
        <v>45530</v>
      </c>
      <c r="C9132" s="1" t="n">
        <v>45798</v>
      </c>
      <c r="D9132" t="inlineStr">
        <is>
          <t>NORRBOTTENS LÄN</t>
        </is>
      </c>
      <c r="E9132" t="inlineStr">
        <is>
          <t>LULEÅ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35307-2024</t>
        </is>
      </c>
      <c r="B9133" s="1" t="n">
        <v>45530</v>
      </c>
      <c r="C9133" s="1" t="n">
        <v>45798</v>
      </c>
      <c r="D9133" t="inlineStr">
        <is>
          <t>NORRBOTTENS LÄN</t>
        </is>
      </c>
      <c r="E9133" t="inlineStr">
        <is>
          <t>GÄLLIVARE</t>
        </is>
      </c>
      <c r="F9133" t="inlineStr">
        <is>
          <t>Sveaskog</t>
        </is>
      </c>
      <c r="G9133" t="n">
        <v>15.8</v>
      </c>
      <c r="H9133" t="n">
        <v>0</v>
      </c>
      <c r="I9133" t="n">
        <v>0</v>
      </c>
      <c r="J9133" t="n">
        <v>0</v>
      </c>
      <c r="K9133" t="n">
        <v>0</v>
      </c>
      <c r="L9133" t="n">
        <v>0</v>
      </c>
      <c r="M9133" t="n">
        <v>0</v>
      </c>
      <c r="N9133" t="n">
        <v>0</v>
      </c>
      <c r="O9133" t="n">
        <v>0</v>
      </c>
      <c r="P9133" t="n">
        <v>0</v>
      </c>
      <c r="Q9133" t="n">
        <v>0</v>
      </c>
      <c r="R9133" s="2" t="inlineStr"/>
    </row>
    <row r="9134" ht="15" customHeight="1">
      <c r="A9134" t="inlineStr">
        <is>
          <t>A 35260-2024</t>
        </is>
      </c>
      <c r="B9134" s="1" t="n">
        <v>45530</v>
      </c>
      <c r="C9134" s="1" t="n">
        <v>45798</v>
      </c>
      <c r="D9134" t="inlineStr">
        <is>
          <t>NORRBOTTENS LÄN</t>
        </is>
      </c>
      <c r="E9134" t="inlineStr">
        <is>
          <t>PAJALA</t>
        </is>
      </c>
      <c r="F9134" t="inlineStr">
        <is>
          <t>Allmännings- och besparingsskogar</t>
        </is>
      </c>
      <c r="G9134" t="n">
        <v>32.7</v>
      </c>
      <c r="H9134" t="n">
        <v>0</v>
      </c>
      <c r="I9134" t="n">
        <v>0</v>
      </c>
      <c r="J9134" t="n">
        <v>0</v>
      </c>
      <c r="K9134" t="n">
        <v>0</v>
      </c>
      <c r="L9134" t="n">
        <v>0</v>
      </c>
      <c r="M9134" t="n">
        <v>0</v>
      </c>
      <c r="N9134" t="n">
        <v>0</v>
      </c>
      <c r="O9134" t="n">
        <v>0</v>
      </c>
      <c r="P9134" t="n">
        <v>0</v>
      </c>
      <c r="Q9134" t="n">
        <v>0</v>
      </c>
      <c r="R9134" s="2" t="inlineStr"/>
    </row>
    <row r="9135" ht="15" customHeight="1">
      <c r="A9135" t="inlineStr">
        <is>
          <t>A 35276-2024</t>
        </is>
      </c>
      <c r="B9135" s="1" t="n">
        <v>45530</v>
      </c>
      <c r="C9135" s="1" t="n">
        <v>45798</v>
      </c>
      <c r="D9135" t="inlineStr">
        <is>
          <t>NORRBOTTENS LÄN</t>
        </is>
      </c>
      <c r="E9135" t="inlineStr">
        <is>
          <t>PAJALA</t>
        </is>
      </c>
      <c r="F9135" t="inlineStr">
        <is>
          <t>Allmännings- och besparingsskogar</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35323-2024</t>
        </is>
      </c>
      <c r="B9136" s="1" t="n">
        <v>45530</v>
      </c>
      <c r="C9136" s="1" t="n">
        <v>45798</v>
      </c>
      <c r="D9136" t="inlineStr">
        <is>
          <t>NORRBOTTENS LÄN</t>
        </is>
      </c>
      <c r="E9136" t="inlineStr">
        <is>
          <t>GÄLLIVARE</t>
        </is>
      </c>
      <c r="F9136" t="inlineStr">
        <is>
          <t>Sveaskog</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35243-2024</t>
        </is>
      </c>
      <c r="B9137" s="1" t="n">
        <v>45530</v>
      </c>
      <c r="C9137" s="1" t="n">
        <v>45798</v>
      </c>
      <c r="D9137" t="inlineStr">
        <is>
          <t>NORRBOTTENS LÄN</t>
        </is>
      </c>
      <c r="E9137" t="inlineStr">
        <is>
          <t>ARVIDSJAUR</t>
        </is>
      </c>
      <c r="F9137" t="inlineStr">
        <is>
          <t>Sveaskog</t>
        </is>
      </c>
      <c r="G9137" t="n">
        <v>20</v>
      </c>
      <c r="H9137" t="n">
        <v>0</v>
      </c>
      <c r="I9137" t="n">
        <v>0</v>
      </c>
      <c r="J9137" t="n">
        <v>0</v>
      </c>
      <c r="K9137" t="n">
        <v>0</v>
      </c>
      <c r="L9137" t="n">
        <v>0</v>
      </c>
      <c r="M9137" t="n">
        <v>0</v>
      </c>
      <c r="N9137" t="n">
        <v>0</v>
      </c>
      <c r="O9137" t="n">
        <v>0</v>
      </c>
      <c r="P9137" t="n">
        <v>0</v>
      </c>
      <c r="Q9137" t="n">
        <v>0</v>
      </c>
      <c r="R9137" s="2" t="inlineStr"/>
    </row>
    <row r="9138" ht="15" customHeight="1">
      <c r="A9138" t="inlineStr">
        <is>
          <t>A 35290-2024</t>
        </is>
      </c>
      <c r="B9138" s="1" t="n">
        <v>45530</v>
      </c>
      <c r="C9138" s="1" t="n">
        <v>45798</v>
      </c>
      <c r="D9138" t="inlineStr">
        <is>
          <t>NORRBOTTENS LÄN</t>
        </is>
      </c>
      <c r="E9138" t="inlineStr">
        <is>
          <t>ÖVERKALIX</t>
        </is>
      </c>
      <c r="F9138" t="inlineStr">
        <is>
          <t>Sveaskog</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35330-2024</t>
        </is>
      </c>
      <c r="B9139" s="1" t="n">
        <v>45530</v>
      </c>
      <c r="C9139" s="1" t="n">
        <v>45798</v>
      </c>
      <c r="D9139" t="inlineStr">
        <is>
          <t>NORRBOTTENS LÄN</t>
        </is>
      </c>
      <c r="E9139" t="inlineStr">
        <is>
          <t>JOKKMOKK</t>
        </is>
      </c>
      <c r="F9139" t="inlineStr">
        <is>
          <t>Sveaskog</t>
        </is>
      </c>
      <c r="G9139" t="n">
        <v>28.2</v>
      </c>
      <c r="H9139" t="n">
        <v>0</v>
      </c>
      <c r="I9139" t="n">
        <v>0</v>
      </c>
      <c r="J9139" t="n">
        <v>0</v>
      </c>
      <c r="K9139" t="n">
        <v>0</v>
      </c>
      <c r="L9139" t="n">
        <v>0</v>
      </c>
      <c r="M9139" t="n">
        <v>0</v>
      </c>
      <c r="N9139" t="n">
        <v>0</v>
      </c>
      <c r="O9139" t="n">
        <v>0</v>
      </c>
      <c r="P9139" t="n">
        <v>0</v>
      </c>
      <c r="Q9139" t="n">
        <v>0</v>
      </c>
      <c r="R9139" s="2" t="inlineStr"/>
    </row>
    <row r="9140" ht="15" customHeight="1">
      <c r="A9140" t="inlineStr">
        <is>
          <t>A 35356-2024</t>
        </is>
      </c>
      <c r="B9140" s="1" t="n">
        <v>45531</v>
      </c>
      <c r="C9140" s="1" t="n">
        <v>45798</v>
      </c>
      <c r="D9140" t="inlineStr">
        <is>
          <t>NORRBOTTENS LÄN</t>
        </is>
      </c>
      <c r="E9140" t="inlineStr">
        <is>
          <t>BODEN</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35538-2024</t>
        </is>
      </c>
      <c r="B9141" s="1" t="n">
        <v>45531</v>
      </c>
      <c r="C9141" s="1" t="n">
        <v>45798</v>
      </c>
      <c r="D9141" t="inlineStr">
        <is>
          <t>NORRBOTTENS LÄN</t>
        </is>
      </c>
      <c r="E9141" t="inlineStr">
        <is>
          <t>ÄLVSBYN</t>
        </is>
      </c>
      <c r="F9141" t="inlineStr">
        <is>
          <t>Sveaskog</t>
        </is>
      </c>
      <c r="G9141" t="n">
        <v>16.9</v>
      </c>
      <c r="H9141" t="n">
        <v>0</v>
      </c>
      <c r="I9141" t="n">
        <v>0</v>
      </c>
      <c r="J9141" t="n">
        <v>0</v>
      </c>
      <c r="K9141" t="n">
        <v>0</v>
      </c>
      <c r="L9141" t="n">
        <v>0</v>
      </c>
      <c r="M9141" t="n">
        <v>0</v>
      </c>
      <c r="N9141" t="n">
        <v>0</v>
      </c>
      <c r="O9141" t="n">
        <v>0</v>
      </c>
      <c r="P9141" t="n">
        <v>0</v>
      </c>
      <c r="Q9141" t="n">
        <v>0</v>
      </c>
      <c r="R9141" s="2" t="inlineStr"/>
    </row>
    <row r="9142" ht="15" customHeight="1">
      <c r="A9142" t="inlineStr">
        <is>
          <t>A 35427-2024</t>
        </is>
      </c>
      <c r="B9142" s="1" t="n">
        <v>45531</v>
      </c>
      <c r="C9142" s="1" t="n">
        <v>45798</v>
      </c>
      <c r="D9142" t="inlineStr">
        <is>
          <t>NORRBOTTENS LÄN</t>
        </is>
      </c>
      <c r="E9142" t="inlineStr">
        <is>
          <t>BODEN</t>
        </is>
      </c>
      <c r="F9142" t="inlineStr">
        <is>
          <t>SCA</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35425-2024</t>
        </is>
      </c>
      <c r="B9143" s="1" t="n">
        <v>45531</v>
      </c>
      <c r="C9143" s="1" t="n">
        <v>45798</v>
      </c>
      <c r="D9143" t="inlineStr">
        <is>
          <t>NORRBOTTENS LÄN</t>
        </is>
      </c>
      <c r="E9143" t="inlineStr">
        <is>
          <t>BODEN</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35408-2024</t>
        </is>
      </c>
      <c r="B9144" s="1" t="n">
        <v>45531</v>
      </c>
      <c r="C9144" s="1" t="n">
        <v>45798</v>
      </c>
      <c r="D9144" t="inlineStr">
        <is>
          <t>NORRBOTTENS LÄN</t>
        </is>
      </c>
      <c r="E9144" t="inlineStr">
        <is>
          <t>PITEÅ</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35552-2024</t>
        </is>
      </c>
      <c r="B9145" s="1" t="n">
        <v>45531</v>
      </c>
      <c r="C9145" s="1" t="n">
        <v>45798</v>
      </c>
      <c r="D9145" t="inlineStr">
        <is>
          <t>NORRBOTTENS LÄN</t>
        </is>
      </c>
      <c r="E9145" t="inlineStr">
        <is>
          <t>LULEÅ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35560-2024</t>
        </is>
      </c>
      <c r="B9146" s="1" t="n">
        <v>45531</v>
      </c>
      <c r="C9146" s="1" t="n">
        <v>45798</v>
      </c>
      <c r="D9146" t="inlineStr">
        <is>
          <t>NORRBOTTENS LÄN</t>
        </is>
      </c>
      <c r="E9146" t="inlineStr">
        <is>
          <t>LULEÅ</t>
        </is>
      </c>
      <c r="G9146" t="n">
        <v>12.5</v>
      </c>
      <c r="H9146" t="n">
        <v>0</v>
      </c>
      <c r="I9146" t="n">
        <v>0</v>
      </c>
      <c r="J9146" t="n">
        <v>0</v>
      </c>
      <c r="K9146" t="n">
        <v>0</v>
      </c>
      <c r="L9146" t="n">
        <v>0</v>
      </c>
      <c r="M9146" t="n">
        <v>0</v>
      </c>
      <c r="N9146" t="n">
        <v>0</v>
      </c>
      <c r="O9146" t="n">
        <v>0</v>
      </c>
      <c r="P9146" t="n">
        <v>0</v>
      </c>
      <c r="Q9146" t="n">
        <v>0</v>
      </c>
      <c r="R9146" s="2" t="inlineStr"/>
    </row>
    <row r="9147" ht="15" customHeight="1">
      <c r="A9147" t="inlineStr">
        <is>
          <t>A 35564-2024</t>
        </is>
      </c>
      <c r="B9147" s="1" t="n">
        <v>45531</v>
      </c>
      <c r="C9147" s="1" t="n">
        <v>45798</v>
      </c>
      <c r="D9147" t="inlineStr">
        <is>
          <t>NORRBOTTENS LÄN</t>
        </is>
      </c>
      <c r="E9147" t="inlineStr">
        <is>
          <t>PITEÅ</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35563-2024</t>
        </is>
      </c>
      <c r="B9148" s="1" t="n">
        <v>45531</v>
      </c>
      <c r="C9148" s="1" t="n">
        <v>45798</v>
      </c>
      <c r="D9148" t="inlineStr">
        <is>
          <t>NORRBOTTENS LÄN</t>
        </is>
      </c>
      <c r="E9148" t="inlineStr">
        <is>
          <t>LULEÅ</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35670-2024</t>
        </is>
      </c>
      <c r="B9149" s="1" t="n">
        <v>45532</v>
      </c>
      <c r="C9149" s="1" t="n">
        <v>45798</v>
      </c>
      <c r="D9149" t="inlineStr">
        <is>
          <t>NORRBOTTENS LÄN</t>
        </is>
      </c>
      <c r="E9149" t="inlineStr">
        <is>
          <t>PITEÅ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35671-2024</t>
        </is>
      </c>
      <c r="B9150" s="1" t="n">
        <v>45532</v>
      </c>
      <c r="C9150" s="1" t="n">
        <v>45798</v>
      </c>
      <c r="D9150" t="inlineStr">
        <is>
          <t>NORRBOTTENS LÄN</t>
        </is>
      </c>
      <c r="E9150" t="inlineStr">
        <is>
          <t>PITEÅ</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35675-2024</t>
        </is>
      </c>
      <c r="B9151" s="1" t="n">
        <v>45532</v>
      </c>
      <c r="C9151" s="1" t="n">
        <v>45798</v>
      </c>
      <c r="D9151" t="inlineStr">
        <is>
          <t>NORRBOTTENS LÄN</t>
        </is>
      </c>
      <c r="E9151" t="inlineStr">
        <is>
          <t>JOKKMOKK</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35660-2024</t>
        </is>
      </c>
      <c r="B9152" s="1" t="n">
        <v>45532</v>
      </c>
      <c r="C9152" s="1" t="n">
        <v>45798</v>
      </c>
      <c r="D9152" t="inlineStr">
        <is>
          <t>NORRBOTTENS LÄN</t>
        </is>
      </c>
      <c r="E9152" t="inlineStr">
        <is>
          <t>PITEÅ</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35668-2024</t>
        </is>
      </c>
      <c r="B9153" s="1" t="n">
        <v>45532</v>
      </c>
      <c r="C9153" s="1" t="n">
        <v>45798</v>
      </c>
      <c r="D9153" t="inlineStr">
        <is>
          <t>NORRBOTTENS LÄN</t>
        </is>
      </c>
      <c r="E9153" t="inlineStr">
        <is>
          <t>ARJEPLOG</t>
        </is>
      </c>
      <c r="F9153" t="inlineStr">
        <is>
          <t>Allmännings- och besparingsskogar</t>
        </is>
      </c>
      <c r="G9153" t="n">
        <v>0.1</v>
      </c>
      <c r="H9153" t="n">
        <v>0</v>
      </c>
      <c r="I9153" t="n">
        <v>0</v>
      </c>
      <c r="J9153" t="n">
        <v>0</v>
      </c>
      <c r="K9153" t="n">
        <v>0</v>
      </c>
      <c r="L9153" t="n">
        <v>0</v>
      </c>
      <c r="M9153" t="n">
        <v>0</v>
      </c>
      <c r="N9153" t="n">
        <v>0</v>
      </c>
      <c r="O9153" t="n">
        <v>0</v>
      </c>
      <c r="P9153" t="n">
        <v>0</v>
      </c>
      <c r="Q9153" t="n">
        <v>0</v>
      </c>
      <c r="R9153" s="2" t="inlineStr"/>
    </row>
    <row r="9154" ht="15" customHeight="1">
      <c r="A9154" t="inlineStr">
        <is>
          <t>A 35676-2024</t>
        </is>
      </c>
      <c r="B9154" s="1" t="n">
        <v>45532</v>
      </c>
      <c r="C9154" s="1" t="n">
        <v>45798</v>
      </c>
      <c r="D9154" t="inlineStr">
        <is>
          <t>NORRBOTTENS LÄN</t>
        </is>
      </c>
      <c r="E9154" t="inlineStr">
        <is>
          <t>BODEN</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35744-2024</t>
        </is>
      </c>
      <c r="B9155" s="1" t="n">
        <v>45532</v>
      </c>
      <c r="C9155" s="1" t="n">
        <v>45798</v>
      </c>
      <c r="D9155" t="inlineStr">
        <is>
          <t>NORRBOTTENS LÄN</t>
        </is>
      </c>
      <c r="E9155" t="inlineStr">
        <is>
          <t>BODEN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35853-2024</t>
        </is>
      </c>
      <c r="B9156" s="1" t="n">
        <v>45533</v>
      </c>
      <c r="C9156" s="1" t="n">
        <v>45798</v>
      </c>
      <c r="D9156" t="inlineStr">
        <is>
          <t>NORRBOTTENS LÄN</t>
        </is>
      </c>
      <c r="E9156" t="inlineStr">
        <is>
          <t>KALIX</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35877-2024</t>
        </is>
      </c>
      <c r="B9157" s="1" t="n">
        <v>45533</v>
      </c>
      <c r="C9157" s="1" t="n">
        <v>45798</v>
      </c>
      <c r="D9157" t="inlineStr">
        <is>
          <t>NORRBOTTENS LÄN</t>
        </is>
      </c>
      <c r="E9157" t="inlineStr">
        <is>
          <t>ÄLVSBYN</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35917-2024</t>
        </is>
      </c>
      <c r="B9158" s="1" t="n">
        <v>45533</v>
      </c>
      <c r="C9158" s="1" t="n">
        <v>45798</v>
      </c>
      <c r="D9158" t="inlineStr">
        <is>
          <t>NORRBOTTENS LÄN</t>
        </is>
      </c>
      <c r="E9158" t="inlineStr">
        <is>
          <t>PAJALA</t>
        </is>
      </c>
      <c r="F9158" t="inlineStr">
        <is>
          <t>Sveaskog</t>
        </is>
      </c>
      <c r="G9158" t="n">
        <v>46.7</v>
      </c>
      <c r="H9158" t="n">
        <v>0</v>
      </c>
      <c r="I9158" t="n">
        <v>0</v>
      </c>
      <c r="J9158" t="n">
        <v>0</v>
      </c>
      <c r="K9158" t="n">
        <v>0</v>
      </c>
      <c r="L9158" t="n">
        <v>0</v>
      </c>
      <c r="M9158" t="n">
        <v>0</v>
      </c>
      <c r="N9158" t="n">
        <v>0</v>
      </c>
      <c r="O9158" t="n">
        <v>0</v>
      </c>
      <c r="P9158" t="n">
        <v>0</v>
      </c>
      <c r="Q9158" t="n">
        <v>0</v>
      </c>
      <c r="R9158" s="2" t="inlineStr"/>
    </row>
    <row r="9159" ht="15" customHeight="1">
      <c r="A9159" t="inlineStr">
        <is>
          <t>A 35859-2024</t>
        </is>
      </c>
      <c r="B9159" s="1" t="n">
        <v>45533</v>
      </c>
      <c r="C9159" s="1" t="n">
        <v>45798</v>
      </c>
      <c r="D9159" t="inlineStr">
        <is>
          <t>NORRBOTTENS LÄN</t>
        </is>
      </c>
      <c r="E9159" t="inlineStr">
        <is>
          <t>ARVIDSJAUR</t>
        </is>
      </c>
      <c r="F9159" t="inlineStr">
        <is>
          <t>Sveaskog</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35906-2024</t>
        </is>
      </c>
      <c r="B9160" s="1" t="n">
        <v>45533</v>
      </c>
      <c r="C9160" s="1" t="n">
        <v>45798</v>
      </c>
      <c r="D9160" t="inlineStr">
        <is>
          <t>NORRBOTTENS LÄN</t>
        </is>
      </c>
      <c r="E9160" t="inlineStr">
        <is>
          <t>PITEÅ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35918-2024</t>
        </is>
      </c>
      <c r="B9161" s="1" t="n">
        <v>45533</v>
      </c>
      <c r="C9161" s="1" t="n">
        <v>45798</v>
      </c>
      <c r="D9161" t="inlineStr">
        <is>
          <t>NORRBOTTENS LÄN</t>
        </is>
      </c>
      <c r="E9161" t="inlineStr">
        <is>
          <t>LULEÅ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35907-2024</t>
        </is>
      </c>
      <c r="B9162" s="1" t="n">
        <v>45533</v>
      </c>
      <c r="C9162" s="1" t="n">
        <v>45798</v>
      </c>
      <c r="D9162" t="inlineStr">
        <is>
          <t>NORRBOTTENS LÄN</t>
        </is>
      </c>
      <c r="E9162" t="inlineStr">
        <is>
          <t>PITEÅ</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36109-2024</t>
        </is>
      </c>
      <c r="B9163" s="1" t="n">
        <v>45534</v>
      </c>
      <c r="C9163" s="1" t="n">
        <v>45798</v>
      </c>
      <c r="D9163" t="inlineStr">
        <is>
          <t>NORRBOTTENS LÄN</t>
        </is>
      </c>
      <c r="E9163" t="inlineStr">
        <is>
          <t>ÖVERTORNEÅ</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36113-2024</t>
        </is>
      </c>
      <c r="B9164" s="1" t="n">
        <v>45534</v>
      </c>
      <c r="C9164" s="1" t="n">
        <v>45798</v>
      </c>
      <c r="D9164" t="inlineStr">
        <is>
          <t>NORRBOTTENS LÄN</t>
        </is>
      </c>
      <c r="E9164" t="inlineStr">
        <is>
          <t>JOKKMOKK</t>
        </is>
      </c>
      <c r="F9164" t="inlineStr">
        <is>
          <t>Sveaskog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36249-2024</t>
        </is>
      </c>
      <c r="B9165" s="1" t="n">
        <v>45534</v>
      </c>
      <c r="C9165" s="1" t="n">
        <v>45798</v>
      </c>
      <c r="D9165" t="inlineStr">
        <is>
          <t>NORRBOTTENS LÄN</t>
        </is>
      </c>
      <c r="E9165" t="inlineStr">
        <is>
          <t>BODEN</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36286-2024</t>
        </is>
      </c>
      <c r="B9166" s="1" t="n">
        <v>45534</v>
      </c>
      <c r="C9166" s="1" t="n">
        <v>45798</v>
      </c>
      <c r="D9166" t="inlineStr">
        <is>
          <t>NORRBOTTENS LÄN</t>
        </is>
      </c>
      <c r="E9166" t="inlineStr">
        <is>
          <t>ÖVERTORNEÅ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36124-2024</t>
        </is>
      </c>
      <c r="B9167" s="1" t="n">
        <v>45534</v>
      </c>
      <c r="C9167" s="1" t="n">
        <v>45798</v>
      </c>
      <c r="D9167" t="inlineStr">
        <is>
          <t>NORRBOTTENS LÄN</t>
        </is>
      </c>
      <c r="E9167" t="inlineStr">
        <is>
          <t>HAPARANDA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36361-2024</t>
        </is>
      </c>
      <c r="B9168" s="1" t="n">
        <v>45534</v>
      </c>
      <c r="C9168" s="1" t="n">
        <v>45798</v>
      </c>
      <c r="D9168" t="inlineStr">
        <is>
          <t>NORRBOTTENS LÄN</t>
        </is>
      </c>
      <c r="E9168" t="inlineStr">
        <is>
          <t>JOKKMOKK</t>
        </is>
      </c>
      <c r="F9168" t="inlineStr">
        <is>
          <t>SCA</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36381-2024</t>
        </is>
      </c>
      <c r="B9169" s="1" t="n">
        <v>45534</v>
      </c>
      <c r="C9169" s="1" t="n">
        <v>45798</v>
      </c>
      <c r="D9169" t="inlineStr">
        <is>
          <t>NORRBOTTENS LÄN</t>
        </is>
      </c>
      <c r="E9169" t="inlineStr">
        <is>
          <t>ÖVERKALIX</t>
        </is>
      </c>
      <c r="F9169" t="inlineStr">
        <is>
          <t>Sveaskog</t>
        </is>
      </c>
      <c r="G9169" t="n">
        <v>26.7</v>
      </c>
      <c r="H9169" t="n">
        <v>0</v>
      </c>
      <c r="I9169" t="n">
        <v>0</v>
      </c>
      <c r="J9169" t="n">
        <v>0</v>
      </c>
      <c r="K9169" t="n">
        <v>0</v>
      </c>
      <c r="L9169" t="n">
        <v>0</v>
      </c>
      <c r="M9169" t="n">
        <v>0</v>
      </c>
      <c r="N9169" t="n">
        <v>0</v>
      </c>
      <c r="O9169" t="n">
        <v>0</v>
      </c>
      <c r="P9169" t="n">
        <v>0</v>
      </c>
      <c r="Q9169" t="n">
        <v>0</v>
      </c>
      <c r="R9169" s="2" t="inlineStr"/>
    </row>
    <row r="9170" ht="15" customHeight="1">
      <c r="A9170" t="inlineStr">
        <is>
          <t>A 36434-2024</t>
        </is>
      </c>
      <c r="B9170" s="1" t="n">
        <v>45535</v>
      </c>
      <c r="C9170" s="1" t="n">
        <v>45798</v>
      </c>
      <c r="D9170" t="inlineStr">
        <is>
          <t>NORRBOTTENS LÄN</t>
        </is>
      </c>
      <c r="E9170" t="inlineStr">
        <is>
          <t>PITEÅ</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36452-2024</t>
        </is>
      </c>
      <c r="B9171" s="1" t="n">
        <v>45537</v>
      </c>
      <c r="C9171" s="1" t="n">
        <v>45798</v>
      </c>
      <c r="D9171" t="inlineStr">
        <is>
          <t>NORRBOTTENS LÄN</t>
        </is>
      </c>
      <c r="E9171" t="inlineStr">
        <is>
          <t>ARVIDSJAUR</t>
        </is>
      </c>
      <c r="F9171" t="inlineStr">
        <is>
          <t>Sveaskog</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36482-2024</t>
        </is>
      </c>
      <c r="B9172" s="1" t="n">
        <v>45537</v>
      </c>
      <c r="C9172" s="1" t="n">
        <v>45798</v>
      </c>
      <c r="D9172" t="inlineStr">
        <is>
          <t>NORRBOTTENS LÄN</t>
        </is>
      </c>
      <c r="E9172" t="inlineStr">
        <is>
          <t>KALIX</t>
        </is>
      </c>
      <c r="G9172" t="n">
        <v>23.5</v>
      </c>
      <c r="H9172" t="n">
        <v>0</v>
      </c>
      <c r="I9172" t="n">
        <v>0</v>
      </c>
      <c r="J9172" t="n">
        <v>0</v>
      </c>
      <c r="K9172" t="n">
        <v>0</v>
      </c>
      <c r="L9172" t="n">
        <v>0</v>
      </c>
      <c r="M9172" t="n">
        <v>0</v>
      </c>
      <c r="N9172" t="n">
        <v>0</v>
      </c>
      <c r="O9172" t="n">
        <v>0</v>
      </c>
      <c r="P9172" t="n">
        <v>0</v>
      </c>
      <c r="Q9172" t="n">
        <v>0</v>
      </c>
      <c r="R9172" s="2" t="inlineStr"/>
    </row>
    <row r="9173" ht="15" customHeight="1">
      <c r="A9173" t="inlineStr">
        <is>
          <t>A 36510-2024</t>
        </is>
      </c>
      <c r="B9173" s="1" t="n">
        <v>45537</v>
      </c>
      <c r="C9173" s="1" t="n">
        <v>45798</v>
      </c>
      <c r="D9173" t="inlineStr">
        <is>
          <t>NORRBOTTENS LÄN</t>
        </is>
      </c>
      <c r="E9173" t="inlineStr">
        <is>
          <t>GÄLLIVARE</t>
        </is>
      </c>
      <c r="F9173" t="inlineStr">
        <is>
          <t>Sveaskog</t>
        </is>
      </c>
      <c r="G9173" t="n">
        <v>8.5</v>
      </c>
      <c r="H9173" t="n">
        <v>0</v>
      </c>
      <c r="I9173" t="n">
        <v>0</v>
      </c>
      <c r="J9173" t="n">
        <v>0</v>
      </c>
      <c r="K9173" t="n">
        <v>0</v>
      </c>
      <c r="L9173" t="n">
        <v>0</v>
      </c>
      <c r="M9173" t="n">
        <v>0</v>
      </c>
      <c r="N9173" t="n">
        <v>0</v>
      </c>
      <c r="O9173" t="n">
        <v>0</v>
      </c>
      <c r="P9173" t="n">
        <v>0</v>
      </c>
      <c r="Q9173" t="n">
        <v>0</v>
      </c>
      <c r="R9173" s="2" t="inlineStr"/>
    </row>
    <row r="9174" ht="15" customHeight="1">
      <c r="A9174" t="inlineStr">
        <is>
          <t>A 36554-2024</t>
        </is>
      </c>
      <c r="B9174" s="1" t="n">
        <v>45537</v>
      </c>
      <c r="C9174" s="1" t="n">
        <v>45798</v>
      </c>
      <c r="D9174" t="inlineStr">
        <is>
          <t>NORRBOTTENS LÄN</t>
        </is>
      </c>
      <c r="E9174" t="inlineStr">
        <is>
          <t>PITEÅ</t>
        </is>
      </c>
      <c r="G9174" t="n">
        <v>11.7</v>
      </c>
      <c r="H9174" t="n">
        <v>0</v>
      </c>
      <c r="I9174" t="n">
        <v>0</v>
      </c>
      <c r="J9174" t="n">
        <v>0</v>
      </c>
      <c r="K9174" t="n">
        <v>0</v>
      </c>
      <c r="L9174" t="n">
        <v>0</v>
      </c>
      <c r="M9174" t="n">
        <v>0</v>
      </c>
      <c r="N9174" t="n">
        <v>0</v>
      </c>
      <c r="O9174" t="n">
        <v>0</v>
      </c>
      <c r="P9174" t="n">
        <v>0</v>
      </c>
      <c r="Q9174" t="n">
        <v>0</v>
      </c>
      <c r="R9174" s="2" t="inlineStr"/>
    </row>
    <row r="9175" ht="15" customHeight="1">
      <c r="A9175" t="inlineStr">
        <is>
          <t>A 36586-2024</t>
        </is>
      </c>
      <c r="B9175" s="1" t="n">
        <v>45537</v>
      </c>
      <c r="C9175" s="1" t="n">
        <v>45798</v>
      </c>
      <c r="D9175" t="inlineStr">
        <is>
          <t>NORRBOTTENS LÄN</t>
        </is>
      </c>
      <c r="E9175" t="inlineStr">
        <is>
          <t>ÖVERTORNEÅ</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36630-2024</t>
        </is>
      </c>
      <c r="B9176" s="1" t="n">
        <v>45537</v>
      </c>
      <c r="C9176" s="1" t="n">
        <v>45798</v>
      </c>
      <c r="D9176" t="inlineStr">
        <is>
          <t>NORRBOTTENS LÄN</t>
        </is>
      </c>
      <c r="E9176" t="inlineStr">
        <is>
          <t>BODEN</t>
        </is>
      </c>
      <c r="F9176" t="inlineStr">
        <is>
          <t>SCA</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36438-2024</t>
        </is>
      </c>
      <c r="B9177" s="1" t="n">
        <v>45537</v>
      </c>
      <c r="C9177" s="1" t="n">
        <v>45798</v>
      </c>
      <c r="D9177" t="inlineStr">
        <is>
          <t>NORRBOTTENS LÄN</t>
        </is>
      </c>
      <c r="E9177" t="inlineStr">
        <is>
          <t>BODEN</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36511-2024</t>
        </is>
      </c>
      <c r="B9178" s="1" t="n">
        <v>45537</v>
      </c>
      <c r="C9178" s="1" t="n">
        <v>45798</v>
      </c>
      <c r="D9178" t="inlineStr">
        <is>
          <t>NORRBOTTENS LÄN</t>
        </is>
      </c>
      <c r="E9178" t="inlineStr">
        <is>
          <t>GÄLLIVARE</t>
        </is>
      </c>
      <c r="F9178" t="inlineStr">
        <is>
          <t>Sveaskog</t>
        </is>
      </c>
      <c r="G9178" t="n">
        <v>9.4</v>
      </c>
      <c r="H9178" t="n">
        <v>0</v>
      </c>
      <c r="I9178" t="n">
        <v>0</v>
      </c>
      <c r="J9178" t="n">
        <v>0</v>
      </c>
      <c r="K9178" t="n">
        <v>0</v>
      </c>
      <c r="L9178" t="n">
        <v>0</v>
      </c>
      <c r="M9178" t="n">
        <v>0</v>
      </c>
      <c r="N9178" t="n">
        <v>0</v>
      </c>
      <c r="O9178" t="n">
        <v>0</v>
      </c>
      <c r="P9178" t="n">
        <v>0</v>
      </c>
      <c r="Q9178" t="n">
        <v>0</v>
      </c>
      <c r="R9178" s="2" t="inlineStr"/>
    </row>
    <row r="9179" ht="15" customHeight="1">
      <c r="A9179" t="inlineStr">
        <is>
          <t>A 36515-2024</t>
        </is>
      </c>
      <c r="B9179" s="1" t="n">
        <v>45537</v>
      </c>
      <c r="C9179" s="1" t="n">
        <v>45798</v>
      </c>
      <c r="D9179" t="inlineStr">
        <is>
          <t>NORRBOTTENS LÄN</t>
        </is>
      </c>
      <c r="E9179" t="inlineStr">
        <is>
          <t>PITEÅ</t>
        </is>
      </c>
      <c r="F9179" t="inlineStr">
        <is>
          <t>Sveaskog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36716-2024</t>
        </is>
      </c>
      <c r="B9180" s="1" t="n">
        <v>45537</v>
      </c>
      <c r="C9180" s="1" t="n">
        <v>45798</v>
      </c>
      <c r="D9180" t="inlineStr">
        <is>
          <t>NORRBOTTENS LÄN</t>
        </is>
      </c>
      <c r="E9180" t="inlineStr">
        <is>
          <t>PAJALA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36715-2024</t>
        </is>
      </c>
      <c r="B9181" s="1" t="n">
        <v>45537</v>
      </c>
      <c r="C9181" s="1" t="n">
        <v>45798</v>
      </c>
      <c r="D9181" t="inlineStr">
        <is>
          <t>NORRBOTTENS LÄN</t>
        </is>
      </c>
      <c r="E9181" t="inlineStr">
        <is>
          <t>KALIX</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36719-2024</t>
        </is>
      </c>
      <c r="B9182" s="1" t="n">
        <v>45537</v>
      </c>
      <c r="C9182" s="1" t="n">
        <v>45798</v>
      </c>
      <c r="D9182" t="inlineStr">
        <is>
          <t>NORRBOTTENS LÄN</t>
        </is>
      </c>
      <c r="E9182" t="inlineStr">
        <is>
          <t>PAJALA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36783-2024</t>
        </is>
      </c>
      <c r="B9183" s="1" t="n">
        <v>45538</v>
      </c>
      <c r="C9183" s="1" t="n">
        <v>45798</v>
      </c>
      <c r="D9183" t="inlineStr">
        <is>
          <t>NORRBOTTENS LÄN</t>
        </is>
      </c>
      <c r="E9183" t="inlineStr">
        <is>
          <t>PITEÅ</t>
        </is>
      </c>
      <c r="F9183" t="inlineStr">
        <is>
          <t>SCA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36804-2024</t>
        </is>
      </c>
      <c r="B9184" s="1" t="n">
        <v>45538</v>
      </c>
      <c r="C9184" s="1" t="n">
        <v>45798</v>
      </c>
      <c r="D9184" t="inlineStr">
        <is>
          <t>NORRBOTTENS LÄN</t>
        </is>
      </c>
      <c r="E9184" t="inlineStr">
        <is>
          <t>ÖVERKALIX</t>
        </is>
      </c>
      <c r="F9184" t="inlineStr">
        <is>
          <t>SCA</t>
        </is>
      </c>
      <c r="G9184" t="n">
        <v>14.5</v>
      </c>
      <c r="H9184" t="n">
        <v>0</v>
      </c>
      <c r="I9184" t="n">
        <v>0</v>
      </c>
      <c r="J9184" t="n">
        <v>0</v>
      </c>
      <c r="K9184" t="n">
        <v>0</v>
      </c>
      <c r="L9184" t="n">
        <v>0</v>
      </c>
      <c r="M9184" t="n">
        <v>0</v>
      </c>
      <c r="N9184" t="n">
        <v>0</v>
      </c>
      <c r="O9184" t="n">
        <v>0</v>
      </c>
      <c r="P9184" t="n">
        <v>0</v>
      </c>
      <c r="Q9184" t="n">
        <v>0</v>
      </c>
      <c r="R9184" s="2" t="inlineStr"/>
    </row>
    <row r="9185" ht="15" customHeight="1">
      <c r="A9185" t="inlineStr">
        <is>
          <t>A 36744-2024</t>
        </is>
      </c>
      <c r="B9185" s="1" t="n">
        <v>45538</v>
      </c>
      <c r="C9185" s="1" t="n">
        <v>45798</v>
      </c>
      <c r="D9185" t="inlineStr">
        <is>
          <t>NORRBOTTENS LÄN</t>
        </is>
      </c>
      <c r="E9185" t="inlineStr">
        <is>
          <t>PITEÅ</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36764-2024</t>
        </is>
      </c>
      <c r="B9186" s="1" t="n">
        <v>45538</v>
      </c>
      <c r="C9186" s="1" t="n">
        <v>45798</v>
      </c>
      <c r="D9186" t="inlineStr">
        <is>
          <t>NORRBOTTENS LÄN</t>
        </is>
      </c>
      <c r="E9186" t="inlineStr">
        <is>
          <t>ARVIDSJAUR</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36805-2024</t>
        </is>
      </c>
      <c r="B9187" s="1" t="n">
        <v>45538</v>
      </c>
      <c r="C9187" s="1" t="n">
        <v>45798</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36810-2024</t>
        </is>
      </c>
      <c r="B9188" s="1" t="n">
        <v>45538</v>
      </c>
      <c r="C9188" s="1" t="n">
        <v>45798</v>
      </c>
      <c r="D9188" t="inlineStr">
        <is>
          <t>NORRBOTTENS LÄN</t>
        </is>
      </c>
      <c r="E9188" t="inlineStr">
        <is>
          <t>PAJALA</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36872-2024</t>
        </is>
      </c>
      <c r="B9189" s="1" t="n">
        <v>45538</v>
      </c>
      <c r="C9189" s="1" t="n">
        <v>45798</v>
      </c>
      <c r="D9189" t="inlineStr">
        <is>
          <t>NORRBOTTENS LÄN</t>
        </is>
      </c>
      <c r="E9189" t="inlineStr">
        <is>
          <t>ÖVERTORNEÅ</t>
        </is>
      </c>
      <c r="G9189" t="n">
        <v>12.6</v>
      </c>
      <c r="H9189" t="n">
        <v>0</v>
      </c>
      <c r="I9189" t="n">
        <v>0</v>
      </c>
      <c r="J9189" t="n">
        <v>0</v>
      </c>
      <c r="K9189" t="n">
        <v>0</v>
      </c>
      <c r="L9189" t="n">
        <v>0</v>
      </c>
      <c r="M9189" t="n">
        <v>0</v>
      </c>
      <c r="N9189" t="n">
        <v>0</v>
      </c>
      <c r="O9189" t="n">
        <v>0</v>
      </c>
      <c r="P9189" t="n">
        <v>0</v>
      </c>
      <c r="Q9189" t="n">
        <v>0</v>
      </c>
      <c r="R9189" s="2" t="inlineStr"/>
    </row>
    <row r="9190" ht="15" customHeight="1">
      <c r="A9190" t="inlineStr">
        <is>
          <t>A 36918-2024</t>
        </is>
      </c>
      <c r="B9190" s="1" t="n">
        <v>45538</v>
      </c>
      <c r="C9190" s="1" t="n">
        <v>45798</v>
      </c>
      <c r="D9190" t="inlineStr">
        <is>
          <t>NORRBOTTENS LÄN</t>
        </is>
      </c>
      <c r="E9190" t="inlineStr">
        <is>
          <t>KALIX</t>
        </is>
      </c>
      <c r="F9190" t="inlineStr">
        <is>
          <t>Kommuner</t>
        </is>
      </c>
      <c r="G9190" t="n">
        <v>15.7</v>
      </c>
      <c r="H9190" t="n">
        <v>0</v>
      </c>
      <c r="I9190" t="n">
        <v>0</v>
      </c>
      <c r="J9190" t="n">
        <v>0</v>
      </c>
      <c r="K9190" t="n">
        <v>0</v>
      </c>
      <c r="L9190" t="n">
        <v>0</v>
      </c>
      <c r="M9190" t="n">
        <v>0</v>
      </c>
      <c r="N9190" t="n">
        <v>0</v>
      </c>
      <c r="O9190" t="n">
        <v>0</v>
      </c>
      <c r="P9190" t="n">
        <v>0</v>
      </c>
      <c r="Q9190" t="n">
        <v>0</v>
      </c>
      <c r="R9190" s="2" t="inlineStr"/>
    </row>
    <row r="9191" ht="15" customHeight="1">
      <c r="A9191" t="inlineStr">
        <is>
          <t>A 36981-2024</t>
        </is>
      </c>
      <c r="B9191" s="1" t="n">
        <v>45539</v>
      </c>
      <c r="C9191" s="1" t="n">
        <v>45798</v>
      </c>
      <c r="D9191" t="inlineStr">
        <is>
          <t>NORRBOTTENS LÄN</t>
        </is>
      </c>
      <c r="E9191" t="inlineStr">
        <is>
          <t>BODEN</t>
        </is>
      </c>
      <c r="F9191" t="inlineStr">
        <is>
          <t>Sveaskog</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37114-2024</t>
        </is>
      </c>
      <c r="B9192" s="1" t="n">
        <v>45539</v>
      </c>
      <c r="C9192" s="1" t="n">
        <v>45798</v>
      </c>
      <c r="D9192" t="inlineStr">
        <is>
          <t>NORRBOTTENS LÄN</t>
        </is>
      </c>
      <c r="E9192" t="inlineStr">
        <is>
          <t>BODEN</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37085-2024</t>
        </is>
      </c>
      <c r="B9193" s="1" t="n">
        <v>45539</v>
      </c>
      <c r="C9193" s="1" t="n">
        <v>45798</v>
      </c>
      <c r="D9193" t="inlineStr">
        <is>
          <t>NORRBOTTENS LÄN</t>
        </is>
      </c>
      <c r="E9193" t="inlineStr">
        <is>
          <t>ÖVERKALIX</t>
        </is>
      </c>
      <c r="F9193" t="inlineStr">
        <is>
          <t>Sveaskog</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37149-2024</t>
        </is>
      </c>
      <c r="B9194" s="1" t="n">
        <v>45539</v>
      </c>
      <c r="C9194" s="1" t="n">
        <v>45798</v>
      </c>
      <c r="D9194" t="inlineStr">
        <is>
          <t>NORRBOTTENS LÄN</t>
        </is>
      </c>
      <c r="E9194" t="inlineStr">
        <is>
          <t>GÄLLIVARE</t>
        </is>
      </c>
      <c r="F9194" t="inlineStr">
        <is>
          <t>SCA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37047-2024</t>
        </is>
      </c>
      <c r="B9195" s="1" t="n">
        <v>45539</v>
      </c>
      <c r="C9195" s="1" t="n">
        <v>45798</v>
      </c>
      <c r="D9195" t="inlineStr">
        <is>
          <t>NORRBOTTENS LÄN</t>
        </is>
      </c>
      <c r="E9195" t="inlineStr">
        <is>
          <t>PAJALA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37291-2024</t>
        </is>
      </c>
      <c r="B9196" s="1" t="n">
        <v>45540</v>
      </c>
      <c r="C9196" s="1" t="n">
        <v>45798</v>
      </c>
      <c r="D9196" t="inlineStr">
        <is>
          <t>NORRBOTTENS LÄN</t>
        </is>
      </c>
      <c r="E9196" t="inlineStr">
        <is>
          <t>ÄLVSBYN</t>
        </is>
      </c>
      <c r="F9196" t="inlineStr">
        <is>
          <t>Sveaskog</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37400-2024</t>
        </is>
      </c>
      <c r="B9197" s="1" t="n">
        <v>45540</v>
      </c>
      <c r="C9197" s="1" t="n">
        <v>45798</v>
      </c>
      <c r="D9197" t="inlineStr">
        <is>
          <t>NORRBOTTENS LÄN</t>
        </is>
      </c>
      <c r="E9197" t="inlineStr">
        <is>
          <t>PAJALA</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37412-2024</t>
        </is>
      </c>
      <c r="B9198" s="1" t="n">
        <v>45540</v>
      </c>
      <c r="C9198" s="1" t="n">
        <v>45798</v>
      </c>
      <c r="D9198" t="inlineStr">
        <is>
          <t>NORRBOTTENS LÄN</t>
        </is>
      </c>
      <c r="E9198" t="inlineStr">
        <is>
          <t>ÄLVSBYN</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37289-2024</t>
        </is>
      </c>
      <c r="B9199" s="1" t="n">
        <v>45540</v>
      </c>
      <c r="C9199" s="1" t="n">
        <v>45798</v>
      </c>
      <c r="D9199" t="inlineStr">
        <is>
          <t>NORRBOTTENS LÄN</t>
        </is>
      </c>
      <c r="E9199" t="inlineStr">
        <is>
          <t>PAJALA</t>
        </is>
      </c>
      <c r="G9199" t="n">
        <v>13.8</v>
      </c>
      <c r="H9199" t="n">
        <v>0</v>
      </c>
      <c r="I9199" t="n">
        <v>0</v>
      </c>
      <c r="J9199" t="n">
        <v>0</v>
      </c>
      <c r="K9199" t="n">
        <v>0</v>
      </c>
      <c r="L9199" t="n">
        <v>0</v>
      </c>
      <c r="M9199" t="n">
        <v>0</v>
      </c>
      <c r="N9199" t="n">
        <v>0</v>
      </c>
      <c r="O9199" t="n">
        <v>0</v>
      </c>
      <c r="P9199" t="n">
        <v>0</v>
      </c>
      <c r="Q9199" t="n">
        <v>0</v>
      </c>
      <c r="R9199" s="2" t="inlineStr"/>
    </row>
    <row r="9200" ht="15" customHeight="1">
      <c r="A9200" t="inlineStr">
        <is>
          <t>A 37321-2024</t>
        </is>
      </c>
      <c r="B9200" s="1" t="n">
        <v>45540</v>
      </c>
      <c r="C9200" s="1" t="n">
        <v>45798</v>
      </c>
      <c r="D9200" t="inlineStr">
        <is>
          <t>NORRBOTTENS LÄN</t>
        </is>
      </c>
      <c r="E9200" t="inlineStr">
        <is>
          <t>PAJALA</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37407-2024</t>
        </is>
      </c>
      <c r="B9201" s="1" t="n">
        <v>45540</v>
      </c>
      <c r="C9201" s="1" t="n">
        <v>45798</v>
      </c>
      <c r="D9201" t="inlineStr">
        <is>
          <t>NORRBOTTENS LÄN</t>
        </is>
      </c>
      <c r="E9201" t="inlineStr">
        <is>
          <t>ÄLVSBYN</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37411-2024</t>
        </is>
      </c>
      <c r="B9202" s="1" t="n">
        <v>45540</v>
      </c>
      <c r="C9202" s="1" t="n">
        <v>45798</v>
      </c>
      <c r="D9202" t="inlineStr">
        <is>
          <t>NORRBOTTENS LÄN</t>
        </is>
      </c>
      <c r="E9202" t="inlineStr">
        <is>
          <t>ÖVERTORNEÅ</t>
        </is>
      </c>
      <c r="F9202" t="inlineStr">
        <is>
          <t>Sveaskog</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37304-2024</t>
        </is>
      </c>
      <c r="B9203" s="1" t="n">
        <v>45540</v>
      </c>
      <c r="C9203" s="1" t="n">
        <v>45798</v>
      </c>
      <c r="D9203" t="inlineStr">
        <is>
          <t>NORRBOTTENS LÄN</t>
        </is>
      </c>
      <c r="E9203" t="inlineStr">
        <is>
          <t>LULEÅ</t>
        </is>
      </c>
      <c r="F9203" t="inlineStr">
        <is>
          <t>SCA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37446-2024</t>
        </is>
      </c>
      <c r="B9204" s="1" t="n">
        <v>45540</v>
      </c>
      <c r="C9204" s="1" t="n">
        <v>45798</v>
      </c>
      <c r="D9204" t="inlineStr">
        <is>
          <t>NORRBOTTENS LÄN</t>
        </is>
      </c>
      <c r="E9204" t="inlineStr">
        <is>
          <t>BODEN</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37381-2024</t>
        </is>
      </c>
      <c r="B9205" s="1" t="n">
        <v>45540</v>
      </c>
      <c r="C9205" s="1" t="n">
        <v>45798</v>
      </c>
      <c r="D9205" t="inlineStr">
        <is>
          <t>NORRBOTTENS LÄN</t>
        </is>
      </c>
      <c r="E9205" t="inlineStr">
        <is>
          <t>PAJALA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37409-2024</t>
        </is>
      </c>
      <c r="B9206" s="1" t="n">
        <v>45540</v>
      </c>
      <c r="C9206" s="1" t="n">
        <v>45798</v>
      </c>
      <c r="D9206" t="inlineStr">
        <is>
          <t>NORRBOTTENS LÄN</t>
        </is>
      </c>
      <c r="E9206" t="inlineStr">
        <is>
          <t>ÖVERTORNEÅ</t>
        </is>
      </c>
      <c r="F9206" t="inlineStr">
        <is>
          <t>Sveaskog</t>
        </is>
      </c>
      <c r="G9206" t="n">
        <v>14.7</v>
      </c>
      <c r="H9206" t="n">
        <v>0</v>
      </c>
      <c r="I9206" t="n">
        <v>0</v>
      </c>
      <c r="J9206" t="n">
        <v>0</v>
      </c>
      <c r="K9206" t="n">
        <v>0</v>
      </c>
      <c r="L9206" t="n">
        <v>0</v>
      </c>
      <c r="M9206" t="n">
        <v>0</v>
      </c>
      <c r="N9206" t="n">
        <v>0</v>
      </c>
      <c r="O9206" t="n">
        <v>0</v>
      </c>
      <c r="P9206" t="n">
        <v>0</v>
      </c>
      <c r="Q9206" t="n">
        <v>0</v>
      </c>
      <c r="R9206" s="2" t="inlineStr"/>
    </row>
    <row r="9207" ht="15" customHeight="1">
      <c r="A9207" t="inlineStr">
        <is>
          <t>A 37429-2024</t>
        </is>
      </c>
      <c r="B9207" s="1" t="n">
        <v>45540</v>
      </c>
      <c r="C9207" s="1" t="n">
        <v>45798</v>
      </c>
      <c r="D9207" t="inlineStr">
        <is>
          <t>NORRBOTTENS LÄN</t>
        </is>
      </c>
      <c r="E9207" t="inlineStr">
        <is>
          <t>ÖVERKALIX</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37445-2024</t>
        </is>
      </c>
      <c r="B9208" s="1" t="n">
        <v>45540</v>
      </c>
      <c r="C9208" s="1" t="n">
        <v>45798</v>
      </c>
      <c r="D9208" t="inlineStr">
        <is>
          <t>NORRBOTTENS LÄN</t>
        </is>
      </c>
      <c r="E9208" t="inlineStr">
        <is>
          <t>PITEÅ</t>
        </is>
      </c>
      <c r="F9208" t="inlineStr">
        <is>
          <t>SCA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37473-2024</t>
        </is>
      </c>
      <c r="B9209" s="1" t="n">
        <v>45540</v>
      </c>
      <c r="C9209" s="1" t="n">
        <v>45798</v>
      </c>
      <c r="D9209" t="inlineStr">
        <is>
          <t>NORRBOTTENS LÄN</t>
        </is>
      </c>
      <c r="E9209" t="inlineStr">
        <is>
          <t>BODEN</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37483-2024</t>
        </is>
      </c>
      <c r="B9210" s="1" t="n">
        <v>45541</v>
      </c>
      <c r="C9210" s="1" t="n">
        <v>45798</v>
      </c>
      <c r="D9210" t="inlineStr">
        <is>
          <t>NORRBOTTENS LÄN</t>
        </is>
      </c>
      <c r="E9210" t="inlineStr">
        <is>
          <t>ARVIDSJAUR</t>
        </is>
      </c>
      <c r="F9210" t="inlineStr">
        <is>
          <t>Sveaskog</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37527-2024</t>
        </is>
      </c>
      <c r="B9211" s="1" t="n">
        <v>45541</v>
      </c>
      <c r="C9211" s="1" t="n">
        <v>45798</v>
      </c>
      <c r="D9211" t="inlineStr">
        <is>
          <t>NORRBOTTENS LÄN</t>
        </is>
      </c>
      <c r="E9211" t="inlineStr">
        <is>
          <t>PAJALA</t>
        </is>
      </c>
      <c r="G9211" t="n">
        <v>21.3</v>
      </c>
      <c r="H9211" t="n">
        <v>0</v>
      </c>
      <c r="I9211" t="n">
        <v>0</v>
      </c>
      <c r="J9211" t="n">
        <v>0</v>
      </c>
      <c r="K9211" t="n">
        <v>0</v>
      </c>
      <c r="L9211" t="n">
        <v>0</v>
      </c>
      <c r="M9211" t="n">
        <v>0</v>
      </c>
      <c r="N9211" t="n">
        <v>0</v>
      </c>
      <c r="O9211" t="n">
        <v>0</v>
      </c>
      <c r="P9211" t="n">
        <v>0</v>
      </c>
      <c r="Q9211" t="n">
        <v>0</v>
      </c>
      <c r="R9211" s="2" t="inlineStr"/>
    </row>
    <row r="9212" ht="15" customHeight="1">
      <c r="A9212" t="inlineStr">
        <is>
          <t>A 37572-2024</t>
        </is>
      </c>
      <c r="B9212" s="1" t="n">
        <v>45541</v>
      </c>
      <c r="C9212" s="1" t="n">
        <v>45798</v>
      </c>
      <c r="D9212" t="inlineStr">
        <is>
          <t>NORRBOTTENS LÄN</t>
        </is>
      </c>
      <c r="E9212" t="inlineStr">
        <is>
          <t>KALIX</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37649-2024</t>
        </is>
      </c>
      <c r="B9213" s="1" t="n">
        <v>45541</v>
      </c>
      <c r="C9213" s="1" t="n">
        <v>45798</v>
      </c>
      <c r="D9213" t="inlineStr">
        <is>
          <t>NORRBOTTENS LÄN</t>
        </is>
      </c>
      <c r="E9213" t="inlineStr">
        <is>
          <t>ARVIDSJAUR</t>
        </is>
      </c>
      <c r="F9213" t="inlineStr">
        <is>
          <t>Allmännings- och besparingsskogar</t>
        </is>
      </c>
      <c r="G9213" t="n">
        <v>6.1</v>
      </c>
      <c r="H9213" t="n">
        <v>0</v>
      </c>
      <c r="I9213" t="n">
        <v>0</v>
      </c>
      <c r="J9213" t="n">
        <v>0</v>
      </c>
      <c r="K9213" t="n">
        <v>0</v>
      </c>
      <c r="L9213" t="n">
        <v>0</v>
      </c>
      <c r="M9213" t="n">
        <v>0</v>
      </c>
      <c r="N9213" t="n">
        <v>0</v>
      </c>
      <c r="O9213" t="n">
        <v>0</v>
      </c>
      <c r="P9213" t="n">
        <v>0</v>
      </c>
      <c r="Q9213" t="n">
        <v>0</v>
      </c>
      <c r="R9213" s="2" t="inlineStr"/>
      <c r="U9213">
        <f>HYPERLINK("https://klasma.github.io/Logging_2505/knärot/A 37649-2024 karta knärot.png", "A 37649-2024")</f>
        <v/>
      </c>
      <c r="V9213">
        <f>HYPERLINK("https://klasma.github.io/Logging_2505/klagomål/A 37649-2024 FSC-klagomål.docx", "A 37649-2024")</f>
        <v/>
      </c>
      <c r="W9213">
        <f>HYPERLINK("https://klasma.github.io/Logging_2505/klagomålsmail/A 37649-2024 FSC-klagomål mail.docx", "A 37649-2024")</f>
        <v/>
      </c>
      <c r="X9213">
        <f>HYPERLINK("https://klasma.github.io/Logging_2505/tillsyn/A 37649-2024 tillsynsbegäran.docx", "A 37649-2024")</f>
        <v/>
      </c>
      <c r="Y9213">
        <f>HYPERLINK("https://klasma.github.io/Logging_2505/tillsynsmail/A 37649-2024 tillsynsbegäran mail.docx", "A 37649-2024")</f>
        <v/>
      </c>
    </row>
    <row r="9214" ht="15" customHeight="1">
      <c r="A9214" t="inlineStr">
        <is>
          <t>A 37581-2024</t>
        </is>
      </c>
      <c r="B9214" s="1" t="n">
        <v>45541</v>
      </c>
      <c r="C9214" s="1" t="n">
        <v>45798</v>
      </c>
      <c r="D9214" t="inlineStr">
        <is>
          <t>NORRBOTTENS LÄN</t>
        </is>
      </c>
      <c r="E9214" t="inlineStr">
        <is>
          <t>PAJALA</t>
        </is>
      </c>
      <c r="F9214" t="inlineStr">
        <is>
          <t>Sveaskog</t>
        </is>
      </c>
      <c r="G9214" t="n">
        <v>40.3</v>
      </c>
      <c r="H9214" t="n">
        <v>0</v>
      </c>
      <c r="I9214" t="n">
        <v>0</v>
      </c>
      <c r="J9214" t="n">
        <v>0</v>
      </c>
      <c r="K9214" t="n">
        <v>0</v>
      </c>
      <c r="L9214" t="n">
        <v>0</v>
      </c>
      <c r="M9214" t="n">
        <v>0</v>
      </c>
      <c r="N9214" t="n">
        <v>0</v>
      </c>
      <c r="O9214" t="n">
        <v>0</v>
      </c>
      <c r="P9214" t="n">
        <v>0</v>
      </c>
      <c r="Q9214" t="n">
        <v>0</v>
      </c>
      <c r="R9214" s="2" t="inlineStr"/>
    </row>
    <row r="9215" ht="15" customHeight="1">
      <c r="A9215" t="inlineStr">
        <is>
          <t>A 37652-2024</t>
        </is>
      </c>
      <c r="B9215" s="1" t="n">
        <v>45541</v>
      </c>
      <c r="C9215" s="1" t="n">
        <v>45798</v>
      </c>
      <c r="D9215" t="inlineStr">
        <is>
          <t>NORRBOTTENS LÄN</t>
        </is>
      </c>
      <c r="E9215" t="inlineStr">
        <is>
          <t>PITEÅ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37582-2024</t>
        </is>
      </c>
      <c r="B9216" s="1" t="n">
        <v>45541</v>
      </c>
      <c r="C9216" s="1" t="n">
        <v>45798</v>
      </c>
      <c r="D9216" t="inlineStr">
        <is>
          <t>NORRBOTTENS LÄN</t>
        </is>
      </c>
      <c r="E9216" t="inlineStr">
        <is>
          <t>KALIX</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37703-2024</t>
        </is>
      </c>
      <c r="B9217" s="1" t="n">
        <v>45541</v>
      </c>
      <c r="C9217" s="1" t="n">
        <v>45798</v>
      </c>
      <c r="D9217" t="inlineStr">
        <is>
          <t>NORRBOTTENS LÄN</t>
        </is>
      </c>
      <c r="E9217" t="inlineStr">
        <is>
          <t>PITEÅ</t>
        </is>
      </c>
      <c r="G9217" t="n">
        <v>14.1</v>
      </c>
      <c r="H9217" t="n">
        <v>0</v>
      </c>
      <c r="I9217" t="n">
        <v>0</v>
      </c>
      <c r="J9217" t="n">
        <v>0</v>
      </c>
      <c r="K9217" t="n">
        <v>0</v>
      </c>
      <c r="L9217" t="n">
        <v>0</v>
      </c>
      <c r="M9217" t="n">
        <v>0</v>
      </c>
      <c r="N9217" t="n">
        <v>0</v>
      </c>
      <c r="O9217" t="n">
        <v>0</v>
      </c>
      <c r="P9217" t="n">
        <v>0</v>
      </c>
      <c r="Q9217" t="n">
        <v>0</v>
      </c>
      <c r="R9217" s="2" t="inlineStr"/>
    </row>
    <row r="9218" ht="15" customHeight="1">
      <c r="A9218" t="inlineStr">
        <is>
          <t>A 37740-2024</t>
        </is>
      </c>
      <c r="B9218" s="1" t="n">
        <v>45541</v>
      </c>
      <c r="C9218" s="1" t="n">
        <v>45798</v>
      </c>
      <c r="D9218" t="inlineStr">
        <is>
          <t>NORRBOTTENS LÄN</t>
        </is>
      </c>
      <c r="E9218" t="inlineStr">
        <is>
          <t>ÄLVSBYN</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37744-2024</t>
        </is>
      </c>
      <c r="B9219" s="1" t="n">
        <v>45541</v>
      </c>
      <c r="C9219" s="1" t="n">
        <v>45798</v>
      </c>
      <c r="D9219" t="inlineStr">
        <is>
          <t>NORRBOTTENS LÄN</t>
        </is>
      </c>
      <c r="E9219" t="inlineStr">
        <is>
          <t>ÄLVSBYN</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37743-2024</t>
        </is>
      </c>
      <c r="B9220" s="1" t="n">
        <v>45541</v>
      </c>
      <c r="C9220" s="1" t="n">
        <v>45798</v>
      </c>
      <c r="D9220" t="inlineStr">
        <is>
          <t>NORRBOTTENS LÄN</t>
        </is>
      </c>
      <c r="E9220" t="inlineStr">
        <is>
          <t>ÄLVSBYN</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37741-2024</t>
        </is>
      </c>
      <c r="B9221" s="1" t="n">
        <v>45541</v>
      </c>
      <c r="C9221" s="1" t="n">
        <v>45798</v>
      </c>
      <c r="D9221" t="inlineStr">
        <is>
          <t>NORRBOTTENS LÄN</t>
        </is>
      </c>
      <c r="E9221" t="inlineStr">
        <is>
          <t>ÄLVSBYN</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37745-2024</t>
        </is>
      </c>
      <c r="B9222" s="1" t="n">
        <v>45541</v>
      </c>
      <c r="C9222" s="1" t="n">
        <v>45798</v>
      </c>
      <c r="D9222" t="inlineStr">
        <is>
          <t>NORRBOTTENS LÄN</t>
        </is>
      </c>
      <c r="E9222" t="inlineStr">
        <is>
          <t>ÄLVSBYN</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37781-2024</t>
        </is>
      </c>
      <c r="B9223" s="1" t="n">
        <v>45542</v>
      </c>
      <c r="C9223" s="1" t="n">
        <v>45798</v>
      </c>
      <c r="D9223" t="inlineStr">
        <is>
          <t>NORRBOTTENS LÄN</t>
        </is>
      </c>
      <c r="E9223" t="inlineStr">
        <is>
          <t>KALIX</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37789-2024</t>
        </is>
      </c>
      <c r="B9224" s="1" t="n">
        <v>45543</v>
      </c>
      <c r="C9224" s="1" t="n">
        <v>45798</v>
      </c>
      <c r="D9224" t="inlineStr">
        <is>
          <t>NORRBOTTENS LÄN</t>
        </is>
      </c>
      <c r="E9224" t="inlineStr">
        <is>
          <t>ÖVERTORNEÅ</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37791-2024</t>
        </is>
      </c>
      <c r="B9225" s="1" t="n">
        <v>45543</v>
      </c>
      <c r="C9225" s="1" t="n">
        <v>45798</v>
      </c>
      <c r="D9225" t="inlineStr">
        <is>
          <t>NORRBOTTENS LÄN</t>
        </is>
      </c>
      <c r="E9225" t="inlineStr">
        <is>
          <t>BODEN</t>
        </is>
      </c>
      <c r="G9225" t="n">
        <v>9.1</v>
      </c>
      <c r="H9225" t="n">
        <v>0</v>
      </c>
      <c r="I9225" t="n">
        <v>0</v>
      </c>
      <c r="J9225" t="n">
        <v>0</v>
      </c>
      <c r="K9225" t="n">
        <v>0</v>
      </c>
      <c r="L9225" t="n">
        <v>0</v>
      </c>
      <c r="M9225" t="n">
        <v>0</v>
      </c>
      <c r="N9225" t="n">
        <v>0</v>
      </c>
      <c r="O9225" t="n">
        <v>0</v>
      </c>
      <c r="P9225" t="n">
        <v>0</v>
      </c>
      <c r="Q9225" t="n">
        <v>0</v>
      </c>
      <c r="R9225" s="2" t="inlineStr"/>
    </row>
    <row r="9226" ht="15" customHeight="1">
      <c r="A9226" t="inlineStr">
        <is>
          <t>A 37828-2024</t>
        </is>
      </c>
      <c r="B9226" s="1" t="n">
        <v>45544</v>
      </c>
      <c r="C9226" s="1" t="n">
        <v>45798</v>
      </c>
      <c r="D9226" t="inlineStr">
        <is>
          <t>NORRBOTTENS LÄN</t>
        </is>
      </c>
      <c r="E9226" t="inlineStr">
        <is>
          <t>JOKKMOKK</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37832-2024</t>
        </is>
      </c>
      <c r="B9227" s="1" t="n">
        <v>45544</v>
      </c>
      <c r="C9227" s="1" t="n">
        <v>45798</v>
      </c>
      <c r="D9227" t="inlineStr">
        <is>
          <t>NORRBOTTENS LÄN</t>
        </is>
      </c>
      <c r="E9227" t="inlineStr">
        <is>
          <t>PITEÅ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37872-2024</t>
        </is>
      </c>
      <c r="B9228" s="1" t="n">
        <v>45544</v>
      </c>
      <c r="C9228" s="1" t="n">
        <v>45798</v>
      </c>
      <c r="D9228" t="inlineStr">
        <is>
          <t>NORRBOTTENS LÄN</t>
        </is>
      </c>
      <c r="E9228" t="inlineStr">
        <is>
          <t>BODEN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37819-2024</t>
        </is>
      </c>
      <c r="B9229" s="1" t="n">
        <v>45544</v>
      </c>
      <c r="C9229" s="1" t="n">
        <v>45798</v>
      </c>
      <c r="D9229" t="inlineStr">
        <is>
          <t>NORRBOTTENS LÄN</t>
        </is>
      </c>
      <c r="E9229" t="inlineStr">
        <is>
          <t>PITEÅ</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37827-2024</t>
        </is>
      </c>
      <c r="B9230" s="1" t="n">
        <v>45544</v>
      </c>
      <c r="C9230" s="1" t="n">
        <v>45798</v>
      </c>
      <c r="D9230" t="inlineStr">
        <is>
          <t>NORRBOTTENS LÄN</t>
        </is>
      </c>
      <c r="E9230" t="inlineStr">
        <is>
          <t>JOKKMOKK</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37831-2024</t>
        </is>
      </c>
      <c r="B9231" s="1" t="n">
        <v>45544</v>
      </c>
      <c r="C9231" s="1" t="n">
        <v>45798</v>
      </c>
      <c r="D9231" t="inlineStr">
        <is>
          <t>NORRBOTTENS LÄN</t>
        </is>
      </c>
      <c r="E9231" t="inlineStr">
        <is>
          <t>PITEÅ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37935-2024</t>
        </is>
      </c>
      <c r="B9232" s="1" t="n">
        <v>45544</v>
      </c>
      <c r="C9232" s="1" t="n">
        <v>45798</v>
      </c>
      <c r="D9232" t="inlineStr">
        <is>
          <t>NORRBOTTENS LÄN</t>
        </is>
      </c>
      <c r="E9232" t="inlineStr">
        <is>
          <t>LULEÅ</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37821-2024</t>
        </is>
      </c>
      <c r="B9233" s="1" t="n">
        <v>45544</v>
      </c>
      <c r="C9233" s="1" t="n">
        <v>45798</v>
      </c>
      <c r="D9233" t="inlineStr">
        <is>
          <t>NORRBOTTENS LÄN</t>
        </is>
      </c>
      <c r="E9233" t="inlineStr">
        <is>
          <t>PITEÅ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37825-2024</t>
        </is>
      </c>
      <c r="B9234" s="1" t="n">
        <v>45544</v>
      </c>
      <c r="C9234" s="1" t="n">
        <v>45798</v>
      </c>
      <c r="D9234" t="inlineStr">
        <is>
          <t>NORRBOTTENS LÄN</t>
        </is>
      </c>
      <c r="E9234" t="inlineStr">
        <is>
          <t>JOKKMOKK</t>
        </is>
      </c>
      <c r="F9234" t="inlineStr">
        <is>
          <t>SCA</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37976-2024</t>
        </is>
      </c>
      <c r="B9235" s="1" t="n">
        <v>45544</v>
      </c>
      <c r="C9235" s="1" t="n">
        <v>45798</v>
      </c>
      <c r="D9235" t="inlineStr">
        <is>
          <t>NORRBOTTENS LÄN</t>
        </is>
      </c>
      <c r="E9235" t="inlineStr">
        <is>
          <t>BODEN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37984-2024</t>
        </is>
      </c>
      <c r="B9236" s="1" t="n">
        <v>45544</v>
      </c>
      <c r="C9236" s="1" t="n">
        <v>45798</v>
      </c>
      <c r="D9236" t="inlineStr">
        <is>
          <t>NORRBOTTENS LÄN</t>
        </is>
      </c>
      <c r="E9236" t="inlineStr">
        <is>
          <t>BODEN</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37949-2024</t>
        </is>
      </c>
      <c r="B9237" s="1" t="n">
        <v>45544</v>
      </c>
      <c r="C9237" s="1" t="n">
        <v>45798</v>
      </c>
      <c r="D9237" t="inlineStr">
        <is>
          <t>NORRBOTTENS LÄN</t>
        </is>
      </c>
      <c r="E9237" t="inlineStr">
        <is>
          <t>LULEÅ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37993-2024</t>
        </is>
      </c>
      <c r="B9238" s="1" t="n">
        <v>45544</v>
      </c>
      <c r="C9238" s="1" t="n">
        <v>45798</v>
      </c>
      <c r="D9238" t="inlineStr">
        <is>
          <t>NORRBOTTENS LÄN</t>
        </is>
      </c>
      <c r="E9238" t="inlineStr">
        <is>
          <t>BODEN</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37866-2024</t>
        </is>
      </c>
      <c r="B9239" s="1" t="n">
        <v>45544</v>
      </c>
      <c r="C9239" s="1" t="n">
        <v>45798</v>
      </c>
      <c r="D9239" t="inlineStr">
        <is>
          <t>NORRBOTTENS LÄN</t>
        </is>
      </c>
      <c r="E9239" t="inlineStr">
        <is>
          <t>BODEN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38072-2024</t>
        </is>
      </c>
      <c r="B9240" s="1" t="n">
        <v>45544</v>
      </c>
      <c r="C9240" s="1" t="n">
        <v>45798</v>
      </c>
      <c r="D9240" t="inlineStr">
        <is>
          <t>NORRBOTTENS LÄN</t>
        </is>
      </c>
      <c r="E9240" t="inlineStr">
        <is>
          <t>LULEÅ</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38154-2024</t>
        </is>
      </c>
      <c r="B9241" s="1" t="n">
        <v>45545</v>
      </c>
      <c r="C9241" s="1" t="n">
        <v>45798</v>
      </c>
      <c r="D9241" t="inlineStr">
        <is>
          <t>NORRBOTTENS LÄN</t>
        </is>
      </c>
      <c r="E9241" t="inlineStr">
        <is>
          <t>ÖVERKALIX</t>
        </is>
      </c>
      <c r="F9241" t="inlineStr">
        <is>
          <t>Sveaskog</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38163-2024</t>
        </is>
      </c>
      <c r="B9242" s="1" t="n">
        <v>45545</v>
      </c>
      <c r="C9242" s="1" t="n">
        <v>45798</v>
      </c>
      <c r="D9242" t="inlineStr">
        <is>
          <t>NORRBOTTENS LÄN</t>
        </is>
      </c>
      <c r="E9242" t="inlineStr">
        <is>
          <t>PAJALA</t>
        </is>
      </c>
      <c r="F9242" t="inlineStr">
        <is>
          <t>Sveaskog</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38094-2024</t>
        </is>
      </c>
      <c r="B9243" s="1" t="n">
        <v>45545</v>
      </c>
      <c r="C9243" s="1" t="n">
        <v>45798</v>
      </c>
      <c r="D9243" t="inlineStr">
        <is>
          <t>NORRBOTTENS LÄN</t>
        </is>
      </c>
      <c r="E9243" t="inlineStr">
        <is>
          <t>PITEÅ</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38127-2024</t>
        </is>
      </c>
      <c r="B9244" s="1" t="n">
        <v>45545</v>
      </c>
      <c r="C9244" s="1" t="n">
        <v>45798</v>
      </c>
      <c r="D9244" t="inlineStr">
        <is>
          <t>NORRBOTTENS LÄN</t>
        </is>
      </c>
      <c r="E9244" t="inlineStr">
        <is>
          <t>ÖVERTORNEÅ</t>
        </is>
      </c>
      <c r="F9244" t="inlineStr">
        <is>
          <t>Sveaskog</t>
        </is>
      </c>
      <c r="G9244" t="n">
        <v>6.7</v>
      </c>
      <c r="H9244" t="n">
        <v>0</v>
      </c>
      <c r="I9244" t="n">
        <v>0</v>
      </c>
      <c r="J9244" t="n">
        <v>0</v>
      </c>
      <c r="K9244" t="n">
        <v>0</v>
      </c>
      <c r="L9244" t="n">
        <v>0</v>
      </c>
      <c r="M9244" t="n">
        <v>0</v>
      </c>
      <c r="N9244" t="n">
        <v>0</v>
      </c>
      <c r="O9244" t="n">
        <v>0</v>
      </c>
      <c r="P9244" t="n">
        <v>0</v>
      </c>
      <c r="Q9244" t="n">
        <v>0</v>
      </c>
      <c r="R9244" s="2" t="inlineStr"/>
    </row>
    <row r="9245" ht="15" customHeight="1">
      <c r="A9245" t="inlineStr">
        <is>
          <t>A 38160-2024</t>
        </is>
      </c>
      <c r="B9245" s="1" t="n">
        <v>45545</v>
      </c>
      <c r="C9245" s="1" t="n">
        <v>45798</v>
      </c>
      <c r="D9245" t="inlineStr">
        <is>
          <t>NORRBOTTENS LÄN</t>
        </is>
      </c>
      <c r="E9245" t="inlineStr">
        <is>
          <t>PAJALA</t>
        </is>
      </c>
      <c r="F9245" t="inlineStr">
        <is>
          <t>Sveaskog</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38157-2024</t>
        </is>
      </c>
      <c r="B9246" s="1" t="n">
        <v>45545</v>
      </c>
      <c r="C9246" s="1" t="n">
        <v>45798</v>
      </c>
      <c r="D9246" t="inlineStr">
        <is>
          <t>NORRBOTTENS LÄN</t>
        </is>
      </c>
      <c r="E9246" t="inlineStr">
        <is>
          <t>ÖVERKALIX</t>
        </is>
      </c>
      <c r="F9246" t="inlineStr">
        <is>
          <t>Sveaskog</t>
        </is>
      </c>
      <c r="G9246" t="n">
        <v>40</v>
      </c>
      <c r="H9246" t="n">
        <v>0</v>
      </c>
      <c r="I9246" t="n">
        <v>0</v>
      </c>
      <c r="J9246" t="n">
        <v>0</v>
      </c>
      <c r="K9246" t="n">
        <v>0</v>
      </c>
      <c r="L9246" t="n">
        <v>0</v>
      </c>
      <c r="M9246" t="n">
        <v>0</v>
      </c>
      <c r="N9246" t="n">
        <v>0</v>
      </c>
      <c r="O9246" t="n">
        <v>0</v>
      </c>
      <c r="P9246" t="n">
        <v>0</v>
      </c>
      <c r="Q9246" t="n">
        <v>0</v>
      </c>
      <c r="R9246" s="2" t="inlineStr"/>
    </row>
    <row r="9247" ht="15" customHeight="1">
      <c r="A9247" t="inlineStr">
        <is>
          <t>A 38161-2024</t>
        </is>
      </c>
      <c r="B9247" s="1" t="n">
        <v>45545</v>
      </c>
      <c r="C9247" s="1" t="n">
        <v>45798</v>
      </c>
      <c r="D9247" t="inlineStr">
        <is>
          <t>NORRBOTTENS LÄN</t>
        </is>
      </c>
      <c r="E9247" t="inlineStr">
        <is>
          <t>PAJALA</t>
        </is>
      </c>
      <c r="F9247" t="inlineStr">
        <is>
          <t>Sveaskog</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38083-2024</t>
        </is>
      </c>
      <c r="B9248" s="1" t="n">
        <v>45545</v>
      </c>
      <c r="C9248" s="1" t="n">
        <v>45798</v>
      </c>
      <c r="D9248" t="inlineStr">
        <is>
          <t>NORRBOTTENS LÄN</t>
        </is>
      </c>
      <c r="E9248" t="inlineStr">
        <is>
          <t>PITEÅ</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38092-2024</t>
        </is>
      </c>
      <c r="B9249" s="1" t="n">
        <v>45545</v>
      </c>
      <c r="C9249" s="1" t="n">
        <v>45798</v>
      </c>
      <c r="D9249" t="inlineStr">
        <is>
          <t>NORRBOTTENS LÄN</t>
        </is>
      </c>
      <c r="E9249" t="inlineStr">
        <is>
          <t>PITEÅ</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38254-2024</t>
        </is>
      </c>
      <c r="B9250" s="1" t="n">
        <v>45545</v>
      </c>
      <c r="C9250" s="1" t="n">
        <v>45798</v>
      </c>
      <c r="D9250" t="inlineStr">
        <is>
          <t>NORRBOTTENS LÄN</t>
        </is>
      </c>
      <c r="E9250" t="inlineStr">
        <is>
          <t>ÄLVSBYN</t>
        </is>
      </c>
      <c r="F9250" t="inlineStr">
        <is>
          <t>Sveaskog</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38271-2024</t>
        </is>
      </c>
      <c r="B9251" s="1" t="n">
        <v>45545</v>
      </c>
      <c r="C9251" s="1" t="n">
        <v>45798</v>
      </c>
      <c r="D9251" t="inlineStr">
        <is>
          <t>NORRBOTTENS LÄN</t>
        </is>
      </c>
      <c r="E9251" t="inlineStr">
        <is>
          <t>ARVIDSJAUR</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38311-2024</t>
        </is>
      </c>
      <c r="B9252" s="1" t="n">
        <v>45545</v>
      </c>
      <c r="C9252" s="1" t="n">
        <v>45798</v>
      </c>
      <c r="D9252" t="inlineStr">
        <is>
          <t>NORRBOTTENS LÄN</t>
        </is>
      </c>
      <c r="E9252" t="inlineStr">
        <is>
          <t>ÄLVSBYN</t>
        </is>
      </c>
      <c r="F9252" t="inlineStr">
        <is>
          <t>Sveaskog</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38091-2024</t>
        </is>
      </c>
      <c r="B9253" s="1" t="n">
        <v>45545</v>
      </c>
      <c r="C9253" s="1" t="n">
        <v>45798</v>
      </c>
      <c r="D9253" t="inlineStr">
        <is>
          <t>NORRBOTTENS LÄN</t>
        </is>
      </c>
      <c r="E9253" t="inlineStr">
        <is>
          <t>PITEÅ</t>
        </is>
      </c>
      <c r="F9253" t="inlineStr">
        <is>
          <t>SCA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38304-2024</t>
        </is>
      </c>
      <c r="B9254" s="1" t="n">
        <v>45545</v>
      </c>
      <c r="C9254" s="1" t="n">
        <v>45798</v>
      </c>
      <c r="D9254" t="inlineStr">
        <is>
          <t>NORRBOTTENS LÄN</t>
        </is>
      </c>
      <c r="E9254" t="inlineStr">
        <is>
          <t>PITEÅ</t>
        </is>
      </c>
      <c r="F9254" t="inlineStr">
        <is>
          <t>Sveaskog</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38328-2024</t>
        </is>
      </c>
      <c r="B9255" s="1" t="n">
        <v>45545</v>
      </c>
      <c r="C9255" s="1" t="n">
        <v>45798</v>
      </c>
      <c r="D9255" t="inlineStr">
        <is>
          <t>NORRBOTTENS LÄN</t>
        </is>
      </c>
      <c r="E9255" t="inlineStr">
        <is>
          <t>PITEÅ</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38340-2024</t>
        </is>
      </c>
      <c r="B9256" s="1" t="n">
        <v>45545</v>
      </c>
      <c r="C9256" s="1" t="n">
        <v>45798</v>
      </c>
      <c r="D9256" t="inlineStr">
        <is>
          <t>NORRBOTTENS LÄN</t>
        </is>
      </c>
      <c r="E9256" t="inlineStr">
        <is>
          <t>PITEÅ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38472-2024</t>
        </is>
      </c>
      <c r="B9257" s="1" t="n">
        <v>45546</v>
      </c>
      <c r="C9257" s="1" t="n">
        <v>45798</v>
      </c>
      <c r="D9257" t="inlineStr">
        <is>
          <t>NORRBOTTENS LÄN</t>
        </is>
      </c>
      <c r="E9257" t="inlineStr">
        <is>
          <t>ARVIDSJAUR</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38586-2024</t>
        </is>
      </c>
      <c r="B9258" s="1" t="n">
        <v>45546</v>
      </c>
      <c r="C9258" s="1" t="n">
        <v>45798</v>
      </c>
      <c r="D9258" t="inlineStr">
        <is>
          <t>NORRBOTTENS LÄN</t>
        </is>
      </c>
      <c r="E9258" t="inlineStr">
        <is>
          <t>PAJALA</t>
        </is>
      </c>
      <c r="F9258" t="inlineStr">
        <is>
          <t>Sveaskog</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38590-2024</t>
        </is>
      </c>
      <c r="B9259" s="1" t="n">
        <v>45546</v>
      </c>
      <c r="C9259" s="1" t="n">
        <v>45798</v>
      </c>
      <c r="D9259" t="inlineStr">
        <is>
          <t>NORRBOTTENS LÄN</t>
        </is>
      </c>
      <c r="E9259" t="inlineStr">
        <is>
          <t>PITEÅ</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38406-2024</t>
        </is>
      </c>
      <c r="B9260" s="1" t="n">
        <v>45546</v>
      </c>
      <c r="C9260" s="1" t="n">
        <v>45798</v>
      </c>
      <c r="D9260" t="inlineStr">
        <is>
          <t>NORRBOTTENS LÄN</t>
        </is>
      </c>
      <c r="E9260" t="inlineStr">
        <is>
          <t>PITEÅ</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38411-2024</t>
        </is>
      </c>
      <c r="B9261" s="1" t="n">
        <v>45546</v>
      </c>
      <c r="C9261" s="1" t="n">
        <v>45798</v>
      </c>
      <c r="D9261" t="inlineStr">
        <is>
          <t>NORRBOTTENS LÄN</t>
        </is>
      </c>
      <c r="E9261" t="inlineStr">
        <is>
          <t>BODEN</t>
        </is>
      </c>
      <c r="F9261" t="inlineStr">
        <is>
          <t>SCA</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38524-2024</t>
        </is>
      </c>
      <c r="B9262" s="1" t="n">
        <v>45546</v>
      </c>
      <c r="C9262" s="1" t="n">
        <v>45798</v>
      </c>
      <c r="D9262" t="inlineStr">
        <is>
          <t>NORRBOTTENS LÄN</t>
        </is>
      </c>
      <c r="E9262" t="inlineStr">
        <is>
          <t>PITEÅ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38560-2024</t>
        </is>
      </c>
      <c r="B9263" s="1" t="n">
        <v>45546</v>
      </c>
      <c r="C9263" s="1" t="n">
        <v>45798</v>
      </c>
      <c r="D9263" t="inlineStr">
        <is>
          <t>NORRBOTTENS LÄN</t>
        </is>
      </c>
      <c r="E9263" t="inlineStr">
        <is>
          <t>PITEÅ</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38577-2024</t>
        </is>
      </c>
      <c r="B9264" s="1" t="n">
        <v>45546</v>
      </c>
      <c r="C9264" s="1" t="n">
        <v>45798</v>
      </c>
      <c r="D9264" t="inlineStr">
        <is>
          <t>NORRBOTTENS LÄN</t>
        </is>
      </c>
      <c r="E9264" t="inlineStr">
        <is>
          <t>KIRUNA</t>
        </is>
      </c>
      <c r="G9264" t="n">
        <v>39.8</v>
      </c>
      <c r="H9264" t="n">
        <v>0</v>
      </c>
      <c r="I9264" t="n">
        <v>0</v>
      </c>
      <c r="J9264" t="n">
        <v>0</v>
      </c>
      <c r="K9264" t="n">
        <v>0</v>
      </c>
      <c r="L9264" t="n">
        <v>0</v>
      </c>
      <c r="M9264" t="n">
        <v>0</v>
      </c>
      <c r="N9264" t="n">
        <v>0</v>
      </c>
      <c r="O9264" t="n">
        <v>0</v>
      </c>
      <c r="P9264" t="n">
        <v>0</v>
      </c>
      <c r="Q9264" t="n">
        <v>0</v>
      </c>
      <c r="R9264" s="2" t="inlineStr"/>
    </row>
    <row r="9265" ht="15" customHeight="1">
      <c r="A9265" t="inlineStr">
        <is>
          <t>A 38648-2024</t>
        </is>
      </c>
      <c r="B9265" s="1" t="n">
        <v>45546</v>
      </c>
      <c r="C9265" s="1" t="n">
        <v>45798</v>
      </c>
      <c r="D9265" t="inlineStr">
        <is>
          <t>NORRBOTTENS LÄN</t>
        </is>
      </c>
      <c r="E9265" t="inlineStr">
        <is>
          <t>JOKKMOKK</t>
        </is>
      </c>
      <c r="F9265" t="inlineStr">
        <is>
          <t>Sveaskog</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38652-2024</t>
        </is>
      </c>
      <c r="B9266" s="1" t="n">
        <v>45546</v>
      </c>
      <c r="C9266" s="1" t="n">
        <v>45798</v>
      </c>
      <c r="D9266" t="inlineStr">
        <is>
          <t>NORRBOTTENS LÄN</t>
        </is>
      </c>
      <c r="E9266" t="inlineStr">
        <is>
          <t>BODEN</t>
        </is>
      </c>
      <c r="F9266" t="inlineStr">
        <is>
          <t>Sveaskog</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38611-2024</t>
        </is>
      </c>
      <c r="B9267" s="1" t="n">
        <v>45546</v>
      </c>
      <c r="C9267" s="1" t="n">
        <v>45798</v>
      </c>
      <c r="D9267" t="inlineStr">
        <is>
          <t>NORRBOTTENS LÄN</t>
        </is>
      </c>
      <c r="E9267" t="inlineStr">
        <is>
          <t>PITEÅ</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38651-2024</t>
        </is>
      </c>
      <c r="B9268" s="1" t="n">
        <v>45546</v>
      </c>
      <c r="C9268" s="1" t="n">
        <v>45798</v>
      </c>
      <c r="D9268" t="inlineStr">
        <is>
          <t>NORRBOTTENS LÄN</t>
        </is>
      </c>
      <c r="E9268" t="inlineStr">
        <is>
          <t>BODEN</t>
        </is>
      </c>
      <c r="F9268" t="inlineStr">
        <is>
          <t>Sveaskog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38653-2024</t>
        </is>
      </c>
      <c r="B9269" s="1" t="n">
        <v>45546</v>
      </c>
      <c r="C9269" s="1" t="n">
        <v>45798</v>
      </c>
      <c r="D9269" t="inlineStr">
        <is>
          <t>NORRBOTTENS LÄN</t>
        </is>
      </c>
      <c r="E9269" t="inlineStr">
        <is>
          <t>BODEN</t>
        </is>
      </c>
      <c r="F9269" t="inlineStr">
        <is>
          <t>Sveaskog</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38682-2024</t>
        </is>
      </c>
      <c r="B9270" s="1" t="n">
        <v>45547</v>
      </c>
      <c r="C9270" s="1" t="n">
        <v>45798</v>
      </c>
      <c r="D9270" t="inlineStr">
        <is>
          <t>NORRBOTTENS LÄN</t>
        </is>
      </c>
      <c r="E9270" t="inlineStr">
        <is>
          <t>ÄLVSBYN</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38680-2024</t>
        </is>
      </c>
      <c r="B9271" s="1" t="n">
        <v>45547</v>
      </c>
      <c r="C9271" s="1" t="n">
        <v>45798</v>
      </c>
      <c r="D9271" t="inlineStr">
        <is>
          <t>NORRBOTTENS LÄN</t>
        </is>
      </c>
      <c r="E9271" t="inlineStr">
        <is>
          <t>BODEN</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38720-2024</t>
        </is>
      </c>
      <c r="B9272" s="1" t="n">
        <v>45547</v>
      </c>
      <c r="C9272" s="1" t="n">
        <v>45798</v>
      </c>
      <c r="D9272" t="inlineStr">
        <is>
          <t>NORRBOTTENS LÄN</t>
        </is>
      </c>
      <c r="E9272" t="inlineStr">
        <is>
          <t>GÄLLIVARE</t>
        </is>
      </c>
      <c r="F9272" t="inlineStr">
        <is>
          <t>Sveaskog</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38679-2024</t>
        </is>
      </c>
      <c r="B9273" s="1" t="n">
        <v>45547</v>
      </c>
      <c r="C9273" s="1" t="n">
        <v>45798</v>
      </c>
      <c r="D9273" t="inlineStr">
        <is>
          <t>NORRBOTTENS LÄN</t>
        </is>
      </c>
      <c r="E9273" t="inlineStr">
        <is>
          <t>PITEÅ</t>
        </is>
      </c>
      <c r="F9273" t="inlineStr">
        <is>
          <t>SCA</t>
        </is>
      </c>
      <c r="G9273" t="n">
        <v>8.199999999999999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38677-2024</t>
        </is>
      </c>
      <c r="B9274" s="1" t="n">
        <v>45547</v>
      </c>
      <c r="C9274" s="1" t="n">
        <v>45798</v>
      </c>
      <c r="D9274" t="inlineStr">
        <is>
          <t>NORRBOTTENS LÄN</t>
        </is>
      </c>
      <c r="E9274" t="inlineStr">
        <is>
          <t>ÖVERTORNEÅ</t>
        </is>
      </c>
      <c r="G9274" t="n">
        <v>13.2</v>
      </c>
      <c r="H9274" t="n">
        <v>0</v>
      </c>
      <c r="I9274" t="n">
        <v>0</v>
      </c>
      <c r="J9274" t="n">
        <v>0</v>
      </c>
      <c r="K9274" t="n">
        <v>0</v>
      </c>
      <c r="L9274" t="n">
        <v>0</v>
      </c>
      <c r="M9274" t="n">
        <v>0</v>
      </c>
      <c r="N9274" t="n">
        <v>0</v>
      </c>
      <c r="O9274" t="n">
        <v>0</v>
      </c>
      <c r="P9274" t="n">
        <v>0</v>
      </c>
      <c r="Q9274" t="n">
        <v>0</v>
      </c>
      <c r="R9274" s="2" t="inlineStr"/>
    </row>
    <row r="9275" ht="15" customHeight="1">
      <c r="A9275" t="inlineStr">
        <is>
          <t>A 38751-2024</t>
        </is>
      </c>
      <c r="B9275" s="1" t="n">
        <v>45547</v>
      </c>
      <c r="C9275" s="1" t="n">
        <v>45798</v>
      </c>
      <c r="D9275" t="inlineStr">
        <is>
          <t>NORRBOTTENS LÄN</t>
        </is>
      </c>
      <c r="E9275" t="inlineStr">
        <is>
          <t>GÄLLIVARE</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38838-2024</t>
        </is>
      </c>
      <c r="B9276" s="1" t="n">
        <v>45547</v>
      </c>
      <c r="C9276" s="1" t="n">
        <v>45798</v>
      </c>
      <c r="D9276" t="inlineStr">
        <is>
          <t>NORRBOTTENS LÄN</t>
        </is>
      </c>
      <c r="E9276" t="inlineStr">
        <is>
          <t>ÖVERKALIX</t>
        </is>
      </c>
      <c r="F9276" t="inlineStr">
        <is>
          <t>SCA</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38839-2024</t>
        </is>
      </c>
      <c r="B9277" s="1" t="n">
        <v>45547</v>
      </c>
      <c r="C9277" s="1" t="n">
        <v>45798</v>
      </c>
      <c r="D9277" t="inlineStr">
        <is>
          <t>NORRBOTTENS LÄN</t>
        </is>
      </c>
      <c r="E9277" t="inlineStr">
        <is>
          <t>PAJALA</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38847-2024</t>
        </is>
      </c>
      <c r="B9278" s="1" t="n">
        <v>45547</v>
      </c>
      <c r="C9278" s="1" t="n">
        <v>45798</v>
      </c>
      <c r="D9278" t="inlineStr">
        <is>
          <t>NORRBOTTENS LÄN</t>
        </is>
      </c>
      <c r="E9278" t="inlineStr">
        <is>
          <t>GÄLLIVARE</t>
        </is>
      </c>
      <c r="G9278" t="n">
        <v>20.9</v>
      </c>
      <c r="H9278" t="n">
        <v>0</v>
      </c>
      <c r="I9278" t="n">
        <v>0</v>
      </c>
      <c r="J9278" t="n">
        <v>0</v>
      </c>
      <c r="K9278" t="n">
        <v>0</v>
      </c>
      <c r="L9278" t="n">
        <v>0</v>
      </c>
      <c r="M9278" t="n">
        <v>0</v>
      </c>
      <c r="N9278" t="n">
        <v>0</v>
      </c>
      <c r="O9278" t="n">
        <v>0</v>
      </c>
      <c r="P9278" t="n">
        <v>0</v>
      </c>
      <c r="Q9278" t="n">
        <v>0</v>
      </c>
      <c r="R9278" s="2" t="inlineStr"/>
    </row>
    <row r="9279" ht="15" customHeight="1">
      <c r="A9279" t="inlineStr">
        <is>
          <t>A 38848-2024</t>
        </is>
      </c>
      <c r="B9279" s="1" t="n">
        <v>45547</v>
      </c>
      <c r="C9279" s="1" t="n">
        <v>45798</v>
      </c>
      <c r="D9279" t="inlineStr">
        <is>
          <t>NORRBOTTENS LÄN</t>
        </is>
      </c>
      <c r="E9279" t="inlineStr">
        <is>
          <t>PITEÅ</t>
        </is>
      </c>
      <c r="F9279" t="inlineStr">
        <is>
          <t>SCA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38940-2024</t>
        </is>
      </c>
      <c r="B9280" s="1" t="n">
        <v>45548</v>
      </c>
      <c r="C9280" s="1" t="n">
        <v>45798</v>
      </c>
      <c r="D9280" t="inlineStr">
        <is>
          <t>NORRBOTTENS LÄN</t>
        </is>
      </c>
      <c r="E9280" t="inlineStr">
        <is>
          <t>ÖVERKALIX</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38938-2024</t>
        </is>
      </c>
      <c r="B9281" s="1" t="n">
        <v>45548</v>
      </c>
      <c r="C9281" s="1" t="n">
        <v>45798</v>
      </c>
      <c r="D9281" t="inlineStr">
        <is>
          <t>NORRBOTTENS LÄN</t>
        </is>
      </c>
      <c r="E9281" t="inlineStr">
        <is>
          <t>PITEÅ</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38941-2024</t>
        </is>
      </c>
      <c r="B9282" s="1" t="n">
        <v>45548</v>
      </c>
      <c r="C9282" s="1" t="n">
        <v>45798</v>
      </c>
      <c r="D9282" t="inlineStr">
        <is>
          <t>NORRBOTTENS LÄN</t>
        </is>
      </c>
      <c r="E9282" t="inlineStr">
        <is>
          <t>ÖVERKALIX</t>
        </is>
      </c>
      <c r="F9282" t="inlineStr">
        <is>
          <t>SCA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38969-2024</t>
        </is>
      </c>
      <c r="B9283" s="1" t="n">
        <v>45548</v>
      </c>
      <c r="C9283" s="1" t="n">
        <v>45798</v>
      </c>
      <c r="D9283" t="inlineStr">
        <is>
          <t>NORRBOTTENS LÄN</t>
        </is>
      </c>
      <c r="E9283" t="inlineStr">
        <is>
          <t>PITEÅ</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38999-2024</t>
        </is>
      </c>
      <c r="B9284" s="1" t="n">
        <v>45548</v>
      </c>
      <c r="C9284" s="1" t="n">
        <v>45798</v>
      </c>
      <c r="D9284" t="inlineStr">
        <is>
          <t>NORRBOTTENS LÄN</t>
        </is>
      </c>
      <c r="E9284" t="inlineStr">
        <is>
          <t>ÄLVSBYN</t>
        </is>
      </c>
      <c r="F9284" t="inlineStr">
        <is>
          <t>Sveaskog</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39019-2024</t>
        </is>
      </c>
      <c r="B9285" s="1" t="n">
        <v>45548</v>
      </c>
      <c r="C9285" s="1" t="n">
        <v>45798</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39060-2024</t>
        </is>
      </c>
      <c r="B9286" s="1" t="n">
        <v>45548</v>
      </c>
      <c r="C9286" s="1" t="n">
        <v>45798</v>
      </c>
      <c r="D9286" t="inlineStr">
        <is>
          <t>NORRBOTTENS LÄN</t>
        </is>
      </c>
      <c r="E9286" t="inlineStr">
        <is>
          <t>GÄLLIVARE</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38994-2024</t>
        </is>
      </c>
      <c r="B9287" s="1" t="n">
        <v>45548</v>
      </c>
      <c r="C9287" s="1" t="n">
        <v>45798</v>
      </c>
      <c r="D9287" t="inlineStr">
        <is>
          <t>NORRBOTTENS LÄN</t>
        </is>
      </c>
      <c r="E9287" t="inlineStr">
        <is>
          <t>BODEN</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39076-2024</t>
        </is>
      </c>
      <c r="B9288" s="1" t="n">
        <v>45548</v>
      </c>
      <c r="C9288" s="1" t="n">
        <v>45798</v>
      </c>
      <c r="D9288" t="inlineStr">
        <is>
          <t>NORRBOTTENS LÄN</t>
        </is>
      </c>
      <c r="E9288" t="inlineStr">
        <is>
          <t>PAJALA</t>
        </is>
      </c>
      <c r="F9288" t="inlineStr">
        <is>
          <t>Sveaskog</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39080-2024</t>
        </is>
      </c>
      <c r="B9289" s="1" t="n">
        <v>45548</v>
      </c>
      <c r="C9289" s="1" t="n">
        <v>45798</v>
      </c>
      <c r="D9289" t="inlineStr">
        <is>
          <t>NORRBOTTENS LÄN</t>
        </is>
      </c>
      <c r="E9289" t="inlineStr">
        <is>
          <t>PAJALA</t>
        </is>
      </c>
      <c r="F9289" t="inlineStr">
        <is>
          <t>Sveaskog</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39109-2024</t>
        </is>
      </c>
      <c r="B9290" s="1" t="n">
        <v>45548</v>
      </c>
      <c r="C9290" s="1" t="n">
        <v>45798</v>
      </c>
      <c r="D9290" t="inlineStr">
        <is>
          <t>NORRBOTTENS LÄN</t>
        </is>
      </c>
      <c r="E9290" t="inlineStr">
        <is>
          <t>ARVIDSJAUR</t>
        </is>
      </c>
      <c r="F9290" t="inlineStr">
        <is>
          <t>Sveaskog</t>
        </is>
      </c>
      <c r="G9290" t="n">
        <v>35.3</v>
      </c>
      <c r="H9290" t="n">
        <v>0</v>
      </c>
      <c r="I9290" t="n">
        <v>0</v>
      </c>
      <c r="J9290" t="n">
        <v>0</v>
      </c>
      <c r="K9290" t="n">
        <v>0</v>
      </c>
      <c r="L9290" t="n">
        <v>0</v>
      </c>
      <c r="M9290" t="n">
        <v>0</v>
      </c>
      <c r="N9290" t="n">
        <v>0</v>
      </c>
      <c r="O9290" t="n">
        <v>0</v>
      </c>
      <c r="P9290" t="n">
        <v>0</v>
      </c>
      <c r="Q9290" t="n">
        <v>0</v>
      </c>
      <c r="R9290" s="2" t="inlineStr"/>
    </row>
    <row r="9291" ht="15" customHeight="1">
      <c r="A9291" t="inlineStr">
        <is>
          <t>A 39128-2024</t>
        </is>
      </c>
      <c r="B9291" s="1" t="n">
        <v>45548</v>
      </c>
      <c r="C9291" s="1" t="n">
        <v>45798</v>
      </c>
      <c r="D9291" t="inlineStr">
        <is>
          <t>NORRBOTTENS LÄN</t>
        </is>
      </c>
      <c r="E9291" t="inlineStr">
        <is>
          <t>PITEÅ</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39141-2024</t>
        </is>
      </c>
      <c r="B9292" s="1" t="n">
        <v>45548</v>
      </c>
      <c r="C9292" s="1" t="n">
        <v>45798</v>
      </c>
      <c r="D9292" t="inlineStr">
        <is>
          <t>NORRBOTTENS LÄN</t>
        </is>
      </c>
      <c r="E9292" t="inlineStr">
        <is>
          <t>ÖVERTORNEÅ</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38975-2024</t>
        </is>
      </c>
      <c r="B9293" s="1" t="n">
        <v>45548</v>
      </c>
      <c r="C9293" s="1" t="n">
        <v>45798</v>
      </c>
      <c r="D9293" t="inlineStr">
        <is>
          <t>NORRBOTTENS LÄN</t>
        </is>
      </c>
      <c r="E9293" t="inlineStr">
        <is>
          <t>ÖVERKALIX</t>
        </is>
      </c>
      <c r="F9293" t="inlineStr">
        <is>
          <t>SCA</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39020-2024</t>
        </is>
      </c>
      <c r="B9294" s="1" t="n">
        <v>45548</v>
      </c>
      <c r="C9294" s="1" t="n">
        <v>45798</v>
      </c>
      <c r="D9294" t="inlineStr">
        <is>
          <t>NORRBOTTENS LÄN</t>
        </is>
      </c>
      <c r="E9294" t="inlineStr">
        <is>
          <t>ÄLVSBYN</t>
        </is>
      </c>
      <c r="F9294" t="inlineStr">
        <is>
          <t>Sveaskog</t>
        </is>
      </c>
      <c r="G9294" t="n">
        <v>9.4</v>
      </c>
      <c r="H9294" t="n">
        <v>0</v>
      </c>
      <c r="I9294" t="n">
        <v>0</v>
      </c>
      <c r="J9294" t="n">
        <v>0</v>
      </c>
      <c r="K9294" t="n">
        <v>0</v>
      </c>
      <c r="L9294" t="n">
        <v>0</v>
      </c>
      <c r="M9294" t="n">
        <v>0</v>
      </c>
      <c r="N9294" t="n">
        <v>0</v>
      </c>
      <c r="O9294" t="n">
        <v>0</v>
      </c>
      <c r="P9294" t="n">
        <v>0</v>
      </c>
      <c r="Q9294" t="n">
        <v>0</v>
      </c>
      <c r="R9294" s="2" t="inlineStr"/>
    </row>
    <row r="9295" ht="15" customHeight="1">
      <c r="A9295" t="inlineStr">
        <is>
          <t>A 39184-2024</t>
        </is>
      </c>
      <c r="B9295" s="1" t="n">
        <v>45548</v>
      </c>
      <c r="C9295" s="1" t="n">
        <v>45798</v>
      </c>
      <c r="D9295" t="inlineStr">
        <is>
          <t>NORRBOTTENS LÄN</t>
        </is>
      </c>
      <c r="E9295" t="inlineStr">
        <is>
          <t>PAJALA</t>
        </is>
      </c>
      <c r="F9295" t="inlineStr">
        <is>
          <t>Sveaskog</t>
        </is>
      </c>
      <c r="G9295" t="n">
        <v>47.5</v>
      </c>
      <c r="H9295" t="n">
        <v>0</v>
      </c>
      <c r="I9295" t="n">
        <v>0</v>
      </c>
      <c r="J9295" t="n">
        <v>0</v>
      </c>
      <c r="K9295" t="n">
        <v>0</v>
      </c>
      <c r="L9295" t="n">
        <v>0</v>
      </c>
      <c r="M9295" t="n">
        <v>0</v>
      </c>
      <c r="N9295" t="n">
        <v>0</v>
      </c>
      <c r="O9295" t="n">
        <v>0</v>
      </c>
      <c r="P9295" t="n">
        <v>0</v>
      </c>
      <c r="Q9295" t="n">
        <v>0</v>
      </c>
      <c r="R9295" s="2" t="inlineStr"/>
    </row>
    <row r="9296" ht="15" customHeight="1">
      <c r="A9296" t="inlineStr">
        <is>
          <t>A 39188-2024</t>
        </is>
      </c>
      <c r="B9296" s="1" t="n">
        <v>45548</v>
      </c>
      <c r="C9296" s="1" t="n">
        <v>45798</v>
      </c>
      <c r="D9296" t="inlineStr">
        <is>
          <t>NORRBOTTENS LÄN</t>
        </is>
      </c>
      <c r="E9296" t="inlineStr">
        <is>
          <t>PAJALA</t>
        </is>
      </c>
      <c r="G9296" t="n">
        <v>9.800000000000001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39234-2024</t>
        </is>
      </c>
      <c r="B9297" s="1" t="n">
        <v>45550</v>
      </c>
      <c r="C9297" s="1" t="n">
        <v>45798</v>
      </c>
      <c r="D9297" t="inlineStr">
        <is>
          <t>NORRBOTTENS LÄN</t>
        </is>
      </c>
      <c r="E9297" t="inlineStr">
        <is>
          <t>PAJALA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39274-2024</t>
        </is>
      </c>
      <c r="B9298" s="1" t="n">
        <v>45551</v>
      </c>
      <c r="C9298" s="1" t="n">
        <v>45798</v>
      </c>
      <c r="D9298" t="inlineStr">
        <is>
          <t>NORRBOTTENS LÄN</t>
        </is>
      </c>
      <c r="E9298" t="inlineStr">
        <is>
          <t>PITEÅ</t>
        </is>
      </c>
      <c r="F9298" t="inlineStr">
        <is>
          <t>Sveaskog</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39272-2024</t>
        </is>
      </c>
      <c r="B9299" s="1" t="n">
        <v>45551</v>
      </c>
      <c r="C9299" s="1" t="n">
        <v>45798</v>
      </c>
      <c r="D9299" t="inlineStr">
        <is>
          <t>NORRBOTTENS LÄN</t>
        </is>
      </c>
      <c r="E9299" t="inlineStr">
        <is>
          <t>BODEN</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39267-2024</t>
        </is>
      </c>
      <c r="B9300" s="1" t="n">
        <v>45551</v>
      </c>
      <c r="C9300" s="1" t="n">
        <v>45798</v>
      </c>
      <c r="D9300" t="inlineStr">
        <is>
          <t>NORRBOTTENS LÄN</t>
        </is>
      </c>
      <c r="E9300" t="inlineStr">
        <is>
          <t>ÄLVSBYN</t>
        </is>
      </c>
      <c r="F9300" t="inlineStr">
        <is>
          <t>SCA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39327-2024</t>
        </is>
      </c>
      <c r="B9301" s="1" t="n">
        <v>45551</v>
      </c>
      <c r="C9301" s="1" t="n">
        <v>45798</v>
      </c>
      <c r="D9301" t="inlineStr">
        <is>
          <t>NORRBOTTENS LÄN</t>
        </is>
      </c>
      <c r="E9301" t="inlineStr">
        <is>
          <t>ÖVERKALIX</t>
        </is>
      </c>
      <c r="F9301" t="inlineStr">
        <is>
          <t>SCA</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39339-2024</t>
        </is>
      </c>
      <c r="B9302" s="1" t="n">
        <v>45551</v>
      </c>
      <c r="C9302" s="1" t="n">
        <v>45798</v>
      </c>
      <c r="D9302" t="inlineStr">
        <is>
          <t>NORRBOTTENS LÄN</t>
        </is>
      </c>
      <c r="E9302" t="inlineStr">
        <is>
          <t>BODEN</t>
        </is>
      </c>
      <c r="F9302" t="inlineStr">
        <is>
          <t>Sveaskog</t>
        </is>
      </c>
      <c r="G9302" t="n">
        <v>21.5</v>
      </c>
      <c r="H9302" t="n">
        <v>0</v>
      </c>
      <c r="I9302" t="n">
        <v>0</v>
      </c>
      <c r="J9302" t="n">
        <v>0</v>
      </c>
      <c r="K9302" t="n">
        <v>0</v>
      </c>
      <c r="L9302" t="n">
        <v>0</v>
      </c>
      <c r="M9302" t="n">
        <v>0</v>
      </c>
      <c r="N9302" t="n">
        <v>0</v>
      </c>
      <c r="O9302" t="n">
        <v>0</v>
      </c>
      <c r="P9302" t="n">
        <v>0</v>
      </c>
      <c r="Q9302" t="n">
        <v>0</v>
      </c>
      <c r="R9302" s="2" t="inlineStr"/>
    </row>
    <row r="9303" ht="15" customHeight="1">
      <c r="A9303" t="inlineStr">
        <is>
          <t>A 39436-2024</t>
        </is>
      </c>
      <c r="B9303" s="1" t="n">
        <v>45551</v>
      </c>
      <c r="C9303" s="1" t="n">
        <v>45798</v>
      </c>
      <c r="D9303" t="inlineStr">
        <is>
          <t>NORRBOTTENS LÄN</t>
        </is>
      </c>
      <c r="E9303" t="inlineStr">
        <is>
          <t>ARVIDSJAUR</t>
        </is>
      </c>
      <c r="F9303" t="inlineStr">
        <is>
          <t>Sveaskog</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39466-2024</t>
        </is>
      </c>
      <c r="B9304" s="1" t="n">
        <v>45551</v>
      </c>
      <c r="C9304" s="1" t="n">
        <v>45798</v>
      </c>
      <c r="D9304" t="inlineStr">
        <is>
          <t>NORRBOTTENS LÄN</t>
        </is>
      </c>
      <c r="E9304" t="inlineStr">
        <is>
          <t>PITEÅ</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39423-2024</t>
        </is>
      </c>
      <c r="B9305" s="1" t="n">
        <v>45551</v>
      </c>
      <c r="C9305" s="1" t="n">
        <v>45798</v>
      </c>
      <c r="D9305" t="inlineStr">
        <is>
          <t>NORRBOTTENS LÄN</t>
        </is>
      </c>
      <c r="E9305" t="inlineStr">
        <is>
          <t>PITEÅ</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39439-2024</t>
        </is>
      </c>
      <c r="B9306" s="1" t="n">
        <v>45551</v>
      </c>
      <c r="C9306" s="1" t="n">
        <v>45798</v>
      </c>
      <c r="D9306" t="inlineStr">
        <is>
          <t>NORRBOTTENS LÄN</t>
        </is>
      </c>
      <c r="E9306" t="inlineStr">
        <is>
          <t>ARVIDSJAUR</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39508-2024</t>
        </is>
      </c>
      <c r="B9307" s="1" t="n">
        <v>45551</v>
      </c>
      <c r="C9307" s="1" t="n">
        <v>45798</v>
      </c>
      <c r="D9307" t="inlineStr">
        <is>
          <t>NORRBOTTENS LÄN</t>
        </is>
      </c>
      <c r="E9307" t="inlineStr">
        <is>
          <t>PITEÅ</t>
        </is>
      </c>
      <c r="F9307" t="inlineStr">
        <is>
          <t>SCA</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39604-2024</t>
        </is>
      </c>
      <c r="B9308" s="1" t="n">
        <v>45552</v>
      </c>
      <c r="C9308" s="1" t="n">
        <v>45798</v>
      </c>
      <c r="D9308" t="inlineStr">
        <is>
          <t>NORRBOTTENS LÄN</t>
        </is>
      </c>
      <c r="E9308" t="inlineStr">
        <is>
          <t>ÄLVSBYN</t>
        </is>
      </c>
      <c r="F9308" t="inlineStr">
        <is>
          <t>SCA</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39623-2024</t>
        </is>
      </c>
      <c r="B9309" s="1" t="n">
        <v>45552</v>
      </c>
      <c r="C9309" s="1" t="n">
        <v>45798</v>
      </c>
      <c r="D9309" t="inlineStr">
        <is>
          <t>NORRBOTTENS LÄN</t>
        </is>
      </c>
      <c r="E9309" t="inlineStr">
        <is>
          <t>PITEÅ</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39645-2024</t>
        </is>
      </c>
      <c r="B9310" s="1" t="n">
        <v>45552</v>
      </c>
      <c r="C9310" s="1" t="n">
        <v>45798</v>
      </c>
      <c r="D9310" t="inlineStr">
        <is>
          <t>NORRBOTTENS LÄN</t>
        </is>
      </c>
      <c r="E9310" t="inlineStr">
        <is>
          <t>ÄLVSBYN</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39727-2024</t>
        </is>
      </c>
      <c r="B9311" s="1" t="n">
        <v>45552</v>
      </c>
      <c r="C9311" s="1" t="n">
        <v>45798</v>
      </c>
      <c r="D9311" t="inlineStr">
        <is>
          <t>NORRBOTTENS LÄN</t>
        </is>
      </c>
      <c r="E9311" t="inlineStr">
        <is>
          <t>LULEÅ</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39757-2024</t>
        </is>
      </c>
      <c r="B9312" s="1" t="n">
        <v>45552</v>
      </c>
      <c r="C9312" s="1" t="n">
        <v>45798</v>
      </c>
      <c r="D9312" t="inlineStr">
        <is>
          <t>NORRBOTTENS LÄN</t>
        </is>
      </c>
      <c r="E9312" t="inlineStr">
        <is>
          <t>GÄLLIVARE</t>
        </is>
      </c>
      <c r="F9312" t="inlineStr">
        <is>
          <t>Allmännings- och besparingsskogar</t>
        </is>
      </c>
      <c r="G9312" t="n">
        <v>36.2</v>
      </c>
      <c r="H9312" t="n">
        <v>0</v>
      </c>
      <c r="I9312" t="n">
        <v>0</v>
      </c>
      <c r="J9312" t="n">
        <v>0</v>
      </c>
      <c r="K9312" t="n">
        <v>0</v>
      </c>
      <c r="L9312" t="n">
        <v>0</v>
      </c>
      <c r="M9312" t="n">
        <v>0</v>
      </c>
      <c r="N9312" t="n">
        <v>0</v>
      </c>
      <c r="O9312" t="n">
        <v>0</v>
      </c>
      <c r="P9312" t="n">
        <v>0</v>
      </c>
      <c r="Q9312" t="n">
        <v>0</v>
      </c>
      <c r="R9312" s="2" t="inlineStr"/>
    </row>
    <row r="9313" ht="15" customHeight="1">
      <c r="A9313" t="inlineStr">
        <is>
          <t>A 39653-2024</t>
        </is>
      </c>
      <c r="B9313" s="1" t="n">
        <v>45552</v>
      </c>
      <c r="C9313" s="1" t="n">
        <v>45798</v>
      </c>
      <c r="D9313" t="inlineStr">
        <is>
          <t>NORRBOTTENS LÄN</t>
        </is>
      </c>
      <c r="E9313" t="inlineStr">
        <is>
          <t>ÖVERTORNEÅ</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39695-2024</t>
        </is>
      </c>
      <c r="B9314" s="1" t="n">
        <v>45552</v>
      </c>
      <c r="C9314" s="1" t="n">
        <v>45798</v>
      </c>
      <c r="D9314" t="inlineStr">
        <is>
          <t>NORRBOTTENS LÄN</t>
        </is>
      </c>
      <c r="E9314" t="inlineStr">
        <is>
          <t>ÖVERTORNEÅ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39704-2024</t>
        </is>
      </c>
      <c r="B9315" s="1" t="n">
        <v>45552</v>
      </c>
      <c r="C9315" s="1" t="n">
        <v>45798</v>
      </c>
      <c r="D9315" t="inlineStr">
        <is>
          <t>NORRBOTTENS LÄN</t>
        </is>
      </c>
      <c r="E9315" t="inlineStr">
        <is>
          <t>PITEÅ</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39756-2024</t>
        </is>
      </c>
      <c r="B9316" s="1" t="n">
        <v>45552</v>
      </c>
      <c r="C9316" s="1" t="n">
        <v>45798</v>
      </c>
      <c r="D9316" t="inlineStr">
        <is>
          <t>NORRBOTTENS LÄN</t>
        </is>
      </c>
      <c r="E9316" t="inlineStr">
        <is>
          <t>GÄLLIVARE</t>
        </is>
      </c>
      <c r="F9316" t="inlineStr">
        <is>
          <t>Allmännings- och besparingsskogar</t>
        </is>
      </c>
      <c r="G9316" t="n">
        <v>8.300000000000001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39606-2024</t>
        </is>
      </c>
      <c r="B9317" s="1" t="n">
        <v>45552</v>
      </c>
      <c r="C9317" s="1" t="n">
        <v>45798</v>
      </c>
      <c r="D9317" t="inlineStr">
        <is>
          <t>NORRBOTTENS LÄN</t>
        </is>
      </c>
      <c r="E9317" t="inlineStr">
        <is>
          <t>PITEÅ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39668-2024</t>
        </is>
      </c>
      <c r="B9318" s="1" t="n">
        <v>45552</v>
      </c>
      <c r="C9318" s="1" t="n">
        <v>45798</v>
      </c>
      <c r="D9318" t="inlineStr">
        <is>
          <t>NORRBOTTENS LÄN</t>
        </is>
      </c>
      <c r="E9318" t="inlineStr">
        <is>
          <t>ÄLVSBYN</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39773-2024</t>
        </is>
      </c>
      <c r="B9319" s="1" t="n">
        <v>45552</v>
      </c>
      <c r="C9319" s="1" t="n">
        <v>45798</v>
      </c>
      <c r="D9319" t="inlineStr">
        <is>
          <t>NORRBOTTENS LÄN</t>
        </is>
      </c>
      <c r="E9319" t="inlineStr">
        <is>
          <t>BODEN</t>
        </is>
      </c>
      <c r="F9319" t="inlineStr">
        <is>
          <t>Övriga statliga verk och myndigheter</t>
        </is>
      </c>
      <c r="G9319" t="n">
        <v>18.1</v>
      </c>
      <c r="H9319" t="n">
        <v>0</v>
      </c>
      <c r="I9319" t="n">
        <v>0</v>
      </c>
      <c r="J9319" t="n">
        <v>0</v>
      </c>
      <c r="K9319" t="n">
        <v>0</v>
      </c>
      <c r="L9319" t="n">
        <v>0</v>
      </c>
      <c r="M9319" t="n">
        <v>0</v>
      </c>
      <c r="N9319" t="n">
        <v>0</v>
      </c>
      <c r="O9319" t="n">
        <v>0</v>
      </c>
      <c r="P9319" t="n">
        <v>0</v>
      </c>
      <c r="Q9319" t="n">
        <v>0</v>
      </c>
      <c r="R9319" s="2" t="inlineStr"/>
    </row>
    <row r="9320" ht="15" customHeight="1">
      <c r="A9320" t="inlineStr">
        <is>
          <t>A 39814-2024</t>
        </is>
      </c>
      <c r="B9320" s="1" t="n">
        <v>45553</v>
      </c>
      <c r="C9320" s="1" t="n">
        <v>45798</v>
      </c>
      <c r="D9320" t="inlineStr">
        <is>
          <t>NORRBOTTENS LÄN</t>
        </is>
      </c>
      <c r="E9320" t="inlineStr">
        <is>
          <t>LULEÅ</t>
        </is>
      </c>
      <c r="F9320" t="inlineStr">
        <is>
          <t>Naturvårdsverket</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39782-2024</t>
        </is>
      </c>
      <c r="B9321" s="1" t="n">
        <v>45553</v>
      </c>
      <c r="C9321" s="1" t="n">
        <v>45798</v>
      </c>
      <c r="D9321" t="inlineStr">
        <is>
          <t>NORRBOTTENS LÄN</t>
        </is>
      </c>
      <c r="E9321" t="inlineStr">
        <is>
          <t>PITEÅ</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39803-2024</t>
        </is>
      </c>
      <c r="B9322" s="1" t="n">
        <v>45553</v>
      </c>
      <c r="C9322" s="1" t="n">
        <v>45798</v>
      </c>
      <c r="D9322" t="inlineStr">
        <is>
          <t>NORRBOTTENS LÄN</t>
        </is>
      </c>
      <c r="E9322" t="inlineStr">
        <is>
          <t>ÖVERTORNEÅ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39816-2024</t>
        </is>
      </c>
      <c r="B9323" s="1" t="n">
        <v>45553</v>
      </c>
      <c r="C9323" s="1" t="n">
        <v>45798</v>
      </c>
      <c r="D9323" t="inlineStr">
        <is>
          <t>NORRBOTTENS LÄN</t>
        </is>
      </c>
      <c r="E9323" t="inlineStr">
        <is>
          <t>LULEÅ</t>
        </is>
      </c>
      <c r="F9323" t="inlineStr">
        <is>
          <t>Naturvårdsverket</t>
        </is>
      </c>
      <c r="G9323" t="n">
        <v>11.1</v>
      </c>
      <c r="H9323" t="n">
        <v>0</v>
      </c>
      <c r="I9323" t="n">
        <v>0</v>
      </c>
      <c r="J9323" t="n">
        <v>0</v>
      </c>
      <c r="K9323" t="n">
        <v>0</v>
      </c>
      <c r="L9323" t="n">
        <v>0</v>
      </c>
      <c r="M9323" t="n">
        <v>0</v>
      </c>
      <c r="N9323" t="n">
        <v>0</v>
      </c>
      <c r="O9323" t="n">
        <v>0</v>
      </c>
      <c r="P9323" t="n">
        <v>0</v>
      </c>
      <c r="Q9323" t="n">
        <v>0</v>
      </c>
      <c r="R9323" s="2" t="inlineStr"/>
    </row>
    <row r="9324" ht="15" customHeight="1">
      <c r="A9324" t="inlineStr">
        <is>
          <t>A 39815-2024</t>
        </is>
      </c>
      <c r="B9324" s="1" t="n">
        <v>45553</v>
      </c>
      <c r="C9324" s="1" t="n">
        <v>45798</v>
      </c>
      <c r="D9324" t="inlineStr">
        <is>
          <t>NORRBOTTENS LÄN</t>
        </is>
      </c>
      <c r="E9324" t="inlineStr">
        <is>
          <t>LULEÅ</t>
        </is>
      </c>
      <c r="F9324" t="inlineStr">
        <is>
          <t>Naturvårdsverket</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39893-2024</t>
        </is>
      </c>
      <c r="B9325" s="1" t="n">
        <v>45553</v>
      </c>
      <c r="C9325" s="1" t="n">
        <v>45798</v>
      </c>
      <c r="D9325" t="inlineStr">
        <is>
          <t>NORRBOTTENS LÄN</t>
        </is>
      </c>
      <c r="E9325" t="inlineStr">
        <is>
          <t>HAPARANDA</t>
        </is>
      </c>
      <c r="G9325" t="n">
        <v>11.7</v>
      </c>
      <c r="H9325" t="n">
        <v>0</v>
      </c>
      <c r="I9325" t="n">
        <v>0</v>
      </c>
      <c r="J9325" t="n">
        <v>0</v>
      </c>
      <c r="K9325" t="n">
        <v>0</v>
      </c>
      <c r="L9325" t="n">
        <v>0</v>
      </c>
      <c r="M9325" t="n">
        <v>0</v>
      </c>
      <c r="N9325" t="n">
        <v>0</v>
      </c>
      <c r="O9325" t="n">
        <v>0</v>
      </c>
      <c r="P9325" t="n">
        <v>0</v>
      </c>
      <c r="Q9325" t="n">
        <v>0</v>
      </c>
      <c r="R9325" s="2" t="inlineStr"/>
    </row>
    <row r="9326" ht="15" customHeight="1">
      <c r="A9326" t="inlineStr">
        <is>
          <t>A 39820-2024</t>
        </is>
      </c>
      <c r="B9326" s="1" t="n">
        <v>45553</v>
      </c>
      <c r="C9326" s="1" t="n">
        <v>45798</v>
      </c>
      <c r="D9326" t="inlineStr">
        <is>
          <t>NORRBOTTENS LÄN</t>
        </is>
      </c>
      <c r="E9326" t="inlineStr">
        <is>
          <t>GÄLLIVARE</t>
        </is>
      </c>
      <c r="F9326" t="inlineStr">
        <is>
          <t>Sveaskog</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39824-2024</t>
        </is>
      </c>
      <c r="B9327" s="1" t="n">
        <v>45553</v>
      </c>
      <c r="C9327" s="1" t="n">
        <v>45798</v>
      </c>
      <c r="D9327" t="inlineStr">
        <is>
          <t>NORRBOTTENS LÄN</t>
        </is>
      </c>
      <c r="E9327" t="inlineStr">
        <is>
          <t>GÄLLIVARE</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39925-2024</t>
        </is>
      </c>
      <c r="B9328" s="1" t="n">
        <v>45553</v>
      </c>
      <c r="C9328" s="1" t="n">
        <v>45798</v>
      </c>
      <c r="D9328" t="inlineStr">
        <is>
          <t>NORRBOTTENS LÄN</t>
        </is>
      </c>
      <c r="E9328" t="inlineStr">
        <is>
          <t>ARVIDSJAUR</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39881-2024</t>
        </is>
      </c>
      <c r="B9329" s="1" t="n">
        <v>45553</v>
      </c>
      <c r="C9329" s="1" t="n">
        <v>45798</v>
      </c>
      <c r="D9329" t="inlineStr">
        <is>
          <t>NORRBOTTENS LÄN</t>
        </is>
      </c>
      <c r="E9329" t="inlineStr">
        <is>
          <t>LULEÅ</t>
        </is>
      </c>
      <c r="F9329" t="inlineStr">
        <is>
          <t>Kommuner</t>
        </is>
      </c>
      <c r="G9329" t="n">
        <v>27.3</v>
      </c>
      <c r="H9329" t="n">
        <v>0</v>
      </c>
      <c r="I9329" t="n">
        <v>0</v>
      </c>
      <c r="J9329" t="n">
        <v>0</v>
      </c>
      <c r="K9329" t="n">
        <v>0</v>
      </c>
      <c r="L9329" t="n">
        <v>0</v>
      </c>
      <c r="M9329" t="n">
        <v>0</v>
      </c>
      <c r="N9329" t="n">
        <v>0</v>
      </c>
      <c r="O9329" t="n">
        <v>0</v>
      </c>
      <c r="P9329" t="n">
        <v>0</v>
      </c>
      <c r="Q9329" t="n">
        <v>0</v>
      </c>
      <c r="R9329" s="2" t="inlineStr"/>
    </row>
    <row r="9330" ht="15" customHeight="1">
      <c r="A9330" t="inlineStr">
        <is>
          <t>A 39891-2024</t>
        </is>
      </c>
      <c r="B9330" s="1" t="n">
        <v>45553</v>
      </c>
      <c r="C9330" s="1" t="n">
        <v>45798</v>
      </c>
      <c r="D9330" t="inlineStr">
        <is>
          <t>NORRBOTTENS LÄN</t>
        </is>
      </c>
      <c r="E9330" t="inlineStr">
        <is>
          <t>PITEÅ</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39987-2024</t>
        </is>
      </c>
      <c r="B9331" s="1" t="n">
        <v>45553</v>
      </c>
      <c r="C9331" s="1" t="n">
        <v>45798</v>
      </c>
      <c r="D9331" t="inlineStr">
        <is>
          <t>NORRBOTTENS LÄN</t>
        </is>
      </c>
      <c r="E9331" t="inlineStr">
        <is>
          <t>BODEN</t>
        </is>
      </c>
      <c r="F9331" t="inlineStr">
        <is>
          <t>Sveaskog</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40032-2024</t>
        </is>
      </c>
      <c r="B9332" s="1" t="n">
        <v>45553</v>
      </c>
      <c r="C9332" s="1" t="n">
        <v>45798</v>
      </c>
      <c r="D9332" t="inlineStr">
        <is>
          <t>NORRBOTTENS LÄN</t>
        </is>
      </c>
      <c r="E9332" t="inlineStr">
        <is>
          <t>KALIX</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40036-2024</t>
        </is>
      </c>
      <c r="B9333" s="1" t="n">
        <v>45553</v>
      </c>
      <c r="C9333" s="1" t="n">
        <v>45798</v>
      </c>
      <c r="D9333" t="inlineStr">
        <is>
          <t>NORRBOTTENS LÄN</t>
        </is>
      </c>
      <c r="E9333" t="inlineStr">
        <is>
          <t>KALIX</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39783-2024</t>
        </is>
      </c>
      <c r="B9334" s="1" t="n">
        <v>45553</v>
      </c>
      <c r="C9334" s="1" t="n">
        <v>45798</v>
      </c>
      <c r="D9334" t="inlineStr">
        <is>
          <t>NORRBOTTENS LÄN</t>
        </is>
      </c>
      <c r="E9334" t="inlineStr">
        <is>
          <t>PITEÅ</t>
        </is>
      </c>
      <c r="G9334" t="n">
        <v>17.4</v>
      </c>
      <c r="H9334" t="n">
        <v>0</v>
      </c>
      <c r="I9334" t="n">
        <v>0</v>
      </c>
      <c r="J9334" t="n">
        <v>0</v>
      </c>
      <c r="K9334" t="n">
        <v>0</v>
      </c>
      <c r="L9334" t="n">
        <v>0</v>
      </c>
      <c r="M9334" t="n">
        <v>0</v>
      </c>
      <c r="N9334" t="n">
        <v>0</v>
      </c>
      <c r="O9334" t="n">
        <v>0</v>
      </c>
      <c r="P9334" t="n">
        <v>0</v>
      </c>
      <c r="Q9334" t="n">
        <v>0</v>
      </c>
      <c r="R9334" s="2" t="inlineStr"/>
    </row>
    <row r="9335" ht="15" customHeight="1">
      <c r="A9335" t="inlineStr">
        <is>
          <t>A 39879-2024</t>
        </is>
      </c>
      <c r="B9335" s="1" t="n">
        <v>45553</v>
      </c>
      <c r="C9335" s="1" t="n">
        <v>45798</v>
      </c>
      <c r="D9335" t="inlineStr">
        <is>
          <t>NORRBOTTENS LÄN</t>
        </is>
      </c>
      <c r="E9335" t="inlineStr">
        <is>
          <t>PITEÅ</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40124-2024</t>
        </is>
      </c>
      <c r="B9336" s="1" t="n">
        <v>45554</v>
      </c>
      <c r="C9336" s="1" t="n">
        <v>45798</v>
      </c>
      <c r="D9336" t="inlineStr">
        <is>
          <t>NORRBOTTENS LÄN</t>
        </is>
      </c>
      <c r="E9336" t="inlineStr">
        <is>
          <t>JOKKMOKK</t>
        </is>
      </c>
      <c r="F9336" t="inlineStr">
        <is>
          <t>Sveaskog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40132-2024</t>
        </is>
      </c>
      <c r="B9337" s="1" t="n">
        <v>45554</v>
      </c>
      <c r="C9337" s="1" t="n">
        <v>45798</v>
      </c>
      <c r="D9337" t="inlineStr">
        <is>
          <t>NORRBOTTENS LÄN</t>
        </is>
      </c>
      <c r="E9337" t="inlineStr">
        <is>
          <t>JOKKMOKK</t>
        </is>
      </c>
      <c r="F9337" t="inlineStr">
        <is>
          <t>Sveaskog</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40284-2024</t>
        </is>
      </c>
      <c r="B9338" s="1" t="n">
        <v>45554</v>
      </c>
      <c r="C9338" s="1" t="n">
        <v>45798</v>
      </c>
      <c r="D9338" t="inlineStr">
        <is>
          <t>NORRBOTTENS LÄN</t>
        </is>
      </c>
      <c r="E9338" t="inlineStr">
        <is>
          <t>ÄLVSBYN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40308-2024</t>
        </is>
      </c>
      <c r="B9339" s="1" t="n">
        <v>45554</v>
      </c>
      <c r="C9339" s="1" t="n">
        <v>45798</v>
      </c>
      <c r="D9339" t="inlineStr">
        <is>
          <t>NORRBOTTENS LÄN</t>
        </is>
      </c>
      <c r="E9339" t="inlineStr">
        <is>
          <t>JOKKMOKK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40274-2024</t>
        </is>
      </c>
      <c r="B9340" s="1" t="n">
        <v>45554</v>
      </c>
      <c r="C9340" s="1" t="n">
        <v>45798</v>
      </c>
      <c r="D9340" t="inlineStr">
        <is>
          <t>NORRBOTTENS LÄN</t>
        </is>
      </c>
      <c r="E9340" t="inlineStr">
        <is>
          <t>ÖVERTORNEÅ</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40282-2024</t>
        </is>
      </c>
      <c r="B9341" s="1" t="n">
        <v>45554</v>
      </c>
      <c r="C9341" s="1" t="n">
        <v>45798</v>
      </c>
      <c r="D9341" t="inlineStr">
        <is>
          <t>NORRBOTTENS LÄN</t>
        </is>
      </c>
      <c r="E9341" t="inlineStr">
        <is>
          <t>ÄLVSBYN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40310-2024</t>
        </is>
      </c>
      <c r="B9342" s="1" t="n">
        <v>45554</v>
      </c>
      <c r="C9342" s="1" t="n">
        <v>45798</v>
      </c>
      <c r="D9342" t="inlineStr">
        <is>
          <t>NORRBOTTENS LÄN</t>
        </is>
      </c>
      <c r="E9342" t="inlineStr">
        <is>
          <t>JOKKMOKK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40206-2024</t>
        </is>
      </c>
      <c r="B9343" s="1" t="n">
        <v>45554</v>
      </c>
      <c r="C9343" s="1" t="n">
        <v>45798</v>
      </c>
      <c r="D9343" t="inlineStr">
        <is>
          <t>NORRBOTTENS LÄN</t>
        </is>
      </c>
      <c r="E9343" t="inlineStr">
        <is>
          <t>PITEÅ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40235-2024</t>
        </is>
      </c>
      <c r="B9344" s="1" t="n">
        <v>45554</v>
      </c>
      <c r="C9344" s="1" t="n">
        <v>45798</v>
      </c>
      <c r="D9344" t="inlineStr">
        <is>
          <t>NORRBOTTENS LÄN</t>
        </is>
      </c>
      <c r="E9344" t="inlineStr">
        <is>
          <t>PAJALA</t>
        </is>
      </c>
      <c r="F9344" t="inlineStr">
        <is>
          <t>Sveaskog</t>
        </is>
      </c>
      <c r="G9344" t="n">
        <v>31.3</v>
      </c>
      <c r="H9344" t="n">
        <v>0</v>
      </c>
      <c r="I9344" t="n">
        <v>0</v>
      </c>
      <c r="J9344" t="n">
        <v>0</v>
      </c>
      <c r="K9344" t="n">
        <v>0</v>
      </c>
      <c r="L9344" t="n">
        <v>0</v>
      </c>
      <c r="M9344" t="n">
        <v>0</v>
      </c>
      <c r="N9344" t="n">
        <v>0</v>
      </c>
      <c r="O9344" t="n">
        <v>0</v>
      </c>
      <c r="P9344" t="n">
        <v>0</v>
      </c>
      <c r="Q9344" t="n">
        <v>0</v>
      </c>
      <c r="R9344" s="2" t="inlineStr"/>
    </row>
    <row r="9345" ht="15" customHeight="1">
      <c r="A9345" t="inlineStr">
        <is>
          <t>A 40119-2024</t>
        </is>
      </c>
      <c r="B9345" s="1" t="n">
        <v>45554</v>
      </c>
      <c r="C9345" s="1" t="n">
        <v>45798</v>
      </c>
      <c r="D9345" t="inlineStr">
        <is>
          <t>NORRBOTTENS LÄN</t>
        </is>
      </c>
      <c r="E9345" t="inlineStr">
        <is>
          <t>JOKKMOKK</t>
        </is>
      </c>
      <c r="F9345" t="inlineStr">
        <is>
          <t>Sveaskog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40155-2024</t>
        </is>
      </c>
      <c r="B9346" s="1" t="n">
        <v>45554</v>
      </c>
      <c r="C9346" s="1" t="n">
        <v>45798</v>
      </c>
      <c r="D9346" t="inlineStr">
        <is>
          <t>NORRBOTTENS LÄN</t>
        </is>
      </c>
      <c r="E9346" t="inlineStr">
        <is>
          <t>ÖVERKALIX</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40208-2024</t>
        </is>
      </c>
      <c r="B9347" s="1" t="n">
        <v>45554</v>
      </c>
      <c r="C9347" s="1" t="n">
        <v>45798</v>
      </c>
      <c r="D9347" t="inlineStr">
        <is>
          <t>NORRBOTTENS LÄN</t>
        </is>
      </c>
      <c r="E9347" t="inlineStr">
        <is>
          <t>PAJALA</t>
        </is>
      </c>
      <c r="F9347" t="inlineStr">
        <is>
          <t>Sveaskog</t>
        </is>
      </c>
      <c r="G9347" t="n">
        <v>27.8</v>
      </c>
      <c r="H9347" t="n">
        <v>0</v>
      </c>
      <c r="I9347" t="n">
        <v>0</v>
      </c>
      <c r="J9347" t="n">
        <v>0</v>
      </c>
      <c r="K9347" t="n">
        <v>0</v>
      </c>
      <c r="L9347" t="n">
        <v>0</v>
      </c>
      <c r="M9347" t="n">
        <v>0</v>
      </c>
      <c r="N9347" t="n">
        <v>0</v>
      </c>
      <c r="O9347" t="n">
        <v>0</v>
      </c>
      <c r="P9347" t="n">
        <v>0</v>
      </c>
      <c r="Q9347" t="n">
        <v>0</v>
      </c>
      <c r="R9347" s="2" t="inlineStr"/>
    </row>
    <row r="9348" ht="15" customHeight="1">
      <c r="A9348" t="inlineStr">
        <is>
          <t>A 40220-2024</t>
        </is>
      </c>
      <c r="B9348" s="1" t="n">
        <v>45554</v>
      </c>
      <c r="C9348" s="1" t="n">
        <v>45798</v>
      </c>
      <c r="D9348" t="inlineStr">
        <is>
          <t>NORRBOTTENS LÄN</t>
        </is>
      </c>
      <c r="E9348" t="inlineStr">
        <is>
          <t>PAJALA</t>
        </is>
      </c>
      <c r="F9348" t="inlineStr">
        <is>
          <t>Sveaskog</t>
        </is>
      </c>
      <c r="G9348" t="n">
        <v>11.7</v>
      </c>
      <c r="H9348" t="n">
        <v>0</v>
      </c>
      <c r="I9348" t="n">
        <v>0</v>
      </c>
      <c r="J9348" t="n">
        <v>0</v>
      </c>
      <c r="K9348" t="n">
        <v>0</v>
      </c>
      <c r="L9348" t="n">
        <v>0</v>
      </c>
      <c r="M9348" t="n">
        <v>0</v>
      </c>
      <c r="N9348" t="n">
        <v>0</v>
      </c>
      <c r="O9348" t="n">
        <v>0</v>
      </c>
      <c r="P9348" t="n">
        <v>0</v>
      </c>
      <c r="Q9348" t="n">
        <v>0</v>
      </c>
      <c r="R9348" s="2" t="inlineStr"/>
    </row>
    <row r="9349" ht="15" customHeight="1">
      <c r="A9349" t="inlineStr">
        <is>
          <t>A 40242-2024</t>
        </is>
      </c>
      <c r="B9349" s="1" t="n">
        <v>45554</v>
      </c>
      <c r="C9349" s="1" t="n">
        <v>45798</v>
      </c>
      <c r="D9349" t="inlineStr">
        <is>
          <t>NORRBOTTENS LÄN</t>
        </is>
      </c>
      <c r="E9349" t="inlineStr">
        <is>
          <t>GÄLLIVARE</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40307-2024</t>
        </is>
      </c>
      <c r="B9350" s="1" t="n">
        <v>45554</v>
      </c>
      <c r="C9350" s="1" t="n">
        <v>45798</v>
      </c>
      <c r="D9350" t="inlineStr">
        <is>
          <t>NORRBOTTENS LÄN</t>
        </is>
      </c>
      <c r="E9350" t="inlineStr">
        <is>
          <t>JOKKMOKK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40380-2024</t>
        </is>
      </c>
      <c r="B9351" s="1" t="n">
        <v>45555</v>
      </c>
      <c r="C9351" s="1" t="n">
        <v>45798</v>
      </c>
      <c r="D9351" t="inlineStr">
        <is>
          <t>NORRBOTTENS LÄN</t>
        </is>
      </c>
      <c r="E9351" t="inlineStr">
        <is>
          <t>GÄLLIVARE</t>
        </is>
      </c>
      <c r="F9351" t="inlineStr">
        <is>
          <t>Sveaskog</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40345-2024</t>
        </is>
      </c>
      <c r="B9352" s="1" t="n">
        <v>45555</v>
      </c>
      <c r="C9352" s="1" t="n">
        <v>45798</v>
      </c>
      <c r="D9352" t="inlineStr">
        <is>
          <t>NORRBOTTENS LÄN</t>
        </is>
      </c>
      <c r="E9352" t="inlineStr">
        <is>
          <t>JOKKMOKK</t>
        </is>
      </c>
      <c r="F9352" t="inlineStr">
        <is>
          <t>SCA</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40375-2024</t>
        </is>
      </c>
      <c r="B9353" s="1" t="n">
        <v>45555</v>
      </c>
      <c r="C9353" s="1" t="n">
        <v>45798</v>
      </c>
      <c r="D9353" t="inlineStr">
        <is>
          <t>NORRBOTTENS LÄN</t>
        </is>
      </c>
      <c r="E9353" t="inlineStr">
        <is>
          <t>JOKKMOKK</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40379-2024</t>
        </is>
      </c>
      <c r="B9354" s="1" t="n">
        <v>45555</v>
      </c>
      <c r="C9354" s="1" t="n">
        <v>45798</v>
      </c>
      <c r="D9354" t="inlineStr">
        <is>
          <t>NORRBOTTENS LÄN</t>
        </is>
      </c>
      <c r="E9354" t="inlineStr">
        <is>
          <t>GÄLLIVARE</t>
        </is>
      </c>
      <c r="F9354" t="inlineStr">
        <is>
          <t>Sveaskog</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40421-2024</t>
        </is>
      </c>
      <c r="B9355" s="1" t="n">
        <v>45555</v>
      </c>
      <c r="C9355" s="1" t="n">
        <v>45798</v>
      </c>
      <c r="D9355" t="inlineStr">
        <is>
          <t>NORRBOTTENS LÄN</t>
        </is>
      </c>
      <c r="E9355" t="inlineStr">
        <is>
          <t>GÄLLIVARE</t>
        </is>
      </c>
      <c r="G9355" t="n">
        <v>11.7</v>
      </c>
      <c r="H9355" t="n">
        <v>0</v>
      </c>
      <c r="I9355" t="n">
        <v>0</v>
      </c>
      <c r="J9355" t="n">
        <v>0</v>
      </c>
      <c r="K9355" t="n">
        <v>0</v>
      </c>
      <c r="L9355" t="n">
        <v>0</v>
      </c>
      <c r="M9355" t="n">
        <v>0</v>
      </c>
      <c r="N9355" t="n">
        <v>0</v>
      </c>
      <c r="O9355" t="n">
        <v>0</v>
      </c>
      <c r="P9355" t="n">
        <v>0</v>
      </c>
      <c r="Q9355" t="n">
        <v>0</v>
      </c>
      <c r="R9355" s="2" t="inlineStr"/>
    </row>
    <row r="9356" ht="15" customHeight="1">
      <c r="A9356" t="inlineStr">
        <is>
          <t>A 40416-2024</t>
        </is>
      </c>
      <c r="B9356" s="1" t="n">
        <v>45555</v>
      </c>
      <c r="C9356" s="1" t="n">
        <v>45798</v>
      </c>
      <c r="D9356" t="inlineStr">
        <is>
          <t>NORRBOTTENS LÄN</t>
        </is>
      </c>
      <c r="E9356" t="inlineStr">
        <is>
          <t>GÄLLIVARE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40424-2024</t>
        </is>
      </c>
      <c r="B9357" s="1" t="n">
        <v>45555</v>
      </c>
      <c r="C9357" s="1" t="n">
        <v>45798</v>
      </c>
      <c r="D9357" t="inlineStr">
        <is>
          <t>NORRBOTTENS LÄN</t>
        </is>
      </c>
      <c r="E9357" t="inlineStr">
        <is>
          <t>JOKKMOKK</t>
        </is>
      </c>
      <c r="G9357" t="n">
        <v>9.5</v>
      </c>
      <c r="H9357" t="n">
        <v>0</v>
      </c>
      <c r="I9357" t="n">
        <v>0</v>
      </c>
      <c r="J9357" t="n">
        <v>0</v>
      </c>
      <c r="K9357" t="n">
        <v>0</v>
      </c>
      <c r="L9357" t="n">
        <v>0</v>
      </c>
      <c r="M9357" t="n">
        <v>0</v>
      </c>
      <c r="N9357" t="n">
        <v>0</v>
      </c>
      <c r="O9357" t="n">
        <v>0</v>
      </c>
      <c r="P9357" t="n">
        <v>0</v>
      </c>
      <c r="Q9357" t="n">
        <v>0</v>
      </c>
      <c r="R9357" s="2" t="inlineStr"/>
    </row>
    <row r="9358" ht="15" customHeight="1">
      <c r="A9358" t="inlineStr">
        <is>
          <t>A 40449-2024</t>
        </is>
      </c>
      <c r="B9358" s="1" t="n">
        <v>45555</v>
      </c>
      <c r="C9358" s="1" t="n">
        <v>45798</v>
      </c>
      <c r="D9358" t="inlineStr">
        <is>
          <t>NORRBOTTENS LÄN</t>
        </is>
      </c>
      <c r="E9358" t="inlineStr">
        <is>
          <t>KALIX</t>
        </is>
      </c>
      <c r="F9358" t="inlineStr">
        <is>
          <t>SCA</t>
        </is>
      </c>
      <c r="G9358" t="n">
        <v>10.8</v>
      </c>
      <c r="H9358" t="n">
        <v>0</v>
      </c>
      <c r="I9358" t="n">
        <v>0</v>
      </c>
      <c r="J9358" t="n">
        <v>0</v>
      </c>
      <c r="K9358" t="n">
        <v>0</v>
      </c>
      <c r="L9358" t="n">
        <v>0</v>
      </c>
      <c r="M9358" t="n">
        <v>0</v>
      </c>
      <c r="N9358" t="n">
        <v>0</v>
      </c>
      <c r="O9358" t="n">
        <v>0</v>
      </c>
      <c r="P9358" t="n">
        <v>0</v>
      </c>
      <c r="Q9358" t="n">
        <v>0</v>
      </c>
      <c r="R9358" s="2" t="inlineStr"/>
    </row>
    <row r="9359" ht="15" customHeight="1">
      <c r="A9359" t="inlineStr">
        <is>
          <t>A 40432-2024</t>
        </is>
      </c>
      <c r="B9359" s="1" t="n">
        <v>45555</v>
      </c>
      <c r="C9359" s="1" t="n">
        <v>45798</v>
      </c>
      <c r="D9359" t="inlineStr">
        <is>
          <t>NORRBOTTENS LÄN</t>
        </is>
      </c>
      <c r="E9359" t="inlineStr">
        <is>
          <t>JOKKMOKK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40585-2024</t>
        </is>
      </c>
      <c r="B9360" s="1" t="n">
        <v>45555</v>
      </c>
      <c r="C9360" s="1" t="n">
        <v>45798</v>
      </c>
      <c r="D9360" t="inlineStr">
        <is>
          <t>NORRBOTTENS LÄN</t>
        </is>
      </c>
      <c r="E9360" t="inlineStr">
        <is>
          <t>BODEN</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40589-2024</t>
        </is>
      </c>
      <c r="B9361" s="1" t="n">
        <v>45555</v>
      </c>
      <c r="C9361" s="1" t="n">
        <v>45798</v>
      </c>
      <c r="D9361" t="inlineStr">
        <is>
          <t>NORRBOTTENS LÄN</t>
        </is>
      </c>
      <c r="E9361" t="inlineStr">
        <is>
          <t>ÖVERTORNEÅ</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40516-2024</t>
        </is>
      </c>
      <c r="B9362" s="1" t="n">
        <v>45555</v>
      </c>
      <c r="C9362" s="1" t="n">
        <v>45798</v>
      </c>
      <c r="D9362" t="inlineStr">
        <is>
          <t>NORRBOTTENS LÄN</t>
        </is>
      </c>
      <c r="E9362" t="inlineStr">
        <is>
          <t>HAPARANDA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40538-2024</t>
        </is>
      </c>
      <c r="B9363" s="1" t="n">
        <v>45555</v>
      </c>
      <c r="C9363" s="1" t="n">
        <v>45798</v>
      </c>
      <c r="D9363" t="inlineStr">
        <is>
          <t>NORRBOTTENS LÄN</t>
        </is>
      </c>
      <c r="E9363" t="inlineStr">
        <is>
          <t>KALIX</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40378-2024</t>
        </is>
      </c>
      <c r="B9364" s="1" t="n">
        <v>45555</v>
      </c>
      <c r="C9364" s="1" t="n">
        <v>45798</v>
      </c>
      <c r="D9364" t="inlineStr">
        <is>
          <t>NORRBOTTENS LÄN</t>
        </is>
      </c>
      <c r="E9364" t="inlineStr">
        <is>
          <t>JOKKMOKK</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40411-2024</t>
        </is>
      </c>
      <c r="B9365" s="1" t="n">
        <v>45555</v>
      </c>
      <c r="C9365" s="1" t="n">
        <v>45798</v>
      </c>
      <c r="D9365" t="inlineStr">
        <is>
          <t>NORRBOTTENS LÄN</t>
        </is>
      </c>
      <c r="E9365" t="inlineStr">
        <is>
          <t>GÄLLIVARE</t>
        </is>
      </c>
      <c r="F9365" t="inlineStr">
        <is>
          <t>Sveaskog</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40602-2024</t>
        </is>
      </c>
      <c r="B9366" s="1" t="n">
        <v>45556</v>
      </c>
      <c r="C9366" s="1" t="n">
        <v>45798</v>
      </c>
      <c r="D9366" t="inlineStr">
        <is>
          <t>NORRBOTTENS LÄN</t>
        </is>
      </c>
      <c r="E9366" t="inlineStr">
        <is>
          <t>PITEÅ</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40601-2024</t>
        </is>
      </c>
      <c r="B9367" s="1" t="n">
        <v>45556</v>
      </c>
      <c r="C9367" s="1" t="n">
        <v>45798</v>
      </c>
      <c r="D9367" t="inlineStr">
        <is>
          <t>NORRBOTTENS LÄN</t>
        </is>
      </c>
      <c r="E9367" t="inlineStr">
        <is>
          <t>PITEÅ</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40620-2024</t>
        </is>
      </c>
      <c r="B9368" s="1" t="n">
        <v>45557</v>
      </c>
      <c r="C9368" s="1" t="n">
        <v>45798</v>
      </c>
      <c r="D9368" t="inlineStr">
        <is>
          <t>NORRBOTTENS LÄN</t>
        </is>
      </c>
      <c r="E9368" t="inlineStr">
        <is>
          <t>PAJALA</t>
        </is>
      </c>
      <c r="G9368" t="n">
        <v>27.7</v>
      </c>
      <c r="H9368" t="n">
        <v>0</v>
      </c>
      <c r="I9368" t="n">
        <v>0</v>
      </c>
      <c r="J9368" t="n">
        <v>0</v>
      </c>
      <c r="K9368" t="n">
        <v>0</v>
      </c>
      <c r="L9368" t="n">
        <v>0</v>
      </c>
      <c r="M9368" t="n">
        <v>0</v>
      </c>
      <c r="N9368" t="n">
        <v>0</v>
      </c>
      <c r="O9368" t="n">
        <v>0</v>
      </c>
      <c r="P9368" t="n">
        <v>0</v>
      </c>
      <c r="Q9368" t="n">
        <v>0</v>
      </c>
      <c r="R9368" s="2" t="inlineStr"/>
    </row>
    <row r="9369" ht="15" customHeight="1">
      <c r="A9369" t="inlineStr">
        <is>
          <t>A 40658-2024</t>
        </is>
      </c>
      <c r="B9369" s="1" t="n">
        <v>45558</v>
      </c>
      <c r="C9369" s="1" t="n">
        <v>45798</v>
      </c>
      <c r="D9369" t="inlineStr">
        <is>
          <t>NORRBOTTENS LÄN</t>
        </is>
      </c>
      <c r="E9369" t="inlineStr">
        <is>
          <t>JOKKMOKK</t>
        </is>
      </c>
      <c r="F9369" t="inlineStr">
        <is>
          <t>SCA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40662-2024</t>
        </is>
      </c>
      <c r="B9370" s="1" t="n">
        <v>45558</v>
      </c>
      <c r="C9370" s="1" t="n">
        <v>45798</v>
      </c>
      <c r="D9370" t="inlineStr">
        <is>
          <t>NORRBOTTENS LÄN</t>
        </is>
      </c>
      <c r="E9370" t="inlineStr">
        <is>
          <t>PITEÅ</t>
        </is>
      </c>
      <c r="F9370" t="inlineStr">
        <is>
          <t>SCA</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40660-2024</t>
        </is>
      </c>
      <c r="B9371" s="1" t="n">
        <v>45558</v>
      </c>
      <c r="C9371" s="1" t="n">
        <v>45798</v>
      </c>
      <c r="D9371" t="inlineStr">
        <is>
          <t>NORRBOTTENS LÄN</t>
        </is>
      </c>
      <c r="E9371" t="inlineStr">
        <is>
          <t>ÖVERKALIX</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40682-2024</t>
        </is>
      </c>
      <c r="B9372" s="1" t="n">
        <v>45558</v>
      </c>
      <c r="C9372" s="1" t="n">
        <v>45798</v>
      </c>
      <c r="D9372" t="inlineStr">
        <is>
          <t>NORRBOTTENS LÄN</t>
        </is>
      </c>
      <c r="E9372" t="inlineStr">
        <is>
          <t>BODEN</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40675-2024</t>
        </is>
      </c>
      <c r="B9373" s="1" t="n">
        <v>45558</v>
      </c>
      <c r="C9373" s="1" t="n">
        <v>45798</v>
      </c>
      <c r="D9373" t="inlineStr">
        <is>
          <t>NORRBOTTENS LÄN</t>
        </is>
      </c>
      <c r="E9373" t="inlineStr">
        <is>
          <t>BODEN</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40680-2024</t>
        </is>
      </c>
      <c r="B9374" s="1" t="n">
        <v>45558</v>
      </c>
      <c r="C9374" s="1" t="n">
        <v>45798</v>
      </c>
      <c r="D9374" t="inlineStr">
        <is>
          <t>NORRBOTTENS LÄN</t>
        </is>
      </c>
      <c r="E9374" t="inlineStr">
        <is>
          <t>BODEN</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40700-2024</t>
        </is>
      </c>
      <c r="B9375" s="1" t="n">
        <v>45558</v>
      </c>
      <c r="C9375" s="1" t="n">
        <v>45798</v>
      </c>
      <c r="D9375" t="inlineStr">
        <is>
          <t>NORRBOTTENS LÄN</t>
        </is>
      </c>
      <c r="E9375" t="inlineStr">
        <is>
          <t>LULEÅ</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40657-2024</t>
        </is>
      </c>
      <c r="B9376" s="1" t="n">
        <v>45558</v>
      </c>
      <c r="C9376" s="1" t="n">
        <v>45798</v>
      </c>
      <c r="D9376" t="inlineStr">
        <is>
          <t>NORRBOTTENS LÄN</t>
        </is>
      </c>
      <c r="E9376" t="inlineStr">
        <is>
          <t>PITEÅ</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40661-2024</t>
        </is>
      </c>
      <c r="B9377" s="1" t="n">
        <v>45558</v>
      </c>
      <c r="C9377" s="1" t="n">
        <v>45798</v>
      </c>
      <c r="D9377" t="inlineStr">
        <is>
          <t>NORRBOTTENS LÄN</t>
        </is>
      </c>
      <c r="E9377" t="inlineStr">
        <is>
          <t>PITEÅ</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40697-2024</t>
        </is>
      </c>
      <c r="B9378" s="1" t="n">
        <v>45558</v>
      </c>
      <c r="C9378" s="1" t="n">
        <v>45798</v>
      </c>
      <c r="D9378" t="inlineStr">
        <is>
          <t>NORRBOTTENS LÄN</t>
        </is>
      </c>
      <c r="E9378" t="inlineStr">
        <is>
          <t>LULEÅ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40804-2024</t>
        </is>
      </c>
      <c r="B9379" s="1" t="n">
        <v>45558</v>
      </c>
      <c r="C9379" s="1" t="n">
        <v>45798</v>
      </c>
      <c r="D9379" t="inlineStr">
        <is>
          <t>NORRBOTTENS LÄN</t>
        </is>
      </c>
      <c r="E9379" t="inlineStr">
        <is>
          <t>PAJALA</t>
        </is>
      </c>
      <c r="G9379" t="n">
        <v>93</v>
      </c>
      <c r="H9379" t="n">
        <v>0</v>
      </c>
      <c r="I9379" t="n">
        <v>0</v>
      </c>
      <c r="J9379" t="n">
        <v>0</v>
      </c>
      <c r="K9379" t="n">
        <v>0</v>
      </c>
      <c r="L9379" t="n">
        <v>0</v>
      </c>
      <c r="M9379" t="n">
        <v>0</v>
      </c>
      <c r="N9379" t="n">
        <v>0</v>
      </c>
      <c r="O9379" t="n">
        <v>0</v>
      </c>
      <c r="P9379" t="n">
        <v>0</v>
      </c>
      <c r="Q9379" t="n">
        <v>0</v>
      </c>
      <c r="R9379" s="2" t="inlineStr"/>
    </row>
    <row r="9380" ht="15" customHeight="1">
      <c r="A9380" t="inlineStr">
        <is>
          <t>A 40712-2024</t>
        </is>
      </c>
      <c r="B9380" s="1" t="n">
        <v>45558</v>
      </c>
      <c r="C9380" s="1" t="n">
        <v>45798</v>
      </c>
      <c r="D9380" t="inlineStr">
        <is>
          <t>NORRBOTTENS LÄN</t>
        </is>
      </c>
      <c r="E9380" t="inlineStr">
        <is>
          <t>LULEÅ</t>
        </is>
      </c>
      <c r="G9380" t="n">
        <v>18.4</v>
      </c>
      <c r="H9380" t="n">
        <v>0</v>
      </c>
      <c r="I9380" t="n">
        <v>0</v>
      </c>
      <c r="J9380" t="n">
        <v>0</v>
      </c>
      <c r="K9380" t="n">
        <v>0</v>
      </c>
      <c r="L9380" t="n">
        <v>0</v>
      </c>
      <c r="M9380" t="n">
        <v>0</v>
      </c>
      <c r="N9380" t="n">
        <v>0</v>
      </c>
      <c r="O9380" t="n">
        <v>0</v>
      </c>
      <c r="P9380" t="n">
        <v>0</v>
      </c>
      <c r="Q9380" t="n">
        <v>0</v>
      </c>
      <c r="R9380" s="2" t="inlineStr"/>
    </row>
    <row r="9381" ht="15" customHeight="1">
      <c r="A9381" t="inlineStr">
        <is>
          <t>A 40729-2024</t>
        </is>
      </c>
      <c r="B9381" s="1" t="n">
        <v>45558</v>
      </c>
      <c r="C9381" s="1" t="n">
        <v>45798</v>
      </c>
      <c r="D9381" t="inlineStr">
        <is>
          <t>NORRBOTTENS LÄN</t>
        </is>
      </c>
      <c r="E9381" t="inlineStr">
        <is>
          <t>PITEÅ</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40699-2024</t>
        </is>
      </c>
      <c r="B9382" s="1" t="n">
        <v>45558</v>
      </c>
      <c r="C9382" s="1" t="n">
        <v>45798</v>
      </c>
      <c r="D9382" t="inlineStr">
        <is>
          <t>NORRBOTTENS LÄN</t>
        </is>
      </c>
      <c r="E9382" t="inlineStr">
        <is>
          <t>LULEÅ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40711-2024</t>
        </is>
      </c>
      <c r="B9383" s="1" t="n">
        <v>45558</v>
      </c>
      <c r="C9383" s="1" t="n">
        <v>45798</v>
      </c>
      <c r="D9383" t="inlineStr">
        <is>
          <t>NORRBOTTENS LÄN</t>
        </is>
      </c>
      <c r="E9383" t="inlineStr">
        <is>
          <t>LULEÅ</t>
        </is>
      </c>
      <c r="G9383" t="n">
        <v>19.1</v>
      </c>
      <c r="H9383" t="n">
        <v>0</v>
      </c>
      <c r="I9383" t="n">
        <v>0</v>
      </c>
      <c r="J9383" t="n">
        <v>0</v>
      </c>
      <c r="K9383" t="n">
        <v>0</v>
      </c>
      <c r="L9383" t="n">
        <v>0</v>
      </c>
      <c r="M9383" t="n">
        <v>0</v>
      </c>
      <c r="N9383" t="n">
        <v>0</v>
      </c>
      <c r="O9383" t="n">
        <v>0</v>
      </c>
      <c r="P9383" t="n">
        <v>0</v>
      </c>
      <c r="Q9383" t="n">
        <v>0</v>
      </c>
      <c r="R9383" s="2" t="inlineStr"/>
    </row>
    <row r="9384" ht="15" customHeight="1">
      <c r="A9384" t="inlineStr">
        <is>
          <t>A 40877-2024</t>
        </is>
      </c>
      <c r="B9384" s="1" t="n">
        <v>45558</v>
      </c>
      <c r="C9384" s="1" t="n">
        <v>45798</v>
      </c>
      <c r="D9384" t="inlineStr">
        <is>
          <t>NORRBOTTENS LÄN</t>
        </is>
      </c>
      <c r="E9384" t="inlineStr">
        <is>
          <t>ARVIDSJAUR</t>
        </is>
      </c>
      <c r="F9384" t="inlineStr">
        <is>
          <t>Sveaskog</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40885-2024</t>
        </is>
      </c>
      <c r="B9385" s="1" t="n">
        <v>45558</v>
      </c>
      <c r="C9385" s="1" t="n">
        <v>45798</v>
      </c>
      <c r="D9385" t="inlineStr">
        <is>
          <t>NORRBOTTENS LÄN</t>
        </is>
      </c>
      <c r="E9385" t="inlineStr">
        <is>
          <t>PAJALA</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40728-2024</t>
        </is>
      </c>
      <c r="B9386" s="1" t="n">
        <v>45558</v>
      </c>
      <c r="C9386" s="1" t="n">
        <v>45798</v>
      </c>
      <c r="D9386" t="inlineStr">
        <is>
          <t>NORRBOTTENS LÄN</t>
        </is>
      </c>
      <c r="E9386" t="inlineStr">
        <is>
          <t>BODEN</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40894-2024</t>
        </is>
      </c>
      <c r="B9387" s="1" t="n">
        <v>45558</v>
      </c>
      <c r="C9387" s="1" t="n">
        <v>45798</v>
      </c>
      <c r="D9387" t="inlineStr">
        <is>
          <t>NORRBOTTENS LÄN</t>
        </is>
      </c>
      <c r="E9387" t="inlineStr">
        <is>
          <t>PAJALA</t>
        </is>
      </c>
      <c r="G9387" t="n">
        <v>9.5</v>
      </c>
      <c r="H9387" t="n">
        <v>0</v>
      </c>
      <c r="I9387" t="n">
        <v>0</v>
      </c>
      <c r="J9387" t="n">
        <v>0</v>
      </c>
      <c r="K9387" t="n">
        <v>0</v>
      </c>
      <c r="L9387" t="n">
        <v>0</v>
      </c>
      <c r="M9387" t="n">
        <v>0</v>
      </c>
      <c r="N9387" t="n">
        <v>0</v>
      </c>
      <c r="O9387" t="n">
        <v>0</v>
      </c>
      <c r="P9387" t="n">
        <v>0</v>
      </c>
      <c r="Q9387" t="n">
        <v>0</v>
      </c>
      <c r="R9387" s="2" t="inlineStr"/>
    </row>
    <row r="9388" ht="15" customHeight="1">
      <c r="A9388" t="inlineStr">
        <is>
          <t>A 40910-2024</t>
        </is>
      </c>
      <c r="B9388" s="1" t="n">
        <v>45558</v>
      </c>
      <c r="C9388" s="1" t="n">
        <v>45798</v>
      </c>
      <c r="D9388" t="inlineStr">
        <is>
          <t>NORRBOTTENS LÄN</t>
        </is>
      </c>
      <c r="E9388" t="inlineStr">
        <is>
          <t>PAJALA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40926-2024</t>
        </is>
      </c>
      <c r="B9389" s="1" t="n">
        <v>45558</v>
      </c>
      <c r="C9389" s="1" t="n">
        <v>45798</v>
      </c>
      <c r="D9389" t="inlineStr">
        <is>
          <t>NORRBOTTENS LÄN</t>
        </is>
      </c>
      <c r="E9389" t="inlineStr">
        <is>
          <t>PAJALA</t>
        </is>
      </c>
      <c r="G9389" t="n">
        <v>28.7</v>
      </c>
      <c r="H9389" t="n">
        <v>0</v>
      </c>
      <c r="I9389" t="n">
        <v>0</v>
      </c>
      <c r="J9389" t="n">
        <v>0</v>
      </c>
      <c r="K9389" t="n">
        <v>0</v>
      </c>
      <c r="L9389" t="n">
        <v>0</v>
      </c>
      <c r="M9389" t="n">
        <v>0</v>
      </c>
      <c r="N9389" t="n">
        <v>0</v>
      </c>
      <c r="O9389" t="n">
        <v>0</v>
      </c>
      <c r="P9389" t="n">
        <v>0</v>
      </c>
      <c r="Q9389" t="n">
        <v>0</v>
      </c>
      <c r="R9389" s="2" t="inlineStr"/>
    </row>
    <row r="9390" ht="15" customHeight="1">
      <c r="A9390" t="inlineStr">
        <is>
          <t>A 40901-2024</t>
        </is>
      </c>
      <c r="B9390" s="1" t="n">
        <v>45558</v>
      </c>
      <c r="C9390" s="1" t="n">
        <v>45798</v>
      </c>
      <c r="D9390" t="inlineStr">
        <is>
          <t>NORRBOTTENS LÄN</t>
        </is>
      </c>
      <c r="E9390" t="inlineStr">
        <is>
          <t>ÖVERKALIX</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40937-2024</t>
        </is>
      </c>
      <c r="B9391" s="1" t="n">
        <v>45558</v>
      </c>
      <c r="C9391" s="1" t="n">
        <v>45798</v>
      </c>
      <c r="D9391" t="inlineStr">
        <is>
          <t>NORRBOTTENS LÄN</t>
        </is>
      </c>
      <c r="E9391" t="inlineStr">
        <is>
          <t>ARVIDSJAUR</t>
        </is>
      </c>
      <c r="F9391" t="inlineStr">
        <is>
          <t>Sveaskog</t>
        </is>
      </c>
      <c r="G9391" t="n">
        <v>22.6</v>
      </c>
      <c r="H9391" t="n">
        <v>0</v>
      </c>
      <c r="I9391" t="n">
        <v>0</v>
      </c>
      <c r="J9391" t="n">
        <v>0</v>
      </c>
      <c r="K9391" t="n">
        <v>0</v>
      </c>
      <c r="L9391" t="n">
        <v>0</v>
      </c>
      <c r="M9391" t="n">
        <v>0</v>
      </c>
      <c r="N9391" t="n">
        <v>0</v>
      </c>
      <c r="O9391" t="n">
        <v>0</v>
      </c>
      <c r="P9391" t="n">
        <v>0</v>
      </c>
      <c r="Q9391" t="n">
        <v>0</v>
      </c>
      <c r="R9391" s="2" t="inlineStr"/>
    </row>
    <row r="9392" ht="15" customHeight="1">
      <c r="A9392" t="inlineStr">
        <is>
          <t>A 40974-2024</t>
        </is>
      </c>
      <c r="B9392" s="1" t="n">
        <v>45558</v>
      </c>
      <c r="C9392" s="1" t="n">
        <v>45798</v>
      </c>
      <c r="D9392" t="inlineStr">
        <is>
          <t>NORRBOTTENS LÄN</t>
        </is>
      </c>
      <c r="E9392" t="inlineStr">
        <is>
          <t>LULEÅ</t>
        </is>
      </c>
      <c r="F9392" t="inlineStr">
        <is>
          <t>Övriga Aktiebolag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40940-2024</t>
        </is>
      </c>
      <c r="B9393" s="1" t="n">
        <v>45558</v>
      </c>
      <c r="C9393" s="1" t="n">
        <v>45798</v>
      </c>
      <c r="D9393" t="inlineStr">
        <is>
          <t>NORRBOTTENS LÄN</t>
        </is>
      </c>
      <c r="E9393" t="inlineStr">
        <is>
          <t>ARVIDSJAUR</t>
        </is>
      </c>
      <c r="F9393" t="inlineStr">
        <is>
          <t>Sveaskog</t>
        </is>
      </c>
      <c r="G9393" t="n">
        <v>15.4</v>
      </c>
      <c r="H9393" t="n">
        <v>0</v>
      </c>
      <c r="I9393" t="n">
        <v>0</v>
      </c>
      <c r="J9393" t="n">
        <v>0</v>
      </c>
      <c r="K9393" t="n">
        <v>0</v>
      </c>
      <c r="L9393" t="n">
        <v>0</v>
      </c>
      <c r="M9393" t="n">
        <v>0</v>
      </c>
      <c r="N9393" t="n">
        <v>0</v>
      </c>
      <c r="O9393" t="n">
        <v>0</v>
      </c>
      <c r="P9393" t="n">
        <v>0</v>
      </c>
      <c r="Q9393" t="n">
        <v>0</v>
      </c>
      <c r="R9393" s="2" t="inlineStr"/>
    </row>
    <row r="9394" ht="15" customHeight="1">
      <c r="A9394" t="inlineStr">
        <is>
          <t>A 40952-2024</t>
        </is>
      </c>
      <c r="B9394" s="1" t="n">
        <v>45558</v>
      </c>
      <c r="C9394" s="1" t="n">
        <v>45798</v>
      </c>
      <c r="D9394" t="inlineStr">
        <is>
          <t>NORRBOTTENS LÄN</t>
        </is>
      </c>
      <c r="E9394" t="inlineStr">
        <is>
          <t>KALIX</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40899-2024</t>
        </is>
      </c>
      <c r="B9395" s="1" t="n">
        <v>45558</v>
      </c>
      <c r="C9395" s="1" t="n">
        <v>45798</v>
      </c>
      <c r="D9395" t="inlineStr">
        <is>
          <t>NORRBOTTENS LÄN</t>
        </is>
      </c>
      <c r="E9395" t="inlineStr">
        <is>
          <t>LULEÅ</t>
        </is>
      </c>
      <c r="F9395" t="inlineStr">
        <is>
          <t>Övriga Aktiebolag</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40947-2024</t>
        </is>
      </c>
      <c r="B9396" s="1" t="n">
        <v>45558</v>
      </c>
      <c r="C9396" s="1" t="n">
        <v>45798</v>
      </c>
      <c r="D9396" t="inlineStr">
        <is>
          <t>NORRBOTTENS LÄN</t>
        </is>
      </c>
      <c r="E9396" t="inlineStr">
        <is>
          <t>PAJALA</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41062-2024</t>
        </is>
      </c>
      <c r="B9397" s="1" t="n">
        <v>45558</v>
      </c>
      <c r="C9397" s="1" t="n">
        <v>45798</v>
      </c>
      <c r="D9397" t="inlineStr">
        <is>
          <t>NORRBOTTENS LÄN</t>
        </is>
      </c>
      <c r="E9397" t="inlineStr">
        <is>
          <t>ARJEPLOG</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41001-2024</t>
        </is>
      </c>
      <c r="B9398" s="1" t="n">
        <v>45558</v>
      </c>
      <c r="C9398" s="1" t="n">
        <v>45798</v>
      </c>
      <c r="D9398" t="inlineStr">
        <is>
          <t>NORRBOTTENS LÄN</t>
        </is>
      </c>
      <c r="E9398" t="inlineStr">
        <is>
          <t>PAJALA</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41025-2024</t>
        </is>
      </c>
      <c r="B9399" s="1" t="n">
        <v>45559</v>
      </c>
      <c r="C9399" s="1" t="n">
        <v>45798</v>
      </c>
      <c r="D9399" t="inlineStr">
        <is>
          <t>NORRBOTTENS LÄN</t>
        </is>
      </c>
      <c r="E9399" t="inlineStr">
        <is>
          <t>ÄLVSBYN</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41030-2024</t>
        </is>
      </c>
      <c r="B9400" s="1" t="n">
        <v>45559</v>
      </c>
      <c r="C9400" s="1" t="n">
        <v>45798</v>
      </c>
      <c r="D9400" t="inlineStr">
        <is>
          <t>NORRBOTTENS LÄN</t>
        </is>
      </c>
      <c r="E9400" t="inlineStr">
        <is>
          <t>ÖVERTORNEÅ</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41044-2024</t>
        </is>
      </c>
      <c r="B9401" s="1" t="n">
        <v>45559</v>
      </c>
      <c r="C9401" s="1" t="n">
        <v>45798</v>
      </c>
      <c r="D9401" t="inlineStr">
        <is>
          <t>NORRBOTTENS LÄN</t>
        </is>
      </c>
      <c r="E9401" t="inlineStr">
        <is>
          <t>GÄLLIVARE</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41088-2024</t>
        </is>
      </c>
      <c r="B9402" s="1" t="n">
        <v>45559</v>
      </c>
      <c r="C9402" s="1" t="n">
        <v>45798</v>
      </c>
      <c r="D9402" t="inlineStr">
        <is>
          <t>NORRBOTTENS LÄN</t>
        </is>
      </c>
      <c r="E9402" t="inlineStr">
        <is>
          <t>LULEÅ</t>
        </is>
      </c>
      <c r="F9402" t="inlineStr">
        <is>
          <t>Övriga Aktiebolag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41115-2024</t>
        </is>
      </c>
      <c r="B9403" s="1" t="n">
        <v>45559</v>
      </c>
      <c r="C9403" s="1" t="n">
        <v>45798</v>
      </c>
      <c r="D9403" t="inlineStr">
        <is>
          <t>NORRBOTTENS LÄN</t>
        </is>
      </c>
      <c r="E9403" t="inlineStr">
        <is>
          <t>BODEN</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41108-2024</t>
        </is>
      </c>
      <c r="B9404" s="1" t="n">
        <v>45559</v>
      </c>
      <c r="C9404" s="1" t="n">
        <v>45798</v>
      </c>
      <c r="D9404" t="inlineStr">
        <is>
          <t>NORRBOTTENS LÄN</t>
        </is>
      </c>
      <c r="E9404" t="inlineStr">
        <is>
          <t>GÄLLIVARE</t>
        </is>
      </c>
      <c r="F9404" t="inlineStr">
        <is>
          <t>SCA</t>
        </is>
      </c>
      <c r="G9404" t="n">
        <v>12.9</v>
      </c>
      <c r="H9404" t="n">
        <v>0</v>
      </c>
      <c r="I9404" t="n">
        <v>0</v>
      </c>
      <c r="J9404" t="n">
        <v>0</v>
      </c>
      <c r="K9404" t="n">
        <v>0</v>
      </c>
      <c r="L9404" t="n">
        <v>0</v>
      </c>
      <c r="M9404" t="n">
        <v>0</v>
      </c>
      <c r="N9404" t="n">
        <v>0</v>
      </c>
      <c r="O9404" t="n">
        <v>0</v>
      </c>
      <c r="P9404" t="n">
        <v>0</v>
      </c>
      <c r="Q9404" t="n">
        <v>0</v>
      </c>
      <c r="R9404" s="2" t="inlineStr"/>
    </row>
    <row r="9405" ht="15" customHeight="1">
      <c r="A9405" t="inlineStr">
        <is>
          <t>A 41128-2024</t>
        </is>
      </c>
      <c r="B9405" s="1" t="n">
        <v>45559</v>
      </c>
      <c r="C9405" s="1" t="n">
        <v>45798</v>
      </c>
      <c r="D9405" t="inlineStr">
        <is>
          <t>NORRBOTTENS LÄN</t>
        </is>
      </c>
      <c r="E9405" t="inlineStr">
        <is>
          <t>GÄLLIVARE</t>
        </is>
      </c>
      <c r="F9405" t="inlineStr">
        <is>
          <t>Sveaskog</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41157-2024</t>
        </is>
      </c>
      <c r="B9406" s="1" t="n">
        <v>45559</v>
      </c>
      <c r="C9406" s="1" t="n">
        <v>45798</v>
      </c>
      <c r="D9406" t="inlineStr">
        <is>
          <t>NORRBOTTENS LÄN</t>
        </is>
      </c>
      <c r="E9406" t="inlineStr">
        <is>
          <t>PITEÅ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41182-2024</t>
        </is>
      </c>
      <c r="B9407" s="1" t="n">
        <v>45559</v>
      </c>
      <c r="C9407" s="1" t="n">
        <v>45798</v>
      </c>
      <c r="D9407" t="inlineStr">
        <is>
          <t>NORRBOTTENS LÄN</t>
        </is>
      </c>
      <c r="E9407" t="inlineStr">
        <is>
          <t>PITEÅ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41195-2024</t>
        </is>
      </c>
      <c r="B9408" s="1" t="n">
        <v>45559</v>
      </c>
      <c r="C9408" s="1" t="n">
        <v>45798</v>
      </c>
      <c r="D9408" t="inlineStr">
        <is>
          <t>NORRBOTTENS LÄN</t>
        </is>
      </c>
      <c r="E9408" t="inlineStr">
        <is>
          <t>PITEÅ</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41188-2024</t>
        </is>
      </c>
      <c r="B9409" s="1" t="n">
        <v>45559</v>
      </c>
      <c r="C9409" s="1" t="n">
        <v>45798</v>
      </c>
      <c r="D9409" t="inlineStr">
        <is>
          <t>NORRBOTTENS LÄN</t>
        </is>
      </c>
      <c r="E9409" t="inlineStr">
        <is>
          <t>PITEÅ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41173-2024</t>
        </is>
      </c>
      <c r="B9410" s="1" t="n">
        <v>45559</v>
      </c>
      <c r="C9410" s="1" t="n">
        <v>45798</v>
      </c>
      <c r="D9410" t="inlineStr">
        <is>
          <t>NORRBOTTENS LÄN</t>
        </is>
      </c>
      <c r="E9410" t="inlineStr">
        <is>
          <t>PITEÅ</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41214-2024</t>
        </is>
      </c>
      <c r="B9411" s="1" t="n">
        <v>45559</v>
      </c>
      <c r="C9411" s="1" t="n">
        <v>45798</v>
      </c>
      <c r="D9411" t="inlineStr">
        <is>
          <t>NORRBOTTENS LÄN</t>
        </is>
      </c>
      <c r="E9411" t="inlineStr">
        <is>
          <t>ÖVERTORNEÅ</t>
        </is>
      </c>
      <c r="F9411" t="inlineStr">
        <is>
          <t>Sveaskog</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41212-2024</t>
        </is>
      </c>
      <c r="B9412" s="1" t="n">
        <v>45559</v>
      </c>
      <c r="C9412" s="1" t="n">
        <v>45798</v>
      </c>
      <c r="D9412" t="inlineStr">
        <is>
          <t>NORRBOTTENS LÄN</t>
        </is>
      </c>
      <c r="E9412" t="inlineStr">
        <is>
          <t>ARVIDSJAUR</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41316-2024</t>
        </is>
      </c>
      <c r="B9413" s="1" t="n">
        <v>45559</v>
      </c>
      <c r="C9413" s="1" t="n">
        <v>45798</v>
      </c>
      <c r="D9413" t="inlineStr">
        <is>
          <t>NORRBOTTENS LÄN</t>
        </is>
      </c>
      <c r="E9413" t="inlineStr">
        <is>
          <t>BODEN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41224-2024</t>
        </is>
      </c>
      <c r="B9414" s="1" t="n">
        <v>45559</v>
      </c>
      <c r="C9414" s="1" t="n">
        <v>45798</v>
      </c>
      <c r="D9414" t="inlineStr">
        <is>
          <t>NORRBOTTENS LÄN</t>
        </is>
      </c>
      <c r="E9414" t="inlineStr">
        <is>
          <t>GÄLLIVARE</t>
        </is>
      </c>
      <c r="F9414" t="inlineStr">
        <is>
          <t>Allmännings- och besparingsskogar</t>
        </is>
      </c>
      <c r="G9414" t="n">
        <v>12.5</v>
      </c>
      <c r="H9414" t="n">
        <v>0</v>
      </c>
      <c r="I9414" t="n">
        <v>0</v>
      </c>
      <c r="J9414" t="n">
        <v>0</v>
      </c>
      <c r="K9414" t="n">
        <v>0</v>
      </c>
      <c r="L9414" t="n">
        <v>0</v>
      </c>
      <c r="M9414" t="n">
        <v>0</v>
      </c>
      <c r="N9414" t="n">
        <v>0</v>
      </c>
      <c r="O9414" t="n">
        <v>0</v>
      </c>
      <c r="P9414" t="n">
        <v>0</v>
      </c>
      <c r="Q9414" t="n">
        <v>0</v>
      </c>
      <c r="R9414" s="2" t="inlineStr"/>
    </row>
    <row r="9415" ht="15" customHeight="1">
      <c r="A9415" t="inlineStr">
        <is>
          <t>A 41293-2024</t>
        </is>
      </c>
      <c r="B9415" s="1" t="n">
        <v>45559</v>
      </c>
      <c r="C9415" s="1" t="n">
        <v>45798</v>
      </c>
      <c r="D9415" t="inlineStr">
        <is>
          <t>NORRBOTTENS LÄN</t>
        </is>
      </c>
      <c r="E9415" t="inlineStr">
        <is>
          <t>ÖVERTORNEÅ</t>
        </is>
      </c>
      <c r="F9415" t="inlineStr">
        <is>
          <t>Sveaskog</t>
        </is>
      </c>
      <c r="G9415" t="n">
        <v>14.3</v>
      </c>
      <c r="H9415" t="n">
        <v>0</v>
      </c>
      <c r="I9415" t="n">
        <v>0</v>
      </c>
      <c r="J9415" t="n">
        <v>0</v>
      </c>
      <c r="K9415" t="n">
        <v>0</v>
      </c>
      <c r="L9415" t="n">
        <v>0</v>
      </c>
      <c r="M9415" t="n">
        <v>0</v>
      </c>
      <c r="N9415" t="n">
        <v>0</v>
      </c>
      <c r="O9415" t="n">
        <v>0</v>
      </c>
      <c r="P9415" t="n">
        <v>0</v>
      </c>
      <c r="Q9415" t="n">
        <v>0</v>
      </c>
      <c r="R9415" s="2" t="inlineStr"/>
    </row>
    <row r="9416" ht="15" customHeight="1">
      <c r="A9416" t="inlineStr">
        <is>
          <t>A 41291-2024</t>
        </is>
      </c>
      <c r="B9416" s="1" t="n">
        <v>45559</v>
      </c>
      <c r="C9416" s="1" t="n">
        <v>45798</v>
      </c>
      <c r="D9416" t="inlineStr">
        <is>
          <t>NORRBOTTENS LÄN</t>
        </is>
      </c>
      <c r="E9416" t="inlineStr">
        <is>
          <t>ÖVERKALIX</t>
        </is>
      </c>
      <c r="F9416" t="inlineStr">
        <is>
          <t>Sveaskog</t>
        </is>
      </c>
      <c r="G9416" t="n">
        <v>15.3</v>
      </c>
      <c r="H9416" t="n">
        <v>0</v>
      </c>
      <c r="I9416" t="n">
        <v>0</v>
      </c>
      <c r="J9416" t="n">
        <v>0</v>
      </c>
      <c r="K9416" t="n">
        <v>0</v>
      </c>
      <c r="L9416" t="n">
        <v>0</v>
      </c>
      <c r="M9416" t="n">
        <v>0</v>
      </c>
      <c r="N9416" t="n">
        <v>0</v>
      </c>
      <c r="O9416" t="n">
        <v>0</v>
      </c>
      <c r="P9416" t="n">
        <v>0</v>
      </c>
      <c r="Q9416" t="n">
        <v>0</v>
      </c>
      <c r="R9416" s="2" t="inlineStr"/>
    </row>
    <row r="9417" ht="15" customHeight="1">
      <c r="A9417" t="inlineStr">
        <is>
          <t>A 41307-2024</t>
        </is>
      </c>
      <c r="B9417" s="1" t="n">
        <v>45559</v>
      </c>
      <c r="C9417" s="1" t="n">
        <v>45798</v>
      </c>
      <c r="D9417" t="inlineStr">
        <is>
          <t>NORRBOTTENS LÄN</t>
        </is>
      </c>
      <c r="E9417" t="inlineStr">
        <is>
          <t>GÄLLIVARE</t>
        </is>
      </c>
      <c r="F9417" t="inlineStr">
        <is>
          <t>Sveaskog</t>
        </is>
      </c>
      <c r="G9417" t="n">
        <v>25.3</v>
      </c>
      <c r="H9417" t="n">
        <v>0</v>
      </c>
      <c r="I9417" t="n">
        <v>0</v>
      </c>
      <c r="J9417" t="n">
        <v>0</v>
      </c>
      <c r="K9417" t="n">
        <v>0</v>
      </c>
      <c r="L9417" t="n">
        <v>0</v>
      </c>
      <c r="M9417" t="n">
        <v>0</v>
      </c>
      <c r="N9417" t="n">
        <v>0</v>
      </c>
      <c r="O9417" t="n">
        <v>0</v>
      </c>
      <c r="P9417" t="n">
        <v>0</v>
      </c>
      <c r="Q9417" t="n">
        <v>0</v>
      </c>
      <c r="R9417" s="2" t="inlineStr"/>
    </row>
    <row r="9418" ht="15" customHeight="1">
      <c r="A9418" t="inlineStr">
        <is>
          <t>A 41106-2024</t>
        </is>
      </c>
      <c r="B9418" s="1" t="n">
        <v>45559</v>
      </c>
      <c r="C9418" s="1" t="n">
        <v>45798</v>
      </c>
      <c r="D9418" t="inlineStr">
        <is>
          <t>NORRBOTTENS LÄN</t>
        </is>
      </c>
      <c r="E9418" t="inlineStr">
        <is>
          <t>ÖVERTORNEÅ</t>
        </is>
      </c>
      <c r="F9418" t="inlineStr">
        <is>
          <t>Sveaskog</t>
        </is>
      </c>
      <c r="G9418" t="n">
        <v>24.6</v>
      </c>
      <c r="H9418" t="n">
        <v>0</v>
      </c>
      <c r="I9418" t="n">
        <v>0</v>
      </c>
      <c r="J9418" t="n">
        <v>0</v>
      </c>
      <c r="K9418" t="n">
        <v>0</v>
      </c>
      <c r="L9418" t="n">
        <v>0</v>
      </c>
      <c r="M9418" t="n">
        <v>0</v>
      </c>
      <c r="N9418" t="n">
        <v>0</v>
      </c>
      <c r="O9418" t="n">
        <v>0</v>
      </c>
      <c r="P9418" t="n">
        <v>0</v>
      </c>
      <c r="Q9418" t="n">
        <v>0</v>
      </c>
      <c r="R9418" s="2" t="inlineStr"/>
    </row>
    <row r="9419" ht="15" customHeight="1">
      <c r="A9419" t="inlineStr">
        <is>
          <t>A 41458-2024</t>
        </is>
      </c>
      <c r="B9419" s="1" t="n">
        <v>45560</v>
      </c>
      <c r="C9419" s="1" t="n">
        <v>45798</v>
      </c>
      <c r="D9419" t="inlineStr">
        <is>
          <t>NORRBOTTENS LÄN</t>
        </is>
      </c>
      <c r="E9419" t="inlineStr">
        <is>
          <t>LULEÅ</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41466-2024</t>
        </is>
      </c>
      <c r="B9420" s="1" t="n">
        <v>45560</v>
      </c>
      <c r="C9420" s="1" t="n">
        <v>45798</v>
      </c>
      <c r="D9420" t="inlineStr">
        <is>
          <t>NORRBOTTENS LÄN</t>
        </is>
      </c>
      <c r="E9420" t="inlineStr">
        <is>
          <t>BODEN</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41713-2024</t>
        </is>
      </c>
      <c r="B9421" s="1" t="n">
        <v>45560</v>
      </c>
      <c r="C9421" s="1" t="n">
        <v>45798</v>
      </c>
      <c r="D9421" t="inlineStr">
        <is>
          <t>NORRBOTTENS LÄN</t>
        </is>
      </c>
      <c r="E9421" t="inlineStr">
        <is>
          <t>GÄLLIVARE</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41707-2024</t>
        </is>
      </c>
      <c r="B9422" s="1" t="n">
        <v>45560</v>
      </c>
      <c r="C9422" s="1" t="n">
        <v>45798</v>
      </c>
      <c r="D9422" t="inlineStr">
        <is>
          <t>NORRBOTTENS LÄN</t>
        </is>
      </c>
      <c r="E9422" t="inlineStr">
        <is>
          <t>LULEÅ</t>
        </is>
      </c>
      <c r="F9422" t="inlineStr">
        <is>
          <t>SCA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41624-2024</t>
        </is>
      </c>
      <c r="B9423" s="1" t="n">
        <v>45560</v>
      </c>
      <c r="C9423" s="1" t="n">
        <v>45798</v>
      </c>
      <c r="D9423" t="inlineStr">
        <is>
          <t>NORRBOTTENS LÄN</t>
        </is>
      </c>
      <c r="E9423" t="inlineStr">
        <is>
          <t>PITEÅ</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41590-2024</t>
        </is>
      </c>
      <c r="B9424" s="1" t="n">
        <v>45560</v>
      </c>
      <c r="C9424" s="1" t="n">
        <v>45798</v>
      </c>
      <c r="D9424" t="inlineStr">
        <is>
          <t>NORRBOTTENS LÄN</t>
        </is>
      </c>
      <c r="E9424" t="inlineStr">
        <is>
          <t>ARVIDSJAUR</t>
        </is>
      </c>
      <c r="F9424" t="inlineStr">
        <is>
          <t>Sveaskog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41578-2024</t>
        </is>
      </c>
      <c r="B9425" s="1" t="n">
        <v>45560</v>
      </c>
      <c r="C9425" s="1" t="n">
        <v>45798</v>
      </c>
      <c r="D9425" t="inlineStr">
        <is>
          <t>NORRBOTTENS LÄN</t>
        </is>
      </c>
      <c r="E9425" t="inlineStr">
        <is>
          <t>KALIX</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41612-2024</t>
        </is>
      </c>
      <c r="B9426" s="1" t="n">
        <v>45560</v>
      </c>
      <c r="C9426" s="1" t="n">
        <v>45798</v>
      </c>
      <c r="D9426" t="inlineStr">
        <is>
          <t>NORRBOTTENS LÄN</t>
        </is>
      </c>
      <c r="E9426" t="inlineStr">
        <is>
          <t>PAJALA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41558-2024</t>
        </is>
      </c>
      <c r="B9427" s="1" t="n">
        <v>45560</v>
      </c>
      <c r="C9427" s="1" t="n">
        <v>45798</v>
      </c>
      <c r="D9427" t="inlineStr">
        <is>
          <t>NORRBOTTENS LÄN</t>
        </is>
      </c>
      <c r="E9427" t="inlineStr">
        <is>
          <t>PITEÅ</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41588-2024</t>
        </is>
      </c>
      <c r="B9428" s="1" t="n">
        <v>45560</v>
      </c>
      <c r="C9428" s="1" t="n">
        <v>45798</v>
      </c>
      <c r="D9428" t="inlineStr">
        <is>
          <t>NORRBOTTENS LÄN</t>
        </is>
      </c>
      <c r="E9428" t="inlineStr">
        <is>
          <t>PITEÅ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41576-2024</t>
        </is>
      </c>
      <c r="B9429" s="1" t="n">
        <v>45560</v>
      </c>
      <c r="C9429" s="1" t="n">
        <v>45798</v>
      </c>
      <c r="D9429" t="inlineStr">
        <is>
          <t>NORRBOTTENS LÄN</t>
        </is>
      </c>
      <c r="E9429" t="inlineStr">
        <is>
          <t>KALIX</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41485-2024</t>
        </is>
      </c>
      <c r="B9430" s="1" t="n">
        <v>45560</v>
      </c>
      <c r="C9430" s="1" t="n">
        <v>45798</v>
      </c>
      <c r="D9430" t="inlineStr">
        <is>
          <t>NORRBOTTENS LÄN</t>
        </is>
      </c>
      <c r="E9430" t="inlineStr">
        <is>
          <t>BODEN</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41577-2024</t>
        </is>
      </c>
      <c r="B9431" s="1" t="n">
        <v>45560</v>
      </c>
      <c r="C9431" s="1" t="n">
        <v>45798</v>
      </c>
      <c r="D9431" t="inlineStr">
        <is>
          <t>NORRBOTTENS LÄN</t>
        </is>
      </c>
      <c r="E9431" t="inlineStr">
        <is>
          <t>KALIX</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41487-2024</t>
        </is>
      </c>
      <c r="B9432" s="1" t="n">
        <v>45560</v>
      </c>
      <c r="C9432" s="1" t="n">
        <v>45798</v>
      </c>
      <c r="D9432" t="inlineStr">
        <is>
          <t>NORRBOTTENS LÄN</t>
        </is>
      </c>
      <c r="E9432" t="inlineStr">
        <is>
          <t>BODEN</t>
        </is>
      </c>
      <c r="F9432" t="inlineStr">
        <is>
          <t>SCA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41698-2024</t>
        </is>
      </c>
      <c r="B9433" s="1" t="n">
        <v>45560</v>
      </c>
      <c r="C9433" s="1" t="n">
        <v>45798</v>
      </c>
      <c r="D9433" t="inlineStr">
        <is>
          <t>NORRBOTTENS LÄN</t>
        </is>
      </c>
      <c r="E9433" t="inlineStr">
        <is>
          <t>ÖVERTORNEÅ</t>
        </is>
      </c>
      <c r="F9433" t="inlineStr">
        <is>
          <t>Sveaskog</t>
        </is>
      </c>
      <c r="G9433" t="n">
        <v>16.4</v>
      </c>
      <c r="H9433" t="n">
        <v>0</v>
      </c>
      <c r="I9433" t="n">
        <v>0</v>
      </c>
      <c r="J9433" t="n">
        <v>0</v>
      </c>
      <c r="K9433" t="n">
        <v>0</v>
      </c>
      <c r="L9433" t="n">
        <v>0</v>
      </c>
      <c r="M9433" t="n">
        <v>0</v>
      </c>
      <c r="N9433" t="n">
        <v>0</v>
      </c>
      <c r="O9433" t="n">
        <v>0</v>
      </c>
      <c r="P9433" t="n">
        <v>0</v>
      </c>
      <c r="Q9433" t="n">
        <v>0</v>
      </c>
      <c r="R9433" s="2" t="inlineStr"/>
    </row>
    <row r="9434" ht="15" customHeight="1">
      <c r="A9434" t="inlineStr">
        <is>
          <t>A 41587-2024</t>
        </is>
      </c>
      <c r="B9434" s="1" t="n">
        <v>45560</v>
      </c>
      <c r="C9434" s="1" t="n">
        <v>45798</v>
      </c>
      <c r="D9434" t="inlineStr">
        <is>
          <t>NORRBOTTENS LÄN</t>
        </is>
      </c>
      <c r="E9434" t="inlineStr">
        <is>
          <t>ARVIDSJAUR</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41599-2024</t>
        </is>
      </c>
      <c r="B9435" s="1" t="n">
        <v>45560</v>
      </c>
      <c r="C9435" s="1" t="n">
        <v>45798</v>
      </c>
      <c r="D9435" t="inlineStr">
        <is>
          <t>NORRBOTTENS LÄN</t>
        </is>
      </c>
      <c r="E9435" t="inlineStr">
        <is>
          <t>ARVIDSJAUR</t>
        </is>
      </c>
      <c r="F9435" t="inlineStr">
        <is>
          <t>Sveaskog</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41659-2024</t>
        </is>
      </c>
      <c r="B9436" s="1" t="n">
        <v>45560</v>
      </c>
      <c r="C9436" s="1" t="n">
        <v>45798</v>
      </c>
      <c r="D9436" t="inlineStr">
        <is>
          <t>NORRBOTTENS LÄN</t>
        </is>
      </c>
      <c r="E9436" t="inlineStr">
        <is>
          <t>ARVIDSJAUR</t>
        </is>
      </c>
      <c r="F9436" t="inlineStr">
        <is>
          <t>Sveaskog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41708-2024</t>
        </is>
      </c>
      <c r="B9437" s="1" t="n">
        <v>45560</v>
      </c>
      <c r="C9437" s="1" t="n">
        <v>45798</v>
      </c>
      <c r="D9437" t="inlineStr">
        <is>
          <t>NORRBOTTENS LÄN</t>
        </is>
      </c>
      <c r="E9437" t="inlineStr">
        <is>
          <t>LULEÅ</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41843-2024</t>
        </is>
      </c>
      <c r="B9438" s="1" t="n">
        <v>45561</v>
      </c>
      <c r="C9438" s="1" t="n">
        <v>45798</v>
      </c>
      <c r="D9438" t="inlineStr">
        <is>
          <t>NORRBOTTENS LÄN</t>
        </is>
      </c>
      <c r="E9438" t="inlineStr">
        <is>
          <t>GÄLLIVARE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41917-2024</t>
        </is>
      </c>
      <c r="B9439" s="1" t="n">
        <v>45561</v>
      </c>
      <c r="C9439" s="1" t="n">
        <v>45798</v>
      </c>
      <c r="D9439" t="inlineStr">
        <is>
          <t>NORRBOTTENS LÄN</t>
        </is>
      </c>
      <c r="E9439" t="inlineStr">
        <is>
          <t>GÄLLIVARE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41871-2024</t>
        </is>
      </c>
      <c r="B9440" s="1" t="n">
        <v>45561</v>
      </c>
      <c r="C9440" s="1" t="n">
        <v>45798</v>
      </c>
      <c r="D9440" t="inlineStr">
        <is>
          <t>NORRBOTTENS LÄN</t>
        </is>
      </c>
      <c r="E9440" t="inlineStr">
        <is>
          <t>PAJALA</t>
        </is>
      </c>
      <c r="G9440" t="n">
        <v>25.1</v>
      </c>
      <c r="H9440" t="n">
        <v>0</v>
      </c>
      <c r="I9440" t="n">
        <v>0</v>
      </c>
      <c r="J9440" t="n">
        <v>0</v>
      </c>
      <c r="K9440" t="n">
        <v>0</v>
      </c>
      <c r="L9440" t="n">
        <v>0</v>
      </c>
      <c r="M9440" t="n">
        <v>0</v>
      </c>
      <c r="N9440" t="n">
        <v>0</v>
      </c>
      <c r="O9440" t="n">
        <v>0</v>
      </c>
      <c r="P9440" t="n">
        <v>0</v>
      </c>
      <c r="Q9440" t="n">
        <v>0</v>
      </c>
      <c r="R9440" s="2" t="inlineStr"/>
    </row>
    <row r="9441" ht="15" customHeight="1">
      <c r="A9441" t="inlineStr">
        <is>
          <t>A 41941-2024</t>
        </is>
      </c>
      <c r="B9441" s="1" t="n">
        <v>45561</v>
      </c>
      <c r="C9441" s="1" t="n">
        <v>45798</v>
      </c>
      <c r="D9441" t="inlineStr">
        <is>
          <t>NORRBOTTENS LÄN</t>
        </is>
      </c>
      <c r="E9441" t="inlineStr">
        <is>
          <t>PITEÅ</t>
        </is>
      </c>
      <c r="F9441" t="inlineStr">
        <is>
          <t>Sveaskog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41945-2024</t>
        </is>
      </c>
      <c r="B9442" s="1" t="n">
        <v>45561</v>
      </c>
      <c r="C9442" s="1" t="n">
        <v>45798</v>
      </c>
      <c r="D9442" t="inlineStr">
        <is>
          <t>NORRBOTTENS LÄN</t>
        </is>
      </c>
      <c r="E9442" t="inlineStr">
        <is>
          <t>KALIX</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41949-2024</t>
        </is>
      </c>
      <c r="B9443" s="1" t="n">
        <v>45561</v>
      </c>
      <c r="C9443" s="1" t="n">
        <v>45798</v>
      </c>
      <c r="D9443" t="inlineStr">
        <is>
          <t>NORRBOTTENS LÄN</t>
        </is>
      </c>
      <c r="E9443" t="inlineStr">
        <is>
          <t>BODEN</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41957-2024</t>
        </is>
      </c>
      <c r="B9444" s="1" t="n">
        <v>45561</v>
      </c>
      <c r="C9444" s="1" t="n">
        <v>45798</v>
      </c>
      <c r="D9444" t="inlineStr">
        <is>
          <t>NORRBOTTENS LÄN</t>
        </is>
      </c>
      <c r="E9444" t="inlineStr">
        <is>
          <t>BODEN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42018-2024</t>
        </is>
      </c>
      <c r="B9445" s="1" t="n">
        <v>45561</v>
      </c>
      <c r="C9445" s="1" t="n">
        <v>45798</v>
      </c>
      <c r="D9445" t="inlineStr">
        <is>
          <t>NORRBOTTENS LÄN</t>
        </is>
      </c>
      <c r="E9445" t="inlineStr">
        <is>
          <t>LULEÅ</t>
        </is>
      </c>
      <c r="G9445" t="n">
        <v>11.2</v>
      </c>
      <c r="H9445" t="n">
        <v>0</v>
      </c>
      <c r="I9445" t="n">
        <v>0</v>
      </c>
      <c r="J9445" t="n">
        <v>0</v>
      </c>
      <c r="K9445" t="n">
        <v>0</v>
      </c>
      <c r="L9445" t="n">
        <v>0</v>
      </c>
      <c r="M9445" t="n">
        <v>0</v>
      </c>
      <c r="N9445" t="n">
        <v>0</v>
      </c>
      <c r="O9445" t="n">
        <v>0</v>
      </c>
      <c r="P9445" t="n">
        <v>0</v>
      </c>
      <c r="Q9445" t="n">
        <v>0</v>
      </c>
      <c r="R9445" s="2" t="inlineStr"/>
    </row>
    <row r="9446" ht="15" customHeight="1">
      <c r="A9446" t="inlineStr">
        <is>
          <t>A 42026-2024</t>
        </is>
      </c>
      <c r="B9446" s="1" t="n">
        <v>45561</v>
      </c>
      <c r="C9446" s="1" t="n">
        <v>45798</v>
      </c>
      <c r="D9446" t="inlineStr">
        <is>
          <t>NORRBOTTENS LÄN</t>
        </is>
      </c>
      <c r="E9446" t="inlineStr">
        <is>
          <t>LULEÅ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41845-2024</t>
        </is>
      </c>
      <c r="B9447" s="1" t="n">
        <v>45561</v>
      </c>
      <c r="C9447" s="1" t="n">
        <v>45798</v>
      </c>
      <c r="D9447" t="inlineStr">
        <is>
          <t>NORRBOTTENS LÄN</t>
        </is>
      </c>
      <c r="E9447" t="inlineStr">
        <is>
          <t>ÄLVSBYN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41873-2024</t>
        </is>
      </c>
      <c r="B9448" s="1" t="n">
        <v>45561</v>
      </c>
      <c r="C9448" s="1" t="n">
        <v>45798</v>
      </c>
      <c r="D9448" t="inlineStr">
        <is>
          <t>NORRBOTTENS LÄN</t>
        </is>
      </c>
      <c r="E9448" t="inlineStr">
        <is>
          <t>GÄLLIVARE</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41918-2024</t>
        </is>
      </c>
      <c r="B9449" s="1" t="n">
        <v>45561</v>
      </c>
      <c r="C9449" s="1" t="n">
        <v>45798</v>
      </c>
      <c r="D9449" t="inlineStr">
        <is>
          <t>NORRBOTTENS LÄN</t>
        </is>
      </c>
      <c r="E9449" t="inlineStr">
        <is>
          <t>ÖVERTORNEÅ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41927-2024</t>
        </is>
      </c>
      <c r="B9450" s="1" t="n">
        <v>45561</v>
      </c>
      <c r="C9450" s="1" t="n">
        <v>45798</v>
      </c>
      <c r="D9450" t="inlineStr">
        <is>
          <t>NORRBOTTENS LÄN</t>
        </is>
      </c>
      <c r="E9450" t="inlineStr">
        <is>
          <t>GÄLLIVARE</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41989-2024</t>
        </is>
      </c>
      <c r="B9451" s="1" t="n">
        <v>45561</v>
      </c>
      <c r="C9451" s="1" t="n">
        <v>45798</v>
      </c>
      <c r="D9451" t="inlineStr">
        <is>
          <t>NORRBOTTENS LÄN</t>
        </is>
      </c>
      <c r="E9451" t="inlineStr">
        <is>
          <t>ÄLVSBYN</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42009-2024</t>
        </is>
      </c>
      <c r="B9452" s="1" t="n">
        <v>45561</v>
      </c>
      <c r="C9452" s="1" t="n">
        <v>45798</v>
      </c>
      <c r="D9452" t="inlineStr">
        <is>
          <t>NORRBOTTENS LÄN</t>
        </is>
      </c>
      <c r="E9452" t="inlineStr">
        <is>
          <t>KALIX</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42033-2024</t>
        </is>
      </c>
      <c r="B9453" s="1" t="n">
        <v>45561</v>
      </c>
      <c r="C9453" s="1" t="n">
        <v>45798</v>
      </c>
      <c r="D9453" t="inlineStr">
        <is>
          <t>NORRBOTTENS LÄN</t>
        </is>
      </c>
      <c r="E9453" t="inlineStr">
        <is>
          <t>LULEÅ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41947-2024</t>
        </is>
      </c>
      <c r="B9454" s="1" t="n">
        <v>45561</v>
      </c>
      <c r="C9454" s="1" t="n">
        <v>45798</v>
      </c>
      <c r="D9454" t="inlineStr">
        <is>
          <t>NORRBOTTENS LÄN</t>
        </is>
      </c>
      <c r="E9454" t="inlineStr">
        <is>
          <t>BODEN</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41955-2024</t>
        </is>
      </c>
      <c r="B9455" s="1" t="n">
        <v>45561</v>
      </c>
      <c r="C9455" s="1" t="n">
        <v>45798</v>
      </c>
      <c r="D9455" t="inlineStr">
        <is>
          <t>NORRBOTTENS LÄN</t>
        </is>
      </c>
      <c r="E9455" t="inlineStr">
        <is>
          <t>BODEN</t>
        </is>
      </c>
      <c r="F9455" t="inlineStr">
        <is>
          <t>Sveaskog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41752-2024</t>
        </is>
      </c>
      <c r="B9456" s="1" t="n">
        <v>45561</v>
      </c>
      <c r="C9456" s="1" t="n">
        <v>45798</v>
      </c>
      <c r="D9456" t="inlineStr">
        <is>
          <t>NORRBOTTENS LÄN</t>
        </is>
      </c>
      <c r="E9456" t="inlineStr">
        <is>
          <t>ÖVERKALIX</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41789-2024</t>
        </is>
      </c>
      <c r="B9457" s="1" t="n">
        <v>45561</v>
      </c>
      <c r="C9457" s="1" t="n">
        <v>45798</v>
      </c>
      <c r="D9457" t="inlineStr">
        <is>
          <t>NORRBOTTENS LÄN</t>
        </is>
      </c>
      <c r="E9457" t="inlineStr">
        <is>
          <t>BODEN</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41821-2024</t>
        </is>
      </c>
      <c r="B9458" s="1" t="n">
        <v>45561</v>
      </c>
      <c r="C9458" s="1" t="n">
        <v>45798</v>
      </c>
      <c r="D9458" t="inlineStr">
        <is>
          <t>NORRBOTTENS LÄN</t>
        </is>
      </c>
      <c r="E9458" t="inlineStr">
        <is>
          <t>GÄLLIVARE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41830-2024</t>
        </is>
      </c>
      <c r="B9459" s="1" t="n">
        <v>45561</v>
      </c>
      <c r="C9459" s="1" t="n">
        <v>45798</v>
      </c>
      <c r="D9459" t="inlineStr">
        <is>
          <t>NORRBOTTENS LÄN</t>
        </is>
      </c>
      <c r="E9459" t="inlineStr">
        <is>
          <t>ÖVERKALIX</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41870-2024</t>
        </is>
      </c>
      <c r="B9460" s="1" t="n">
        <v>45561</v>
      </c>
      <c r="C9460" s="1" t="n">
        <v>45798</v>
      </c>
      <c r="D9460" t="inlineStr">
        <is>
          <t>NORRBOTTENS LÄN</t>
        </is>
      </c>
      <c r="E9460" t="inlineStr">
        <is>
          <t>GÄLLIVARE</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41944-2024</t>
        </is>
      </c>
      <c r="B9461" s="1" t="n">
        <v>45561</v>
      </c>
      <c r="C9461" s="1" t="n">
        <v>45798</v>
      </c>
      <c r="D9461" t="inlineStr">
        <is>
          <t>NORRBOTTENS LÄN</t>
        </is>
      </c>
      <c r="E9461" t="inlineStr">
        <is>
          <t>GÄLLIVARE</t>
        </is>
      </c>
      <c r="G9461" t="n">
        <v>9.199999999999999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41964-2024</t>
        </is>
      </c>
      <c r="B9462" s="1" t="n">
        <v>45561</v>
      </c>
      <c r="C9462" s="1" t="n">
        <v>45798</v>
      </c>
      <c r="D9462" t="inlineStr">
        <is>
          <t>NORRBOTTENS LÄN</t>
        </is>
      </c>
      <c r="E9462" t="inlineStr">
        <is>
          <t>ÄLVSBYN</t>
        </is>
      </c>
      <c r="F9462" t="inlineStr">
        <is>
          <t>SCA</t>
        </is>
      </c>
      <c r="G9462" t="n">
        <v>7</v>
      </c>
      <c r="H9462" t="n">
        <v>0</v>
      </c>
      <c r="I9462" t="n">
        <v>0</v>
      </c>
      <c r="J9462" t="n">
        <v>0</v>
      </c>
      <c r="K9462" t="n">
        <v>0</v>
      </c>
      <c r="L9462" t="n">
        <v>0</v>
      </c>
      <c r="M9462" t="n">
        <v>0</v>
      </c>
      <c r="N9462" t="n">
        <v>0</v>
      </c>
      <c r="O9462" t="n">
        <v>0</v>
      </c>
      <c r="P9462" t="n">
        <v>0</v>
      </c>
      <c r="Q9462" t="n">
        <v>0</v>
      </c>
      <c r="R9462" s="2" t="inlineStr"/>
    </row>
    <row r="9463" ht="15" customHeight="1">
      <c r="A9463" t="inlineStr">
        <is>
          <t>A 42024-2024</t>
        </is>
      </c>
      <c r="B9463" s="1" t="n">
        <v>45561</v>
      </c>
      <c r="C9463" s="1" t="n">
        <v>45798</v>
      </c>
      <c r="D9463" t="inlineStr">
        <is>
          <t>NORRBOTTENS LÄN</t>
        </is>
      </c>
      <c r="E9463" t="inlineStr">
        <is>
          <t>LULEÅ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42036-2024</t>
        </is>
      </c>
      <c r="B9464" s="1" t="n">
        <v>45561</v>
      </c>
      <c r="C9464" s="1" t="n">
        <v>45798</v>
      </c>
      <c r="D9464" t="inlineStr">
        <is>
          <t>NORRBOTTENS LÄN</t>
        </is>
      </c>
      <c r="E9464" t="inlineStr">
        <is>
          <t>LULEÅ</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42096-2024</t>
        </is>
      </c>
      <c r="B9465" s="1" t="n">
        <v>45562</v>
      </c>
      <c r="C9465" s="1" t="n">
        <v>45798</v>
      </c>
      <c r="D9465" t="inlineStr">
        <is>
          <t>NORRBOTTENS LÄN</t>
        </is>
      </c>
      <c r="E9465" t="inlineStr">
        <is>
          <t>LULEÅ</t>
        </is>
      </c>
      <c r="F9465" t="inlineStr">
        <is>
          <t>Naturvårdsverket</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42124-2024</t>
        </is>
      </c>
      <c r="B9466" s="1" t="n">
        <v>45562</v>
      </c>
      <c r="C9466" s="1" t="n">
        <v>45798</v>
      </c>
      <c r="D9466" t="inlineStr">
        <is>
          <t>NORRBOTTENS LÄN</t>
        </is>
      </c>
      <c r="E9466" t="inlineStr">
        <is>
          <t>LULEÅ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42148-2024</t>
        </is>
      </c>
      <c r="B9467" s="1" t="n">
        <v>45562</v>
      </c>
      <c r="C9467" s="1" t="n">
        <v>45798</v>
      </c>
      <c r="D9467" t="inlineStr">
        <is>
          <t>NORRBOTTENS LÄN</t>
        </is>
      </c>
      <c r="E9467" t="inlineStr">
        <is>
          <t>PAJALA</t>
        </is>
      </c>
      <c r="F9467" t="inlineStr">
        <is>
          <t>Sveaskog</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42258-2024</t>
        </is>
      </c>
      <c r="B9468" s="1" t="n">
        <v>45562</v>
      </c>
      <c r="C9468" s="1" t="n">
        <v>45798</v>
      </c>
      <c r="D9468" t="inlineStr">
        <is>
          <t>NORRBOTTENS LÄN</t>
        </is>
      </c>
      <c r="E9468" t="inlineStr">
        <is>
          <t>GÄLLIVARE</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42102-2024</t>
        </is>
      </c>
      <c r="B9469" s="1" t="n">
        <v>45562</v>
      </c>
      <c r="C9469" s="1" t="n">
        <v>45798</v>
      </c>
      <c r="D9469" t="inlineStr">
        <is>
          <t>NORRBOTTENS LÄN</t>
        </is>
      </c>
      <c r="E9469" t="inlineStr">
        <is>
          <t>LULEÅ</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42122-2024</t>
        </is>
      </c>
      <c r="B9470" s="1" t="n">
        <v>45562</v>
      </c>
      <c r="C9470" s="1" t="n">
        <v>45798</v>
      </c>
      <c r="D9470" t="inlineStr">
        <is>
          <t>NORRBOTTENS LÄN</t>
        </is>
      </c>
      <c r="E9470" t="inlineStr">
        <is>
          <t>LULEÅ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42134-2024</t>
        </is>
      </c>
      <c r="B9471" s="1" t="n">
        <v>45562</v>
      </c>
      <c r="C9471" s="1" t="n">
        <v>45798</v>
      </c>
      <c r="D9471" t="inlineStr">
        <is>
          <t>NORRBOTTENS LÄN</t>
        </is>
      </c>
      <c r="E9471" t="inlineStr">
        <is>
          <t>ÖVERKALIX</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42167-2024</t>
        </is>
      </c>
      <c r="B9472" s="1" t="n">
        <v>45562</v>
      </c>
      <c r="C9472" s="1" t="n">
        <v>45798</v>
      </c>
      <c r="D9472" t="inlineStr">
        <is>
          <t>NORRBOTTENS LÄN</t>
        </is>
      </c>
      <c r="E9472" t="inlineStr">
        <is>
          <t>HAPARANDA</t>
        </is>
      </c>
      <c r="G9472" t="n">
        <v>11.1</v>
      </c>
      <c r="H9472" t="n">
        <v>0</v>
      </c>
      <c r="I9472" t="n">
        <v>0</v>
      </c>
      <c r="J9472" t="n">
        <v>0</v>
      </c>
      <c r="K9472" t="n">
        <v>0</v>
      </c>
      <c r="L9472" t="n">
        <v>0</v>
      </c>
      <c r="M9472" t="n">
        <v>0</v>
      </c>
      <c r="N9472" t="n">
        <v>0</v>
      </c>
      <c r="O9472" t="n">
        <v>0</v>
      </c>
      <c r="P9472" t="n">
        <v>0</v>
      </c>
      <c r="Q9472" t="n">
        <v>0</v>
      </c>
      <c r="R9472" s="2" t="inlineStr"/>
    </row>
    <row r="9473" ht="15" customHeight="1">
      <c r="A9473" t="inlineStr">
        <is>
          <t>A 42255-2024</t>
        </is>
      </c>
      <c r="B9473" s="1" t="n">
        <v>45562</v>
      </c>
      <c r="C9473" s="1" t="n">
        <v>45798</v>
      </c>
      <c r="D9473" t="inlineStr">
        <is>
          <t>NORRBOTTENS LÄN</t>
        </is>
      </c>
      <c r="E9473" t="inlineStr">
        <is>
          <t>ÄLVSBYN</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42103-2024</t>
        </is>
      </c>
      <c r="B9474" s="1" t="n">
        <v>45562</v>
      </c>
      <c r="C9474" s="1" t="n">
        <v>45798</v>
      </c>
      <c r="D9474" t="inlineStr">
        <is>
          <t>NORRBOTTENS LÄN</t>
        </is>
      </c>
      <c r="E9474" t="inlineStr">
        <is>
          <t>LULEÅ</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42119-2024</t>
        </is>
      </c>
      <c r="B9475" s="1" t="n">
        <v>45562</v>
      </c>
      <c r="C9475" s="1" t="n">
        <v>45798</v>
      </c>
      <c r="D9475" t="inlineStr">
        <is>
          <t>NORRBOTTENS LÄN</t>
        </is>
      </c>
      <c r="E9475" t="inlineStr">
        <is>
          <t>ÖVERKALIX</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42155-2024</t>
        </is>
      </c>
      <c r="B9476" s="1" t="n">
        <v>45562</v>
      </c>
      <c r="C9476" s="1" t="n">
        <v>45798</v>
      </c>
      <c r="D9476" t="inlineStr">
        <is>
          <t>NORRBOTTENS LÄN</t>
        </is>
      </c>
      <c r="E9476" t="inlineStr">
        <is>
          <t>KALIX</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42196-2024</t>
        </is>
      </c>
      <c r="B9477" s="1" t="n">
        <v>45562</v>
      </c>
      <c r="C9477" s="1" t="n">
        <v>45798</v>
      </c>
      <c r="D9477" t="inlineStr">
        <is>
          <t>NORRBOTTENS LÄN</t>
        </is>
      </c>
      <c r="E9477" t="inlineStr">
        <is>
          <t>BODEN</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42252-2024</t>
        </is>
      </c>
      <c r="B9478" s="1" t="n">
        <v>45562</v>
      </c>
      <c r="C9478" s="1" t="n">
        <v>45798</v>
      </c>
      <c r="D9478" t="inlineStr">
        <is>
          <t>NORRBOTTENS LÄN</t>
        </is>
      </c>
      <c r="E9478" t="inlineStr">
        <is>
          <t>ÄLVSBYN</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42256-2024</t>
        </is>
      </c>
      <c r="B9479" s="1" t="n">
        <v>45562</v>
      </c>
      <c r="C9479" s="1" t="n">
        <v>45798</v>
      </c>
      <c r="D9479" t="inlineStr">
        <is>
          <t>NORRBOTTENS LÄN</t>
        </is>
      </c>
      <c r="E9479" t="inlineStr">
        <is>
          <t>LULEÅ</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42260-2024</t>
        </is>
      </c>
      <c r="B9480" s="1" t="n">
        <v>45562</v>
      </c>
      <c r="C9480" s="1" t="n">
        <v>45798</v>
      </c>
      <c r="D9480" t="inlineStr">
        <is>
          <t>NORRBOTTENS LÄN</t>
        </is>
      </c>
      <c r="E9480" t="inlineStr">
        <is>
          <t>KALIX</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42370-2024</t>
        </is>
      </c>
      <c r="B9481" s="1" t="n">
        <v>45564</v>
      </c>
      <c r="C9481" s="1" t="n">
        <v>45798</v>
      </c>
      <c r="D9481" t="inlineStr">
        <is>
          <t>NORRBOTTENS LÄN</t>
        </is>
      </c>
      <c r="E9481" t="inlineStr">
        <is>
          <t>KALIX</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42379-2024</t>
        </is>
      </c>
      <c r="B9482" s="1" t="n">
        <v>45564</v>
      </c>
      <c r="C9482" s="1" t="n">
        <v>45798</v>
      </c>
      <c r="D9482" t="inlineStr">
        <is>
          <t>NORRBOTTENS LÄN</t>
        </is>
      </c>
      <c r="E9482" t="inlineStr">
        <is>
          <t>PITEÅ</t>
        </is>
      </c>
      <c r="G9482" t="n">
        <v>21.6</v>
      </c>
      <c r="H9482" t="n">
        <v>0</v>
      </c>
      <c r="I9482" t="n">
        <v>0</v>
      </c>
      <c r="J9482" t="n">
        <v>0</v>
      </c>
      <c r="K9482" t="n">
        <v>0</v>
      </c>
      <c r="L9482" t="n">
        <v>0</v>
      </c>
      <c r="M9482" t="n">
        <v>0</v>
      </c>
      <c r="N9482" t="n">
        <v>0</v>
      </c>
      <c r="O9482" t="n">
        <v>0</v>
      </c>
      <c r="P9482" t="n">
        <v>0</v>
      </c>
      <c r="Q9482" t="n">
        <v>0</v>
      </c>
      <c r="R9482" s="2" t="inlineStr"/>
    </row>
    <row r="9483" ht="15" customHeight="1">
      <c r="A9483" t="inlineStr">
        <is>
          <t>A 42425-2024</t>
        </is>
      </c>
      <c r="B9483" s="1" t="n">
        <v>45565</v>
      </c>
      <c r="C9483" s="1" t="n">
        <v>45798</v>
      </c>
      <c r="D9483" t="inlineStr">
        <is>
          <t>NORRBOTTENS LÄN</t>
        </is>
      </c>
      <c r="E9483" t="inlineStr">
        <is>
          <t>LULEÅ</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42444-2024</t>
        </is>
      </c>
      <c r="B9484" s="1" t="n">
        <v>45565</v>
      </c>
      <c r="C9484" s="1" t="n">
        <v>45798</v>
      </c>
      <c r="D9484" t="inlineStr">
        <is>
          <t>NORRBOTTENS LÄN</t>
        </is>
      </c>
      <c r="E9484" t="inlineStr">
        <is>
          <t>ÄLVSBYN</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42477-2024</t>
        </is>
      </c>
      <c r="B9485" s="1" t="n">
        <v>45565</v>
      </c>
      <c r="C9485" s="1" t="n">
        <v>45798</v>
      </c>
      <c r="D9485" t="inlineStr">
        <is>
          <t>NORRBOTTENS LÄN</t>
        </is>
      </c>
      <c r="E9485" t="inlineStr">
        <is>
          <t>ÄLVSBYN</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42481-2024</t>
        </is>
      </c>
      <c r="B9486" s="1" t="n">
        <v>45565</v>
      </c>
      <c r="C9486" s="1" t="n">
        <v>45798</v>
      </c>
      <c r="D9486" t="inlineStr">
        <is>
          <t>NORRBOTTENS LÄN</t>
        </is>
      </c>
      <c r="E9486" t="inlineStr">
        <is>
          <t>JOKKMOKK</t>
        </is>
      </c>
      <c r="F9486" t="inlineStr">
        <is>
          <t>SCA</t>
        </is>
      </c>
      <c r="G9486" t="n">
        <v>25.2</v>
      </c>
      <c r="H9486" t="n">
        <v>0</v>
      </c>
      <c r="I9486" t="n">
        <v>0</v>
      </c>
      <c r="J9486" t="n">
        <v>0</v>
      </c>
      <c r="K9486" t="n">
        <v>0</v>
      </c>
      <c r="L9486" t="n">
        <v>0</v>
      </c>
      <c r="M9486" t="n">
        <v>0</v>
      </c>
      <c r="N9486" t="n">
        <v>0</v>
      </c>
      <c r="O9486" t="n">
        <v>0</v>
      </c>
      <c r="P9486" t="n">
        <v>0</v>
      </c>
      <c r="Q9486" t="n">
        <v>0</v>
      </c>
      <c r="R9486" s="2" t="inlineStr"/>
    </row>
    <row r="9487" ht="15" customHeight="1">
      <c r="A9487" t="inlineStr">
        <is>
          <t>A 42485-2024</t>
        </is>
      </c>
      <c r="B9487" s="1" t="n">
        <v>45565</v>
      </c>
      <c r="C9487" s="1" t="n">
        <v>45798</v>
      </c>
      <c r="D9487" t="inlineStr">
        <is>
          <t>NORRBOTTENS LÄN</t>
        </is>
      </c>
      <c r="E9487" t="inlineStr">
        <is>
          <t>LULEÅ</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42499-2024</t>
        </is>
      </c>
      <c r="B9488" s="1" t="n">
        <v>45565</v>
      </c>
      <c r="C9488" s="1" t="n">
        <v>45798</v>
      </c>
      <c r="D9488" t="inlineStr">
        <is>
          <t>NORRBOTTENS LÄN</t>
        </is>
      </c>
      <c r="E9488" t="inlineStr">
        <is>
          <t>ÄLVSBYN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42568-2024</t>
        </is>
      </c>
      <c r="B9489" s="1" t="n">
        <v>45565</v>
      </c>
      <c r="C9489" s="1" t="n">
        <v>45798</v>
      </c>
      <c r="D9489" t="inlineStr">
        <is>
          <t>NORRBOTTENS LÄN</t>
        </is>
      </c>
      <c r="E9489" t="inlineStr">
        <is>
          <t>ÄLVSBYN</t>
        </is>
      </c>
      <c r="F9489" t="inlineStr">
        <is>
          <t>Sveaskog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42426-2024</t>
        </is>
      </c>
      <c r="B9490" s="1" t="n">
        <v>45565</v>
      </c>
      <c r="C9490" s="1" t="n">
        <v>45798</v>
      </c>
      <c r="D9490" t="inlineStr">
        <is>
          <t>NORRBOTTENS LÄN</t>
        </is>
      </c>
      <c r="E9490" t="inlineStr">
        <is>
          <t>LULEÅ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42422-2024</t>
        </is>
      </c>
      <c r="B9491" s="1" t="n">
        <v>45565</v>
      </c>
      <c r="C9491" s="1" t="n">
        <v>45798</v>
      </c>
      <c r="D9491" t="inlineStr">
        <is>
          <t>NORRBOTTENS LÄN</t>
        </is>
      </c>
      <c r="E9491" t="inlineStr">
        <is>
          <t>LULEÅ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42505-2024</t>
        </is>
      </c>
      <c r="B9492" s="1" t="n">
        <v>45565</v>
      </c>
      <c r="C9492" s="1" t="n">
        <v>45798</v>
      </c>
      <c r="D9492" t="inlineStr">
        <is>
          <t>NORRBOTTENS LÄN</t>
        </is>
      </c>
      <c r="E9492" t="inlineStr">
        <is>
          <t>ÄLVSBYN</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42590-2024</t>
        </is>
      </c>
      <c r="B9493" s="1" t="n">
        <v>45565</v>
      </c>
      <c r="C9493" s="1" t="n">
        <v>45798</v>
      </c>
      <c r="D9493" t="inlineStr">
        <is>
          <t>NORRBOTTENS LÄN</t>
        </is>
      </c>
      <c r="E9493" t="inlineStr">
        <is>
          <t>PITEÅ</t>
        </is>
      </c>
      <c r="F9493" t="inlineStr">
        <is>
          <t>Sveaskog</t>
        </is>
      </c>
      <c r="G9493" t="n">
        <v>22.8</v>
      </c>
      <c r="H9493" t="n">
        <v>0</v>
      </c>
      <c r="I9493" t="n">
        <v>0</v>
      </c>
      <c r="J9493" t="n">
        <v>0</v>
      </c>
      <c r="K9493" t="n">
        <v>0</v>
      </c>
      <c r="L9493" t="n">
        <v>0</v>
      </c>
      <c r="M9493" t="n">
        <v>0</v>
      </c>
      <c r="N9493" t="n">
        <v>0</v>
      </c>
      <c r="O9493" t="n">
        <v>0</v>
      </c>
      <c r="P9493" t="n">
        <v>0</v>
      </c>
      <c r="Q9493" t="n">
        <v>0</v>
      </c>
      <c r="R9493" s="2" t="inlineStr"/>
    </row>
    <row r="9494" ht="15" customHeight="1">
      <c r="A9494" t="inlineStr">
        <is>
          <t>A 42574-2024</t>
        </is>
      </c>
      <c r="B9494" s="1" t="n">
        <v>45565</v>
      </c>
      <c r="C9494" s="1" t="n">
        <v>45798</v>
      </c>
      <c r="D9494" t="inlineStr">
        <is>
          <t>NORRBOTTENS LÄN</t>
        </is>
      </c>
      <c r="E9494" t="inlineStr">
        <is>
          <t>ÄLVSBYN</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42483-2024</t>
        </is>
      </c>
      <c r="B9495" s="1" t="n">
        <v>45565</v>
      </c>
      <c r="C9495" s="1" t="n">
        <v>45798</v>
      </c>
      <c r="D9495" t="inlineStr">
        <is>
          <t>NORRBOTTENS LÄN</t>
        </is>
      </c>
      <c r="E9495" t="inlineStr">
        <is>
          <t>ÄLVSBYN</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42558-2024</t>
        </is>
      </c>
      <c r="B9496" s="1" t="n">
        <v>45565</v>
      </c>
      <c r="C9496" s="1" t="n">
        <v>45798</v>
      </c>
      <c r="D9496" t="inlineStr">
        <is>
          <t>NORRBOTTENS LÄN</t>
        </is>
      </c>
      <c r="E9496" t="inlineStr">
        <is>
          <t>ÄLVSBYN</t>
        </is>
      </c>
      <c r="F9496" t="inlineStr">
        <is>
          <t>Sveaskog</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42475-2024</t>
        </is>
      </c>
      <c r="B9497" s="1" t="n">
        <v>45565</v>
      </c>
      <c r="C9497" s="1" t="n">
        <v>45798</v>
      </c>
      <c r="D9497" t="inlineStr">
        <is>
          <t>NORRBOTTENS LÄN</t>
        </is>
      </c>
      <c r="E9497" t="inlineStr">
        <is>
          <t>ÄLVSBYN</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42639-2024</t>
        </is>
      </c>
      <c r="B9498" s="1" t="n">
        <v>45565</v>
      </c>
      <c r="C9498" s="1" t="n">
        <v>45798</v>
      </c>
      <c r="D9498" t="inlineStr">
        <is>
          <t>NORRBOTTENS LÄN</t>
        </is>
      </c>
      <c r="E9498" t="inlineStr">
        <is>
          <t>JOKKMOKK</t>
        </is>
      </c>
      <c r="G9498" t="n">
        <v>34.5</v>
      </c>
      <c r="H9498" t="n">
        <v>0</v>
      </c>
      <c r="I9498" t="n">
        <v>0</v>
      </c>
      <c r="J9498" t="n">
        <v>0</v>
      </c>
      <c r="K9498" t="n">
        <v>0</v>
      </c>
      <c r="L9498" t="n">
        <v>0</v>
      </c>
      <c r="M9498" t="n">
        <v>0</v>
      </c>
      <c r="N9498" t="n">
        <v>0</v>
      </c>
      <c r="O9498" t="n">
        <v>0</v>
      </c>
      <c r="P9498" t="n">
        <v>0</v>
      </c>
      <c r="Q9498" t="n">
        <v>0</v>
      </c>
      <c r="R9498" s="2" t="inlineStr"/>
    </row>
    <row r="9499" ht="15" customHeight="1">
      <c r="A9499" t="inlineStr">
        <is>
          <t>A 42506-2024</t>
        </is>
      </c>
      <c r="B9499" s="1" t="n">
        <v>45565</v>
      </c>
      <c r="C9499" s="1" t="n">
        <v>45798</v>
      </c>
      <c r="D9499" t="inlineStr">
        <is>
          <t>NORRBOTTENS LÄN</t>
        </is>
      </c>
      <c r="E9499" t="inlineStr">
        <is>
          <t>ÄLVSBYN</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42476-2024</t>
        </is>
      </c>
      <c r="B9500" s="1" t="n">
        <v>45565</v>
      </c>
      <c r="C9500" s="1" t="n">
        <v>45798</v>
      </c>
      <c r="D9500" t="inlineStr">
        <is>
          <t>NORRBOTTENS LÄN</t>
        </is>
      </c>
      <c r="E9500" t="inlineStr">
        <is>
          <t>GÄLLIVARE</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42496-2024</t>
        </is>
      </c>
      <c r="B9501" s="1" t="n">
        <v>45565</v>
      </c>
      <c r="C9501" s="1" t="n">
        <v>45798</v>
      </c>
      <c r="D9501" t="inlineStr">
        <is>
          <t>NORRBOTTENS LÄN</t>
        </is>
      </c>
      <c r="E9501" t="inlineStr">
        <is>
          <t>LULEÅ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43062-2024</t>
        </is>
      </c>
      <c r="B9502" s="1" t="n">
        <v>45565</v>
      </c>
      <c r="C9502" s="1" t="n">
        <v>45798</v>
      </c>
      <c r="D9502" t="inlineStr">
        <is>
          <t>NORRBOTTENS LÄN</t>
        </is>
      </c>
      <c r="E9502" t="inlineStr">
        <is>
          <t>GÄLLIVARE</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42857-2024</t>
        </is>
      </c>
      <c r="B9503" s="1" t="n">
        <v>45566</v>
      </c>
      <c r="C9503" s="1" t="n">
        <v>45798</v>
      </c>
      <c r="D9503" t="inlineStr">
        <is>
          <t>NORRBOTTENS LÄN</t>
        </is>
      </c>
      <c r="E9503" t="inlineStr">
        <is>
          <t>PAJALA</t>
        </is>
      </c>
      <c r="G9503" t="n">
        <v>40.1</v>
      </c>
      <c r="H9503" t="n">
        <v>0</v>
      </c>
      <c r="I9503" t="n">
        <v>0</v>
      </c>
      <c r="J9503" t="n">
        <v>0</v>
      </c>
      <c r="K9503" t="n">
        <v>0</v>
      </c>
      <c r="L9503" t="n">
        <v>0</v>
      </c>
      <c r="M9503" t="n">
        <v>0</v>
      </c>
      <c r="N9503" t="n">
        <v>0</v>
      </c>
      <c r="O9503" t="n">
        <v>0</v>
      </c>
      <c r="P9503" t="n">
        <v>0</v>
      </c>
      <c r="Q9503" t="n">
        <v>0</v>
      </c>
      <c r="R9503" s="2" t="inlineStr"/>
    </row>
    <row r="9504" ht="15" customHeight="1">
      <c r="A9504" t="inlineStr">
        <is>
          <t>A 42883-2024</t>
        </is>
      </c>
      <c r="B9504" s="1" t="n">
        <v>45566</v>
      </c>
      <c r="C9504" s="1" t="n">
        <v>45798</v>
      </c>
      <c r="D9504" t="inlineStr">
        <is>
          <t>NORRBOTTENS LÄN</t>
        </is>
      </c>
      <c r="E9504" t="inlineStr">
        <is>
          <t>PAJALA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42843-2024</t>
        </is>
      </c>
      <c r="B9505" s="1" t="n">
        <v>45566</v>
      </c>
      <c r="C9505" s="1" t="n">
        <v>45798</v>
      </c>
      <c r="D9505" t="inlineStr">
        <is>
          <t>NORRBOTTENS LÄN</t>
        </is>
      </c>
      <c r="E9505" t="inlineStr">
        <is>
          <t>ÖVERKALIX</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42723-2024</t>
        </is>
      </c>
      <c r="B9506" s="1" t="n">
        <v>45566</v>
      </c>
      <c r="C9506" s="1" t="n">
        <v>45798</v>
      </c>
      <c r="D9506" t="inlineStr">
        <is>
          <t>NORRBOTTENS LÄN</t>
        </is>
      </c>
      <c r="E9506" t="inlineStr">
        <is>
          <t>ÄLVSBYN</t>
        </is>
      </c>
      <c r="F9506" t="inlineStr">
        <is>
          <t>Övriga Aktiebolag</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42888-2024</t>
        </is>
      </c>
      <c r="B9507" s="1" t="n">
        <v>45566</v>
      </c>
      <c r="C9507" s="1" t="n">
        <v>45798</v>
      </c>
      <c r="D9507" t="inlineStr">
        <is>
          <t>NORRBOTTENS LÄN</t>
        </is>
      </c>
      <c r="E9507" t="inlineStr">
        <is>
          <t>PAJALA</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42882-2024</t>
        </is>
      </c>
      <c r="B9508" s="1" t="n">
        <v>45566</v>
      </c>
      <c r="C9508" s="1" t="n">
        <v>45798</v>
      </c>
      <c r="D9508" t="inlineStr">
        <is>
          <t>NORRBOTTENS LÄN</t>
        </is>
      </c>
      <c r="E9508" t="inlineStr">
        <is>
          <t>PAJALA</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42886-2024</t>
        </is>
      </c>
      <c r="B9509" s="1" t="n">
        <v>45566</v>
      </c>
      <c r="C9509" s="1" t="n">
        <v>45798</v>
      </c>
      <c r="D9509" t="inlineStr">
        <is>
          <t>NORRBOTTENS LÄN</t>
        </is>
      </c>
      <c r="E9509" t="inlineStr">
        <is>
          <t>PAJALA</t>
        </is>
      </c>
      <c r="G9509" t="n">
        <v>26.7</v>
      </c>
      <c r="H9509" t="n">
        <v>0</v>
      </c>
      <c r="I9509" t="n">
        <v>0</v>
      </c>
      <c r="J9509" t="n">
        <v>0</v>
      </c>
      <c r="K9509" t="n">
        <v>0</v>
      </c>
      <c r="L9509" t="n">
        <v>0</v>
      </c>
      <c r="M9509" t="n">
        <v>0</v>
      </c>
      <c r="N9509" t="n">
        <v>0</v>
      </c>
      <c r="O9509" t="n">
        <v>0</v>
      </c>
      <c r="P9509" t="n">
        <v>0</v>
      </c>
      <c r="Q9509" t="n">
        <v>0</v>
      </c>
      <c r="R9509" s="2" t="inlineStr"/>
    </row>
    <row r="9510" ht="15" customHeight="1">
      <c r="A9510" t="inlineStr">
        <is>
          <t>A 42870-2024</t>
        </is>
      </c>
      <c r="B9510" s="1" t="n">
        <v>45566</v>
      </c>
      <c r="C9510" s="1" t="n">
        <v>45798</v>
      </c>
      <c r="D9510" t="inlineStr">
        <is>
          <t>NORRBOTTENS LÄN</t>
        </is>
      </c>
      <c r="E9510" t="inlineStr">
        <is>
          <t>ARVIDSJAUR</t>
        </is>
      </c>
      <c r="F9510" t="inlineStr">
        <is>
          <t>Sveaskog</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42862-2024</t>
        </is>
      </c>
      <c r="B9511" s="1" t="n">
        <v>45566</v>
      </c>
      <c r="C9511" s="1" t="n">
        <v>45798</v>
      </c>
      <c r="D9511" t="inlineStr">
        <is>
          <t>NORRBOTTENS LÄN</t>
        </is>
      </c>
      <c r="E9511" t="inlineStr">
        <is>
          <t>ARVIDSJAUR</t>
        </is>
      </c>
      <c r="F9511" t="inlineStr">
        <is>
          <t>Sveaskog</t>
        </is>
      </c>
      <c r="G9511" t="n">
        <v>26.6</v>
      </c>
      <c r="H9511" t="n">
        <v>0</v>
      </c>
      <c r="I9511" t="n">
        <v>0</v>
      </c>
      <c r="J9511" t="n">
        <v>0</v>
      </c>
      <c r="K9511" t="n">
        <v>0</v>
      </c>
      <c r="L9511" t="n">
        <v>0</v>
      </c>
      <c r="M9511" t="n">
        <v>0</v>
      </c>
      <c r="N9511" t="n">
        <v>0</v>
      </c>
      <c r="O9511" t="n">
        <v>0</v>
      </c>
      <c r="P9511" t="n">
        <v>0</v>
      </c>
      <c r="Q9511" t="n">
        <v>0</v>
      </c>
      <c r="R9511" s="2" t="inlineStr"/>
    </row>
    <row r="9512" ht="15" customHeight="1">
      <c r="A9512" t="inlineStr">
        <is>
          <t>A 42854-2024</t>
        </is>
      </c>
      <c r="B9512" s="1" t="n">
        <v>45566</v>
      </c>
      <c r="C9512" s="1" t="n">
        <v>45798</v>
      </c>
      <c r="D9512" t="inlineStr">
        <is>
          <t>NORRBOTTENS LÄN</t>
        </is>
      </c>
      <c r="E9512" t="inlineStr">
        <is>
          <t>LULEÅ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42842-2024</t>
        </is>
      </c>
      <c r="B9513" s="1" t="n">
        <v>45566</v>
      </c>
      <c r="C9513" s="1" t="n">
        <v>45798</v>
      </c>
      <c r="D9513" t="inlineStr">
        <is>
          <t>NORRBOTTENS LÄN</t>
        </is>
      </c>
      <c r="E9513" t="inlineStr">
        <is>
          <t>ARVIDSJAUR</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42826-2024</t>
        </is>
      </c>
      <c r="B9514" s="1" t="n">
        <v>45566</v>
      </c>
      <c r="C9514" s="1" t="n">
        <v>45798</v>
      </c>
      <c r="D9514" t="inlineStr">
        <is>
          <t>NORRBOTTENS LÄN</t>
        </is>
      </c>
      <c r="E9514" t="inlineStr">
        <is>
          <t>KALIX</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42822-2024</t>
        </is>
      </c>
      <c r="B9515" s="1" t="n">
        <v>45566</v>
      </c>
      <c r="C9515" s="1" t="n">
        <v>45798</v>
      </c>
      <c r="D9515" t="inlineStr">
        <is>
          <t>NORRBOTTENS LÄN</t>
        </is>
      </c>
      <c r="E9515" t="inlineStr">
        <is>
          <t>LULEÅ</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42645-2024</t>
        </is>
      </c>
      <c r="B9516" s="1" t="n">
        <v>45566</v>
      </c>
      <c r="C9516" s="1" t="n">
        <v>45798</v>
      </c>
      <c r="D9516" t="inlineStr">
        <is>
          <t>NORRBOTTENS LÄN</t>
        </is>
      </c>
      <c r="E9516" t="inlineStr">
        <is>
          <t>PITEÅ</t>
        </is>
      </c>
      <c r="F9516" t="inlineStr">
        <is>
          <t>Sveaskog</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43098-2024</t>
        </is>
      </c>
      <c r="B9517" s="1" t="n">
        <v>45567</v>
      </c>
      <c r="C9517" s="1" t="n">
        <v>45798</v>
      </c>
      <c r="D9517" t="inlineStr">
        <is>
          <t>NORRBOTTENS LÄN</t>
        </is>
      </c>
      <c r="E9517" t="inlineStr">
        <is>
          <t>KALIX</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43115-2024</t>
        </is>
      </c>
      <c r="B9518" s="1" t="n">
        <v>45567</v>
      </c>
      <c r="C9518" s="1" t="n">
        <v>45798</v>
      </c>
      <c r="D9518" t="inlineStr">
        <is>
          <t>NORRBOTTENS LÄN</t>
        </is>
      </c>
      <c r="E9518" t="inlineStr">
        <is>
          <t>PITEÅ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43213-2024</t>
        </is>
      </c>
      <c r="B9519" s="1" t="n">
        <v>45567</v>
      </c>
      <c r="C9519" s="1" t="n">
        <v>45798</v>
      </c>
      <c r="D9519" t="inlineStr">
        <is>
          <t>NORRBOTTENS LÄN</t>
        </is>
      </c>
      <c r="E9519" t="inlineStr">
        <is>
          <t>GÄLLIVARE</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42988-2024</t>
        </is>
      </c>
      <c r="B9520" s="1" t="n">
        <v>45567</v>
      </c>
      <c r="C9520" s="1" t="n">
        <v>45798</v>
      </c>
      <c r="D9520" t="inlineStr">
        <is>
          <t>NORRBOTTENS LÄN</t>
        </is>
      </c>
      <c r="E9520" t="inlineStr">
        <is>
          <t>ÖVERKALIX</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43054-2024</t>
        </is>
      </c>
      <c r="B9521" s="1" t="n">
        <v>45567</v>
      </c>
      <c r="C9521" s="1" t="n">
        <v>45798</v>
      </c>
      <c r="D9521" t="inlineStr">
        <is>
          <t>NORRBOTTENS LÄN</t>
        </is>
      </c>
      <c r="E9521" t="inlineStr">
        <is>
          <t>ARVIDSJAUR</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43018-2024</t>
        </is>
      </c>
      <c r="B9522" s="1" t="n">
        <v>45567</v>
      </c>
      <c r="C9522" s="1" t="n">
        <v>45798</v>
      </c>
      <c r="D9522" t="inlineStr">
        <is>
          <t>NORRBOTTENS LÄN</t>
        </is>
      </c>
      <c r="E9522" t="inlineStr">
        <is>
          <t>PITEÅ</t>
        </is>
      </c>
      <c r="F9522" t="inlineStr">
        <is>
          <t>Sveaskog</t>
        </is>
      </c>
      <c r="G9522" t="n">
        <v>12.1</v>
      </c>
      <c r="H9522" t="n">
        <v>0</v>
      </c>
      <c r="I9522" t="n">
        <v>0</v>
      </c>
      <c r="J9522" t="n">
        <v>0</v>
      </c>
      <c r="K9522" t="n">
        <v>0</v>
      </c>
      <c r="L9522" t="n">
        <v>0</v>
      </c>
      <c r="M9522" t="n">
        <v>0</v>
      </c>
      <c r="N9522" t="n">
        <v>0</v>
      </c>
      <c r="O9522" t="n">
        <v>0</v>
      </c>
      <c r="P9522" t="n">
        <v>0</v>
      </c>
      <c r="Q9522" t="n">
        <v>0</v>
      </c>
      <c r="R9522" s="2" t="inlineStr"/>
    </row>
    <row r="9523" ht="15" customHeight="1">
      <c r="A9523" t="inlineStr">
        <is>
          <t>A 42967-2024</t>
        </is>
      </c>
      <c r="B9523" s="1" t="n">
        <v>45567</v>
      </c>
      <c r="C9523" s="1" t="n">
        <v>45798</v>
      </c>
      <c r="D9523" t="inlineStr">
        <is>
          <t>NORRBOTTENS LÄN</t>
        </is>
      </c>
      <c r="E9523" t="inlineStr">
        <is>
          <t>PITEÅ</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42955-2024</t>
        </is>
      </c>
      <c r="B9524" s="1" t="n">
        <v>45567</v>
      </c>
      <c r="C9524" s="1" t="n">
        <v>45798</v>
      </c>
      <c r="D9524" t="inlineStr">
        <is>
          <t>NORRBOTTENS LÄN</t>
        </is>
      </c>
      <c r="E9524" t="inlineStr">
        <is>
          <t>ÄLVSBYN</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43112-2024</t>
        </is>
      </c>
      <c r="B9525" s="1" t="n">
        <v>45567</v>
      </c>
      <c r="C9525" s="1" t="n">
        <v>45798</v>
      </c>
      <c r="D9525" t="inlineStr">
        <is>
          <t>NORRBOTTENS LÄN</t>
        </is>
      </c>
      <c r="E9525" t="inlineStr">
        <is>
          <t>PITEÅ</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43019-2024</t>
        </is>
      </c>
      <c r="B9526" s="1" t="n">
        <v>45567</v>
      </c>
      <c r="C9526" s="1" t="n">
        <v>45798</v>
      </c>
      <c r="D9526" t="inlineStr">
        <is>
          <t>NORRBOTTENS LÄN</t>
        </is>
      </c>
      <c r="E9526" t="inlineStr">
        <is>
          <t>JOKKMOKK</t>
        </is>
      </c>
      <c r="F9526" t="inlineStr">
        <is>
          <t>Sveaskog</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43472-2024</t>
        </is>
      </c>
      <c r="B9527" s="1" t="n">
        <v>45568</v>
      </c>
      <c r="C9527" s="1" t="n">
        <v>45798</v>
      </c>
      <c r="D9527" t="inlineStr">
        <is>
          <t>NORRBOTTENS LÄN</t>
        </is>
      </c>
      <c r="E9527" t="inlineStr">
        <is>
          <t>PAJALA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43449-2024</t>
        </is>
      </c>
      <c r="B9528" s="1" t="n">
        <v>45568</v>
      </c>
      <c r="C9528" s="1" t="n">
        <v>45798</v>
      </c>
      <c r="D9528" t="inlineStr">
        <is>
          <t>NORRBOTTENS LÄN</t>
        </is>
      </c>
      <c r="E9528" t="inlineStr">
        <is>
          <t>PAJALA</t>
        </is>
      </c>
      <c r="F9528" t="inlineStr">
        <is>
          <t>Sveaskog</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43445-2024</t>
        </is>
      </c>
      <c r="B9529" s="1" t="n">
        <v>45568</v>
      </c>
      <c r="C9529" s="1" t="n">
        <v>45798</v>
      </c>
      <c r="D9529" t="inlineStr">
        <is>
          <t>NORRBOTTENS LÄN</t>
        </is>
      </c>
      <c r="E9529" t="inlineStr">
        <is>
          <t>PAJALA</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43428-2024</t>
        </is>
      </c>
      <c r="B9530" s="1" t="n">
        <v>45568</v>
      </c>
      <c r="C9530" s="1" t="n">
        <v>45798</v>
      </c>
      <c r="D9530" t="inlineStr">
        <is>
          <t>NORRBOTTENS LÄN</t>
        </is>
      </c>
      <c r="E9530" t="inlineStr">
        <is>
          <t>PITEÅ</t>
        </is>
      </c>
      <c r="F9530" t="inlineStr">
        <is>
          <t>Sveaskog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43410-2024</t>
        </is>
      </c>
      <c r="B9531" s="1" t="n">
        <v>45568</v>
      </c>
      <c r="C9531" s="1" t="n">
        <v>45798</v>
      </c>
      <c r="D9531" t="inlineStr">
        <is>
          <t>NORRBOTTENS LÄN</t>
        </is>
      </c>
      <c r="E9531" t="inlineStr">
        <is>
          <t>BODEN</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43383-2024</t>
        </is>
      </c>
      <c r="B9532" s="1" t="n">
        <v>45568</v>
      </c>
      <c r="C9532" s="1" t="n">
        <v>45798</v>
      </c>
      <c r="D9532" t="inlineStr">
        <is>
          <t>NORRBOTTENS LÄN</t>
        </is>
      </c>
      <c r="E9532" t="inlineStr">
        <is>
          <t>PITEÅ</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43334-2024</t>
        </is>
      </c>
      <c r="B9533" s="1" t="n">
        <v>45568</v>
      </c>
      <c r="C9533" s="1" t="n">
        <v>45798</v>
      </c>
      <c r="D9533" t="inlineStr">
        <is>
          <t>NORRBOTTENS LÄN</t>
        </is>
      </c>
      <c r="E9533" t="inlineStr">
        <is>
          <t>ÖVERKALIX</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43673-2024</t>
        </is>
      </c>
      <c r="B9534" s="1" t="n">
        <v>45569</v>
      </c>
      <c r="C9534" s="1" t="n">
        <v>45798</v>
      </c>
      <c r="D9534" t="inlineStr">
        <is>
          <t>NORRBOTTENS LÄN</t>
        </is>
      </c>
      <c r="E9534" t="inlineStr">
        <is>
          <t>KALIX</t>
        </is>
      </c>
      <c r="G9534" t="n">
        <v>8.300000000000001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43721-2024</t>
        </is>
      </c>
      <c r="B9535" s="1" t="n">
        <v>45569</v>
      </c>
      <c r="C9535" s="1" t="n">
        <v>45798</v>
      </c>
      <c r="D9535" t="inlineStr">
        <is>
          <t>NORRBOTTENS LÄN</t>
        </is>
      </c>
      <c r="E9535" t="inlineStr">
        <is>
          <t>ÖVERKALIX</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43733-2024</t>
        </is>
      </c>
      <c r="B9536" s="1" t="n">
        <v>45569</v>
      </c>
      <c r="C9536" s="1" t="n">
        <v>45798</v>
      </c>
      <c r="D9536" t="inlineStr">
        <is>
          <t>NORRBOTTENS LÄN</t>
        </is>
      </c>
      <c r="E9536" t="inlineStr">
        <is>
          <t>LULEÅ</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43669-2024</t>
        </is>
      </c>
      <c r="B9537" s="1" t="n">
        <v>45569</v>
      </c>
      <c r="C9537" s="1" t="n">
        <v>45798</v>
      </c>
      <c r="D9537" t="inlineStr">
        <is>
          <t>NORRBOTTENS LÄN</t>
        </is>
      </c>
      <c r="E9537" t="inlineStr">
        <is>
          <t>KALIX</t>
        </is>
      </c>
      <c r="G9537" t="n">
        <v>14.5</v>
      </c>
      <c r="H9537" t="n">
        <v>0</v>
      </c>
      <c r="I9537" t="n">
        <v>0</v>
      </c>
      <c r="J9537" t="n">
        <v>0</v>
      </c>
      <c r="K9537" t="n">
        <v>0</v>
      </c>
      <c r="L9537" t="n">
        <v>0</v>
      </c>
      <c r="M9537" t="n">
        <v>0</v>
      </c>
      <c r="N9537" t="n">
        <v>0</v>
      </c>
      <c r="O9537" t="n">
        <v>0</v>
      </c>
      <c r="P9537" t="n">
        <v>0</v>
      </c>
      <c r="Q9537" t="n">
        <v>0</v>
      </c>
      <c r="R9537" s="2" t="inlineStr"/>
    </row>
    <row r="9538" ht="15" customHeight="1">
      <c r="A9538" t="inlineStr">
        <is>
          <t>A 43678-2024</t>
        </is>
      </c>
      <c r="B9538" s="1" t="n">
        <v>45569</v>
      </c>
      <c r="C9538" s="1" t="n">
        <v>45798</v>
      </c>
      <c r="D9538" t="inlineStr">
        <is>
          <t>NORRBOTTENS LÄN</t>
        </is>
      </c>
      <c r="E9538" t="inlineStr">
        <is>
          <t>KALIX</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43719-2024</t>
        </is>
      </c>
      <c r="B9539" s="1" t="n">
        <v>45569</v>
      </c>
      <c r="C9539" s="1" t="n">
        <v>45798</v>
      </c>
      <c r="D9539" t="inlineStr">
        <is>
          <t>NORRBOTTENS LÄN</t>
        </is>
      </c>
      <c r="E9539" t="inlineStr">
        <is>
          <t>ÖVERKALIX</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43775-2024</t>
        </is>
      </c>
      <c r="B9540" s="1" t="n">
        <v>45570</v>
      </c>
      <c r="C9540" s="1" t="n">
        <v>45798</v>
      </c>
      <c r="D9540" t="inlineStr">
        <is>
          <t>NORRBOTTENS LÄN</t>
        </is>
      </c>
      <c r="E9540" t="inlineStr">
        <is>
          <t>ÄLVSBYN</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43776-2024</t>
        </is>
      </c>
      <c r="B9541" s="1" t="n">
        <v>45570</v>
      </c>
      <c r="C9541" s="1" t="n">
        <v>45798</v>
      </c>
      <c r="D9541" t="inlineStr">
        <is>
          <t>NORRBOTTENS LÄN</t>
        </is>
      </c>
      <c r="E9541" t="inlineStr">
        <is>
          <t>ÄLVSBYN</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43827-2024</t>
        </is>
      </c>
      <c r="B9542" s="1" t="n">
        <v>45572</v>
      </c>
      <c r="C9542" s="1" t="n">
        <v>45798</v>
      </c>
      <c r="D9542" t="inlineStr">
        <is>
          <t>NORRBOTTENS LÄN</t>
        </is>
      </c>
      <c r="E9542" t="inlineStr">
        <is>
          <t>PITEÅ</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43971-2024</t>
        </is>
      </c>
      <c r="B9543" s="1" t="n">
        <v>45572</v>
      </c>
      <c r="C9543" s="1" t="n">
        <v>45798</v>
      </c>
      <c r="D9543" t="inlineStr">
        <is>
          <t>NORRBOTTENS LÄN</t>
        </is>
      </c>
      <c r="E9543" t="inlineStr">
        <is>
          <t>PITEÅ</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44121-2024</t>
        </is>
      </c>
      <c r="B9544" s="1" t="n">
        <v>45572</v>
      </c>
      <c r="C9544" s="1" t="n">
        <v>45798</v>
      </c>
      <c r="D9544" t="inlineStr">
        <is>
          <t>NORRBOTTENS LÄN</t>
        </is>
      </c>
      <c r="E9544" t="inlineStr">
        <is>
          <t>PAJALA</t>
        </is>
      </c>
      <c r="F9544" t="inlineStr">
        <is>
          <t>Sveaskog</t>
        </is>
      </c>
      <c r="G9544" t="n">
        <v>14.1</v>
      </c>
      <c r="H9544" t="n">
        <v>0</v>
      </c>
      <c r="I9544" t="n">
        <v>0</v>
      </c>
      <c r="J9544" t="n">
        <v>0</v>
      </c>
      <c r="K9544" t="n">
        <v>0</v>
      </c>
      <c r="L9544" t="n">
        <v>0</v>
      </c>
      <c r="M9544" t="n">
        <v>0</v>
      </c>
      <c r="N9544" t="n">
        <v>0</v>
      </c>
      <c r="O9544" t="n">
        <v>0</v>
      </c>
      <c r="P9544" t="n">
        <v>0</v>
      </c>
      <c r="Q9544" t="n">
        <v>0</v>
      </c>
      <c r="R9544" s="2" t="inlineStr"/>
    </row>
    <row r="9545" ht="15" customHeight="1">
      <c r="A9545" t="inlineStr">
        <is>
          <t>A 44145-2024</t>
        </is>
      </c>
      <c r="B9545" s="1" t="n">
        <v>45572</v>
      </c>
      <c r="C9545" s="1" t="n">
        <v>45798</v>
      </c>
      <c r="D9545" t="inlineStr">
        <is>
          <t>NORRBOTTENS LÄN</t>
        </is>
      </c>
      <c r="E9545" t="inlineStr">
        <is>
          <t>JOKKMOKK</t>
        </is>
      </c>
      <c r="F9545" t="inlineStr">
        <is>
          <t>Sveaskog</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44153-2024</t>
        </is>
      </c>
      <c r="B9546" s="1" t="n">
        <v>45572</v>
      </c>
      <c r="C9546" s="1" t="n">
        <v>45798</v>
      </c>
      <c r="D9546" t="inlineStr">
        <is>
          <t>NORRBOTTENS LÄN</t>
        </is>
      </c>
      <c r="E9546" t="inlineStr">
        <is>
          <t>BODEN</t>
        </is>
      </c>
      <c r="F9546" t="inlineStr">
        <is>
          <t>Övriga Aktiebolag</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43941-2024</t>
        </is>
      </c>
      <c r="B9547" s="1" t="n">
        <v>45572</v>
      </c>
      <c r="C9547" s="1" t="n">
        <v>45798</v>
      </c>
      <c r="D9547" t="inlineStr">
        <is>
          <t>NORRBOTTENS LÄN</t>
        </is>
      </c>
      <c r="E9547" t="inlineStr">
        <is>
          <t>BODEN</t>
        </is>
      </c>
      <c r="F9547" t="inlineStr">
        <is>
          <t>Övriga Aktiebolag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44012-2024</t>
        </is>
      </c>
      <c r="B9548" s="1" t="n">
        <v>45572</v>
      </c>
      <c r="C9548" s="1" t="n">
        <v>45798</v>
      </c>
      <c r="D9548" t="inlineStr">
        <is>
          <t>NORRBOTTENS LÄN</t>
        </is>
      </c>
      <c r="E9548" t="inlineStr">
        <is>
          <t>HAPARANDA</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44061-2024</t>
        </is>
      </c>
      <c r="B9549" s="1" t="n">
        <v>45572</v>
      </c>
      <c r="C9549" s="1" t="n">
        <v>45798</v>
      </c>
      <c r="D9549" t="inlineStr">
        <is>
          <t>NORRBOTTENS LÄN</t>
        </is>
      </c>
      <c r="E9549" t="inlineStr">
        <is>
          <t>ARVIDSJAUR</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44171-2024</t>
        </is>
      </c>
      <c r="B9550" s="1" t="n">
        <v>45572</v>
      </c>
      <c r="C9550" s="1" t="n">
        <v>45798</v>
      </c>
      <c r="D9550" t="inlineStr">
        <is>
          <t>NORRBOTTENS LÄN</t>
        </is>
      </c>
      <c r="E9550" t="inlineStr">
        <is>
          <t>PITEÅ</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44173-2024</t>
        </is>
      </c>
      <c r="B9551" s="1" t="n">
        <v>45572</v>
      </c>
      <c r="C9551" s="1" t="n">
        <v>45798</v>
      </c>
      <c r="D9551" t="inlineStr">
        <is>
          <t>NORRBOTTENS LÄN</t>
        </is>
      </c>
      <c r="E9551" t="inlineStr">
        <is>
          <t>PITEÅ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44005-2024</t>
        </is>
      </c>
      <c r="B9552" s="1" t="n">
        <v>45572</v>
      </c>
      <c r="C9552" s="1" t="n">
        <v>45798</v>
      </c>
      <c r="D9552" t="inlineStr">
        <is>
          <t>NORRBOTTENS LÄN</t>
        </is>
      </c>
      <c r="E9552" t="inlineStr">
        <is>
          <t>LULEÅ</t>
        </is>
      </c>
      <c r="G9552" t="n">
        <v>14.8</v>
      </c>
      <c r="H9552" t="n">
        <v>0</v>
      </c>
      <c r="I9552" t="n">
        <v>0</v>
      </c>
      <c r="J9552" t="n">
        <v>0</v>
      </c>
      <c r="K9552" t="n">
        <v>0</v>
      </c>
      <c r="L9552" t="n">
        <v>0</v>
      </c>
      <c r="M9552" t="n">
        <v>0</v>
      </c>
      <c r="N9552" t="n">
        <v>0</v>
      </c>
      <c r="O9552" t="n">
        <v>0</v>
      </c>
      <c r="P9552" t="n">
        <v>0</v>
      </c>
      <c r="Q9552" t="n">
        <v>0</v>
      </c>
      <c r="R9552" s="2" t="inlineStr"/>
    </row>
    <row r="9553" ht="15" customHeight="1">
      <c r="A9553" t="inlineStr">
        <is>
          <t>A 43997-2024</t>
        </is>
      </c>
      <c r="B9553" s="1" t="n">
        <v>45572</v>
      </c>
      <c r="C9553" s="1" t="n">
        <v>45798</v>
      </c>
      <c r="D9553" t="inlineStr">
        <is>
          <t>NORRBOTTENS LÄN</t>
        </is>
      </c>
      <c r="E9553" t="inlineStr">
        <is>
          <t>JOKKMOKK</t>
        </is>
      </c>
      <c r="F9553" t="inlineStr">
        <is>
          <t>Sveaskog</t>
        </is>
      </c>
      <c r="G9553" t="n">
        <v>17.4</v>
      </c>
      <c r="H9553" t="n">
        <v>0</v>
      </c>
      <c r="I9553" t="n">
        <v>0</v>
      </c>
      <c r="J9553" t="n">
        <v>0</v>
      </c>
      <c r="K9553" t="n">
        <v>0</v>
      </c>
      <c r="L9553" t="n">
        <v>0</v>
      </c>
      <c r="M9553" t="n">
        <v>0</v>
      </c>
      <c r="N9553" t="n">
        <v>0</v>
      </c>
      <c r="O9553" t="n">
        <v>0</v>
      </c>
      <c r="P9553" t="n">
        <v>0</v>
      </c>
      <c r="Q9553" t="n">
        <v>0</v>
      </c>
      <c r="R9553" s="2" t="inlineStr"/>
    </row>
    <row r="9554" ht="15" customHeight="1">
      <c r="A9554" t="inlineStr">
        <is>
          <t>A 44151-2024</t>
        </is>
      </c>
      <c r="B9554" s="1" t="n">
        <v>45572</v>
      </c>
      <c r="C9554" s="1" t="n">
        <v>45798</v>
      </c>
      <c r="D9554" t="inlineStr">
        <is>
          <t>NORRBOTTENS LÄN</t>
        </is>
      </c>
      <c r="E9554" t="inlineStr">
        <is>
          <t>JOKKMOKK</t>
        </is>
      </c>
      <c r="F9554" t="inlineStr">
        <is>
          <t>Sveaskog</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43920-2024</t>
        </is>
      </c>
      <c r="B9555" s="1" t="n">
        <v>45572</v>
      </c>
      <c r="C9555" s="1" t="n">
        <v>45798</v>
      </c>
      <c r="D9555" t="inlineStr">
        <is>
          <t>NORRBOTTENS LÄN</t>
        </is>
      </c>
      <c r="E9555" t="inlineStr">
        <is>
          <t>BODEN</t>
        </is>
      </c>
      <c r="F9555" t="inlineStr">
        <is>
          <t>Övriga Aktiebolag</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44110-2024</t>
        </is>
      </c>
      <c r="B9556" s="1" t="n">
        <v>45572</v>
      </c>
      <c r="C9556" s="1" t="n">
        <v>45798</v>
      </c>
      <c r="D9556" t="inlineStr">
        <is>
          <t>NORRBOTTENS LÄN</t>
        </is>
      </c>
      <c r="E9556" t="inlineStr">
        <is>
          <t>PAJALA</t>
        </is>
      </c>
      <c r="F9556" t="inlineStr">
        <is>
          <t>Sveaskog</t>
        </is>
      </c>
      <c r="G9556" t="n">
        <v>8.300000000000001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44150-2024</t>
        </is>
      </c>
      <c r="B9557" s="1" t="n">
        <v>45572</v>
      </c>
      <c r="C9557" s="1" t="n">
        <v>45798</v>
      </c>
      <c r="D9557" t="inlineStr">
        <is>
          <t>NORRBOTTENS LÄN</t>
        </is>
      </c>
      <c r="E9557" t="inlineStr">
        <is>
          <t>JOKKMOKK</t>
        </is>
      </c>
      <c r="F9557" t="inlineStr">
        <is>
          <t>Sveaskog</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44176-2024</t>
        </is>
      </c>
      <c r="B9558" s="1" t="n">
        <v>45572</v>
      </c>
      <c r="C9558" s="1" t="n">
        <v>45798</v>
      </c>
      <c r="D9558" t="inlineStr">
        <is>
          <t>NORRBOTTENS LÄN</t>
        </is>
      </c>
      <c r="E9558" t="inlineStr">
        <is>
          <t>PITEÅ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43969-2024</t>
        </is>
      </c>
      <c r="B9559" s="1" t="n">
        <v>45572</v>
      </c>
      <c r="C9559" s="1" t="n">
        <v>45798</v>
      </c>
      <c r="D9559" t="inlineStr">
        <is>
          <t>NORRBOTTENS LÄN</t>
        </is>
      </c>
      <c r="E9559" t="inlineStr">
        <is>
          <t>BODEN</t>
        </is>
      </c>
      <c r="F9559" t="inlineStr">
        <is>
          <t>Sveaskog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44120-2024</t>
        </is>
      </c>
      <c r="B9560" s="1" t="n">
        <v>45572</v>
      </c>
      <c r="C9560" s="1" t="n">
        <v>45798</v>
      </c>
      <c r="D9560" t="inlineStr">
        <is>
          <t>NORRBOTTENS LÄN</t>
        </is>
      </c>
      <c r="E9560" t="inlineStr">
        <is>
          <t>PITEÅ</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44136-2024</t>
        </is>
      </c>
      <c r="B9561" s="1" t="n">
        <v>45572</v>
      </c>
      <c r="C9561" s="1" t="n">
        <v>45798</v>
      </c>
      <c r="D9561" t="inlineStr">
        <is>
          <t>NORRBOTTENS LÄN</t>
        </is>
      </c>
      <c r="E9561" t="inlineStr">
        <is>
          <t>PITEÅ</t>
        </is>
      </c>
      <c r="G9561" t="n">
        <v>12.7</v>
      </c>
      <c r="H9561" t="n">
        <v>0</v>
      </c>
      <c r="I9561" t="n">
        <v>0</v>
      </c>
      <c r="J9561" t="n">
        <v>0</v>
      </c>
      <c r="K9561" t="n">
        <v>0</v>
      </c>
      <c r="L9561" t="n">
        <v>0</v>
      </c>
      <c r="M9561" t="n">
        <v>0</v>
      </c>
      <c r="N9561" t="n">
        <v>0</v>
      </c>
      <c r="O9561" t="n">
        <v>0</v>
      </c>
      <c r="P9561" t="n">
        <v>0</v>
      </c>
      <c r="Q9561" t="n">
        <v>0</v>
      </c>
      <c r="R9561" s="2" t="inlineStr"/>
    </row>
    <row r="9562" ht="15" customHeight="1">
      <c r="A9562" t="inlineStr">
        <is>
          <t>A 44174-2024</t>
        </is>
      </c>
      <c r="B9562" s="1" t="n">
        <v>45572</v>
      </c>
      <c r="C9562" s="1" t="n">
        <v>45798</v>
      </c>
      <c r="D9562" t="inlineStr">
        <is>
          <t>NORRBOTTENS LÄN</t>
        </is>
      </c>
      <c r="E9562" t="inlineStr">
        <is>
          <t>PITEÅ</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44365-2024</t>
        </is>
      </c>
      <c r="B9563" s="1" t="n">
        <v>45573</v>
      </c>
      <c r="C9563" s="1" t="n">
        <v>45798</v>
      </c>
      <c r="D9563" t="inlineStr">
        <is>
          <t>NORRBOTTENS LÄN</t>
        </is>
      </c>
      <c r="E9563" t="inlineStr">
        <is>
          <t>ÄLVSBYN</t>
        </is>
      </c>
      <c r="F9563" t="inlineStr">
        <is>
          <t>Sveaskog</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44308-2024</t>
        </is>
      </c>
      <c r="B9564" s="1" t="n">
        <v>45573</v>
      </c>
      <c r="C9564" s="1" t="n">
        <v>45798</v>
      </c>
      <c r="D9564" t="inlineStr">
        <is>
          <t>NORRBOTTENS LÄN</t>
        </is>
      </c>
      <c r="E9564" t="inlineStr">
        <is>
          <t>GÄLLIVARE</t>
        </is>
      </c>
      <c r="F9564" t="inlineStr">
        <is>
          <t>Sveaskog</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44348-2024</t>
        </is>
      </c>
      <c r="B9565" s="1" t="n">
        <v>45573</v>
      </c>
      <c r="C9565" s="1" t="n">
        <v>45798</v>
      </c>
      <c r="D9565" t="inlineStr">
        <is>
          <t>NORRBOTTENS LÄN</t>
        </is>
      </c>
      <c r="E9565" t="inlineStr">
        <is>
          <t>ÄLVSBYN</t>
        </is>
      </c>
      <c r="F9565" t="inlineStr">
        <is>
          <t>Sveaskog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44213-2024</t>
        </is>
      </c>
      <c r="B9566" s="1" t="n">
        <v>45573</v>
      </c>
      <c r="C9566" s="1" t="n">
        <v>45798</v>
      </c>
      <c r="D9566" t="inlineStr">
        <is>
          <t>NORRBOTTENS LÄN</t>
        </is>
      </c>
      <c r="E9566" t="inlineStr">
        <is>
          <t>ÄLVSBYN</t>
        </is>
      </c>
      <c r="G9566" t="n">
        <v>13.5</v>
      </c>
      <c r="H9566" t="n">
        <v>0</v>
      </c>
      <c r="I9566" t="n">
        <v>0</v>
      </c>
      <c r="J9566" t="n">
        <v>0</v>
      </c>
      <c r="K9566" t="n">
        <v>0</v>
      </c>
      <c r="L9566" t="n">
        <v>0</v>
      </c>
      <c r="M9566" t="n">
        <v>0</v>
      </c>
      <c r="N9566" t="n">
        <v>0</v>
      </c>
      <c r="O9566" t="n">
        <v>0</v>
      </c>
      <c r="P9566" t="n">
        <v>0</v>
      </c>
      <c r="Q9566" t="n">
        <v>0</v>
      </c>
      <c r="R9566" s="2" t="inlineStr"/>
    </row>
    <row r="9567" ht="15" customHeight="1">
      <c r="A9567" t="inlineStr">
        <is>
          <t>A 44324-2024</t>
        </is>
      </c>
      <c r="B9567" s="1" t="n">
        <v>45573</v>
      </c>
      <c r="C9567" s="1" t="n">
        <v>45798</v>
      </c>
      <c r="D9567" t="inlineStr">
        <is>
          <t>NORRBOTTENS LÄN</t>
        </is>
      </c>
      <c r="E9567" t="inlineStr">
        <is>
          <t>LULEÅ</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44328-2024</t>
        </is>
      </c>
      <c r="B9568" s="1" t="n">
        <v>45573</v>
      </c>
      <c r="C9568" s="1" t="n">
        <v>45798</v>
      </c>
      <c r="D9568" t="inlineStr">
        <is>
          <t>NORRBOTTENS LÄN</t>
        </is>
      </c>
      <c r="E9568" t="inlineStr">
        <is>
          <t>GÄLLIVARE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44238-2024</t>
        </is>
      </c>
      <c r="B9569" s="1" t="n">
        <v>45573</v>
      </c>
      <c r="C9569" s="1" t="n">
        <v>45798</v>
      </c>
      <c r="D9569" t="inlineStr">
        <is>
          <t>NORRBOTTENS LÄN</t>
        </is>
      </c>
      <c r="E9569" t="inlineStr">
        <is>
          <t>ÖVERTORNEÅ</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44340-2024</t>
        </is>
      </c>
      <c r="B9570" s="1" t="n">
        <v>45573</v>
      </c>
      <c r="C9570" s="1" t="n">
        <v>45798</v>
      </c>
      <c r="D9570" t="inlineStr">
        <is>
          <t>NORRBOTTENS LÄN</t>
        </is>
      </c>
      <c r="E9570" t="inlineStr">
        <is>
          <t>GÄLLIVARE</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44392-2024</t>
        </is>
      </c>
      <c r="B9571" s="1" t="n">
        <v>45573</v>
      </c>
      <c r="C9571" s="1" t="n">
        <v>45798</v>
      </c>
      <c r="D9571" t="inlineStr">
        <is>
          <t>NORRBOTTENS LÄN</t>
        </is>
      </c>
      <c r="E9571" t="inlineStr">
        <is>
          <t>GÄLLIVARE</t>
        </is>
      </c>
      <c r="F9571" t="inlineStr">
        <is>
          <t>Allmännings- och besparingsskogar</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44197-2024</t>
        </is>
      </c>
      <c r="B9572" s="1" t="n">
        <v>45573</v>
      </c>
      <c r="C9572" s="1" t="n">
        <v>45798</v>
      </c>
      <c r="D9572" t="inlineStr">
        <is>
          <t>NORRBOTTENS LÄN</t>
        </is>
      </c>
      <c r="E9572" t="inlineStr">
        <is>
          <t>KALIX</t>
        </is>
      </c>
      <c r="F9572" t="inlineStr">
        <is>
          <t>Sveaskog</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44415-2024</t>
        </is>
      </c>
      <c r="B9573" s="1" t="n">
        <v>45573</v>
      </c>
      <c r="C9573" s="1" t="n">
        <v>45798</v>
      </c>
      <c r="D9573" t="inlineStr">
        <is>
          <t>NORRBOTTENS LÄN</t>
        </is>
      </c>
      <c r="E9573" t="inlineStr">
        <is>
          <t>PITEÅ</t>
        </is>
      </c>
      <c r="F9573" t="inlineStr">
        <is>
          <t>Sveaskog</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44411-2024</t>
        </is>
      </c>
      <c r="B9574" s="1" t="n">
        <v>45573</v>
      </c>
      <c r="C9574" s="1" t="n">
        <v>45798</v>
      </c>
      <c r="D9574" t="inlineStr">
        <is>
          <t>NORRBOTTENS LÄN</t>
        </is>
      </c>
      <c r="E9574" t="inlineStr">
        <is>
          <t>KALIX</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44403-2024</t>
        </is>
      </c>
      <c r="B9575" s="1" t="n">
        <v>45573</v>
      </c>
      <c r="C9575" s="1" t="n">
        <v>45798</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44401-2024</t>
        </is>
      </c>
      <c r="B9576" s="1" t="n">
        <v>45573</v>
      </c>
      <c r="C9576" s="1" t="n">
        <v>45798</v>
      </c>
      <c r="D9576" t="inlineStr">
        <is>
          <t>NORRBOTTENS LÄN</t>
        </is>
      </c>
      <c r="E9576" t="inlineStr">
        <is>
          <t>PITEÅ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44260-2024</t>
        </is>
      </c>
      <c r="B9577" s="1" t="n">
        <v>45573</v>
      </c>
      <c r="C9577" s="1" t="n">
        <v>45798</v>
      </c>
      <c r="D9577" t="inlineStr">
        <is>
          <t>NORRBOTTENS LÄN</t>
        </is>
      </c>
      <c r="E9577" t="inlineStr">
        <is>
          <t>PITEÅ</t>
        </is>
      </c>
      <c r="F9577" t="inlineStr">
        <is>
          <t>SCA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44391-2024</t>
        </is>
      </c>
      <c r="B9578" s="1" t="n">
        <v>45573</v>
      </c>
      <c r="C9578" s="1" t="n">
        <v>45798</v>
      </c>
      <c r="D9578" t="inlineStr">
        <is>
          <t>NORRBOTTENS LÄN</t>
        </is>
      </c>
      <c r="E9578" t="inlineStr">
        <is>
          <t>GÄLLIVARE</t>
        </is>
      </c>
      <c r="F9578" t="inlineStr">
        <is>
          <t>Allmännings- och besparingsskogar</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44327-2024</t>
        </is>
      </c>
      <c r="B9579" s="1" t="n">
        <v>45573</v>
      </c>
      <c r="C9579" s="1" t="n">
        <v>45798</v>
      </c>
      <c r="D9579" t="inlineStr">
        <is>
          <t>NORRBOTTENS LÄN</t>
        </is>
      </c>
      <c r="E9579" t="inlineStr">
        <is>
          <t>GÄLLIVARE</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44315-2024</t>
        </is>
      </c>
      <c r="B9580" s="1" t="n">
        <v>45573</v>
      </c>
      <c r="C9580" s="1" t="n">
        <v>45798</v>
      </c>
      <c r="D9580" t="inlineStr">
        <is>
          <t>NORRBOTTENS LÄN</t>
        </is>
      </c>
      <c r="E9580" t="inlineStr">
        <is>
          <t>GÄLLIVARE</t>
        </is>
      </c>
      <c r="F9580" t="inlineStr">
        <is>
          <t>Sveaskog</t>
        </is>
      </c>
      <c r="G9580" t="n">
        <v>19.4</v>
      </c>
      <c r="H9580" t="n">
        <v>0</v>
      </c>
      <c r="I9580" t="n">
        <v>0</v>
      </c>
      <c r="J9580" t="n">
        <v>0</v>
      </c>
      <c r="K9580" t="n">
        <v>0</v>
      </c>
      <c r="L9580" t="n">
        <v>0</v>
      </c>
      <c r="M9580" t="n">
        <v>0</v>
      </c>
      <c r="N9580" t="n">
        <v>0</v>
      </c>
      <c r="O9580" t="n">
        <v>0</v>
      </c>
      <c r="P9580" t="n">
        <v>0</v>
      </c>
      <c r="Q9580" t="n">
        <v>0</v>
      </c>
      <c r="R9580" s="2" t="inlineStr"/>
    </row>
    <row r="9581" ht="15" customHeight="1">
      <c r="A9581" t="inlineStr">
        <is>
          <t>A 44274-2024</t>
        </is>
      </c>
      <c r="B9581" s="1" t="n">
        <v>45573</v>
      </c>
      <c r="C9581" s="1" t="n">
        <v>45798</v>
      </c>
      <c r="D9581" t="inlineStr">
        <is>
          <t>NORRBOTTENS LÄN</t>
        </is>
      </c>
      <c r="E9581" t="inlineStr">
        <is>
          <t>LULEÅ</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44261-2024</t>
        </is>
      </c>
      <c r="B9582" s="1" t="n">
        <v>45573</v>
      </c>
      <c r="C9582" s="1" t="n">
        <v>45798</v>
      </c>
      <c r="D9582" t="inlineStr">
        <is>
          <t>NORRBOTTENS LÄN</t>
        </is>
      </c>
      <c r="E9582" t="inlineStr">
        <is>
          <t>PITEÅ</t>
        </is>
      </c>
      <c r="F9582" t="inlineStr">
        <is>
          <t>SCA</t>
        </is>
      </c>
      <c r="G9582" t="n">
        <v>10</v>
      </c>
      <c r="H9582" t="n">
        <v>0</v>
      </c>
      <c r="I9582" t="n">
        <v>0</v>
      </c>
      <c r="J9582" t="n">
        <v>0</v>
      </c>
      <c r="K9582" t="n">
        <v>0</v>
      </c>
      <c r="L9582" t="n">
        <v>0</v>
      </c>
      <c r="M9582" t="n">
        <v>0</v>
      </c>
      <c r="N9582" t="n">
        <v>0</v>
      </c>
      <c r="O9582" t="n">
        <v>0</v>
      </c>
      <c r="P9582" t="n">
        <v>0</v>
      </c>
      <c r="Q9582" t="n">
        <v>0</v>
      </c>
      <c r="R9582" s="2" t="inlineStr"/>
    </row>
    <row r="9583" ht="15" customHeight="1">
      <c r="A9583" t="inlineStr">
        <is>
          <t>A 44216-2024</t>
        </is>
      </c>
      <c r="B9583" s="1" t="n">
        <v>45573</v>
      </c>
      <c r="C9583" s="1" t="n">
        <v>45798</v>
      </c>
      <c r="D9583" t="inlineStr">
        <is>
          <t>NORRBOTTENS LÄN</t>
        </is>
      </c>
      <c r="E9583" t="inlineStr">
        <is>
          <t>PAJALA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44191-2024</t>
        </is>
      </c>
      <c r="B9584" s="1" t="n">
        <v>45573</v>
      </c>
      <c r="C9584" s="1" t="n">
        <v>45798</v>
      </c>
      <c r="D9584" t="inlineStr">
        <is>
          <t>NORRBOTTENS LÄN</t>
        </is>
      </c>
      <c r="E9584" t="inlineStr">
        <is>
          <t>GÄLLIVARE</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44314-2024</t>
        </is>
      </c>
      <c r="B9585" s="1" t="n">
        <v>45573</v>
      </c>
      <c r="C9585" s="1" t="n">
        <v>45798</v>
      </c>
      <c r="D9585" t="inlineStr">
        <is>
          <t>NORRBOTTENS LÄN</t>
        </is>
      </c>
      <c r="E9585" t="inlineStr">
        <is>
          <t>GÄLLIVARE</t>
        </is>
      </c>
      <c r="F9585" t="inlineStr">
        <is>
          <t>Sveaskog</t>
        </is>
      </c>
      <c r="G9585" t="n">
        <v>18.2</v>
      </c>
      <c r="H9585" t="n">
        <v>0</v>
      </c>
      <c r="I9585" t="n">
        <v>0</v>
      </c>
      <c r="J9585" t="n">
        <v>0</v>
      </c>
      <c r="K9585" t="n">
        <v>0</v>
      </c>
      <c r="L9585" t="n">
        <v>0</v>
      </c>
      <c r="M9585" t="n">
        <v>0</v>
      </c>
      <c r="N9585" t="n">
        <v>0</v>
      </c>
      <c r="O9585" t="n">
        <v>0</v>
      </c>
      <c r="P9585" t="n">
        <v>0</v>
      </c>
      <c r="Q9585" t="n">
        <v>0</v>
      </c>
      <c r="R9585" s="2" t="inlineStr"/>
    </row>
    <row r="9586" ht="15" customHeight="1">
      <c r="A9586" t="inlineStr">
        <is>
          <t>A 44326-2024</t>
        </is>
      </c>
      <c r="B9586" s="1" t="n">
        <v>45573</v>
      </c>
      <c r="C9586" s="1" t="n">
        <v>45798</v>
      </c>
      <c r="D9586" t="inlineStr">
        <is>
          <t>NORRBOTTENS LÄN</t>
        </is>
      </c>
      <c r="E9586" t="inlineStr">
        <is>
          <t>GÄLLIVARE</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44330-2024</t>
        </is>
      </c>
      <c r="B9587" s="1" t="n">
        <v>45573</v>
      </c>
      <c r="C9587" s="1" t="n">
        <v>45798</v>
      </c>
      <c r="D9587" t="inlineStr">
        <is>
          <t>NORRBOTTENS LÄN</t>
        </is>
      </c>
      <c r="E9587" t="inlineStr">
        <is>
          <t>LULEÅ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44492-2024</t>
        </is>
      </c>
      <c r="B9588" s="1" t="n">
        <v>45574</v>
      </c>
      <c r="C9588" s="1" t="n">
        <v>45798</v>
      </c>
      <c r="D9588" t="inlineStr">
        <is>
          <t>NORRBOTTENS LÄN</t>
        </is>
      </c>
      <c r="E9588" t="inlineStr">
        <is>
          <t>PITEÅ</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44520-2024</t>
        </is>
      </c>
      <c r="B9589" s="1" t="n">
        <v>45574</v>
      </c>
      <c r="C9589" s="1" t="n">
        <v>45798</v>
      </c>
      <c r="D9589" t="inlineStr">
        <is>
          <t>NORRBOTTENS LÄN</t>
        </is>
      </c>
      <c r="E9589" t="inlineStr">
        <is>
          <t>PITEÅ</t>
        </is>
      </c>
      <c r="F9589" t="inlineStr">
        <is>
          <t>Sveaskog</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44431-2024</t>
        </is>
      </c>
      <c r="B9590" s="1" t="n">
        <v>45574</v>
      </c>
      <c r="C9590" s="1" t="n">
        <v>45798</v>
      </c>
      <c r="D9590" t="inlineStr">
        <is>
          <t>NORRBOTTENS LÄN</t>
        </is>
      </c>
      <c r="E9590" t="inlineStr">
        <is>
          <t>ÖVERTORNEÅ</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44493-2024</t>
        </is>
      </c>
      <c r="B9591" s="1" t="n">
        <v>45574</v>
      </c>
      <c r="C9591" s="1" t="n">
        <v>45798</v>
      </c>
      <c r="D9591" t="inlineStr">
        <is>
          <t>NORRBOTTENS LÄN</t>
        </is>
      </c>
      <c r="E9591" t="inlineStr">
        <is>
          <t>GÄLLIVARE</t>
        </is>
      </c>
      <c r="F9591" t="inlineStr">
        <is>
          <t>SCA</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44526-2024</t>
        </is>
      </c>
      <c r="B9592" s="1" t="n">
        <v>45574</v>
      </c>
      <c r="C9592" s="1" t="n">
        <v>45798</v>
      </c>
      <c r="D9592" t="inlineStr">
        <is>
          <t>NORRBOTTENS LÄN</t>
        </is>
      </c>
      <c r="E9592" t="inlineStr">
        <is>
          <t>PITEÅ</t>
        </is>
      </c>
      <c r="F9592" t="inlineStr">
        <is>
          <t>Sveaskog</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44530-2024</t>
        </is>
      </c>
      <c r="B9593" s="1" t="n">
        <v>45574</v>
      </c>
      <c r="C9593" s="1" t="n">
        <v>45798</v>
      </c>
      <c r="D9593" t="inlineStr">
        <is>
          <t>NORRBOTTENS LÄN</t>
        </is>
      </c>
      <c r="E9593" t="inlineStr">
        <is>
          <t>GÄLLIVARE</t>
        </is>
      </c>
      <c r="F9593" t="inlineStr">
        <is>
          <t>Sveaskog</t>
        </is>
      </c>
      <c r="G9593" t="n">
        <v>15.9</v>
      </c>
      <c r="H9593" t="n">
        <v>0</v>
      </c>
      <c r="I9593" t="n">
        <v>0</v>
      </c>
      <c r="J9593" t="n">
        <v>0</v>
      </c>
      <c r="K9593" t="n">
        <v>0</v>
      </c>
      <c r="L9593" t="n">
        <v>0</v>
      </c>
      <c r="M9593" t="n">
        <v>0</v>
      </c>
      <c r="N9593" t="n">
        <v>0</v>
      </c>
      <c r="O9593" t="n">
        <v>0</v>
      </c>
      <c r="P9593" t="n">
        <v>0</v>
      </c>
      <c r="Q9593" t="n">
        <v>0</v>
      </c>
      <c r="R9593" s="2" t="inlineStr"/>
    </row>
    <row r="9594" ht="15" customHeight="1">
      <c r="A9594" t="inlineStr">
        <is>
          <t>A 44559-2024</t>
        </is>
      </c>
      <c r="B9594" s="1" t="n">
        <v>45574</v>
      </c>
      <c r="C9594" s="1" t="n">
        <v>45798</v>
      </c>
      <c r="D9594" t="inlineStr">
        <is>
          <t>NORRBOTTENS LÄN</t>
        </is>
      </c>
      <c r="E9594" t="inlineStr">
        <is>
          <t>PITEÅ</t>
        </is>
      </c>
      <c r="F9594" t="inlineStr">
        <is>
          <t>Sveaskog</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44567-2024</t>
        </is>
      </c>
      <c r="B9595" s="1" t="n">
        <v>45574</v>
      </c>
      <c r="C9595" s="1" t="n">
        <v>45798</v>
      </c>
      <c r="D9595" t="inlineStr">
        <is>
          <t>NORRBOTTENS LÄN</t>
        </is>
      </c>
      <c r="E9595" t="inlineStr">
        <is>
          <t>BODEN</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44656-2024</t>
        </is>
      </c>
      <c r="B9596" s="1" t="n">
        <v>45574</v>
      </c>
      <c r="C9596" s="1" t="n">
        <v>45798</v>
      </c>
      <c r="D9596" t="inlineStr">
        <is>
          <t>NORRBOTTENS LÄN</t>
        </is>
      </c>
      <c r="E9596" t="inlineStr">
        <is>
          <t>JOKKMOKK</t>
        </is>
      </c>
      <c r="F9596" t="inlineStr">
        <is>
          <t>Sveaskog</t>
        </is>
      </c>
      <c r="G9596" t="n">
        <v>13.9</v>
      </c>
      <c r="H9596" t="n">
        <v>0</v>
      </c>
      <c r="I9596" t="n">
        <v>0</v>
      </c>
      <c r="J9596" t="n">
        <v>0</v>
      </c>
      <c r="K9596" t="n">
        <v>0</v>
      </c>
      <c r="L9596" t="n">
        <v>0</v>
      </c>
      <c r="M9596" t="n">
        <v>0</v>
      </c>
      <c r="N9596" t="n">
        <v>0</v>
      </c>
      <c r="O9596" t="n">
        <v>0</v>
      </c>
      <c r="P9596" t="n">
        <v>0</v>
      </c>
      <c r="Q9596" t="n">
        <v>0</v>
      </c>
      <c r="R9596" s="2" t="inlineStr"/>
    </row>
    <row r="9597" ht="15" customHeight="1">
      <c r="A9597" t="inlineStr">
        <is>
          <t>A 44709-2024</t>
        </is>
      </c>
      <c r="B9597" s="1" t="n">
        <v>45574</v>
      </c>
      <c r="C9597" s="1" t="n">
        <v>45798</v>
      </c>
      <c r="D9597" t="inlineStr">
        <is>
          <t>NORRBOTTENS LÄN</t>
        </is>
      </c>
      <c r="E9597" t="inlineStr">
        <is>
          <t>PITEÅ</t>
        </is>
      </c>
      <c r="F9597" t="inlineStr">
        <is>
          <t>SCA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44713-2024</t>
        </is>
      </c>
      <c r="B9598" s="1" t="n">
        <v>45574</v>
      </c>
      <c r="C9598" s="1" t="n">
        <v>45798</v>
      </c>
      <c r="D9598" t="inlineStr">
        <is>
          <t>NORRBOTTENS LÄN</t>
        </is>
      </c>
      <c r="E9598" t="inlineStr">
        <is>
          <t>PITEÅ</t>
        </is>
      </c>
      <c r="F9598" t="inlineStr">
        <is>
          <t>SCA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44717-2024</t>
        </is>
      </c>
      <c r="B9599" s="1" t="n">
        <v>45574</v>
      </c>
      <c r="C9599" s="1" t="n">
        <v>45798</v>
      </c>
      <c r="D9599" t="inlineStr">
        <is>
          <t>NORRBOTTENS LÄN</t>
        </is>
      </c>
      <c r="E9599" t="inlineStr">
        <is>
          <t>PITEÅ</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44446-2024</t>
        </is>
      </c>
      <c r="B9600" s="1" t="n">
        <v>45574</v>
      </c>
      <c r="C9600" s="1" t="n">
        <v>45798</v>
      </c>
      <c r="D9600" t="inlineStr">
        <is>
          <t>NORRBOTTENS LÄN</t>
        </is>
      </c>
      <c r="E9600" t="inlineStr">
        <is>
          <t>GÄLLIVARE</t>
        </is>
      </c>
      <c r="F9600" t="inlineStr">
        <is>
          <t>SCA</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44710-2024</t>
        </is>
      </c>
      <c r="B9601" s="1" t="n">
        <v>45574</v>
      </c>
      <c r="C9601" s="1" t="n">
        <v>45798</v>
      </c>
      <c r="D9601" t="inlineStr">
        <is>
          <t>NORRBOTTENS LÄN</t>
        </is>
      </c>
      <c r="E9601" t="inlineStr">
        <is>
          <t>PITEÅ</t>
        </is>
      </c>
      <c r="F9601" t="inlineStr">
        <is>
          <t>SCA</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44714-2024</t>
        </is>
      </c>
      <c r="B9602" s="1" t="n">
        <v>45574</v>
      </c>
      <c r="C9602" s="1" t="n">
        <v>45798</v>
      </c>
      <c r="D9602" t="inlineStr">
        <is>
          <t>NORRBOTTENS LÄN</t>
        </is>
      </c>
      <c r="E9602" t="inlineStr">
        <is>
          <t>PITEÅ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44495-2024</t>
        </is>
      </c>
      <c r="B9603" s="1" t="n">
        <v>45574</v>
      </c>
      <c r="C9603" s="1" t="n">
        <v>45798</v>
      </c>
      <c r="D9603" t="inlineStr">
        <is>
          <t>NORRBOTTENS LÄN</t>
        </is>
      </c>
      <c r="E9603" t="inlineStr">
        <is>
          <t>GÄLLIVARE</t>
        </is>
      </c>
      <c r="F9603" t="inlineStr">
        <is>
          <t>SCA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44532-2024</t>
        </is>
      </c>
      <c r="B9604" s="1" t="n">
        <v>45574</v>
      </c>
      <c r="C9604" s="1" t="n">
        <v>45798</v>
      </c>
      <c r="D9604" t="inlineStr">
        <is>
          <t>NORRBOTTENS LÄN</t>
        </is>
      </c>
      <c r="E9604" t="inlineStr">
        <is>
          <t>PITEÅ</t>
        </is>
      </c>
      <c r="F9604" t="inlineStr">
        <is>
          <t>Sveaskog</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44540-2024</t>
        </is>
      </c>
      <c r="B9605" s="1" t="n">
        <v>45574</v>
      </c>
      <c r="C9605" s="1" t="n">
        <v>45798</v>
      </c>
      <c r="D9605" t="inlineStr">
        <is>
          <t>NORRBOTTENS LÄN</t>
        </is>
      </c>
      <c r="E9605" t="inlineStr">
        <is>
          <t>ÖVERTORNEÅ</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44553-2024</t>
        </is>
      </c>
      <c r="B9606" s="1" t="n">
        <v>45574</v>
      </c>
      <c r="C9606" s="1" t="n">
        <v>45798</v>
      </c>
      <c r="D9606" t="inlineStr">
        <is>
          <t>NORRBOTTENS LÄN</t>
        </is>
      </c>
      <c r="E9606" t="inlineStr">
        <is>
          <t>BODEN</t>
        </is>
      </c>
      <c r="F9606" t="inlineStr">
        <is>
          <t>SCA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44799-2024</t>
        </is>
      </c>
      <c r="B9607" s="1" t="n">
        <v>45574</v>
      </c>
      <c r="C9607" s="1" t="n">
        <v>45798</v>
      </c>
      <c r="D9607" t="inlineStr">
        <is>
          <t>NORRBOTTENS LÄN</t>
        </is>
      </c>
      <c r="E9607" t="inlineStr">
        <is>
          <t>GÄLLIVARE</t>
        </is>
      </c>
      <c r="F9607" t="inlineStr">
        <is>
          <t>Sveaskog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44625-2024</t>
        </is>
      </c>
      <c r="B9608" s="1" t="n">
        <v>45574</v>
      </c>
      <c r="C9608" s="1" t="n">
        <v>45798</v>
      </c>
      <c r="D9608" t="inlineStr">
        <is>
          <t>NORRBOTTENS LÄN</t>
        </is>
      </c>
      <c r="E9608" t="inlineStr">
        <is>
          <t>BODEN</t>
        </is>
      </c>
      <c r="F9608" t="inlineStr">
        <is>
          <t>Sveaskog</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44629-2024</t>
        </is>
      </c>
      <c r="B9609" s="1" t="n">
        <v>45574</v>
      </c>
      <c r="C9609" s="1" t="n">
        <v>45798</v>
      </c>
      <c r="D9609" t="inlineStr">
        <is>
          <t>NORRBOTTENS LÄN</t>
        </is>
      </c>
      <c r="E9609" t="inlineStr">
        <is>
          <t>ÄLVSBYN</t>
        </is>
      </c>
      <c r="F9609" t="inlineStr">
        <is>
          <t>SCA</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44708-2024</t>
        </is>
      </c>
      <c r="B9610" s="1" t="n">
        <v>45574</v>
      </c>
      <c r="C9610" s="1" t="n">
        <v>45798</v>
      </c>
      <c r="D9610" t="inlineStr">
        <is>
          <t>NORRBOTTENS LÄN</t>
        </is>
      </c>
      <c r="E9610" t="inlineStr">
        <is>
          <t>BODEN</t>
        </is>
      </c>
      <c r="F9610" t="inlineStr">
        <is>
          <t>SCA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44712-2024</t>
        </is>
      </c>
      <c r="B9611" s="1" t="n">
        <v>45574</v>
      </c>
      <c r="C9611" s="1" t="n">
        <v>45798</v>
      </c>
      <c r="D9611" t="inlineStr">
        <is>
          <t>NORRBOTTENS LÄN</t>
        </is>
      </c>
      <c r="E9611" t="inlineStr">
        <is>
          <t>PITEÅ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44716-2024</t>
        </is>
      </c>
      <c r="B9612" s="1" t="n">
        <v>45574</v>
      </c>
      <c r="C9612" s="1" t="n">
        <v>45798</v>
      </c>
      <c r="D9612" t="inlineStr">
        <is>
          <t>NORRBOTTENS LÄN</t>
        </is>
      </c>
      <c r="E9612" t="inlineStr">
        <is>
          <t>PITEÅ</t>
        </is>
      </c>
      <c r="F9612" t="inlineStr">
        <is>
          <t>SCA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44741-2024</t>
        </is>
      </c>
      <c r="B9613" s="1" t="n">
        <v>45574</v>
      </c>
      <c r="C9613" s="1" t="n">
        <v>45798</v>
      </c>
      <c r="D9613" t="inlineStr">
        <is>
          <t>NORRBOTTENS LÄN</t>
        </is>
      </c>
      <c r="E9613" t="inlineStr">
        <is>
          <t>GÄLLIVARE</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44827-2024</t>
        </is>
      </c>
      <c r="B9614" s="1" t="n">
        <v>45574</v>
      </c>
      <c r="C9614" s="1" t="n">
        <v>45798</v>
      </c>
      <c r="D9614" t="inlineStr">
        <is>
          <t>NORRBOTTENS LÄN</t>
        </is>
      </c>
      <c r="E9614" t="inlineStr">
        <is>
          <t>JOKKMOKK</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44831-2024</t>
        </is>
      </c>
      <c r="B9615" s="1" t="n">
        <v>45574</v>
      </c>
      <c r="C9615" s="1" t="n">
        <v>45798</v>
      </c>
      <c r="D9615" t="inlineStr">
        <is>
          <t>NORRBOTTENS LÄN</t>
        </is>
      </c>
      <c r="E9615" t="inlineStr">
        <is>
          <t>JOKKMOKK</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44527-2024</t>
        </is>
      </c>
      <c r="B9616" s="1" t="n">
        <v>45574</v>
      </c>
      <c r="C9616" s="1" t="n">
        <v>45798</v>
      </c>
      <c r="D9616" t="inlineStr">
        <is>
          <t>NORRBOTTENS LÄN</t>
        </is>
      </c>
      <c r="E9616" t="inlineStr">
        <is>
          <t>PITEÅ</t>
        </is>
      </c>
      <c r="F9616" t="inlineStr">
        <is>
          <t>Sveaskog</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44539-2024</t>
        </is>
      </c>
      <c r="B9617" s="1" t="n">
        <v>45574</v>
      </c>
      <c r="C9617" s="1" t="n">
        <v>45798</v>
      </c>
      <c r="D9617" t="inlineStr">
        <is>
          <t>NORRBOTTENS LÄN</t>
        </is>
      </c>
      <c r="E9617" t="inlineStr">
        <is>
          <t>PITEÅ</t>
        </is>
      </c>
      <c r="F9617" t="inlineStr">
        <is>
          <t>Sveaskog</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44649-2024</t>
        </is>
      </c>
      <c r="B9618" s="1" t="n">
        <v>45574</v>
      </c>
      <c r="C9618" s="1" t="n">
        <v>45798</v>
      </c>
      <c r="D9618" t="inlineStr">
        <is>
          <t>NORRBOTTENS LÄN</t>
        </is>
      </c>
      <c r="E9618" t="inlineStr">
        <is>
          <t>PITEÅ</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44711-2024</t>
        </is>
      </c>
      <c r="B9619" s="1" t="n">
        <v>45574</v>
      </c>
      <c r="C9619" s="1" t="n">
        <v>45798</v>
      </c>
      <c r="D9619" t="inlineStr">
        <is>
          <t>NORRBOTTENS LÄN</t>
        </is>
      </c>
      <c r="E9619" t="inlineStr">
        <is>
          <t>KALIX</t>
        </is>
      </c>
      <c r="F9619" t="inlineStr">
        <is>
          <t>Sveaskog</t>
        </is>
      </c>
      <c r="G9619" t="n">
        <v>14.4</v>
      </c>
      <c r="H9619" t="n">
        <v>0</v>
      </c>
      <c r="I9619" t="n">
        <v>0</v>
      </c>
      <c r="J9619" t="n">
        <v>0</v>
      </c>
      <c r="K9619" t="n">
        <v>0</v>
      </c>
      <c r="L9619" t="n">
        <v>0</v>
      </c>
      <c r="M9619" t="n">
        <v>0</v>
      </c>
      <c r="N9619" t="n">
        <v>0</v>
      </c>
      <c r="O9619" t="n">
        <v>0</v>
      </c>
      <c r="P9619" t="n">
        <v>0</v>
      </c>
      <c r="Q9619" t="n">
        <v>0</v>
      </c>
      <c r="R9619" s="2" t="inlineStr"/>
    </row>
    <row r="9620" ht="15" customHeight="1">
      <c r="A9620" t="inlineStr">
        <is>
          <t>A 44715-2024</t>
        </is>
      </c>
      <c r="B9620" s="1" t="n">
        <v>45574</v>
      </c>
      <c r="C9620" s="1" t="n">
        <v>45798</v>
      </c>
      <c r="D9620" t="inlineStr">
        <is>
          <t>NORRBOTTENS LÄN</t>
        </is>
      </c>
      <c r="E9620" t="inlineStr">
        <is>
          <t>PITEÅ</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45110-2024</t>
        </is>
      </c>
      <c r="B9621" s="1" t="n">
        <v>45575</v>
      </c>
      <c r="C9621" s="1" t="n">
        <v>45798</v>
      </c>
      <c r="D9621" t="inlineStr">
        <is>
          <t>NORRBOTTENS LÄN</t>
        </is>
      </c>
      <c r="E9621" t="inlineStr">
        <is>
          <t>BODEN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44951-2024</t>
        </is>
      </c>
      <c r="B9622" s="1" t="n">
        <v>45575</v>
      </c>
      <c r="C9622" s="1" t="n">
        <v>45798</v>
      </c>
      <c r="D9622" t="inlineStr">
        <is>
          <t>NORRBOTTENS LÄN</t>
        </is>
      </c>
      <c r="E9622" t="inlineStr">
        <is>
          <t>KALIX</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44939-2024</t>
        </is>
      </c>
      <c r="B9623" s="1" t="n">
        <v>45575</v>
      </c>
      <c r="C9623" s="1" t="n">
        <v>45798</v>
      </c>
      <c r="D9623" t="inlineStr">
        <is>
          <t>NORRBOTTENS LÄN</t>
        </is>
      </c>
      <c r="E9623" t="inlineStr">
        <is>
          <t>GÄLLIVARE</t>
        </is>
      </c>
      <c r="F9623" t="inlineStr">
        <is>
          <t>SCA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44878-2024</t>
        </is>
      </c>
      <c r="B9624" s="1" t="n">
        <v>45575</v>
      </c>
      <c r="C9624" s="1" t="n">
        <v>45798</v>
      </c>
      <c r="D9624" t="inlineStr">
        <is>
          <t>NORRBOTTENS LÄN</t>
        </is>
      </c>
      <c r="E9624" t="inlineStr">
        <is>
          <t>ÖVERTORNEÅ</t>
        </is>
      </c>
      <c r="G9624" t="n">
        <v>9.5</v>
      </c>
      <c r="H9624" t="n">
        <v>0</v>
      </c>
      <c r="I9624" t="n">
        <v>0</v>
      </c>
      <c r="J9624" t="n">
        <v>0</v>
      </c>
      <c r="K9624" t="n">
        <v>0</v>
      </c>
      <c r="L9624" t="n">
        <v>0</v>
      </c>
      <c r="M9624" t="n">
        <v>0</v>
      </c>
      <c r="N9624" t="n">
        <v>0</v>
      </c>
      <c r="O9624" t="n">
        <v>0</v>
      </c>
      <c r="P9624" t="n">
        <v>0</v>
      </c>
      <c r="Q9624" t="n">
        <v>0</v>
      </c>
      <c r="R9624" s="2" t="inlineStr"/>
    </row>
    <row r="9625" ht="15" customHeight="1">
      <c r="A9625" t="inlineStr">
        <is>
          <t>A 45175-2024</t>
        </is>
      </c>
      <c r="B9625" s="1" t="n">
        <v>45575</v>
      </c>
      <c r="C9625" s="1" t="n">
        <v>45798</v>
      </c>
      <c r="D9625" t="inlineStr">
        <is>
          <t>NORRBOTTENS LÄN</t>
        </is>
      </c>
      <c r="E9625" t="inlineStr">
        <is>
          <t>LULEÅ</t>
        </is>
      </c>
      <c r="G9625" t="n">
        <v>12.2</v>
      </c>
      <c r="H9625" t="n">
        <v>0</v>
      </c>
      <c r="I9625" t="n">
        <v>0</v>
      </c>
      <c r="J9625" t="n">
        <v>0</v>
      </c>
      <c r="K9625" t="n">
        <v>0</v>
      </c>
      <c r="L9625" t="n">
        <v>0</v>
      </c>
      <c r="M9625" t="n">
        <v>0</v>
      </c>
      <c r="N9625" t="n">
        <v>0</v>
      </c>
      <c r="O9625" t="n">
        <v>0</v>
      </c>
      <c r="P9625" t="n">
        <v>0</v>
      </c>
      <c r="Q9625" t="n">
        <v>0</v>
      </c>
      <c r="R9625" s="2" t="inlineStr"/>
    </row>
    <row r="9626" ht="15" customHeight="1">
      <c r="A9626" t="inlineStr">
        <is>
          <t>A 44923-2024</t>
        </is>
      </c>
      <c r="B9626" s="1" t="n">
        <v>45575</v>
      </c>
      <c r="C9626" s="1" t="n">
        <v>45798</v>
      </c>
      <c r="D9626" t="inlineStr">
        <is>
          <t>NORRBOTTENS LÄN</t>
        </is>
      </c>
      <c r="E9626" t="inlineStr">
        <is>
          <t>PITEÅ</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44997-2024</t>
        </is>
      </c>
      <c r="B9627" s="1" t="n">
        <v>45575</v>
      </c>
      <c r="C9627" s="1" t="n">
        <v>45798</v>
      </c>
      <c r="D9627" t="inlineStr">
        <is>
          <t>NORRBOTTENS LÄN</t>
        </is>
      </c>
      <c r="E9627" t="inlineStr">
        <is>
          <t>PAJALA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45059-2024</t>
        </is>
      </c>
      <c r="B9628" s="1" t="n">
        <v>45575</v>
      </c>
      <c r="C9628" s="1" t="n">
        <v>45798</v>
      </c>
      <c r="D9628" t="inlineStr">
        <is>
          <t>NORRBOTTENS LÄN</t>
        </is>
      </c>
      <c r="E9628" t="inlineStr">
        <is>
          <t>ARVIDSJAUR</t>
        </is>
      </c>
      <c r="F9628" t="inlineStr">
        <is>
          <t>Sveaskog</t>
        </is>
      </c>
      <c r="G9628" t="n">
        <v>14.9</v>
      </c>
      <c r="H9628" t="n">
        <v>0</v>
      </c>
      <c r="I9628" t="n">
        <v>0</v>
      </c>
      <c r="J9628" t="n">
        <v>0</v>
      </c>
      <c r="K9628" t="n">
        <v>0</v>
      </c>
      <c r="L9628" t="n">
        <v>0</v>
      </c>
      <c r="M9628" t="n">
        <v>0</v>
      </c>
      <c r="N9628" t="n">
        <v>0</v>
      </c>
      <c r="O9628" t="n">
        <v>0</v>
      </c>
      <c r="P9628" t="n">
        <v>0</v>
      </c>
      <c r="Q9628" t="n">
        <v>0</v>
      </c>
      <c r="R9628" s="2" t="inlineStr"/>
    </row>
    <row r="9629" ht="15" customHeight="1">
      <c r="A9629" t="inlineStr">
        <is>
          <t>A 45055-2024</t>
        </is>
      </c>
      <c r="B9629" s="1" t="n">
        <v>45575</v>
      </c>
      <c r="C9629" s="1" t="n">
        <v>45798</v>
      </c>
      <c r="D9629" t="inlineStr">
        <is>
          <t>NORRBOTTENS LÄN</t>
        </is>
      </c>
      <c r="E9629" t="inlineStr">
        <is>
          <t>ÖVERTORNEÅ</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45014-2024</t>
        </is>
      </c>
      <c r="B9630" s="1" t="n">
        <v>45575</v>
      </c>
      <c r="C9630" s="1" t="n">
        <v>45798</v>
      </c>
      <c r="D9630" t="inlineStr">
        <is>
          <t>NORRBOTTENS LÄN</t>
        </is>
      </c>
      <c r="E9630" t="inlineStr">
        <is>
          <t>ARJEPLOG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45182-2024</t>
        </is>
      </c>
      <c r="B9631" s="1" t="n">
        <v>45575</v>
      </c>
      <c r="C9631" s="1" t="n">
        <v>45798</v>
      </c>
      <c r="D9631" t="inlineStr">
        <is>
          <t>NORRBOTTENS LÄN</t>
        </is>
      </c>
      <c r="E9631" t="inlineStr">
        <is>
          <t>LULEÅ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44998-2024</t>
        </is>
      </c>
      <c r="B9632" s="1" t="n">
        <v>45575</v>
      </c>
      <c r="C9632" s="1" t="n">
        <v>45798</v>
      </c>
      <c r="D9632" t="inlineStr">
        <is>
          <t>NORRBOTTENS LÄN</t>
        </is>
      </c>
      <c r="E9632" t="inlineStr">
        <is>
          <t>PAJALA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44952-2024</t>
        </is>
      </c>
      <c r="B9633" s="1" t="n">
        <v>45575</v>
      </c>
      <c r="C9633" s="1" t="n">
        <v>45798</v>
      </c>
      <c r="D9633" t="inlineStr">
        <is>
          <t>NORRBOTTENS LÄN</t>
        </is>
      </c>
      <c r="E9633" t="inlineStr">
        <is>
          <t>ÖVERKALIX</t>
        </is>
      </c>
      <c r="F9633" t="inlineStr">
        <is>
          <t>SCA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44940-2024</t>
        </is>
      </c>
      <c r="B9634" s="1" t="n">
        <v>45575</v>
      </c>
      <c r="C9634" s="1" t="n">
        <v>45798</v>
      </c>
      <c r="D9634" t="inlineStr">
        <is>
          <t>NORRBOTTENS LÄN</t>
        </is>
      </c>
      <c r="E9634" t="inlineStr">
        <is>
          <t>PITEÅ</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44924-2024</t>
        </is>
      </c>
      <c r="B9635" s="1" t="n">
        <v>45575</v>
      </c>
      <c r="C9635" s="1" t="n">
        <v>45798</v>
      </c>
      <c r="D9635" t="inlineStr">
        <is>
          <t>NORRBOTTENS LÄN</t>
        </is>
      </c>
      <c r="E9635" t="inlineStr">
        <is>
          <t>PITEÅ</t>
        </is>
      </c>
      <c r="F9635" t="inlineStr">
        <is>
          <t>SCA</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44897-2024</t>
        </is>
      </c>
      <c r="B9636" s="1" t="n">
        <v>45575</v>
      </c>
      <c r="C9636" s="1" t="n">
        <v>45798</v>
      </c>
      <c r="D9636" t="inlineStr">
        <is>
          <t>NORRBOTTENS LÄN</t>
        </is>
      </c>
      <c r="E9636" t="inlineStr">
        <is>
          <t>KALIX</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44979-2024</t>
        </is>
      </c>
      <c r="B9637" s="1" t="n">
        <v>45575</v>
      </c>
      <c r="C9637" s="1" t="n">
        <v>45798</v>
      </c>
      <c r="D9637" t="inlineStr">
        <is>
          <t>NORRBOTTENS LÄN</t>
        </is>
      </c>
      <c r="E9637" t="inlineStr">
        <is>
          <t>ÖVERTORNEÅ</t>
        </is>
      </c>
      <c r="G9637" t="n">
        <v>13.2</v>
      </c>
      <c r="H9637" t="n">
        <v>0</v>
      </c>
      <c r="I9637" t="n">
        <v>0</v>
      </c>
      <c r="J9637" t="n">
        <v>0</v>
      </c>
      <c r="K9637" t="n">
        <v>0</v>
      </c>
      <c r="L9637" t="n">
        <v>0</v>
      </c>
      <c r="M9637" t="n">
        <v>0</v>
      </c>
      <c r="N9637" t="n">
        <v>0</v>
      </c>
      <c r="O9637" t="n">
        <v>0</v>
      </c>
      <c r="P9637" t="n">
        <v>0</v>
      </c>
      <c r="Q9637" t="n">
        <v>0</v>
      </c>
      <c r="R9637" s="2" t="inlineStr"/>
    </row>
    <row r="9638" ht="15" customHeight="1">
      <c r="A9638" t="inlineStr">
        <is>
          <t>A 44938-2024</t>
        </is>
      </c>
      <c r="B9638" s="1" t="n">
        <v>45575</v>
      </c>
      <c r="C9638" s="1" t="n">
        <v>45798</v>
      </c>
      <c r="D9638" t="inlineStr">
        <is>
          <t>NORRBOTTENS LÄN</t>
        </is>
      </c>
      <c r="E9638" t="inlineStr">
        <is>
          <t>GÄLLIVARE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44869-2024</t>
        </is>
      </c>
      <c r="B9639" s="1" t="n">
        <v>45575</v>
      </c>
      <c r="C9639" s="1" t="n">
        <v>45798</v>
      </c>
      <c r="D9639" t="inlineStr">
        <is>
          <t>NORRBOTTENS LÄN</t>
        </is>
      </c>
      <c r="E9639" t="inlineStr">
        <is>
          <t>ÖVERTORNEÅ</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44921-2024</t>
        </is>
      </c>
      <c r="B9640" s="1" t="n">
        <v>45575</v>
      </c>
      <c r="C9640" s="1" t="n">
        <v>45798</v>
      </c>
      <c r="D9640" t="inlineStr">
        <is>
          <t>NORRBOTTENS LÄN</t>
        </is>
      </c>
      <c r="E9640" t="inlineStr">
        <is>
          <t>PITEÅ</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45049-2024</t>
        </is>
      </c>
      <c r="B9641" s="1" t="n">
        <v>45575</v>
      </c>
      <c r="C9641" s="1" t="n">
        <v>45798</v>
      </c>
      <c r="D9641" t="inlineStr">
        <is>
          <t>NORRBOTTENS LÄN</t>
        </is>
      </c>
      <c r="E9641" t="inlineStr">
        <is>
          <t>ÖVERTORNEÅ</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45302-2024</t>
        </is>
      </c>
      <c r="B9642" s="1" t="n">
        <v>45576</v>
      </c>
      <c r="C9642" s="1" t="n">
        <v>45798</v>
      </c>
      <c r="D9642" t="inlineStr">
        <is>
          <t>NORRBOTTENS LÄN</t>
        </is>
      </c>
      <c r="E9642" t="inlineStr">
        <is>
          <t>ÄLVSBYN</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45304-2024</t>
        </is>
      </c>
      <c r="B9643" s="1" t="n">
        <v>45576</v>
      </c>
      <c r="C9643" s="1" t="n">
        <v>45798</v>
      </c>
      <c r="D9643" t="inlineStr">
        <is>
          <t>NORRBOTTENS LÄN</t>
        </is>
      </c>
      <c r="E9643" t="inlineStr">
        <is>
          <t>GÄLLIVARE</t>
        </is>
      </c>
      <c r="F9643" t="inlineStr">
        <is>
          <t>Sveaskog</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45329-2024</t>
        </is>
      </c>
      <c r="B9644" s="1" t="n">
        <v>45576</v>
      </c>
      <c r="C9644" s="1" t="n">
        <v>45798</v>
      </c>
      <c r="D9644" t="inlineStr">
        <is>
          <t>NORRBOTTENS LÄN</t>
        </is>
      </c>
      <c r="E9644" t="inlineStr">
        <is>
          <t>PITEÅ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45333-2024</t>
        </is>
      </c>
      <c r="B9645" s="1" t="n">
        <v>45576</v>
      </c>
      <c r="C9645" s="1" t="n">
        <v>45798</v>
      </c>
      <c r="D9645" t="inlineStr">
        <is>
          <t>NORRBOTTENS LÄN</t>
        </is>
      </c>
      <c r="E9645" t="inlineStr">
        <is>
          <t>JOKKMOKK</t>
        </is>
      </c>
      <c r="F9645" t="inlineStr">
        <is>
          <t>Sveaskog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45391-2024</t>
        </is>
      </c>
      <c r="B9646" s="1" t="n">
        <v>45576</v>
      </c>
      <c r="C9646" s="1" t="n">
        <v>45798</v>
      </c>
      <c r="D9646" t="inlineStr">
        <is>
          <t>NORRBOTTENS LÄN</t>
        </is>
      </c>
      <c r="E9646" t="inlineStr">
        <is>
          <t>GÄLLIVARE</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45417-2024</t>
        </is>
      </c>
      <c r="B9647" s="1" t="n">
        <v>45576</v>
      </c>
      <c r="C9647" s="1" t="n">
        <v>45798</v>
      </c>
      <c r="D9647" t="inlineStr">
        <is>
          <t>NORRBOTTENS LÄN</t>
        </is>
      </c>
      <c r="E9647" t="inlineStr">
        <is>
          <t>ARJEPLOG</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45396-2024</t>
        </is>
      </c>
      <c r="B9648" s="1" t="n">
        <v>45576</v>
      </c>
      <c r="C9648" s="1" t="n">
        <v>45798</v>
      </c>
      <c r="D9648" t="inlineStr">
        <is>
          <t>NORRBOTTENS LÄN</t>
        </is>
      </c>
      <c r="E9648" t="inlineStr">
        <is>
          <t>KALIX</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45431-2024</t>
        </is>
      </c>
      <c r="B9649" s="1" t="n">
        <v>45576</v>
      </c>
      <c r="C9649" s="1" t="n">
        <v>45798</v>
      </c>
      <c r="D9649" t="inlineStr">
        <is>
          <t>NORRBOTTENS LÄN</t>
        </is>
      </c>
      <c r="E9649" t="inlineStr">
        <is>
          <t>ÖVERTORNEÅ</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45326-2024</t>
        </is>
      </c>
      <c r="B9650" s="1" t="n">
        <v>45576</v>
      </c>
      <c r="C9650" s="1" t="n">
        <v>45798</v>
      </c>
      <c r="D9650" t="inlineStr">
        <is>
          <t>NORRBOTTENS LÄN</t>
        </is>
      </c>
      <c r="E9650" t="inlineStr">
        <is>
          <t>ARJEPLOG</t>
        </is>
      </c>
      <c r="F9650" t="inlineStr">
        <is>
          <t>Sveaskog</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45332-2024</t>
        </is>
      </c>
      <c r="B9651" s="1" t="n">
        <v>45576</v>
      </c>
      <c r="C9651" s="1" t="n">
        <v>45798</v>
      </c>
      <c r="D9651" t="inlineStr">
        <is>
          <t>NORRBOTTENS LÄN</t>
        </is>
      </c>
      <c r="E9651" t="inlineStr">
        <is>
          <t>ARJEPLOG</t>
        </is>
      </c>
      <c r="F9651" t="inlineStr">
        <is>
          <t>Sveaskog</t>
        </is>
      </c>
      <c r="G9651" t="n">
        <v>12.9</v>
      </c>
      <c r="H9651" t="n">
        <v>0</v>
      </c>
      <c r="I9651" t="n">
        <v>0</v>
      </c>
      <c r="J9651" t="n">
        <v>0</v>
      </c>
      <c r="K9651" t="n">
        <v>0</v>
      </c>
      <c r="L9651" t="n">
        <v>0</v>
      </c>
      <c r="M9651" t="n">
        <v>0</v>
      </c>
      <c r="N9651" t="n">
        <v>0</v>
      </c>
      <c r="O9651" t="n">
        <v>0</v>
      </c>
      <c r="P9651" t="n">
        <v>0</v>
      </c>
      <c r="Q9651" t="n">
        <v>0</v>
      </c>
      <c r="R9651" s="2" t="inlineStr"/>
    </row>
    <row r="9652" ht="15" customHeight="1">
      <c r="A9652" t="inlineStr">
        <is>
          <t>A 45307-2024</t>
        </is>
      </c>
      <c r="B9652" s="1" t="n">
        <v>45576</v>
      </c>
      <c r="C9652" s="1" t="n">
        <v>45798</v>
      </c>
      <c r="D9652" t="inlineStr">
        <is>
          <t>NORRBOTTENS LÄN</t>
        </is>
      </c>
      <c r="E9652" t="inlineStr">
        <is>
          <t>KALIX</t>
        </is>
      </c>
      <c r="F9652" t="inlineStr">
        <is>
          <t>SCA</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45263-2024</t>
        </is>
      </c>
      <c r="B9653" s="1" t="n">
        <v>45576</v>
      </c>
      <c r="C9653" s="1" t="n">
        <v>45798</v>
      </c>
      <c r="D9653" t="inlineStr">
        <is>
          <t>NORRBOTTENS LÄN</t>
        </is>
      </c>
      <c r="E9653" t="inlineStr">
        <is>
          <t>LULEÅ</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45265-2024</t>
        </is>
      </c>
      <c r="B9654" s="1" t="n">
        <v>45576</v>
      </c>
      <c r="C9654" s="1" t="n">
        <v>45798</v>
      </c>
      <c r="D9654" t="inlineStr">
        <is>
          <t>NORRBOTTENS LÄN</t>
        </is>
      </c>
      <c r="E9654" t="inlineStr">
        <is>
          <t>LULEÅ</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45491-2024</t>
        </is>
      </c>
      <c r="B9655" s="1" t="n">
        <v>45577</v>
      </c>
      <c r="C9655" s="1" t="n">
        <v>45798</v>
      </c>
      <c r="D9655" t="inlineStr">
        <is>
          <t>NORRBOTTENS LÄN</t>
        </is>
      </c>
      <c r="E9655" t="inlineStr">
        <is>
          <t>PITEÅ</t>
        </is>
      </c>
      <c r="F9655" t="inlineStr">
        <is>
          <t>SCA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45492-2024</t>
        </is>
      </c>
      <c r="B9656" s="1" t="n">
        <v>45577</v>
      </c>
      <c r="C9656" s="1" t="n">
        <v>45798</v>
      </c>
      <c r="D9656" t="inlineStr">
        <is>
          <t>NORRBOTTENS LÄN</t>
        </is>
      </c>
      <c r="E9656" t="inlineStr">
        <is>
          <t>PITEÅ</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45524-2024</t>
        </is>
      </c>
      <c r="B9657" s="1" t="n">
        <v>45578</v>
      </c>
      <c r="C9657" s="1" t="n">
        <v>45798</v>
      </c>
      <c r="D9657" t="inlineStr">
        <is>
          <t>NORRBOTTENS LÄN</t>
        </is>
      </c>
      <c r="E9657" t="inlineStr">
        <is>
          <t>PITEÅ</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45715-2024</t>
        </is>
      </c>
      <c r="B9658" s="1" t="n">
        <v>45579</v>
      </c>
      <c r="C9658" s="1" t="n">
        <v>45798</v>
      </c>
      <c r="D9658" t="inlineStr">
        <is>
          <t>NORRBOTTENS LÄN</t>
        </is>
      </c>
      <c r="E9658" t="inlineStr">
        <is>
          <t>PITEÅ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45719-2024</t>
        </is>
      </c>
      <c r="B9659" s="1" t="n">
        <v>45579</v>
      </c>
      <c r="C9659" s="1" t="n">
        <v>45798</v>
      </c>
      <c r="D9659" t="inlineStr">
        <is>
          <t>NORRBOTTENS LÄN</t>
        </is>
      </c>
      <c r="E9659" t="inlineStr">
        <is>
          <t>PITEÅ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45776-2024</t>
        </is>
      </c>
      <c r="B9660" s="1" t="n">
        <v>45579</v>
      </c>
      <c r="C9660" s="1" t="n">
        <v>45798</v>
      </c>
      <c r="D9660" t="inlineStr">
        <is>
          <t>NORRBOTTENS LÄN</t>
        </is>
      </c>
      <c r="E9660" t="inlineStr">
        <is>
          <t>PITEÅ</t>
        </is>
      </c>
      <c r="F9660" t="inlineStr">
        <is>
          <t>Övriga Aktiebolag</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45662-2024</t>
        </is>
      </c>
      <c r="B9661" s="1" t="n">
        <v>45579</v>
      </c>
      <c r="C9661" s="1" t="n">
        <v>45798</v>
      </c>
      <c r="D9661" t="inlineStr">
        <is>
          <t>NORRBOTTENS LÄN</t>
        </is>
      </c>
      <c r="E9661" t="inlineStr">
        <is>
          <t>PAJALA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45654-2024</t>
        </is>
      </c>
      <c r="B9662" s="1" t="n">
        <v>45579</v>
      </c>
      <c r="C9662" s="1" t="n">
        <v>45798</v>
      </c>
      <c r="D9662" t="inlineStr">
        <is>
          <t>NORRBOTTENS LÄN</t>
        </is>
      </c>
      <c r="E9662" t="inlineStr">
        <is>
          <t>GÄLLIVARE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45725-2024</t>
        </is>
      </c>
      <c r="B9663" s="1" t="n">
        <v>45579</v>
      </c>
      <c r="C9663" s="1" t="n">
        <v>45798</v>
      </c>
      <c r="D9663" t="inlineStr">
        <is>
          <t>NORRBOTTENS LÄN</t>
        </is>
      </c>
      <c r="E9663" t="inlineStr">
        <is>
          <t>PITEÅ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45713-2024</t>
        </is>
      </c>
      <c r="B9664" s="1" t="n">
        <v>45579</v>
      </c>
      <c r="C9664" s="1" t="n">
        <v>45798</v>
      </c>
      <c r="D9664" t="inlineStr">
        <is>
          <t>NORRBOTTENS LÄN</t>
        </is>
      </c>
      <c r="E9664" t="inlineStr">
        <is>
          <t>PITEÅ</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45561-2024</t>
        </is>
      </c>
      <c r="B9665" s="1" t="n">
        <v>45579</v>
      </c>
      <c r="C9665" s="1" t="n">
        <v>45798</v>
      </c>
      <c r="D9665" t="inlineStr">
        <is>
          <t>NORRBOTTENS LÄN</t>
        </is>
      </c>
      <c r="E9665" t="inlineStr">
        <is>
          <t>ÖVERTORNEÅ</t>
        </is>
      </c>
      <c r="F9665" t="inlineStr">
        <is>
          <t>Sveaskog</t>
        </is>
      </c>
      <c r="G9665" t="n">
        <v>22.8</v>
      </c>
      <c r="H9665" t="n">
        <v>0</v>
      </c>
      <c r="I9665" t="n">
        <v>0</v>
      </c>
      <c r="J9665" t="n">
        <v>0</v>
      </c>
      <c r="K9665" t="n">
        <v>0</v>
      </c>
      <c r="L9665" t="n">
        <v>0</v>
      </c>
      <c r="M9665" t="n">
        <v>0</v>
      </c>
      <c r="N9665" t="n">
        <v>0</v>
      </c>
      <c r="O9665" t="n">
        <v>0</v>
      </c>
      <c r="P9665" t="n">
        <v>0</v>
      </c>
      <c r="Q9665" t="n">
        <v>0</v>
      </c>
      <c r="R9665" s="2" t="inlineStr"/>
    </row>
    <row r="9666" ht="15" customHeight="1">
      <c r="A9666" t="inlineStr">
        <is>
          <t>A 45611-2024</t>
        </is>
      </c>
      <c r="B9666" s="1" t="n">
        <v>45579</v>
      </c>
      <c r="C9666" s="1" t="n">
        <v>45798</v>
      </c>
      <c r="D9666" t="inlineStr">
        <is>
          <t>NORRBOTTENS LÄN</t>
        </is>
      </c>
      <c r="E9666" t="inlineStr">
        <is>
          <t>ARVIDSJAUR</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45587-2024</t>
        </is>
      </c>
      <c r="B9667" s="1" t="n">
        <v>45579</v>
      </c>
      <c r="C9667" s="1" t="n">
        <v>45798</v>
      </c>
      <c r="D9667" t="inlineStr">
        <is>
          <t>NORRBOTTENS LÄN</t>
        </is>
      </c>
      <c r="E9667" t="inlineStr">
        <is>
          <t>HAPARANDA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45808-2024</t>
        </is>
      </c>
      <c r="B9668" s="1" t="n">
        <v>45579</v>
      </c>
      <c r="C9668" s="1" t="n">
        <v>45798</v>
      </c>
      <c r="D9668" t="inlineStr">
        <is>
          <t>NORRBOTTENS LÄN</t>
        </is>
      </c>
      <c r="E9668" t="inlineStr">
        <is>
          <t>ÄLVSBYN</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45767-2024</t>
        </is>
      </c>
      <c r="B9669" s="1" t="n">
        <v>45579</v>
      </c>
      <c r="C9669" s="1" t="n">
        <v>45798</v>
      </c>
      <c r="D9669" t="inlineStr">
        <is>
          <t>NORRBOTTENS LÄN</t>
        </is>
      </c>
      <c r="E9669" t="inlineStr">
        <is>
          <t>PITEÅ</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45698-2024</t>
        </is>
      </c>
      <c r="B9670" s="1" t="n">
        <v>45579</v>
      </c>
      <c r="C9670" s="1" t="n">
        <v>45798</v>
      </c>
      <c r="D9670" t="inlineStr">
        <is>
          <t>NORRBOTTENS LÄN</t>
        </is>
      </c>
      <c r="E9670" t="inlineStr">
        <is>
          <t>ÖVERTORNEÅ</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45786-2024</t>
        </is>
      </c>
      <c r="B9671" s="1" t="n">
        <v>45579</v>
      </c>
      <c r="C9671" s="1" t="n">
        <v>45798</v>
      </c>
      <c r="D9671" t="inlineStr">
        <is>
          <t>NORRBOTTENS LÄN</t>
        </is>
      </c>
      <c r="E9671" t="inlineStr">
        <is>
          <t>PITEÅ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45794-2024</t>
        </is>
      </c>
      <c r="B9672" s="1" t="n">
        <v>45579</v>
      </c>
      <c r="C9672" s="1" t="n">
        <v>45798</v>
      </c>
      <c r="D9672" t="inlineStr">
        <is>
          <t>NORRBOTTENS LÄN</t>
        </is>
      </c>
      <c r="E9672" t="inlineStr">
        <is>
          <t>ARVIDSJAUR</t>
        </is>
      </c>
      <c r="F9672" t="inlineStr">
        <is>
          <t>Sveaskog</t>
        </is>
      </c>
      <c r="G9672" t="n">
        <v>37.7</v>
      </c>
      <c r="H9672" t="n">
        <v>0</v>
      </c>
      <c r="I9672" t="n">
        <v>0</v>
      </c>
      <c r="J9672" t="n">
        <v>0</v>
      </c>
      <c r="K9672" t="n">
        <v>0</v>
      </c>
      <c r="L9672" t="n">
        <v>0</v>
      </c>
      <c r="M9672" t="n">
        <v>0</v>
      </c>
      <c r="N9672" t="n">
        <v>0</v>
      </c>
      <c r="O9672" t="n">
        <v>0</v>
      </c>
      <c r="P9672" t="n">
        <v>0</v>
      </c>
      <c r="Q9672" t="n">
        <v>0</v>
      </c>
      <c r="R9672" s="2" t="inlineStr"/>
    </row>
    <row r="9673" ht="15" customHeight="1">
      <c r="A9673" t="inlineStr">
        <is>
          <t>A 45798-2024</t>
        </is>
      </c>
      <c r="B9673" s="1" t="n">
        <v>45579</v>
      </c>
      <c r="C9673" s="1" t="n">
        <v>45798</v>
      </c>
      <c r="D9673" t="inlineStr">
        <is>
          <t>NORRBOTTENS LÄN</t>
        </is>
      </c>
      <c r="E9673" t="inlineStr">
        <is>
          <t>PITEÅ</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45732-2024</t>
        </is>
      </c>
      <c r="B9674" s="1" t="n">
        <v>45579</v>
      </c>
      <c r="C9674" s="1" t="n">
        <v>45798</v>
      </c>
      <c r="D9674" t="inlineStr">
        <is>
          <t>NORRBOTTENS LÄN</t>
        </is>
      </c>
      <c r="E9674" t="inlineStr">
        <is>
          <t>PITEÅ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45728-2024</t>
        </is>
      </c>
      <c r="B9675" s="1" t="n">
        <v>45579</v>
      </c>
      <c r="C9675" s="1" t="n">
        <v>45798</v>
      </c>
      <c r="D9675" t="inlineStr">
        <is>
          <t>NORRBOTTENS LÄN</t>
        </is>
      </c>
      <c r="E9675" t="inlineStr">
        <is>
          <t>PITEÅ</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45724-2024</t>
        </is>
      </c>
      <c r="B9676" s="1" t="n">
        <v>45579</v>
      </c>
      <c r="C9676" s="1" t="n">
        <v>45798</v>
      </c>
      <c r="D9676" t="inlineStr">
        <is>
          <t>NORRBOTTENS LÄN</t>
        </is>
      </c>
      <c r="E9676" t="inlineStr">
        <is>
          <t>ÄLVSBYN</t>
        </is>
      </c>
      <c r="F9676" t="inlineStr">
        <is>
          <t>SCA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45655-2024</t>
        </is>
      </c>
      <c r="B9677" s="1" t="n">
        <v>45579</v>
      </c>
      <c r="C9677" s="1" t="n">
        <v>45798</v>
      </c>
      <c r="D9677" t="inlineStr">
        <is>
          <t>NORRBOTTENS LÄN</t>
        </is>
      </c>
      <c r="E9677" t="inlineStr">
        <is>
          <t>PAJALA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45597-2024</t>
        </is>
      </c>
      <c r="B9678" s="1" t="n">
        <v>45579</v>
      </c>
      <c r="C9678" s="1" t="n">
        <v>45798</v>
      </c>
      <c r="D9678" t="inlineStr">
        <is>
          <t>NORRBOTTENS LÄN</t>
        </is>
      </c>
      <c r="E9678" t="inlineStr">
        <is>
          <t>PAJALA</t>
        </is>
      </c>
      <c r="F9678" t="inlineStr">
        <is>
          <t>Sveaskog</t>
        </is>
      </c>
      <c r="G9678" t="n">
        <v>21.8</v>
      </c>
      <c r="H9678" t="n">
        <v>0</v>
      </c>
      <c r="I9678" t="n">
        <v>0</v>
      </c>
      <c r="J9678" t="n">
        <v>0</v>
      </c>
      <c r="K9678" t="n">
        <v>0</v>
      </c>
      <c r="L9678" t="n">
        <v>0</v>
      </c>
      <c r="M9678" t="n">
        <v>0</v>
      </c>
      <c r="N9678" t="n">
        <v>0</v>
      </c>
      <c r="O9678" t="n">
        <v>0</v>
      </c>
      <c r="P9678" t="n">
        <v>0</v>
      </c>
      <c r="Q9678" t="n">
        <v>0</v>
      </c>
      <c r="R9678" s="2" t="inlineStr"/>
    </row>
    <row r="9679" ht="15" customHeight="1">
      <c r="A9679" t="inlineStr">
        <is>
          <t>A 45575-2024</t>
        </is>
      </c>
      <c r="B9679" s="1" t="n">
        <v>45579</v>
      </c>
      <c r="C9679" s="1" t="n">
        <v>45798</v>
      </c>
      <c r="D9679" t="inlineStr">
        <is>
          <t>NORRBOTTENS LÄN</t>
        </is>
      </c>
      <c r="E9679" t="inlineStr">
        <is>
          <t>HAPARANDA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45857-2024</t>
        </is>
      </c>
      <c r="B9680" s="1" t="n">
        <v>45580</v>
      </c>
      <c r="C9680" s="1" t="n">
        <v>45798</v>
      </c>
      <c r="D9680" t="inlineStr">
        <is>
          <t>NORRBOTTENS LÄN</t>
        </is>
      </c>
      <c r="E9680" t="inlineStr">
        <is>
          <t>LULEÅ</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45851-2024</t>
        </is>
      </c>
      <c r="B9681" s="1" t="n">
        <v>45580</v>
      </c>
      <c r="C9681" s="1" t="n">
        <v>45798</v>
      </c>
      <c r="D9681" t="inlineStr">
        <is>
          <t>NORRBOTTENS LÄN</t>
        </is>
      </c>
      <c r="E9681" t="inlineStr">
        <is>
          <t>PITEÅ</t>
        </is>
      </c>
      <c r="F9681" t="inlineStr">
        <is>
          <t>SCA</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46016-2024</t>
        </is>
      </c>
      <c r="B9682" s="1" t="n">
        <v>45580</v>
      </c>
      <c r="C9682" s="1" t="n">
        <v>45798</v>
      </c>
      <c r="D9682" t="inlineStr">
        <is>
          <t>NORRBOTTENS LÄN</t>
        </is>
      </c>
      <c r="E9682" t="inlineStr">
        <is>
          <t>PAJALA</t>
        </is>
      </c>
      <c r="G9682" t="n">
        <v>21.1</v>
      </c>
      <c r="H9682" t="n">
        <v>0</v>
      </c>
      <c r="I9682" t="n">
        <v>0</v>
      </c>
      <c r="J9682" t="n">
        <v>0</v>
      </c>
      <c r="K9682" t="n">
        <v>0</v>
      </c>
      <c r="L9682" t="n">
        <v>0</v>
      </c>
      <c r="M9682" t="n">
        <v>0</v>
      </c>
      <c r="N9682" t="n">
        <v>0</v>
      </c>
      <c r="O9682" t="n">
        <v>0</v>
      </c>
      <c r="P9682" t="n">
        <v>0</v>
      </c>
      <c r="Q9682" t="n">
        <v>0</v>
      </c>
      <c r="R9682" s="2" t="inlineStr"/>
    </row>
    <row r="9683" ht="15" customHeight="1">
      <c r="A9683" t="inlineStr">
        <is>
          <t>A 46024-2024</t>
        </is>
      </c>
      <c r="B9683" s="1" t="n">
        <v>45580</v>
      </c>
      <c r="C9683" s="1" t="n">
        <v>45798</v>
      </c>
      <c r="D9683" t="inlineStr">
        <is>
          <t>NORRBOTTENS LÄN</t>
        </is>
      </c>
      <c r="E9683" t="inlineStr">
        <is>
          <t>ÖVERTORNEÅ</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45949-2024</t>
        </is>
      </c>
      <c r="B9684" s="1" t="n">
        <v>45580</v>
      </c>
      <c r="C9684" s="1" t="n">
        <v>45798</v>
      </c>
      <c r="D9684" t="inlineStr">
        <is>
          <t>NORRBOTTENS LÄN</t>
        </is>
      </c>
      <c r="E9684" t="inlineStr">
        <is>
          <t>ÄLVSBYN</t>
        </is>
      </c>
      <c r="G9684" t="n">
        <v>15.2</v>
      </c>
      <c r="H9684" t="n">
        <v>0</v>
      </c>
      <c r="I9684" t="n">
        <v>0</v>
      </c>
      <c r="J9684" t="n">
        <v>0</v>
      </c>
      <c r="K9684" t="n">
        <v>0</v>
      </c>
      <c r="L9684" t="n">
        <v>0</v>
      </c>
      <c r="M9684" t="n">
        <v>0</v>
      </c>
      <c r="N9684" t="n">
        <v>0</v>
      </c>
      <c r="O9684" t="n">
        <v>0</v>
      </c>
      <c r="P9684" t="n">
        <v>0</v>
      </c>
      <c r="Q9684" t="n">
        <v>0</v>
      </c>
      <c r="R9684" s="2" t="inlineStr"/>
    </row>
    <row r="9685" ht="15" customHeight="1">
      <c r="A9685" t="inlineStr">
        <is>
          <t>A 46018-2024</t>
        </is>
      </c>
      <c r="B9685" s="1" t="n">
        <v>45580</v>
      </c>
      <c r="C9685" s="1" t="n">
        <v>45798</v>
      </c>
      <c r="D9685" t="inlineStr">
        <is>
          <t>NORRBOTTENS LÄN</t>
        </is>
      </c>
      <c r="E9685" t="inlineStr">
        <is>
          <t>PAJALA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46022-2024</t>
        </is>
      </c>
      <c r="B9686" s="1" t="n">
        <v>45580</v>
      </c>
      <c r="C9686" s="1" t="n">
        <v>45798</v>
      </c>
      <c r="D9686" t="inlineStr">
        <is>
          <t>NORRBOTTENS LÄN</t>
        </is>
      </c>
      <c r="E9686" t="inlineStr">
        <is>
          <t>PAJALA</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46013-2024</t>
        </is>
      </c>
      <c r="B9687" s="1" t="n">
        <v>45580</v>
      </c>
      <c r="C9687" s="1" t="n">
        <v>45798</v>
      </c>
      <c r="D9687" t="inlineStr">
        <is>
          <t>NORRBOTTENS LÄN</t>
        </is>
      </c>
      <c r="E9687" t="inlineStr">
        <is>
          <t>PAJALA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46017-2024</t>
        </is>
      </c>
      <c r="B9688" s="1" t="n">
        <v>45580</v>
      </c>
      <c r="C9688" s="1" t="n">
        <v>45798</v>
      </c>
      <c r="D9688" t="inlineStr">
        <is>
          <t>NORRBOTTENS LÄN</t>
        </is>
      </c>
      <c r="E9688" t="inlineStr">
        <is>
          <t>PAJALA</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46025-2024</t>
        </is>
      </c>
      <c r="B9689" s="1" t="n">
        <v>45580</v>
      </c>
      <c r="C9689" s="1" t="n">
        <v>45798</v>
      </c>
      <c r="D9689" t="inlineStr">
        <is>
          <t>NORRBOTTENS LÄN</t>
        </is>
      </c>
      <c r="E9689" t="inlineStr">
        <is>
          <t>PAJALA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45914-2024</t>
        </is>
      </c>
      <c r="B9690" s="1" t="n">
        <v>45580</v>
      </c>
      <c r="C9690" s="1" t="n">
        <v>45798</v>
      </c>
      <c r="D9690" t="inlineStr">
        <is>
          <t>NORRBOTTENS LÄN</t>
        </is>
      </c>
      <c r="E9690" t="inlineStr">
        <is>
          <t>PAJALA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46011-2024</t>
        </is>
      </c>
      <c r="B9691" s="1" t="n">
        <v>45580</v>
      </c>
      <c r="C9691" s="1" t="n">
        <v>45798</v>
      </c>
      <c r="D9691" t="inlineStr">
        <is>
          <t>NORRBOTTENS LÄN</t>
        </is>
      </c>
      <c r="E9691" t="inlineStr">
        <is>
          <t>PAJALA</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46027-2024</t>
        </is>
      </c>
      <c r="B9692" s="1" t="n">
        <v>45580</v>
      </c>
      <c r="C9692" s="1" t="n">
        <v>45798</v>
      </c>
      <c r="D9692" t="inlineStr">
        <is>
          <t>NORRBOTTENS LÄN</t>
        </is>
      </c>
      <c r="E9692" t="inlineStr">
        <is>
          <t>PAJALA</t>
        </is>
      </c>
      <c r="G9692" t="n">
        <v>21.1</v>
      </c>
      <c r="H9692" t="n">
        <v>0</v>
      </c>
      <c r="I9692" t="n">
        <v>0</v>
      </c>
      <c r="J9692" t="n">
        <v>0</v>
      </c>
      <c r="K9692" t="n">
        <v>0</v>
      </c>
      <c r="L9692" t="n">
        <v>0</v>
      </c>
      <c r="M9692" t="n">
        <v>0</v>
      </c>
      <c r="N9692" t="n">
        <v>0</v>
      </c>
      <c r="O9692" t="n">
        <v>0</v>
      </c>
      <c r="P9692" t="n">
        <v>0</v>
      </c>
      <c r="Q9692" t="n">
        <v>0</v>
      </c>
      <c r="R9692" s="2" t="inlineStr"/>
    </row>
    <row r="9693" ht="15" customHeight="1">
      <c r="A9693" t="inlineStr">
        <is>
          <t>A 46169-2024</t>
        </is>
      </c>
      <c r="B9693" s="1" t="n">
        <v>45581</v>
      </c>
      <c r="C9693" s="1" t="n">
        <v>45798</v>
      </c>
      <c r="D9693" t="inlineStr">
        <is>
          <t>NORRBOTTENS LÄN</t>
        </is>
      </c>
      <c r="E9693" t="inlineStr">
        <is>
          <t>PAJALA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46296-2024</t>
        </is>
      </c>
      <c r="B9694" s="1" t="n">
        <v>45581</v>
      </c>
      <c r="C9694" s="1" t="n">
        <v>45798</v>
      </c>
      <c r="D9694" t="inlineStr">
        <is>
          <t>NORRBOTTENS LÄN</t>
        </is>
      </c>
      <c r="E9694" t="inlineStr">
        <is>
          <t>HAPARANDA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46163-2024</t>
        </is>
      </c>
      <c r="B9695" s="1" t="n">
        <v>45581</v>
      </c>
      <c r="C9695" s="1" t="n">
        <v>45798</v>
      </c>
      <c r="D9695" t="inlineStr">
        <is>
          <t>NORRBOTTENS LÄN</t>
        </is>
      </c>
      <c r="E9695" t="inlineStr">
        <is>
          <t>JOKKMOKK</t>
        </is>
      </c>
      <c r="G9695" t="n">
        <v>37.1</v>
      </c>
      <c r="H9695" t="n">
        <v>0</v>
      </c>
      <c r="I9695" t="n">
        <v>0</v>
      </c>
      <c r="J9695" t="n">
        <v>0</v>
      </c>
      <c r="K9695" t="n">
        <v>0</v>
      </c>
      <c r="L9695" t="n">
        <v>0</v>
      </c>
      <c r="M9695" t="n">
        <v>0</v>
      </c>
      <c r="N9695" t="n">
        <v>0</v>
      </c>
      <c r="O9695" t="n">
        <v>0</v>
      </c>
      <c r="P9695" t="n">
        <v>0</v>
      </c>
      <c r="Q9695" t="n">
        <v>0</v>
      </c>
      <c r="R9695" s="2" t="inlineStr"/>
    </row>
    <row r="9696" ht="15" customHeight="1">
      <c r="A9696" t="inlineStr">
        <is>
          <t>A 46301-2024</t>
        </is>
      </c>
      <c r="B9696" s="1" t="n">
        <v>45581</v>
      </c>
      <c r="C9696" s="1" t="n">
        <v>45798</v>
      </c>
      <c r="D9696" t="inlineStr">
        <is>
          <t>NORRBOTTENS LÄN</t>
        </is>
      </c>
      <c r="E9696" t="inlineStr">
        <is>
          <t>HAPARANDA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46104-2024</t>
        </is>
      </c>
      <c r="B9697" s="1" t="n">
        <v>45581</v>
      </c>
      <c r="C9697" s="1" t="n">
        <v>45798</v>
      </c>
      <c r="D9697" t="inlineStr">
        <is>
          <t>NORRBOTTENS LÄN</t>
        </is>
      </c>
      <c r="E9697" t="inlineStr">
        <is>
          <t>KALIX</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46410-2024</t>
        </is>
      </c>
      <c r="B9698" s="1" t="n">
        <v>45582</v>
      </c>
      <c r="C9698" s="1" t="n">
        <v>45798</v>
      </c>
      <c r="D9698" t="inlineStr">
        <is>
          <t>NORRBOTTENS LÄN</t>
        </is>
      </c>
      <c r="E9698" t="inlineStr">
        <is>
          <t>PITEÅ</t>
        </is>
      </c>
      <c r="F9698" t="inlineStr">
        <is>
          <t>Sveaskog</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46385-2024</t>
        </is>
      </c>
      <c r="B9699" s="1" t="n">
        <v>45582</v>
      </c>
      <c r="C9699" s="1" t="n">
        <v>45798</v>
      </c>
      <c r="D9699" t="inlineStr">
        <is>
          <t>NORRBOTTENS LÄN</t>
        </is>
      </c>
      <c r="E9699" t="inlineStr">
        <is>
          <t>LULEÅ</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46357-2024</t>
        </is>
      </c>
      <c r="B9700" s="1" t="n">
        <v>45582</v>
      </c>
      <c r="C9700" s="1" t="n">
        <v>45798</v>
      </c>
      <c r="D9700" t="inlineStr">
        <is>
          <t>NORRBOTTENS LÄN</t>
        </is>
      </c>
      <c r="E9700" t="inlineStr">
        <is>
          <t>ÖVERTORNEÅ</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46443-2024</t>
        </is>
      </c>
      <c r="B9701" s="1" t="n">
        <v>45582</v>
      </c>
      <c r="C9701" s="1" t="n">
        <v>45798</v>
      </c>
      <c r="D9701" t="inlineStr">
        <is>
          <t>NORRBOTTENS LÄN</t>
        </is>
      </c>
      <c r="E9701" t="inlineStr">
        <is>
          <t>ARVIDSJAUR</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46382-2024</t>
        </is>
      </c>
      <c r="B9702" s="1" t="n">
        <v>45582</v>
      </c>
      <c r="C9702" s="1" t="n">
        <v>45798</v>
      </c>
      <c r="D9702" t="inlineStr">
        <is>
          <t>NORRBOTTENS LÄN</t>
        </is>
      </c>
      <c r="E9702" t="inlineStr">
        <is>
          <t>LULEÅ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46378-2024</t>
        </is>
      </c>
      <c r="B9703" s="1" t="n">
        <v>45582</v>
      </c>
      <c r="C9703" s="1" t="n">
        <v>45798</v>
      </c>
      <c r="D9703" t="inlineStr">
        <is>
          <t>NORRBOTTENS LÄN</t>
        </is>
      </c>
      <c r="E9703" t="inlineStr">
        <is>
          <t>LULEÅ</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46374-2024</t>
        </is>
      </c>
      <c r="B9704" s="1" t="n">
        <v>45582</v>
      </c>
      <c r="C9704" s="1" t="n">
        <v>45798</v>
      </c>
      <c r="D9704" t="inlineStr">
        <is>
          <t>NORRBOTTENS LÄN</t>
        </is>
      </c>
      <c r="E9704" t="inlineStr">
        <is>
          <t>LULEÅ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46586-2024</t>
        </is>
      </c>
      <c r="B9705" s="1" t="n">
        <v>45582</v>
      </c>
      <c r="C9705" s="1" t="n">
        <v>45798</v>
      </c>
      <c r="D9705" t="inlineStr">
        <is>
          <t>NORRBOTTENS LÄN</t>
        </is>
      </c>
      <c r="E9705" t="inlineStr">
        <is>
          <t>KALIX</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46371-2024</t>
        </is>
      </c>
      <c r="B9706" s="1" t="n">
        <v>45582</v>
      </c>
      <c r="C9706" s="1" t="n">
        <v>45798</v>
      </c>
      <c r="D9706" t="inlineStr">
        <is>
          <t>NORRBOTTENS LÄN</t>
        </is>
      </c>
      <c r="E9706" t="inlineStr">
        <is>
          <t>LULEÅ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46367-2024</t>
        </is>
      </c>
      <c r="B9707" s="1" t="n">
        <v>45582</v>
      </c>
      <c r="C9707" s="1" t="n">
        <v>45798</v>
      </c>
      <c r="D9707" t="inlineStr">
        <is>
          <t>NORRBOTTENS LÄN</t>
        </is>
      </c>
      <c r="E9707" t="inlineStr">
        <is>
          <t>BODEN</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46585-2024</t>
        </is>
      </c>
      <c r="B9708" s="1" t="n">
        <v>45582</v>
      </c>
      <c r="C9708" s="1" t="n">
        <v>45798</v>
      </c>
      <c r="D9708" t="inlineStr">
        <is>
          <t>NORRBOTTENS LÄN</t>
        </is>
      </c>
      <c r="E9708" t="inlineStr">
        <is>
          <t>KALIX</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46635-2024</t>
        </is>
      </c>
      <c r="B9709" s="1" t="n">
        <v>45583</v>
      </c>
      <c r="C9709" s="1" t="n">
        <v>45798</v>
      </c>
      <c r="D9709" t="inlineStr">
        <is>
          <t>NORRBOTTENS LÄN</t>
        </is>
      </c>
      <c r="E9709" t="inlineStr">
        <is>
          <t>KALIX</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46752-2024</t>
        </is>
      </c>
      <c r="B9710" s="1" t="n">
        <v>45583</v>
      </c>
      <c r="C9710" s="1" t="n">
        <v>45798</v>
      </c>
      <c r="D9710" t="inlineStr">
        <is>
          <t>NORRBOTTENS LÄN</t>
        </is>
      </c>
      <c r="E9710" t="inlineStr">
        <is>
          <t>KALIX</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46760-2024</t>
        </is>
      </c>
      <c r="B9711" s="1" t="n">
        <v>45583</v>
      </c>
      <c r="C9711" s="1" t="n">
        <v>45798</v>
      </c>
      <c r="D9711" t="inlineStr">
        <is>
          <t>NORRBOTTENS LÄN</t>
        </is>
      </c>
      <c r="E9711" t="inlineStr">
        <is>
          <t>PAJALA</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46764-2024</t>
        </is>
      </c>
      <c r="B9712" s="1" t="n">
        <v>45583</v>
      </c>
      <c r="C9712" s="1" t="n">
        <v>45798</v>
      </c>
      <c r="D9712" t="inlineStr">
        <is>
          <t>NORRBOTTENS LÄN</t>
        </is>
      </c>
      <c r="E9712" t="inlineStr">
        <is>
          <t>PAJALA</t>
        </is>
      </c>
      <c r="F9712" t="inlineStr">
        <is>
          <t>SCA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46784-2024</t>
        </is>
      </c>
      <c r="B9713" s="1" t="n">
        <v>45583</v>
      </c>
      <c r="C9713" s="1" t="n">
        <v>45798</v>
      </c>
      <c r="D9713" t="inlineStr">
        <is>
          <t>NORRBOTTENS LÄN</t>
        </is>
      </c>
      <c r="E9713" t="inlineStr">
        <is>
          <t>ÄLVSBYN</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46684-2024</t>
        </is>
      </c>
      <c r="B9714" s="1" t="n">
        <v>45583</v>
      </c>
      <c r="C9714" s="1" t="n">
        <v>45798</v>
      </c>
      <c r="D9714" t="inlineStr">
        <is>
          <t>NORRBOTTENS LÄN</t>
        </is>
      </c>
      <c r="E9714" t="inlineStr">
        <is>
          <t>BODEN</t>
        </is>
      </c>
      <c r="F9714" t="inlineStr">
        <is>
          <t>Sveaskog</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46820-2024</t>
        </is>
      </c>
      <c r="B9715" s="1" t="n">
        <v>45583</v>
      </c>
      <c r="C9715" s="1" t="n">
        <v>45798</v>
      </c>
      <c r="D9715" t="inlineStr">
        <is>
          <t>NORRBOTTENS LÄN</t>
        </is>
      </c>
      <c r="E9715" t="inlineStr">
        <is>
          <t>PAJALA</t>
        </is>
      </c>
      <c r="F9715" t="inlineStr">
        <is>
          <t>Sveaskog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46844-2024</t>
        </is>
      </c>
      <c r="B9716" s="1" t="n">
        <v>45583</v>
      </c>
      <c r="C9716" s="1" t="n">
        <v>45798</v>
      </c>
      <c r="D9716" t="inlineStr">
        <is>
          <t>NORRBOTTENS LÄN</t>
        </is>
      </c>
      <c r="E9716" t="inlineStr">
        <is>
          <t>BODEN</t>
        </is>
      </c>
      <c r="G9716" t="n">
        <v>12.9</v>
      </c>
      <c r="H9716" t="n">
        <v>0</v>
      </c>
      <c r="I9716" t="n">
        <v>0</v>
      </c>
      <c r="J9716" t="n">
        <v>0</v>
      </c>
      <c r="K9716" t="n">
        <v>0</v>
      </c>
      <c r="L9716" t="n">
        <v>0</v>
      </c>
      <c r="M9716" t="n">
        <v>0</v>
      </c>
      <c r="N9716" t="n">
        <v>0</v>
      </c>
      <c r="O9716" t="n">
        <v>0</v>
      </c>
      <c r="P9716" t="n">
        <v>0</v>
      </c>
      <c r="Q9716" t="n">
        <v>0</v>
      </c>
      <c r="R9716" s="2" t="inlineStr"/>
    </row>
    <row r="9717" ht="15" customHeight="1">
      <c r="A9717" t="inlineStr">
        <is>
          <t>A 46910-2024</t>
        </is>
      </c>
      <c r="B9717" s="1" t="n">
        <v>45583</v>
      </c>
      <c r="C9717" s="1" t="n">
        <v>45798</v>
      </c>
      <c r="D9717" t="inlineStr">
        <is>
          <t>NORRBOTTENS LÄN</t>
        </is>
      </c>
      <c r="E9717" t="inlineStr">
        <is>
          <t>ARJEPLOG</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46838-2024</t>
        </is>
      </c>
      <c r="B9718" s="1" t="n">
        <v>45583</v>
      </c>
      <c r="C9718" s="1" t="n">
        <v>45798</v>
      </c>
      <c r="D9718" t="inlineStr">
        <is>
          <t>NORRBOTTENS LÄN</t>
        </is>
      </c>
      <c r="E9718" t="inlineStr">
        <is>
          <t>ÄLVSBYN</t>
        </is>
      </c>
      <c r="F9718" t="inlineStr">
        <is>
          <t>Sveaskog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46830-2024</t>
        </is>
      </c>
      <c r="B9719" s="1" t="n">
        <v>45583</v>
      </c>
      <c r="C9719" s="1" t="n">
        <v>45798</v>
      </c>
      <c r="D9719" t="inlineStr">
        <is>
          <t>NORRBOTTENS LÄN</t>
        </is>
      </c>
      <c r="E9719" t="inlineStr">
        <is>
          <t>PAJALA</t>
        </is>
      </c>
      <c r="F9719" t="inlineStr">
        <is>
          <t>Sveaskog</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46757-2024</t>
        </is>
      </c>
      <c r="B9720" s="1" t="n">
        <v>45583</v>
      </c>
      <c r="C9720" s="1" t="n">
        <v>45798</v>
      </c>
      <c r="D9720" t="inlineStr">
        <is>
          <t>NORRBOTTENS LÄN</t>
        </is>
      </c>
      <c r="E9720" t="inlineStr">
        <is>
          <t>PAJALA</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46769-2024</t>
        </is>
      </c>
      <c r="B9721" s="1" t="n">
        <v>45583</v>
      </c>
      <c r="C9721" s="1" t="n">
        <v>45798</v>
      </c>
      <c r="D9721" t="inlineStr">
        <is>
          <t>NORRBOTTENS LÄN</t>
        </is>
      </c>
      <c r="E9721" t="inlineStr">
        <is>
          <t>PAJALA</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46727-2024</t>
        </is>
      </c>
      <c r="B9722" s="1" t="n">
        <v>45583</v>
      </c>
      <c r="C9722" s="1" t="n">
        <v>45798</v>
      </c>
      <c r="D9722" t="inlineStr">
        <is>
          <t>NORRBOTTENS LÄN</t>
        </is>
      </c>
      <c r="E9722" t="inlineStr">
        <is>
          <t>PITEÅ</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46786-2024</t>
        </is>
      </c>
      <c r="B9723" s="1" t="n">
        <v>45583</v>
      </c>
      <c r="C9723" s="1" t="n">
        <v>45798</v>
      </c>
      <c r="D9723" t="inlineStr">
        <is>
          <t>NORRBOTTENS LÄN</t>
        </is>
      </c>
      <c r="E9723" t="inlineStr">
        <is>
          <t>ÄLVSBYN</t>
        </is>
      </c>
      <c r="F9723" t="inlineStr">
        <is>
          <t>Sveaskog</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46774-2024</t>
        </is>
      </c>
      <c r="B9724" s="1" t="n">
        <v>45583</v>
      </c>
      <c r="C9724" s="1" t="n">
        <v>45798</v>
      </c>
      <c r="D9724" t="inlineStr">
        <is>
          <t>NORRBOTTENS LÄN</t>
        </is>
      </c>
      <c r="E9724" t="inlineStr">
        <is>
          <t>PAJALA</t>
        </is>
      </c>
      <c r="F9724" t="inlineStr">
        <is>
          <t>SCA</t>
        </is>
      </c>
      <c r="G9724" t="n">
        <v>23.4</v>
      </c>
      <c r="H9724" t="n">
        <v>0</v>
      </c>
      <c r="I9724" t="n">
        <v>0</v>
      </c>
      <c r="J9724" t="n">
        <v>0</v>
      </c>
      <c r="K9724" t="n">
        <v>0</v>
      </c>
      <c r="L9724" t="n">
        <v>0</v>
      </c>
      <c r="M9724" t="n">
        <v>0</v>
      </c>
      <c r="N9724" t="n">
        <v>0</v>
      </c>
      <c r="O9724" t="n">
        <v>0</v>
      </c>
      <c r="P9724" t="n">
        <v>0</v>
      </c>
      <c r="Q9724" t="n">
        <v>0</v>
      </c>
      <c r="R9724" s="2" t="inlineStr"/>
    </row>
    <row r="9725" ht="15" customHeight="1">
      <c r="A9725" t="inlineStr">
        <is>
          <t>A 46746-2024</t>
        </is>
      </c>
      <c r="B9725" s="1" t="n">
        <v>45583</v>
      </c>
      <c r="C9725" s="1" t="n">
        <v>45798</v>
      </c>
      <c r="D9725" t="inlineStr">
        <is>
          <t>NORRBOTTENS LÄN</t>
        </is>
      </c>
      <c r="E9725" t="inlineStr">
        <is>
          <t>GÄLLIVARE</t>
        </is>
      </c>
      <c r="F9725" t="inlineStr">
        <is>
          <t>Sveaskog</t>
        </is>
      </c>
      <c r="G9725" t="n">
        <v>13.8</v>
      </c>
      <c r="H9725" t="n">
        <v>0</v>
      </c>
      <c r="I9725" t="n">
        <v>0</v>
      </c>
      <c r="J9725" t="n">
        <v>0</v>
      </c>
      <c r="K9725" t="n">
        <v>0</v>
      </c>
      <c r="L9725" t="n">
        <v>0</v>
      </c>
      <c r="M9725" t="n">
        <v>0</v>
      </c>
      <c r="N9725" t="n">
        <v>0</v>
      </c>
      <c r="O9725" t="n">
        <v>0</v>
      </c>
      <c r="P9725" t="n">
        <v>0</v>
      </c>
      <c r="Q9725" t="n">
        <v>0</v>
      </c>
      <c r="R9725" s="2" t="inlineStr"/>
    </row>
    <row r="9726" ht="15" customHeight="1">
      <c r="A9726" t="inlineStr">
        <is>
          <t>A 46722-2024</t>
        </is>
      </c>
      <c r="B9726" s="1" t="n">
        <v>45583</v>
      </c>
      <c r="C9726" s="1" t="n">
        <v>45798</v>
      </c>
      <c r="D9726" t="inlineStr">
        <is>
          <t>NORRBOTTENS LÄN</t>
        </is>
      </c>
      <c r="E9726" t="inlineStr">
        <is>
          <t>PITEÅ</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46851-2024</t>
        </is>
      </c>
      <c r="B9727" s="1" t="n">
        <v>45583</v>
      </c>
      <c r="C9727" s="1" t="n">
        <v>45798</v>
      </c>
      <c r="D9727" t="inlineStr">
        <is>
          <t>NORRBOTTENS LÄN</t>
        </is>
      </c>
      <c r="E9727" t="inlineStr">
        <is>
          <t>PAJALA</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46869-2024</t>
        </is>
      </c>
      <c r="B9728" s="1" t="n">
        <v>45583</v>
      </c>
      <c r="C9728" s="1" t="n">
        <v>45798</v>
      </c>
      <c r="D9728" t="inlineStr">
        <is>
          <t>NORRBOTTENS LÄN</t>
        </is>
      </c>
      <c r="E9728" t="inlineStr">
        <is>
          <t>LULEÅ</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46901-2024</t>
        </is>
      </c>
      <c r="B9729" s="1" t="n">
        <v>45583</v>
      </c>
      <c r="C9729" s="1" t="n">
        <v>45798</v>
      </c>
      <c r="D9729" t="inlineStr">
        <is>
          <t>NORRBOTTENS LÄN</t>
        </is>
      </c>
      <c r="E9729" t="inlineStr">
        <is>
          <t>BODEN</t>
        </is>
      </c>
      <c r="F9729" t="inlineStr">
        <is>
          <t>SCA</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46900-2024</t>
        </is>
      </c>
      <c r="B9730" s="1" t="n">
        <v>45583</v>
      </c>
      <c r="C9730" s="1" t="n">
        <v>45798</v>
      </c>
      <c r="D9730" t="inlineStr">
        <is>
          <t>NORRBOTTENS LÄN</t>
        </is>
      </c>
      <c r="E9730" t="inlineStr">
        <is>
          <t>BODEN</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46903-2024</t>
        </is>
      </c>
      <c r="B9731" s="1" t="n">
        <v>45583</v>
      </c>
      <c r="C9731" s="1" t="n">
        <v>45798</v>
      </c>
      <c r="D9731" t="inlineStr">
        <is>
          <t>NORRBOTTENS LÄN</t>
        </is>
      </c>
      <c r="E9731" t="inlineStr">
        <is>
          <t>BODEN</t>
        </is>
      </c>
      <c r="F9731" t="inlineStr">
        <is>
          <t>SCA</t>
        </is>
      </c>
      <c r="G9731" t="n">
        <v>21.2</v>
      </c>
      <c r="H9731" t="n">
        <v>0</v>
      </c>
      <c r="I9731" t="n">
        <v>0</v>
      </c>
      <c r="J9731" t="n">
        <v>0</v>
      </c>
      <c r="K9731" t="n">
        <v>0</v>
      </c>
      <c r="L9731" t="n">
        <v>0</v>
      </c>
      <c r="M9731" t="n">
        <v>0</v>
      </c>
      <c r="N9731" t="n">
        <v>0</v>
      </c>
      <c r="O9731" t="n">
        <v>0</v>
      </c>
      <c r="P9731" t="n">
        <v>0</v>
      </c>
      <c r="Q9731" t="n">
        <v>0</v>
      </c>
      <c r="R9731" s="2" t="inlineStr"/>
    </row>
    <row r="9732" ht="15" customHeight="1">
      <c r="A9732" t="inlineStr">
        <is>
          <t>A 46922-2024</t>
        </is>
      </c>
      <c r="B9732" s="1" t="n">
        <v>45584</v>
      </c>
      <c r="C9732" s="1" t="n">
        <v>45798</v>
      </c>
      <c r="D9732" t="inlineStr">
        <is>
          <t>NORRBOTTENS LÄN</t>
        </is>
      </c>
      <c r="E9732" t="inlineStr">
        <is>
          <t>PITEÅ</t>
        </is>
      </c>
      <c r="F9732" t="inlineStr">
        <is>
          <t>SCA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46931-2024</t>
        </is>
      </c>
      <c r="B9733" s="1" t="n">
        <v>45585</v>
      </c>
      <c r="C9733" s="1" t="n">
        <v>45798</v>
      </c>
      <c r="D9733" t="inlineStr">
        <is>
          <t>NORRBOTTENS LÄN</t>
        </is>
      </c>
      <c r="E9733" t="inlineStr">
        <is>
          <t>PITEÅ</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47051-2024</t>
        </is>
      </c>
      <c r="B9734" s="1" t="n">
        <v>45585</v>
      </c>
      <c r="C9734" s="1" t="n">
        <v>45798</v>
      </c>
      <c r="D9734" t="inlineStr">
        <is>
          <t>NORRBOTTENS LÄN</t>
        </is>
      </c>
      <c r="E9734" t="inlineStr">
        <is>
          <t>PAJALA</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46955-2024</t>
        </is>
      </c>
      <c r="B9735" s="1" t="n">
        <v>45585</v>
      </c>
      <c r="C9735" s="1" t="n">
        <v>45798</v>
      </c>
      <c r="D9735" t="inlineStr">
        <is>
          <t>NORRBOTTENS LÄN</t>
        </is>
      </c>
      <c r="E9735" t="inlineStr">
        <is>
          <t>KALIX</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46951-2024</t>
        </is>
      </c>
      <c r="B9736" s="1" t="n">
        <v>45585</v>
      </c>
      <c r="C9736" s="1" t="n">
        <v>45798</v>
      </c>
      <c r="D9736" t="inlineStr">
        <is>
          <t>NORRBOTTENS LÄN</t>
        </is>
      </c>
      <c r="E9736" t="inlineStr">
        <is>
          <t>PAJALA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46953-2024</t>
        </is>
      </c>
      <c r="B9737" s="1" t="n">
        <v>45585</v>
      </c>
      <c r="C9737" s="1" t="n">
        <v>45798</v>
      </c>
      <c r="D9737" t="inlineStr">
        <is>
          <t>NORRBOTTENS LÄN</t>
        </is>
      </c>
      <c r="E9737" t="inlineStr">
        <is>
          <t>PAJALA</t>
        </is>
      </c>
      <c r="G9737" t="n">
        <v>24.2</v>
      </c>
      <c r="H9737" t="n">
        <v>0</v>
      </c>
      <c r="I9737" t="n">
        <v>0</v>
      </c>
      <c r="J9737" t="n">
        <v>0</v>
      </c>
      <c r="K9737" t="n">
        <v>0</v>
      </c>
      <c r="L9737" t="n">
        <v>0</v>
      </c>
      <c r="M9737" t="n">
        <v>0</v>
      </c>
      <c r="N9737" t="n">
        <v>0</v>
      </c>
      <c r="O9737" t="n">
        <v>0</v>
      </c>
      <c r="P9737" t="n">
        <v>0</v>
      </c>
      <c r="Q9737" t="n">
        <v>0</v>
      </c>
      <c r="R9737" s="2" t="inlineStr"/>
    </row>
    <row r="9738" ht="15" customHeight="1">
      <c r="A9738" t="inlineStr">
        <is>
          <t>A 46944-2024</t>
        </is>
      </c>
      <c r="B9738" s="1" t="n">
        <v>45585</v>
      </c>
      <c r="C9738" s="1" t="n">
        <v>45798</v>
      </c>
      <c r="D9738" t="inlineStr">
        <is>
          <t>NORRBOTTENS LÄN</t>
        </is>
      </c>
      <c r="E9738" t="inlineStr">
        <is>
          <t>PITEÅ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46932-2024</t>
        </is>
      </c>
      <c r="B9739" s="1" t="n">
        <v>45585</v>
      </c>
      <c r="C9739" s="1" t="n">
        <v>45798</v>
      </c>
      <c r="D9739" t="inlineStr">
        <is>
          <t>NORRBOTTENS LÄN</t>
        </is>
      </c>
      <c r="E9739" t="inlineStr">
        <is>
          <t>PITEÅ</t>
        </is>
      </c>
      <c r="G9739" t="n">
        <v>7.5</v>
      </c>
      <c r="H9739" t="n">
        <v>0</v>
      </c>
      <c r="I9739" t="n">
        <v>0</v>
      </c>
      <c r="J9739" t="n">
        <v>0</v>
      </c>
      <c r="K9739" t="n">
        <v>0</v>
      </c>
      <c r="L9739" t="n">
        <v>0</v>
      </c>
      <c r="M9739" t="n">
        <v>0</v>
      </c>
      <c r="N9739" t="n">
        <v>0</v>
      </c>
      <c r="O9739" t="n">
        <v>0</v>
      </c>
      <c r="P9739" t="n">
        <v>0</v>
      </c>
      <c r="Q9739" t="n">
        <v>0</v>
      </c>
      <c r="R9739" s="2" t="inlineStr"/>
    </row>
    <row r="9740" ht="15" customHeight="1">
      <c r="A9740" t="inlineStr">
        <is>
          <t>A 47066-2024</t>
        </is>
      </c>
      <c r="B9740" s="1" t="n">
        <v>45586</v>
      </c>
      <c r="C9740" s="1" t="n">
        <v>45798</v>
      </c>
      <c r="D9740" t="inlineStr">
        <is>
          <t>NORRBOTTENS LÄN</t>
        </is>
      </c>
      <c r="E9740" t="inlineStr">
        <is>
          <t>KALIX</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47078-2024</t>
        </is>
      </c>
      <c r="B9741" s="1" t="n">
        <v>45586</v>
      </c>
      <c r="C9741" s="1" t="n">
        <v>45798</v>
      </c>
      <c r="D9741" t="inlineStr">
        <is>
          <t>NORRBOTTENS LÄN</t>
        </is>
      </c>
      <c r="E9741" t="inlineStr">
        <is>
          <t>LULEÅ</t>
        </is>
      </c>
      <c r="G9741" t="n">
        <v>11.6</v>
      </c>
      <c r="H9741" t="n">
        <v>0</v>
      </c>
      <c r="I9741" t="n">
        <v>0</v>
      </c>
      <c r="J9741" t="n">
        <v>0</v>
      </c>
      <c r="K9741" t="n">
        <v>0</v>
      </c>
      <c r="L9741" t="n">
        <v>0</v>
      </c>
      <c r="M9741" t="n">
        <v>0</v>
      </c>
      <c r="N9741" t="n">
        <v>0</v>
      </c>
      <c r="O9741" t="n">
        <v>0</v>
      </c>
      <c r="P9741" t="n">
        <v>0</v>
      </c>
      <c r="Q9741" t="n">
        <v>0</v>
      </c>
      <c r="R9741" s="2" t="inlineStr"/>
    </row>
    <row r="9742" ht="15" customHeight="1">
      <c r="A9742" t="inlineStr">
        <is>
          <t>A 47183-2024</t>
        </is>
      </c>
      <c r="B9742" s="1" t="n">
        <v>45586</v>
      </c>
      <c r="C9742" s="1" t="n">
        <v>45798</v>
      </c>
      <c r="D9742" t="inlineStr">
        <is>
          <t>NORRBOTTENS LÄN</t>
        </is>
      </c>
      <c r="E9742" t="inlineStr">
        <is>
          <t>HAPARANDA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47189-2024</t>
        </is>
      </c>
      <c r="B9743" s="1" t="n">
        <v>45586</v>
      </c>
      <c r="C9743" s="1" t="n">
        <v>45798</v>
      </c>
      <c r="D9743" t="inlineStr">
        <is>
          <t>NORRBOTTENS LÄN</t>
        </is>
      </c>
      <c r="E9743" t="inlineStr">
        <is>
          <t>PAJALA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47181-2024</t>
        </is>
      </c>
      <c r="B9744" s="1" t="n">
        <v>45586</v>
      </c>
      <c r="C9744" s="1" t="n">
        <v>45798</v>
      </c>
      <c r="D9744" t="inlineStr">
        <is>
          <t>NORRBOTTENS LÄN</t>
        </is>
      </c>
      <c r="E9744" t="inlineStr">
        <is>
          <t>GÄLLIVARE</t>
        </is>
      </c>
      <c r="F9744" t="inlineStr">
        <is>
          <t>Sveaskog</t>
        </is>
      </c>
      <c r="G9744" t="n">
        <v>12.6</v>
      </c>
      <c r="H9744" t="n">
        <v>0</v>
      </c>
      <c r="I9744" t="n">
        <v>0</v>
      </c>
      <c r="J9744" t="n">
        <v>0</v>
      </c>
      <c r="K9744" t="n">
        <v>0</v>
      </c>
      <c r="L9744" t="n">
        <v>0</v>
      </c>
      <c r="M9744" t="n">
        <v>0</v>
      </c>
      <c r="N9744" t="n">
        <v>0</v>
      </c>
      <c r="O9744" t="n">
        <v>0</v>
      </c>
      <c r="P9744" t="n">
        <v>0</v>
      </c>
      <c r="Q9744" t="n">
        <v>0</v>
      </c>
      <c r="R9744" s="2" t="inlineStr"/>
    </row>
    <row r="9745" ht="15" customHeight="1">
      <c r="A9745" t="inlineStr">
        <is>
          <t>A 47157-2024</t>
        </is>
      </c>
      <c r="B9745" s="1" t="n">
        <v>45586</v>
      </c>
      <c r="C9745" s="1" t="n">
        <v>45798</v>
      </c>
      <c r="D9745" t="inlineStr">
        <is>
          <t>NORRBOTTENS LÄN</t>
        </is>
      </c>
      <c r="E9745" t="inlineStr">
        <is>
          <t>JOKKMOKK</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47132-2024</t>
        </is>
      </c>
      <c r="B9746" s="1" t="n">
        <v>45586</v>
      </c>
      <c r="C9746" s="1" t="n">
        <v>45798</v>
      </c>
      <c r="D9746" t="inlineStr">
        <is>
          <t>NORRBOTTENS LÄN</t>
        </is>
      </c>
      <c r="E9746" t="inlineStr">
        <is>
          <t>PITEÅ</t>
        </is>
      </c>
      <c r="F9746" t="inlineStr">
        <is>
          <t>Övriga Aktiebolag</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47068-2024</t>
        </is>
      </c>
      <c r="B9747" s="1" t="n">
        <v>45586</v>
      </c>
      <c r="C9747" s="1" t="n">
        <v>45798</v>
      </c>
      <c r="D9747" t="inlineStr">
        <is>
          <t>NORRBOTTENS LÄN</t>
        </is>
      </c>
      <c r="E9747" t="inlineStr">
        <is>
          <t>LULEÅ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47240-2024</t>
        </is>
      </c>
      <c r="B9748" s="1" t="n">
        <v>45586</v>
      </c>
      <c r="C9748" s="1" t="n">
        <v>45798</v>
      </c>
      <c r="D9748" t="inlineStr">
        <is>
          <t>NORRBOTTENS LÄN</t>
        </is>
      </c>
      <c r="E9748" t="inlineStr">
        <is>
          <t>HAPARANDA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47196-2024</t>
        </is>
      </c>
      <c r="B9749" s="1" t="n">
        <v>45586</v>
      </c>
      <c r="C9749" s="1" t="n">
        <v>45798</v>
      </c>
      <c r="D9749" t="inlineStr">
        <is>
          <t>NORRBOTTENS LÄN</t>
        </is>
      </c>
      <c r="E9749" t="inlineStr">
        <is>
          <t>KALIX</t>
        </is>
      </c>
      <c r="F9749" t="inlineStr">
        <is>
          <t>Sveaskog</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47184-2024</t>
        </is>
      </c>
      <c r="B9750" s="1" t="n">
        <v>45586</v>
      </c>
      <c r="C9750" s="1" t="n">
        <v>45798</v>
      </c>
      <c r="D9750" t="inlineStr">
        <is>
          <t>NORRBOTTENS LÄN</t>
        </is>
      </c>
      <c r="E9750" t="inlineStr">
        <is>
          <t>GÄLLIVARE</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47019-2024</t>
        </is>
      </c>
      <c r="B9751" s="1" t="n">
        <v>45586</v>
      </c>
      <c r="C9751" s="1" t="n">
        <v>45798</v>
      </c>
      <c r="D9751" t="inlineStr">
        <is>
          <t>NORRBOTTENS LÄN</t>
        </is>
      </c>
      <c r="E9751" t="inlineStr">
        <is>
          <t>ÖVERTORNEÅ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46993-2024</t>
        </is>
      </c>
      <c r="B9752" s="1" t="n">
        <v>45586</v>
      </c>
      <c r="C9752" s="1" t="n">
        <v>45798</v>
      </c>
      <c r="D9752" t="inlineStr">
        <is>
          <t>NORRBOTTENS LÄN</t>
        </is>
      </c>
      <c r="E9752" t="inlineStr">
        <is>
          <t>BODEN</t>
        </is>
      </c>
      <c r="F9752" t="inlineStr">
        <is>
          <t>Sveaskog</t>
        </is>
      </c>
      <c r="G9752" t="n">
        <v>29.3</v>
      </c>
      <c r="H9752" t="n">
        <v>0</v>
      </c>
      <c r="I9752" t="n">
        <v>0</v>
      </c>
      <c r="J9752" t="n">
        <v>0</v>
      </c>
      <c r="K9752" t="n">
        <v>0</v>
      </c>
      <c r="L9752" t="n">
        <v>0</v>
      </c>
      <c r="M9752" t="n">
        <v>0</v>
      </c>
      <c r="N9752" t="n">
        <v>0</v>
      </c>
      <c r="O9752" t="n">
        <v>0</v>
      </c>
      <c r="P9752" t="n">
        <v>0</v>
      </c>
      <c r="Q9752" t="n">
        <v>0</v>
      </c>
      <c r="R9752" s="2" t="inlineStr"/>
    </row>
    <row r="9753" ht="15" customHeight="1">
      <c r="A9753" t="inlineStr">
        <is>
          <t>A 46975-2024</t>
        </is>
      </c>
      <c r="B9753" s="1" t="n">
        <v>45586</v>
      </c>
      <c r="C9753" s="1" t="n">
        <v>45798</v>
      </c>
      <c r="D9753" t="inlineStr">
        <is>
          <t>NORRBOTTENS LÄN</t>
        </is>
      </c>
      <c r="E9753" t="inlineStr">
        <is>
          <t>BODEN</t>
        </is>
      </c>
      <c r="F9753" t="inlineStr">
        <is>
          <t>SCA</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47017-2024</t>
        </is>
      </c>
      <c r="B9754" s="1" t="n">
        <v>45586</v>
      </c>
      <c r="C9754" s="1" t="n">
        <v>45798</v>
      </c>
      <c r="D9754" t="inlineStr">
        <is>
          <t>NORRBOTTENS LÄN</t>
        </is>
      </c>
      <c r="E9754" t="inlineStr">
        <is>
          <t>PITEÅ</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47025-2024</t>
        </is>
      </c>
      <c r="B9755" s="1" t="n">
        <v>45586</v>
      </c>
      <c r="C9755" s="1" t="n">
        <v>45798</v>
      </c>
      <c r="D9755" t="inlineStr">
        <is>
          <t>NORRBOTTENS LÄN</t>
        </is>
      </c>
      <c r="E9755" t="inlineStr">
        <is>
          <t>PITEÅ</t>
        </is>
      </c>
      <c r="F9755" t="inlineStr">
        <is>
          <t>Övriga Aktiebolag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47024-2024</t>
        </is>
      </c>
      <c r="B9756" s="1" t="n">
        <v>45586</v>
      </c>
      <c r="C9756" s="1" t="n">
        <v>45798</v>
      </c>
      <c r="D9756" t="inlineStr">
        <is>
          <t>NORRBOTTENS LÄN</t>
        </is>
      </c>
      <c r="E9756" t="inlineStr">
        <is>
          <t>BODEN</t>
        </is>
      </c>
      <c r="F9756" t="inlineStr">
        <is>
          <t>Sveaskog</t>
        </is>
      </c>
      <c r="G9756" t="n">
        <v>12.8</v>
      </c>
      <c r="H9756" t="n">
        <v>0</v>
      </c>
      <c r="I9756" t="n">
        <v>0</v>
      </c>
      <c r="J9756" t="n">
        <v>0</v>
      </c>
      <c r="K9756" t="n">
        <v>0</v>
      </c>
      <c r="L9756" t="n">
        <v>0</v>
      </c>
      <c r="M9756" t="n">
        <v>0</v>
      </c>
      <c r="N9756" t="n">
        <v>0</v>
      </c>
      <c r="O9756" t="n">
        <v>0</v>
      </c>
      <c r="P9756" t="n">
        <v>0</v>
      </c>
      <c r="Q9756" t="n">
        <v>0</v>
      </c>
      <c r="R9756" s="2" t="inlineStr"/>
    </row>
    <row r="9757" ht="15" customHeight="1">
      <c r="A9757" t="inlineStr">
        <is>
          <t>A 46974-2024</t>
        </is>
      </c>
      <c r="B9757" s="1" t="n">
        <v>45586</v>
      </c>
      <c r="C9757" s="1" t="n">
        <v>45798</v>
      </c>
      <c r="D9757" t="inlineStr">
        <is>
          <t>NORRBOTTENS LÄN</t>
        </is>
      </c>
      <c r="E9757" t="inlineStr">
        <is>
          <t>BODEN</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47207-2024</t>
        </is>
      </c>
      <c r="B9758" s="1" t="n">
        <v>45586</v>
      </c>
      <c r="C9758" s="1" t="n">
        <v>45798</v>
      </c>
      <c r="D9758" t="inlineStr">
        <is>
          <t>NORRBOTTENS LÄN</t>
        </is>
      </c>
      <c r="E9758" t="inlineStr">
        <is>
          <t>PAJALA</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47203-2024</t>
        </is>
      </c>
      <c r="B9759" s="1" t="n">
        <v>45586</v>
      </c>
      <c r="C9759" s="1" t="n">
        <v>45798</v>
      </c>
      <c r="D9759" t="inlineStr">
        <is>
          <t>NORRBOTTENS LÄN</t>
        </is>
      </c>
      <c r="E9759" t="inlineStr">
        <is>
          <t>PAJALA</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47199-2024</t>
        </is>
      </c>
      <c r="B9760" s="1" t="n">
        <v>45586</v>
      </c>
      <c r="C9760" s="1" t="n">
        <v>45798</v>
      </c>
      <c r="D9760" t="inlineStr">
        <is>
          <t>NORRBOTTENS LÄN</t>
        </is>
      </c>
      <c r="E9760" t="inlineStr">
        <is>
          <t>PAJALA</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47195-2024</t>
        </is>
      </c>
      <c r="B9761" s="1" t="n">
        <v>45586</v>
      </c>
      <c r="C9761" s="1" t="n">
        <v>45798</v>
      </c>
      <c r="D9761" t="inlineStr">
        <is>
          <t>NORRBOTTENS LÄN</t>
        </is>
      </c>
      <c r="E9761" t="inlineStr">
        <is>
          <t>PAJALA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47191-2024</t>
        </is>
      </c>
      <c r="B9762" s="1" t="n">
        <v>45586</v>
      </c>
      <c r="C9762" s="1" t="n">
        <v>45798</v>
      </c>
      <c r="D9762" t="inlineStr">
        <is>
          <t>NORRBOTTENS LÄN</t>
        </is>
      </c>
      <c r="E9762" t="inlineStr">
        <is>
          <t>PITEÅ</t>
        </is>
      </c>
      <c r="F9762" t="inlineStr">
        <is>
          <t>Sveaskog</t>
        </is>
      </c>
      <c r="G9762" t="n">
        <v>18.9</v>
      </c>
      <c r="H9762" t="n">
        <v>0</v>
      </c>
      <c r="I9762" t="n">
        <v>0</v>
      </c>
      <c r="J9762" t="n">
        <v>0</v>
      </c>
      <c r="K9762" t="n">
        <v>0</v>
      </c>
      <c r="L9762" t="n">
        <v>0</v>
      </c>
      <c r="M9762" t="n">
        <v>0</v>
      </c>
      <c r="N9762" t="n">
        <v>0</v>
      </c>
      <c r="O9762" t="n">
        <v>0</v>
      </c>
      <c r="P9762" t="n">
        <v>0</v>
      </c>
      <c r="Q9762" t="n">
        <v>0</v>
      </c>
      <c r="R9762" s="2" t="inlineStr"/>
    </row>
    <row r="9763" ht="15" customHeight="1">
      <c r="A9763" t="inlineStr">
        <is>
          <t>A 47042-2024</t>
        </is>
      </c>
      <c r="B9763" s="1" t="n">
        <v>45586</v>
      </c>
      <c r="C9763" s="1" t="n">
        <v>45798</v>
      </c>
      <c r="D9763" t="inlineStr">
        <is>
          <t>NORRBOTTENS LÄN</t>
        </is>
      </c>
      <c r="E9763" t="inlineStr">
        <is>
          <t>BODEN</t>
        </is>
      </c>
      <c r="G9763" t="n">
        <v>27.9</v>
      </c>
      <c r="H9763" t="n">
        <v>0</v>
      </c>
      <c r="I9763" t="n">
        <v>0</v>
      </c>
      <c r="J9763" t="n">
        <v>0</v>
      </c>
      <c r="K9763" t="n">
        <v>0</v>
      </c>
      <c r="L9763" t="n">
        <v>0</v>
      </c>
      <c r="M9763" t="n">
        <v>0</v>
      </c>
      <c r="N9763" t="n">
        <v>0</v>
      </c>
      <c r="O9763" t="n">
        <v>0</v>
      </c>
      <c r="P9763" t="n">
        <v>0</v>
      </c>
      <c r="Q9763" t="n">
        <v>0</v>
      </c>
      <c r="R9763" s="2" t="inlineStr"/>
    </row>
    <row r="9764" ht="15" customHeight="1">
      <c r="A9764" t="inlineStr">
        <is>
          <t>A 47125-2024</t>
        </is>
      </c>
      <c r="B9764" s="1" t="n">
        <v>45586</v>
      </c>
      <c r="C9764" s="1" t="n">
        <v>45798</v>
      </c>
      <c r="D9764" t="inlineStr">
        <is>
          <t>NORRBOTTENS LÄN</t>
        </is>
      </c>
      <c r="E9764" t="inlineStr">
        <is>
          <t>BODEN</t>
        </is>
      </c>
      <c r="F9764" t="inlineStr">
        <is>
          <t>Sveaskog</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47150-2024</t>
        </is>
      </c>
      <c r="B9765" s="1" t="n">
        <v>45586</v>
      </c>
      <c r="C9765" s="1" t="n">
        <v>45798</v>
      </c>
      <c r="D9765" t="inlineStr">
        <is>
          <t>NORRBOTTENS LÄN</t>
        </is>
      </c>
      <c r="E9765" t="inlineStr">
        <is>
          <t>KALIX</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47154-2024</t>
        </is>
      </c>
      <c r="B9766" s="1" t="n">
        <v>45586</v>
      </c>
      <c r="C9766" s="1" t="n">
        <v>45798</v>
      </c>
      <c r="D9766" t="inlineStr">
        <is>
          <t>NORRBOTTENS LÄN</t>
        </is>
      </c>
      <c r="E9766" t="inlineStr">
        <is>
          <t>KALIX</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47186-2024</t>
        </is>
      </c>
      <c r="B9767" s="1" t="n">
        <v>45586</v>
      </c>
      <c r="C9767" s="1" t="n">
        <v>45798</v>
      </c>
      <c r="D9767" t="inlineStr">
        <is>
          <t>NORRBOTTENS LÄN</t>
        </is>
      </c>
      <c r="E9767" t="inlineStr">
        <is>
          <t>PAJALA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47194-2024</t>
        </is>
      </c>
      <c r="B9768" s="1" t="n">
        <v>45586</v>
      </c>
      <c r="C9768" s="1" t="n">
        <v>45798</v>
      </c>
      <c r="D9768" t="inlineStr">
        <is>
          <t>NORRBOTTENS LÄN</t>
        </is>
      </c>
      <c r="E9768" t="inlineStr">
        <is>
          <t>PITEÅ</t>
        </is>
      </c>
      <c r="F9768" t="inlineStr">
        <is>
          <t>Sveaskog</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47198-2024</t>
        </is>
      </c>
      <c r="B9769" s="1" t="n">
        <v>45586</v>
      </c>
      <c r="C9769" s="1" t="n">
        <v>45798</v>
      </c>
      <c r="D9769" t="inlineStr">
        <is>
          <t>NORRBOTTENS LÄN</t>
        </is>
      </c>
      <c r="E9769" t="inlineStr">
        <is>
          <t>PITEÅ</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47206-2024</t>
        </is>
      </c>
      <c r="B9770" s="1" t="n">
        <v>45586</v>
      </c>
      <c r="C9770" s="1" t="n">
        <v>45798</v>
      </c>
      <c r="D9770" t="inlineStr">
        <is>
          <t>NORRBOTTENS LÄN</t>
        </is>
      </c>
      <c r="E9770" t="inlineStr">
        <is>
          <t>PAJALA</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47565-2024</t>
        </is>
      </c>
      <c r="B9771" s="1" t="n">
        <v>45587</v>
      </c>
      <c r="C9771" s="1" t="n">
        <v>45798</v>
      </c>
      <c r="D9771" t="inlineStr">
        <is>
          <t>NORRBOTTENS LÄN</t>
        </is>
      </c>
      <c r="E9771" t="inlineStr">
        <is>
          <t>KALIX</t>
        </is>
      </c>
      <c r="F9771" t="inlineStr">
        <is>
          <t>SCA</t>
        </is>
      </c>
      <c r="G9771" t="n">
        <v>8.300000000000001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47539-2024</t>
        </is>
      </c>
      <c r="B9772" s="1" t="n">
        <v>45587</v>
      </c>
      <c r="C9772" s="1" t="n">
        <v>45798</v>
      </c>
      <c r="D9772" t="inlineStr">
        <is>
          <t>NORRBOTTENS LÄN</t>
        </is>
      </c>
      <c r="E9772" t="inlineStr">
        <is>
          <t>PAJALA</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47517-2024</t>
        </is>
      </c>
      <c r="B9773" s="1" t="n">
        <v>45587</v>
      </c>
      <c r="C9773" s="1" t="n">
        <v>45798</v>
      </c>
      <c r="D9773" t="inlineStr">
        <is>
          <t>NORRBOTTENS LÄN</t>
        </is>
      </c>
      <c r="E9773" t="inlineStr">
        <is>
          <t>KALIX</t>
        </is>
      </c>
      <c r="G9773" t="n">
        <v>9.9</v>
      </c>
      <c r="H9773" t="n">
        <v>0</v>
      </c>
      <c r="I9773" t="n">
        <v>0</v>
      </c>
      <c r="J9773" t="n">
        <v>0</v>
      </c>
      <c r="K9773" t="n">
        <v>0</v>
      </c>
      <c r="L9773" t="n">
        <v>0</v>
      </c>
      <c r="M9773" t="n">
        <v>0</v>
      </c>
      <c r="N9773" t="n">
        <v>0</v>
      </c>
      <c r="O9773" t="n">
        <v>0</v>
      </c>
      <c r="P9773" t="n">
        <v>0</v>
      </c>
      <c r="Q9773" t="n">
        <v>0</v>
      </c>
      <c r="R9773" s="2" t="inlineStr"/>
    </row>
    <row r="9774" ht="15" customHeight="1">
      <c r="A9774" t="inlineStr">
        <is>
          <t>A 47370-2024</t>
        </is>
      </c>
      <c r="B9774" s="1" t="n">
        <v>45587</v>
      </c>
      <c r="C9774" s="1" t="n">
        <v>45798</v>
      </c>
      <c r="D9774" t="inlineStr">
        <is>
          <t>NORRBOTTENS LÄN</t>
        </is>
      </c>
      <c r="E9774" t="inlineStr">
        <is>
          <t>ÄLVSBYN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47437-2024</t>
        </is>
      </c>
      <c r="B9775" s="1" t="n">
        <v>45587</v>
      </c>
      <c r="C9775" s="1" t="n">
        <v>45798</v>
      </c>
      <c r="D9775" t="inlineStr">
        <is>
          <t>NORRBOTTENS LÄN</t>
        </is>
      </c>
      <c r="E9775" t="inlineStr">
        <is>
          <t>GÄLLIVARE</t>
        </is>
      </c>
      <c r="F9775" t="inlineStr">
        <is>
          <t>Sveaskog</t>
        </is>
      </c>
      <c r="G9775" t="n">
        <v>10.5</v>
      </c>
      <c r="H9775" t="n">
        <v>0</v>
      </c>
      <c r="I9775" t="n">
        <v>0</v>
      </c>
      <c r="J9775" t="n">
        <v>0</v>
      </c>
      <c r="K9775" t="n">
        <v>0</v>
      </c>
      <c r="L9775" t="n">
        <v>0</v>
      </c>
      <c r="M9775" t="n">
        <v>0</v>
      </c>
      <c r="N9775" t="n">
        <v>0</v>
      </c>
      <c r="O9775" t="n">
        <v>0</v>
      </c>
      <c r="P9775" t="n">
        <v>0</v>
      </c>
      <c r="Q9775" t="n">
        <v>0</v>
      </c>
      <c r="R9775" s="2" t="inlineStr"/>
    </row>
    <row r="9776" ht="15" customHeight="1">
      <c r="A9776" t="inlineStr">
        <is>
          <t>A 47433-2024</t>
        </is>
      </c>
      <c r="B9776" s="1" t="n">
        <v>45587</v>
      </c>
      <c r="C9776" s="1" t="n">
        <v>45798</v>
      </c>
      <c r="D9776" t="inlineStr">
        <is>
          <t>NORRBOTTENS LÄN</t>
        </is>
      </c>
      <c r="E9776" t="inlineStr">
        <is>
          <t>GÄLLIVARE</t>
        </is>
      </c>
      <c r="F9776" t="inlineStr">
        <is>
          <t>Sveaskog</t>
        </is>
      </c>
      <c r="G9776" t="n">
        <v>26.9</v>
      </c>
      <c r="H9776" t="n">
        <v>0</v>
      </c>
      <c r="I9776" t="n">
        <v>0</v>
      </c>
      <c r="J9776" t="n">
        <v>0</v>
      </c>
      <c r="K9776" t="n">
        <v>0</v>
      </c>
      <c r="L9776" t="n">
        <v>0</v>
      </c>
      <c r="M9776" t="n">
        <v>0</v>
      </c>
      <c r="N9776" t="n">
        <v>0</v>
      </c>
      <c r="O9776" t="n">
        <v>0</v>
      </c>
      <c r="P9776" t="n">
        <v>0</v>
      </c>
      <c r="Q9776" t="n">
        <v>0</v>
      </c>
      <c r="R9776" s="2" t="inlineStr"/>
    </row>
    <row r="9777" ht="15" customHeight="1">
      <c r="A9777" t="inlineStr">
        <is>
          <t>A 47394-2024</t>
        </is>
      </c>
      <c r="B9777" s="1" t="n">
        <v>45587</v>
      </c>
      <c r="C9777" s="1" t="n">
        <v>45798</v>
      </c>
      <c r="D9777" t="inlineStr">
        <is>
          <t>NORRBOTTENS LÄN</t>
        </is>
      </c>
      <c r="E9777" t="inlineStr">
        <is>
          <t>ÄLVSBYN</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47373-2024</t>
        </is>
      </c>
      <c r="B9778" s="1" t="n">
        <v>45587</v>
      </c>
      <c r="C9778" s="1" t="n">
        <v>45798</v>
      </c>
      <c r="D9778" t="inlineStr">
        <is>
          <t>NORRBOTTENS LÄN</t>
        </is>
      </c>
      <c r="E9778" t="inlineStr">
        <is>
          <t>ÄLVSBYN</t>
        </is>
      </c>
      <c r="G9778" t="n">
        <v>10.7</v>
      </c>
      <c r="H9778" t="n">
        <v>0</v>
      </c>
      <c r="I9778" t="n">
        <v>0</v>
      </c>
      <c r="J9778" t="n">
        <v>0</v>
      </c>
      <c r="K9778" t="n">
        <v>0</v>
      </c>
      <c r="L9778" t="n">
        <v>0</v>
      </c>
      <c r="M9778" t="n">
        <v>0</v>
      </c>
      <c r="N9778" t="n">
        <v>0</v>
      </c>
      <c r="O9778" t="n">
        <v>0</v>
      </c>
      <c r="P9778" t="n">
        <v>0</v>
      </c>
      <c r="Q9778" t="n">
        <v>0</v>
      </c>
      <c r="R9778" s="2" t="inlineStr"/>
    </row>
    <row r="9779" ht="15" customHeight="1">
      <c r="A9779" t="inlineStr">
        <is>
          <t>A 47369-2024</t>
        </is>
      </c>
      <c r="B9779" s="1" t="n">
        <v>45587</v>
      </c>
      <c r="C9779" s="1" t="n">
        <v>45798</v>
      </c>
      <c r="D9779" t="inlineStr">
        <is>
          <t>NORRBOTTENS LÄN</t>
        </is>
      </c>
      <c r="E9779" t="inlineStr">
        <is>
          <t>ÄLVSBYN</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47371-2024</t>
        </is>
      </c>
      <c r="B9780" s="1" t="n">
        <v>45587</v>
      </c>
      <c r="C9780" s="1" t="n">
        <v>45798</v>
      </c>
      <c r="D9780" t="inlineStr">
        <is>
          <t>NORRBOTTENS LÄN</t>
        </is>
      </c>
      <c r="E9780" t="inlineStr">
        <is>
          <t>ÄLVSBYN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47423-2024</t>
        </is>
      </c>
      <c r="B9781" s="1" t="n">
        <v>45587</v>
      </c>
      <c r="C9781" s="1" t="n">
        <v>45798</v>
      </c>
      <c r="D9781" t="inlineStr">
        <is>
          <t>NORRBOTTENS LÄN</t>
        </is>
      </c>
      <c r="E9781" t="inlineStr">
        <is>
          <t>BODEN</t>
        </is>
      </c>
      <c r="G9781" t="n">
        <v>17.2</v>
      </c>
      <c r="H9781" t="n">
        <v>0</v>
      </c>
      <c r="I9781" t="n">
        <v>0</v>
      </c>
      <c r="J9781" t="n">
        <v>0</v>
      </c>
      <c r="K9781" t="n">
        <v>0</v>
      </c>
      <c r="L9781" t="n">
        <v>0</v>
      </c>
      <c r="M9781" t="n">
        <v>0</v>
      </c>
      <c r="N9781" t="n">
        <v>0</v>
      </c>
      <c r="O9781" t="n">
        <v>0</v>
      </c>
      <c r="P9781" t="n">
        <v>0</v>
      </c>
      <c r="Q9781" t="n">
        <v>0</v>
      </c>
      <c r="R9781" s="2" t="inlineStr"/>
    </row>
    <row r="9782" ht="15" customHeight="1">
      <c r="A9782" t="inlineStr">
        <is>
          <t>A 47424-2024</t>
        </is>
      </c>
      <c r="B9782" s="1" t="n">
        <v>45587</v>
      </c>
      <c r="C9782" s="1" t="n">
        <v>45798</v>
      </c>
      <c r="D9782" t="inlineStr">
        <is>
          <t>NORRBOTTENS LÄN</t>
        </is>
      </c>
      <c r="E9782" t="inlineStr">
        <is>
          <t>BODEN</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47456-2024</t>
        </is>
      </c>
      <c r="B9783" s="1" t="n">
        <v>45587</v>
      </c>
      <c r="C9783" s="1" t="n">
        <v>45798</v>
      </c>
      <c r="D9783" t="inlineStr">
        <is>
          <t>NORRBOTTENS LÄN</t>
        </is>
      </c>
      <c r="E9783" t="inlineStr">
        <is>
          <t>GÄLLIVARE</t>
        </is>
      </c>
      <c r="F9783" t="inlineStr">
        <is>
          <t>Sveaskog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47372-2024</t>
        </is>
      </c>
      <c r="B9784" s="1" t="n">
        <v>45587</v>
      </c>
      <c r="C9784" s="1" t="n">
        <v>45798</v>
      </c>
      <c r="D9784" t="inlineStr">
        <is>
          <t>NORRBOTTENS LÄN</t>
        </is>
      </c>
      <c r="E9784" t="inlineStr">
        <is>
          <t>ÄLVSBYN</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47364-2024</t>
        </is>
      </c>
      <c r="B9785" s="1" t="n">
        <v>45587</v>
      </c>
      <c r="C9785" s="1" t="n">
        <v>45798</v>
      </c>
      <c r="D9785" t="inlineStr">
        <is>
          <t>NORRBOTTENS LÄN</t>
        </is>
      </c>
      <c r="E9785" t="inlineStr">
        <is>
          <t>HAPARANDA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47328-2024</t>
        </is>
      </c>
      <c r="B9786" s="1" t="n">
        <v>45587</v>
      </c>
      <c r="C9786" s="1" t="n">
        <v>45798</v>
      </c>
      <c r="D9786" t="inlineStr">
        <is>
          <t>NORRBOTTENS LÄN</t>
        </is>
      </c>
      <c r="E9786" t="inlineStr">
        <is>
          <t>PAJALA</t>
        </is>
      </c>
      <c r="F9786" t="inlineStr">
        <is>
          <t>SCA</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47735-2024</t>
        </is>
      </c>
      <c r="B9787" s="1" t="n">
        <v>45588</v>
      </c>
      <c r="C9787" s="1" t="n">
        <v>45798</v>
      </c>
      <c r="D9787" t="inlineStr">
        <is>
          <t>NORRBOTTENS LÄN</t>
        </is>
      </c>
      <c r="E9787" t="inlineStr">
        <is>
          <t>ÖVERKALIX</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47752-2024</t>
        </is>
      </c>
      <c r="B9788" s="1" t="n">
        <v>45588</v>
      </c>
      <c r="C9788" s="1" t="n">
        <v>45798</v>
      </c>
      <c r="D9788" t="inlineStr">
        <is>
          <t>NORRBOTTENS LÄN</t>
        </is>
      </c>
      <c r="E9788" t="inlineStr">
        <is>
          <t>ÄLVSBYN</t>
        </is>
      </c>
      <c r="F9788" t="inlineStr">
        <is>
          <t>Övriga Aktiebolag</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47756-2024</t>
        </is>
      </c>
      <c r="B9789" s="1" t="n">
        <v>45588</v>
      </c>
      <c r="C9789" s="1" t="n">
        <v>45798</v>
      </c>
      <c r="D9789" t="inlineStr">
        <is>
          <t>NORRBOTTENS LÄN</t>
        </is>
      </c>
      <c r="E9789" t="inlineStr">
        <is>
          <t>ÄLVSBYN</t>
        </is>
      </c>
      <c r="F9789" t="inlineStr">
        <is>
          <t>Övriga Aktiebolag</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47634-2024</t>
        </is>
      </c>
      <c r="B9790" s="1" t="n">
        <v>45588</v>
      </c>
      <c r="C9790" s="1" t="n">
        <v>45798</v>
      </c>
      <c r="D9790" t="inlineStr">
        <is>
          <t>NORRBOTTENS LÄN</t>
        </is>
      </c>
      <c r="E9790" t="inlineStr">
        <is>
          <t>KALIX</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47730-2024</t>
        </is>
      </c>
      <c r="B9791" s="1" t="n">
        <v>45588</v>
      </c>
      <c r="C9791" s="1" t="n">
        <v>45798</v>
      </c>
      <c r="D9791" t="inlineStr">
        <is>
          <t>NORRBOTTENS LÄN</t>
        </is>
      </c>
      <c r="E9791" t="inlineStr">
        <is>
          <t>KIRUNA</t>
        </is>
      </c>
      <c r="F9791" t="inlineStr">
        <is>
          <t>Allmännings- och besparingsskogar</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47734-2024</t>
        </is>
      </c>
      <c r="B9792" s="1" t="n">
        <v>45588</v>
      </c>
      <c r="C9792" s="1" t="n">
        <v>45798</v>
      </c>
      <c r="D9792" t="inlineStr">
        <is>
          <t>NORRBOTTENS LÄN</t>
        </is>
      </c>
      <c r="E9792" t="inlineStr">
        <is>
          <t>ÖVERKALIX</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47862-2024</t>
        </is>
      </c>
      <c r="B9793" s="1" t="n">
        <v>45588</v>
      </c>
      <c r="C9793" s="1" t="n">
        <v>45798</v>
      </c>
      <c r="D9793" t="inlineStr">
        <is>
          <t>NORRBOTTENS LÄN</t>
        </is>
      </c>
      <c r="E9793" t="inlineStr">
        <is>
          <t>GÄLLIVARE</t>
        </is>
      </c>
      <c r="F9793" t="inlineStr">
        <is>
          <t>Allmännings- och besparingsskogar</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47857-2024</t>
        </is>
      </c>
      <c r="B9794" s="1" t="n">
        <v>45588</v>
      </c>
      <c r="C9794" s="1" t="n">
        <v>45798</v>
      </c>
      <c r="D9794" t="inlineStr">
        <is>
          <t>NORRBOTTENS LÄN</t>
        </is>
      </c>
      <c r="E9794" t="inlineStr">
        <is>
          <t>PITEÅ</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47852-2024</t>
        </is>
      </c>
      <c r="B9795" s="1" t="n">
        <v>45588</v>
      </c>
      <c r="C9795" s="1" t="n">
        <v>45798</v>
      </c>
      <c r="D9795" t="inlineStr">
        <is>
          <t>NORRBOTTENS LÄN</t>
        </is>
      </c>
      <c r="E9795" t="inlineStr">
        <is>
          <t>JOKKMOKK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48107-2024</t>
        </is>
      </c>
      <c r="B9796" s="1" t="n">
        <v>45589</v>
      </c>
      <c r="C9796" s="1" t="n">
        <v>45798</v>
      </c>
      <c r="D9796" t="inlineStr">
        <is>
          <t>NORRBOTTENS LÄN</t>
        </is>
      </c>
      <c r="E9796" t="inlineStr">
        <is>
          <t>BODEN</t>
        </is>
      </c>
      <c r="F9796" t="inlineStr">
        <is>
          <t>Övriga Aktiebolag</t>
        </is>
      </c>
      <c r="G9796" t="n">
        <v>7.9</v>
      </c>
      <c r="H9796" t="n">
        <v>0</v>
      </c>
      <c r="I9796" t="n">
        <v>0</v>
      </c>
      <c r="J9796" t="n">
        <v>0</v>
      </c>
      <c r="K9796" t="n">
        <v>0</v>
      </c>
      <c r="L9796" t="n">
        <v>0</v>
      </c>
      <c r="M9796" t="n">
        <v>0</v>
      </c>
      <c r="N9796" t="n">
        <v>0</v>
      </c>
      <c r="O9796" t="n">
        <v>0</v>
      </c>
      <c r="P9796" t="n">
        <v>0</v>
      </c>
      <c r="Q9796" t="n">
        <v>0</v>
      </c>
      <c r="R9796" s="2" t="inlineStr"/>
    </row>
    <row r="9797" ht="15" customHeight="1">
      <c r="A9797" t="inlineStr">
        <is>
          <t>A 48177-2024</t>
        </is>
      </c>
      <c r="B9797" s="1" t="n">
        <v>45589</v>
      </c>
      <c r="C9797" s="1" t="n">
        <v>45798</v>
      </c>
      <c r="D9797" t="inlineStr">
        <is>
          <t>NORRBOTTENS LÄN</t>
        </is>
      </c>
      <c r="E9797" t="inlineStr">
        <is>
          <t>PAJALA</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47918-2024</t>
        </is>
      </c>
      <c r="B9798" s="1" t="n">
        <v>45589</v>
      </c>
      <c r="C9798" s="1" t="n">
        <v>45798</v>
      </c>
      <c r="D9798" t="inlineStr">
        <is>
          <t>NORRBOTTENS LÄN</t>
        </is>
      </c>
      <c r="E9798" t="inlineStr">
        <is>
          <t>LULEÅ</t>
        </is>
      </c>
      <c r="F9798" t="inlineStr">
        <is>
          <t>Naturvårdsverket</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47922-2024</t>
        </is>
      </c>
      <c r="B9799" s="1" t="n">
        <v>45589</v>
      </c>
      <c r="C9799" s="1" t="n">
        <v>45798</v>
      </c>
      <c r="D9799" t="inlineStr">
        <is>
          <t>NORRBOTTENS LÄN</t>
        </is>
      </c>
      <c r="E9799" t="inlineStr">
        <is>
          <t>BODEN</t>
        </is>
      </c>
      <c r="F9799" t="inlineStr">
        <is>
          <t>Naturvårdsverket</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47926-2024</t>
        </is>
      </c>
      <c r="B9800" s="1" t="n">
        <v>45589</v>
      </c>
      <c r="C9800" s="1" t="n">
        <v>45798</v>
      </c>
      <c r="D9800" t="inlineStr">
        <is>
          <t>NORRBOTTENS LÄN</t>
        </is>
      </c>
      <c r="E9800" t="inlineStr">
        <is>
          <t>BODEN</t>
        </is>
      </c>
      <c r="F9800" t="inlineStr">
        <is>
          <t>Naturvårdsverket</t>
        </is>
      </c>
      <c r="G9800" t="n">
        <v>11.9</v>
      </c>
      <c r="H9800" t="n">
        <v>0</v>
      </c>
      <c r="I9800" t="n">
        <v>0</v>
      </c>
      <c r="J9800" t="n">
        <v>0</v>
      </c>
      <c r="K9800" t="n">
        <v>0</v>
      </c>
      <c r="L9800" t="n">
        <v>0</v>
      </c>
      <c r="M9800" t="n">
        <v>0</v>
      </c>
      <c r="N9800" t="n">
        <v>0</v>
      </c>
      <c r="O9800" t="n">
        <v>0</v>
      </c>
      <c r="P9800" t="n">
        <v>0</v>
      </c>
      <c r="Q9800" t="n">
        <v>0</v>
      </c>
      <c r="R9800" s="2" t="inlineStr"/>
    </row>
    <row r="9801" ht="15" customHeight="1">
      <c r="A9801" t="inlineStr">
        <is>
          <t>A 48007-2024</t>
        </is>
      </c>
      <c r="B9801" s="1" t="n">
        <v>45589</v>
      </c>
      <c r="C9801" s="1" t="n">
        <v>45798</v>
      </c>
      <c r="D9801" t="inlineStr">
        <is>
          <t>NORRBOTTENS LÄN</t>
        </is>
      </c>
      <c r="E9801" t="inlineStr">
        <is>
          <t>GÄLLIVARE</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48011-2024</t>
        </is>
      </c>
      <c r="B9802" s="1" t="n">
        <v>45589</v>
      </c>
      <c r="C9802" s="1" t="n">
        <v>45798</v>
      </c>
      <c r="D9802" t="inlineStr">
        <is>
          <t>NORRBOTTENS LÄN</t>
        </is>
      </c>
      <c r="E9802" t="inlineStr">
        <is>
          <t>KALIX</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48128-2024</t>
        </is>
      </c>
      <c r="B9803" s="1" t="n">
        <v>45589</v>
      </c>
      <c r="C9803" s="1" t="n">
        <v>45798</v>
      </c>
      <c r="D9803" t="inlineStr">
        <is>
          <t>NORRBOTTENS LÄN</t>
        </is>
      </c>
      <c r="E9803" t="inlineStr">
        <is>
          <t>KALIX</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48179-2024</t>
        </is>
      </c>
      <c r="B9804" s="1" t="n">
        <v>45589</v>
      </c>
      <c r="C9804" s="1" t="n">
        <v>45798</v>
      </c>
      <c r="D9804" t="inlineStr">
        <is>
          <t>NORRBOTTENS LÄN</t>
        </is>
      </c>
      <c r="E9804" t="inlineStr">
        <is>
          <t>PAJALA</t>
        </is>
      </c>
      <c r="G9804" t="n">
        <v>11.7</v>
      </c>
      <c r="H9804" t="n">
        <v>0</v>
      </c>
      <c r="I9804" t="n">
        <v>0</v>
      </c>
      <c r="J9804" t="n">
        <v>0</v>
      </c>
      <c r="K9804" t="n">
        <v>0</v>
      </c>
      <c r="L9804" t="n">
        <v>0</v>
      </c>
      <c r="M9804" t="n">
        <v>0</v>
      </c>
      <c r="N9804" t="n">
        <v>0</v>
      </c>
      <c r="O9804" t="n">
        <v>0</v>
      </c>
      <c r="P9804" t="n">
        <v>0</v>
      </c>
      <c r="Q9804" t="n">
        <v>0</v>
      </c>
      <c r="R9804" s="2" t="inlineStr"/>
    </row>
    <row r="9805" ht="15" customHeight="1">
      <c r="A9805" t="inlineStr">
        <is>
          <t>A 47929-2024</t>
        </is>
      </c>
      <c r="B9805" s="1" t="n">
        <v>45589</v>
      </c>
      <c r="C9805" s="1" t="n">
        <v>45798</v>
      </c>
      <c r="D9805" t="inlineStr">
        <is>
          <t>NORRBOTTENS LÄN</t>
        </is>
      </c>
      <c r="E9805" t="inlineStr">
        <is>
          <t>BODEN</t>
        </is>
      </c>
      <c r="F9805" t="inlineStr">
        <is>
          <t>Naturvårdsverket</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48037-2024</t>
        </is>
      </c>
      <c r="B9806" s="1" t="n">
        <v>45589</v>
      </c>
      <c r="C9806" s="1" t="n">
        <v>45798</v>
      </c>
      <c r="D9806" t="inlineStr">
        <is>
          <t>NORRBOTTENS LÄN</t>
        </is>
      </c>
      <c r="E9806" t="inlineStr">
        <is>
          <t>ÖVERTORNEÅ</t>
        </is>
      </c>
      <c r="F9806" t="inlineStr">
        <is>
          <t>Kommuner</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48013-2024</t>
        </is>
      </c>
      <c r="B9807" s="1" t="n">
        <v>45589</v>
      </c>
      <c r="C9807" s="1" t="n">
        <v>45798</v>
      </c>
      <c r="D9807" t="inlineStr">
        <is>
          <t>NORRBOTTENS LÄN</t>
        </is>
      </c>
      <c r="E9807" t="inlineStr">
        <is>
          <t>LULEÅ</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48009-2024</t>
        </is>
      </c>
      <c r="B9808" s="1" t="n">
        <v>45589</v>
      </c>
      <c r="C9808" s="1" t="n">
        <v>45798</v>
      </c>
      <c r="D9808" t="inlineStr">
        <is>
          <t>NORRBOTTENS LÄN</t>
        </is>
      </c>
      <c r="E9808" t="inlineStr">
        <is>
          <t>ARVIDSJAUR</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47928-2024</t>
        </is>
      </c>
      <c r="B9809" s="1" t="n">
        <v>45589</v>
      </c>
      <c r="C9809" s="1" t="n">
        <v>45798</v>
      </c>
      <c r="D9809" t="inlineStr">
        <is>
          <t>NORRBOTTENS LÄN</t>
        </is>
      </c>
      <c r="E9809" t="inlineStr">
        <is>
          <t>LULEÅ</t>
        </is>
      </c>
      <c r="F9809" t="inlineStr">
        <is>
          <t>SCA</t>
        </is>
      </c>
      <c r="G9809" t="n">
        <v>11.4</v>
      </c>
      <c r="H9809" t="n">
        <v>0</v>
      </c>
      <c r="I9809" t="n">
        <v>0</v>
      </c>
      <c r="J9809" t="n">
        <v>0</v>
      </c>
      <c r="K9809" t="n">
        <v>0</v>
      </c>
      <c r="L9809" t="n">
        <v>0</v>
      </c>
      <c r="M9809" t="n">
        <v>0</v>
      </c>
      <c r="N9809" t="n">
        <v>0</v>
      </c>
      <c r="O9809" t="n">
        <v>0</v>
      </c>
      <c r="P9809" t="n">
        <v>0</v>
      </c>
      <c r="Q9809" t="n">
        <v>0</v>
      </c>
      <c r="R9809" s="2" t="inlineStr"/>
    </row>
    <row r="9810" ht="15" customHeight="1">
      <c r="A9810" t="inlineStr">
        <is>
          <t>A 47924-2024</t>
        </is>
      </c>
      <c r="B9810" s="1" t="n">
        <v>45589</v>
      </c>
      <c r="C9810" s="1" t="n">
        <v>45798</v>
      </c>
      <c r="D9810" t="inlineStr">
        <is>
          <t>NORRBOTTENS LÄN</t>
        </is>
      </c>
      <c r="E9810" t="inlineStr">
        <is>
          <t>BODEN</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47920-2024</t>
        </is>
      </c>
      <c r="B9811" s="1" t="n">
        <v>45589</v>
      </c>
      <c r="C9811" s="1" t="n">
        <v>45798</v>
      </c>
      <c r="D9811" t="inlineStr">
        <is>
          <t>NORRBOTTENS LÄN</t>
        </is>
      </c>
      <c r="E9811" t="inlineStr">
        <is>
          <t>BODEN</t>
        </is>
      </c>
      <c r="F9811" t="inlineStr">
        <is>
          <t>Naturvårdsverket</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47916-2024</t>
        </is>
      </c>
      <c r="B9812" s="1" t="n">
        <v>45589</v>
      </c>
      <c r="C9812" s="1" t="n">
        <v>45798</v>
      </c>
      <c r="D9812" t="inlineStr">
        <is>
          <t>NORRBOTTENS LÄN</t>
        </is>
      </c>
      <c r="E9812" t="inlineStr">
        <is>
          <t>LULEÅ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48036-2024</t>
        </is>
      </c>
      <c r="B9813" s="1" t="n">
        <v>45589</v>
      </c>
      <c r="C9813" s="1" t="n">
        <v>45798</v>
      </c>
      <c r="D9813" t="inlineStr">
        <is>
          <t>NORRBOTTENS LÄN</t>
        </is>
      </c>
      <c r="E9813" t="inlineStr">
        <is>
          <t>ÖVERTORNEÅ</t>
        </is>
      </c>
      <c r="F9813" t="inlineStr">
        <is>
          <t>Kommuner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48012-2024</t>
        </is>
      </c>
      <c r="B9814" s="1" t="n">
        <v>45589</v>
      </c>
      <c r="C9814" s="1" t="n">
        <v>45798</v>
      </c>
      <c r="D9814" t="inlineStr">
        <is>
          <t>NORRBOTTENS LÄN</t>
        </is>
      </c>
      <c r="E9814" t="inlineStr">
        <is>
          <t>LULEÅ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47931-2024</t>
        </is>
      </c>
      <c r="B9815" s="1" t="n">
        <v>45589</v>
      </c>
      <c r="C9815" s="1" t="n">
        <v>45798</v>
      </c>
      <c r="D9815" t="inlineStr">
        <is>
          <t>NORRBOTTENS LÄN</t>
        </is>
      </c>
      <c r="E9815" t="inlineStr">
        <is>
          <t>LULEÅ</t>
        </is>
      </c>
      <c r="F9815" t="inlineStr">
        <is>
          <t>Naturvårdsverket</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47927-2024</t>
        </is>
      </c>
      <c r="B9816" s="1" t="n">
        <v>45589</v>
      </c>
      <c r="C9816" s="1" t="n">
        <v>45798</v>
      </c>
      <c r="D9816" t="inlineStr">
        <is>
          <t>NORRBOTTENS LÄN</t>
        </is>
      </c>
      <c r="E9816" t="inlineStr">
        <is>
          <t>BODEN</t>
        </is>
      </c>
      <c r="F9816" t="inlineStr">
        <is>
          <t>Naturvårdsverket</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47923-2024</t>
        </is>
      </c>
      <c r="B9817" s="1" t="n">
        <v>45589</v>
      </c>
      <c r="C9817" s="1" t="n">
        <v>45798</v>
      </c>
      <c r="D9817" t="inlineStr">
        <is>
          <t>NORRBOTTENS LÄN</t>
        </is>
      </c>
      <c r="E9817" t="inlineStr">
        <is>
          <t>LULEÅ</t>
        </is>
      </c>
      <c r="F9817" t="inlineStr">
        <is>
          <t>SCA</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47919-2024</t>
        </is>
      </c>
      <c r="B9818" s="1" t="n">
        <v>45589</v>
      </c>
      <c r="C9818" s="1" t="n">
        <v>45798</v>
      </c>
      <c r="D9818" t="inlineStr">
        <is>
          <t>NORRBOTTENS LÄN</t>
        </is>
      </c>
      <c r="E9818" t="inlineStr">
        <is>
          <t>ARVIDSJAUR</t>
        </is>
      </c>
      <c r="F9818" t="inlineStr">
        <is>
          <t>Sveaskog</t>
        </is>
      </c>
      <c r="G9818" t="n">
        <v>7.8</v>
      </c>
      <c r="H9818" t="n">
        <v>0</v>
      </c>
      <c r="I9818" t="n">
        <v>0</v>
      </c>
      <c r="J9818" t="n">
        <v>0</v>
      </c>
      <c r="K9818" t="n">
        <v>0</v>
      </c>
      <c r="L9818" t="n">
        <v>0</v>
      </c>
      <c r="M9818" t="n">
        <v>0</v>
      </c>
      <c r="N9818" t="n">
        <v>0</v>
      </c>
      <c r="O9818" t="n">
        <v>0</v>
      </c>
      <c r="P9818" t="n">
        <v>0</v>
      </c>
      <c r="Q9818" t="n">
        <v>0</v>
      </c>
      <c r="R9818" s="2" t="inlineStr"/>
    </row>
    <row r="9819" ht="15" customHeight="1">
      <c r="A9819" t="inlineStr">
        <is>
          <t>A 48363-2024</t>
        </is>
      </c>
      <c r="B9819" s="1" t="n">
        <v>45590</v>
      </c>
      <c r="C9819" s="1" t="n">
        <v>45798</v>
      </c>
      <c r="D9819" t="inlineStr">
        <is>
          <t>NORRBOTTENS LÄN</t>
        </is>
      </c>
      <c r="E9819" t="inlineStr">
        <is>
          <t>ARVIDSJAUR</t>
        </is>
      </c>
      <c r="F9819" t="inlineStr">
        <is>
          <t>Sveaskog</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48420-2024</t>
        </is>
      </c>
      <c r="B9820" s="1" t="n">
        <v>45590</v>
      </c>
      <c r="C9820" s="1" t="n">
        <v>45798</v>
      </c>
      <c r="D9820" t="inlineStr">
        <is>
          <t>NORRBOTTENS LÄN</t>
        </is>
      </c>
      <c r="E9820" t="inlineStr">
        <is>
          <t>BODEN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48417-2024</t>
        </is>
      </c>
      <c r="B9821" s="1" t="n">
        <v>45590</v>
      </c>
      <c r="C9821" s="1" t="n">
        <v>45798</v>
      </c>
      <c r="D9821" t="inlineStr">
        <is>
          <t>NORRBOTTENS LÄN</t>
        </is>
      </c>
      <c r="E9821" t="inlineStr">
        <is>
          <t>LULEÅ</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48373-2024</t>
        </is>
      </c>
      <c r="B9822" s="1" t="n">
        <v>45590</v>
      </c>
      <c r="C9822" s="1" t="n">
        <v>45798</v>
      </c>
      <c r="D9822" t="inlineStr">
        <is>
          <t>NORRBOTTENS LÄN</t>
        </is>
      </c>
      <c r="E9822" t="inlineStr">
        <is>
          <t>ARVIDSJAUR</t>
        </is>
      </c>
      <c r="F9822" t="inlineStr">
        <is>
          <t>Sveaskog</t>
        </is>
      </c>
      <c r="G9822" t="n">
        <v>8.199999999999999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48364-2024</t>
        </is>
      </c>
      <c r="B9823" s="1" t="n">
        <v>45590</v>
      </c>
      <c r="C9823" s="1" t="n">
        <v>45798</v>
      </c>
      <c r="D9823" t="inlineStr">
        <is>
          <t>NORRBOTTENS LÄN</t>
        </is>
      </c>
      <c r="E9823" t="inlineStr">
        <is>
          <t>ARVIDSJAUR</t>
        </is>
      </c>
      <c r="F9823" t="inlineStr">
        <is>
          <t>Sveaskog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48426-2024</t>
        </is>
      </c>
      <c r="B9824" s="1" t="n">
        <v>45590</v>
      </c>
      <c r="C9824" s="1" t="n">
        <v>45798</v>
      </c>
      <c r="D9824" t="inlineStr">
        <is>
          <t>NORRBOTTENS LÄN</t>
        </is>
      </c>
      <c r="E9824" t="inlineStr">
        <is>
          <t>BODEN</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48431-2024</t>
        </is>
      </c>
      <c r="B9825" s="1" t="n">
        <v>45590</v>
      </c>
      <c r="C9825" s="1" t="n">
        <v>45798</v>
      </c>
      <c r="D9825" t="inlineStr">
        <is>
          <t>NORRBOTTENS LÄN</t>
        </is>
      </c>
      <c r="E9825" t="inlineStr">
        <is>
          <t>BODEN</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48433-2024</t>
        </is>
      </c>
      <c r="B9826" s="1" t="n">
        <v>45590</v>
      </c>
      <c r="C9826" s="1" t="n">
        <v>45798</v>
      </c>
      <c r="D9826" t="inlineStr">
        <is>
          <t>NORRBOTTENS LÄN</t>
        </is>
      </c>
      <c r="E9826" t="inlineStr">
        <is>
          <t>BODEN</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48461-2024</t>
        </is>
      </c>
      <c r="B9827" s="1" t="n">
        <v>45590</v>
      </c>
      <c r="C9827" s="1" t="n">
        <v>45798</v>
      </c>
      <c r="D9827" t="inlineStr">
        <is>
          <t>NORRBOTTENS LÄN</t>
        </is>
      </c>
      <c r="E9827" t="inlineStr">
        <is>
          <t>ARVIDSJAUR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48339-2024</t>
        </is>
      </c>
      <c r="B9828" s="1" t="n">
        <v>45590</v>
      </c>
      <c r="C9828" s="1" t="n">
        <v>45798</v>
      </c>
      <c r="D9828" t="inlineStr">
        <is>
          <t>NORRBOTTENS LÄN</t>
        </is>
      </c>
      <c r="E9828" t="inlineStr">
        <is>
          <t>JOKKMOKK</t>
        </is>
      </c>
      <c r="F9828" t="inlineStr">
        <is>
          <t>Allmännings- och besparingsskogar</t>
        </is>
      </c>
      <c r="G9828" t="n">
        <v>24.9</v>
      </c>
      <c r="H9828" t="n">
        <v>0</v>
      </c>
      <c r="I9828" t="n">
        <v>0</v>
      </c>
      <c r="J9828" t="n">
        <v>0</v>
      </c>
      <c r="K9828" t="n">
        <v>0</v>
      </c>
      <c r="L9828" t="n">
        <v>0</v>
      </c>
      <c r="M9828" t="n">
        <v>0</v>
      </c>
      <c r="N9828" t="n">
        <v>0</v>
      </c>
      <c r="O9828" t="n">
        <v>0</v>
      </c>
      <c r="P9828" t="n">
        <v>0</v>
      </c>
      <c r="Q9828" t="n">
        <v>0</v>
      </c>
      <c r="R9828" s="2" t="inlineStr"/>
    </row>
    <row r="9829" ht="15" customHeight="1">
      <c r="A9829" t="inlineStr">
        <is>
          <t>A 48322-2024</t>
        </is>
      </c>
      <c r="B9829" s="1" t="n">
        <v>45590</v>
      </c>
      <c r="C9829" s="1" t="n">
        <v>45798</v>
      </c>
      <c r="D9829" t="inlineStr">
        <is>
          <t>NORRBOTTENS LÄN</t>
        </is>
      </c>
      <c r="E9829" t="inlineStr">
        <is>
          <t>PITEÅ</t>
        </is>
      </c>
      <c r="F9829" t="inlineStr">
        <is>
          <t>Sveaskog</t>
        </is>
      </c>
      <c r="G9829" t="n">
        <v>12.7</v>
      </c>
      <c r="H9829" t="n">
        <v>0</v>
      </c>
      <c r="I9829" t="n">
        <v>0</v>
      </c>
      <c r="J9829" t="n">
        <v>0</v>
      </c>
      <c r="K9829" t="n">
        <v>0</v>
      </c>
      <c r="L9829" t="n">
        <v>0</v>
      </c>
      <c r="M9829" t="n">
        <v>0</v>
      </c>
      <c r="N9829" t="n">
        <v>0</v>
      </c>
      <c r="O9829" t="n">
        <v>0</v>
      </c>
      <c r="P9829" t="n">
        <v>0</v>
      </c>
      <c r="Q9829" t="n">
        <v>0</v>
      </c>
      <c r="R9829" s="2" t="inlineStr"/>
    </row>
    <row r="9830" ht="15" customHeight="1">
      <c r="A9830" t="inlineStr">
        <is>
          <t>A 48427-2024</t>
        </is>
      </c>
      <c r="B9830" s="1" t="n">
        <v>45590</v>
      </c>
      <c r="C9830" s="1" t="n">
        <v>45798</v>
      </c>
      <c r="D9830" t="inlineStr">
        <is>
          <t>NORRBOTTENS LÄN</t>
        </is>
      </c>
      <c r="E9830" t="inlineStr">
        <is>
          <t>BODEN</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48464-2024</t>
        </is>
      </c>
      <c r="B9831" s="1" t="n">
        <v>45590</v>
      </c>
      <c r="C9831" s="1" t="n">
        <v>45798</v>
      </c>
      <c r="D9831" t="inlineStr">
        <is>
          <t>NORRBOTTENS LÄN</t>
        </is>
      </c>
      <c r="E9831" t="inlineStr">
        <is>
          <t>ARVIDSJAUR</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48415-2024</t>
        </is>
      </c>
      <c r="B9832" s="1" t="n">
        <v>45590</v>
      </c>
      <c r="C9832" s="1" t="n">
        <v>45798</v>
      </c>
      <c r="D9832" t="inlineStr">
        <is>
          <t>NORRBOTTENS LÄN</t>
        </is>
      </c>
      <c r="E9832" t="inlineStr">
        <is>
          <t>BODEN</t>
        </is>
      </c>
      <c r="F9832" t="inlineStr">
        <is>
          <t>SCA</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48383-2024</t>
        </is>
      </c>
      <c r="B9833" s="1" t="n">
        <v>45590</v>
      </c>
      <c r="C9833" s="1" t="n">
        <v>45798</v>
      </c>
      <c r="D9833" t="inlineStr">
        <is>
          <t>NORRBOTTENS LÄN</t>
        </is>
      </c>
      <c r="E9833" t="inlineStr">
        <is>
          <t>HAPARANDA</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48358-2024</t>
        </is>
      </c>
      <c r="B9834" s="1" t="n">
        <v>45590</v>
      </c>
      <c r="C9834" s="1" t="n">
        <v>45798</v>
      </c>
      <c r="D9834" t="inlineStr">
        <is>
          <t>NORRBOTTENS LÄN</t>
        </is>
      </c>
      <c r="E9834" t="inlineStr">
        <is>
          <t>ARVIDSJAUR</t>
        </is>
      </c>
      <c r="F9834" t="inlineStr">
        <is>
          <t>Sveaskog</t>
        </is>
      </c>
      <c r="G9834" t="n">
        <v>20.3</v>
      </c>
      <c r="H9834" t="n">
        <v>0</v>
      </c>
      <c r="I9834" t="n">
        <v>0</v>
      </c>
      <c r="J9834" t="n">
        <v>0</v>
      </c>
      <c r="K9834" t="n">
        <v>0</v>
      </c>
      <c r="L9834" t="n">
        <v>0</v>
      </c>
      <c r="M9834" t="n">
        <v>0</v>
      </c>
      <c r="N9834" t="n">
        <v>0</v>
      </c>
      <c r="O9834" t="n">
        <v>0</v>
      </c>
      <c r="P9834" t="n">
        <v>0</v>
      </c>
      <c r="Q9834" t="n">
        <v>0</v>
      </c>
      <c r="R9834" s="2" t="inlineStr"/>
    </row>
    <row r="9835" ht="15" customHeight="1">
      <c r="A9835" t="inlineStr">
        <is>
          <t>A 48210-2024</t>
        </is>
      </c>
      <c r="B9835" s="1" t="n">
        <v>45590</v>
      </c>
      <c r="C9835" s="1" t="n">
        <v>45798</v>
      </c>
      <c r="D9835" t="inlineStr">
        <is>
          <t>NORRBOTTENS LÄN</t>
        </is>
      </c>
      <c r="E9835" t="inlineStr">
        <is>
          <t>JOKKMOKK</t>
        </is>
      </c>
      <c r="F9835" t="inlineStr">
        <is>
          <t>SCA</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48470-2024</t>
        </is>
      </c>
      <c r="B9836" s="1" t="n">
        <v>45591</v>
      </c>
      <c r="C9836" s="1" t="n">
        <v>45798</v>
      </c>
      <c r="D9836" t="inlineStr">
        <is>
          <t>NORRBOTTENS LÄN</t>
        </is>
      </c>
      <c r="E9836" t="inlineStr">
        <is>
          <t>PITEÅ</t>
        </is>
      </c>
      <c r="F9836" t="inlineStr">
        <is>
          <t>SCA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48471-2024</t>
        </is>
      </c>
      <c r="B9837" s="1" t="n">
        <v>45591</v>
      </c>
      <c r="C9837" s="1" t="n">
        <v>45798</v>
      </c>
      <c r="D9837" t="inlineStr">
        <is>
          <t>NORRBOTTENS LÄN</t>
        </is>
      </c>
      <c r="E9837" t="inlineStr">
        <is>
          <t>BODEN</t>
        </is>
      </c>
      <c r="F9837" t="inlineStr">
        <is>
          <t>SCA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48469-2024</t>
        </is>
      </c>
      <c r="B9838" s="1" t="n">
        <v>45591</v>
      </c>
      <c r="C9838" s="1" t="n">
        <v>45798</v>
      </c>
      <c r="D9838" t="inlineStr">
        <is>
          <t>NORRBOTTENS LÄN</t>
        </is>
      </c>
      <c r="E9838" t="inlineStr">
        <is>
          <t>PITEÅ</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48468-2024</t>
        </is>
      </c>
      <c r="B9839" s="1" t="n">
        <v>45591</v>
      </c>
      <c r="C9839" s="1" t="n">
        <v>45798</v>
      </c>
      <c r="D9839" t="inlineStr">
        <is>
          <t>NORRBOTTENS LÄN</t>
        </is>
      </c>
      <c r="E9839" t="inlineStr">
        <is>
          <t>PITEÅ</t>
        </is>
      </c>
      <c r="F9839" t="inlineStr">
        <is>
          <t>SCA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48472-2024</t>
        </is>
      </c>
      <c r="B9840" s="1" t="n">
        <v>45591</v>
      </c>
      <c r="C9840" s="1" t="n">
        <v>45798</v>
      </c>
      <c r="D9840" t="inlineStr">
        <is>
          <t>NORRBOTTENS LÄN</t>
        </is>
      </c>
      <c r="E9840" t="inlineStr">
        <is>
          <t>BODEN</t>
        </is>
      </c>
      <c r="F9840" t="inlineStr">
        <is>
          <t>SCA</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48486-2024</t>
        </is>
      </c>
      <c r="B9841" s="1" t="n">
        <v>45592</v>
      </c>
      <c r="C9841" s="1" t="n">
        <v>45798</v>
      </c>
      <c r="D9841" t="inlineStr">
        <is>
          <t>NORRBOTTENS LÄN</t>
        </is>
      </c>
      <c r="E9841" t="inlineStr">
        <is>
          <t>PAJALA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48485-2024</t>
        </is>
      </c>
      <c r="B9842" s="1" t="n">
        <v>45592</v>
      </c>
      <c r="C9842" s="1" t="n">
        <v>45798</v>
      </c>
      <c r="D9842" t="inlineStr">
        <is>
          <t>NORRBOTTENS LÄN</t>
        </is>
      </c>
      <c r="E9842" t="inlineStr">
        <is>
          <t>PAJALA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48484-2024</t>
        </is>
      </c>
      <c r="B9843" s="1" t="n">
        <v>45592</v>
      </c>
      <c r="C9843" s="1" t="n">
        <v>45798</v>
      </c>
      <c r="D9843" t="inlineStr">
        <is>
          <t>NORRBOTTENS LÄN</t>
        </is>
      </c>
      <c r="E9843" t="inlineStr">
        <is>
          <t>PAJALA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48487-2024</t>
        </is>
      </c>
      <c r="B9844" s="1" t="n">
        <v>45592</v>
      </c>
      <c r="C9844" s="1" t="n">
        <v>45798</v>
      </c>
      <c r="D9844" t="inlineStr">
        <is>
          <t>NORRBOTTENS LÄN</t>
        </is>
      </c>
      <c r="E9844" t="inlineStr">
        <is>
          <t>PAJALA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48592-2024</t>
        </is>
      </c>
      <c r="B9845" s="1" t="n">
        <v>45593</v>
      </c>
      <c r="C9845" s="1" t="n">
        <v>45798</v>
      </c>
      <c r="D9845" t="inlineStr">
        <is>
          <t>NORRBOTTENS LÄN</t>
        </is>
      </c>
      <c r="E9845" t="inlineStr">
        <is>
          <t>BODEN</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48608-2024</t>
        </is>
      </c>
      <c r="B9846" s="1" t="n">
        <v>45593</v>
      </c>
      <c r="C9846" s="1" t="n">
        <v>45798</v>
      </c>
      <c r="D9846" t="inlineStr">
        <is>
          <t>NORRBOTTENS LÄN</t>
        </is>
      </c>
      <c r="E9846" t="inlineStr">
        <is>
          <t>ARVIDSJAUR</t>
        </is>
      </c>
      <c r="F9846" t="inlineStr">
        <is>
          <t>Sveaskog</t>
        </is>
      </c>
      <c r="G9846" t="n">
        <v>16.6</v>
      </c>
      <c r="H9846" t="n">
        <v>0</v>
      </c>
      <c r="I9846" t="n">
        <v>0</v>
      </c>
      <c r="J9846" t="n">
        <v>0</v>
      </c>
      <c r="K9846" t="n">
        <v>0</v>
      </c>
      <c r="L9846" t="n">
        <v>0</v>
      </c>
      <c r="M9846" t="n">
        <v>0</v>
      </c>
      <c r="N9846" t="n">
        <v>0</v>
      </c>
      <c r="O9846" t="n">
        <v>0</v>
      </c>
      <c r="P9846" t="n">
        <v>0</v>
      </c>
      <c r="Q9846" t="n">
        <v>0</v>
      </c>
      <c r="R9846" s="2" t="inlineStr"/>
    </row>
    <row r="9847" ht="15" customHeight="1">
      <c r="A9847" t="inlineStr">
        <is>
          <t>A 48616-2024</t>
        </is>
      </c>
      <c r="B9847" s="1" t="n">
        <v>45593</v>
      </c>
      <c r="C9847" s="1" t="n">
        <v>45798</v>
      </c>
      <c r="D9847" t="inlineStr">
        <is>
          <t>NORRBOTTENS LÄN</t>
        </is>
      </c>
      <c r="E9847" t="inlineStr">
        <is>
          <t>ARVIDSJAUR</t>
        </is>
      </c>
      <c r="F9847" t="inlineStr">
        <is>
          <t>Sveaskog</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48736-2024</t>
        </is>
      </c>
      <c r="B9848" s="1" t="n">
        <v>45593</v>
      </c>
      <c r="C9848" s="1" t="n">
        <v>45798</v>
      </c>
      <c r="D9848" t="inlineStr">
        <is>
          <t>NORRBOTTENS LÄN</t>
        </is>
      </c>
      <c r="E9848" t="inlineStr">
        <is>
          <t>KALIX</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48835-2024</t>
        </is>
      </c>
      <c r="B9849" s="1" t="n">
        <v>45593</v>
      </c>
      <c r="C9849" s="1" t="n">
        <v>45798</v>
      </c>
      <c r="D9849" t="inlineStr">
        <is>
          <t>NORRBOTTENS LÄN</t>
        </is>
      </c>
      <c r="E9849" t="inlineStr">
        <is>
          <t>ÄLVSBYN</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48561-2024</t>
        </is>
      </c>
      <c r="B9850" s="1" t="n">
        <v>45593</v>
      </c>
      <c r="C9850" s="1" t="n">
        <v>45798</v>
      </c>
      <c r="D9850" t="inlineStr">
        <is>
          <t>NORRBOTTENS LÄN</t>
        </is>
      </c>
      <c r="E9850" t="inlineStr">
        <is>
          <t>ÖVERKALIX</t>
        </is>
      </c>
      <c r="F9850" t="inlineStr">
        <is>
          <t>SCA</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48594-2024</t>
        </is>
      </c>
      <c r="B9851" s="1" t="n">
        <v>45593</v>
      </c>
      <c r="C9851" s="1" t="n">
        <v>45798</v>
      </c>
      <c r="D9851" t="inlineStr">
        <is>
          <t>NORRBOTTENS LÄN</t>
        </is>
      </c>
      <c r="E9851" t="inlineStr">
        <is>
          <t>PITEÅ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48614-2024</t>
        </is>
      </c>
      <c r="B9852" s="1" t="n">
        <v>45593</v>
      </c>
      <c r="C9852" s="1" t="n">
        <v>45798</v>
      </c>
      <c r="D9852" t="inlineStr">
        <is>
          <t>NORRBOTTENS LÄN</t>
        </is>
      </c>
      <c r="E9852" t="inlineStr">
        <is>
          <t>ARVIDSJAUR</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48764-2024</t>
        </is>
      </c>
      <c r="B9853" s="1" t="n">
        <v>45593</v>
      </c>
      <c r="C9853" s="1" t="n">
        <v>45798</v>
      </c>
      <c r="D9853" t="inlineStr">
        <is>
          <t>NORRBOTTENS LÄN</t>
        </is>
      </c>
      <c r="E9853" t="inlineStr">
        <is>
          <t>PAJALA</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48656-2024</t>
        </is>
      </c>
      <c r="B9854" s="1" t="n">
        <v>45593</v>
      </c>
      <c r="C9854" s="1" t="n">
        <v>45798</v>
      </c>
      <c r="D9854" t="inlineStr">
        <is>
          <t>NORRBOTTENS LÄN</t>
        </is>
      </c>
      <c r="E9854" t="inlineStr">
        <is>
          <t>PAJALA</t>
        </is>
      </c>
      <c r="G9854" t="n">
        <v>12.7</v>
      </c>
      <c r="H9854" t="n">
        <v>0</v>
      </c>
      <c r="I9854" t="n">
        <v>0</v>
      </c>
      <c r="J9854" t="n">
        <v>0</v>
      </c>
      <c r="K9854" t="n">
        <v>0</v>
      </c>
      <c r="L9854" t="n">
        <v>0</v>
      </c>
      <c r="M9854" t="n">
        <v>0</v>
      </c>
      <c r="N9854" t="n">
        <v>0</v>
      </c>
      <c r="O9854" t="n">
        <v>0</v>
      </c>
      <c r="P9854" t="n">
        <v>0</v>
      </c>
      <c r="Q9854" t="n">
        <v>0</v>
      </c>
      <c r="R9854" s="2" t="inlineStr"/>
    </row>
    <row r="9855" ht="15" customHeight="1">
      <c r="A9855" t="inlineStr">
        <is>
          <t>A 48747-2024</t>
        </is>
      </c>
      <c r="B9855" s="1" t="n">
        <v>45593</v>
      </c>
      <c r="C9855" s="1" t="n">
        <v>45798</v>
      </c>
      <c r="D9855" t="inlineStr">
        <is>
          <t>NORRBOTTENS LÄN</t>
        </is>
      </c>
      <c r="E9855" t="inlineStr">
        <is>
          <t>ÖVERKALIX</t>
        </is>
      </c>
      <c r="G9855" t="n">
        <v>13.2</v>
      </c>
      <c r="H9855" t="n">
        <v>0</v>
      </c>
      <c r="I9855" t="n">
        <v>0</v>
      </c>
      <c r="J9855" t="n">
        <v>0</v>
      </c>
      <c r="K9855" t="n">
        <v>0</v>
      </c>
      <c r="L9855" t="n">
        <v>0</v>
      </c>
      <c r="M9855" t="n">
        <v>0</v>
      </c>
      <c r="N9855" t="n">
        <v>0</v>
      </c>
      <c r="O9855" t="n">
        <v>0</v>
      </c>
      <c r="P9855" t="n">
        <v>0</v>
      </c>
      <c r="Q9855" t="n">
        <v>0</v>
      </c>
      <c r="R9855" s="2" t="inlineStr"/>
    </row>
    <row r="9856" ht="15" customHeight="1">
      <c r="A9856" t="inlineStr">
        <is>
          <t>A 48648-2024</t>
        </is>
      </c>
      <c r="B9856" s="1" t="n">
        <v>45593</v>
      </c>
      <c r="C9856" s="1" t="n">
        <v>45798</v>
      </c>
      <c r="D9856" t="inlineStr">
        <is>
          <t>NORRBOTTENS LÄN</t>
        </is>
      </c>
      <c r="E9856" t="inlineStr">
        <is>
          <t>PITEÅ</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48942-2024</t>
        </is>
      </c>
      <c r="B9857" s="1" t="n">
        <v>45594</v>
      </c>
      <c r="C9857" s="1" t="n">
        <v>45798</v>
      </c>
      <c r="D9857" t="inlineStr">
        <is>
          <t>NORRBOTTENS LÄN</t>
        </is>
      </c>
      <c r="E9857" t="inlineStr">
        <is>
          <t>BODEN</t>
        </is>
      </c>
      <c r="F9857" t="inlineStr">
        <is>
          <t>Övriga Aktiebolag</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48892-2024</t>
        </is>
      </c>
      <c r="B9858" s="1" t="n">
        <v>45594</v>
      </c>
      <c r="C9858" s="1" t="n">
        <v>45798</v>
      </c>
      <c r="D9858" t="inlineStr">
        <is>
          <t>NORRBOTTENS LÄN</t>
        </is>
      </c>
      <c r="E9858" t="inlineStr">
        <is>
          <t>ARVIDSJAUR</t>
        </is>
      </c>
      <c r="F9858" t="inlineStr">
        <is>
          <t>Sveaskog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48916-2024</t>
        </is>
      </c>
      <c r="B9859" s="1" t="n">
        <v>45594</v>
      </c>
      <c r="C9859" s="1" t="n">
        <v>45798</v>
      </c>
      <c r="D9859" t="inlineStr">
        <is>
          <t>NORRBOTTENS LÄN</t>
        </is>
      </c>
      <c r="E9859" t="inlineStr">
        <is>
          <t>PAJALA</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48920-2024</t>
        </is>
      </c>
      <c r="B9860" s="1" t="n">
        <v>45594</v>
      </c>
      <c r="C9860" s="1" t="n">
        <v>45798</v>
      </c>
      <c r="D9860" t="inlineStr">
        <is>
          <t>NORRBOTTENS LÄN</t>
        </is>
      </c>
      <c r="E9860" t="inlineStr">
        <is>
          <t>PAJALA</t>
        </is>
      </c>
      <c r="F9860" t="inlineStr">
        <is>
          <t>SCA</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49994-2024</t>
        </is>
      </c>
      <c r="B9861" s="1" t="n">
        <v>45594</v>
      </c>
      <c r="C9861" s="1" t="n">
        <v>45798</v>
      </c>
      <c r="D9861" t="inlineStr">
        <is>
          <t>NORRBOTTENS LÄN</t>
        </is>
      </c>
      <c r="E9861" t="inlineStr">
        <is>
          <t>BODEN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49085-2024</t>
        </is>
      </c>
      <c r="B9862" s="1" t="n">
        <v>45594</v>
      </c>
      <c r="C9862" s="1" t="n">
        <v>45798</v>
      </c>
      <c r="D9862" t="inlineStr">
        <is>
          <t>NORRBOTTENS LÄN</t>
        </is>
      </c>
      <c r="E9862" t="inlineStr">
        <is>
          <t>ARVIDSJAUR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48945-2024</t>
        </is>
      </c>
      <c r="B9863" s="1" t="n">
        <v>45594</v>
      </c>
      <c r="C9863" s="1" t="n">
        <v>45798</v>
      </c>
      <c r="D9863" t="inlineStr">
        <is>
          <t>NORRBOTTENS LÄN</t>
        </is>
      </c>
      <c r="E9863" t="inlineStr">
        <is>
          <t>BODEN</t>
        </is>
      </c>
      <c r="F9863" t="inlineStr">
        <is>
          <t>Övriga Aktiebolag</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48981-2024</t>
        </is>
      </c>
      <c r="B9864" s="1" t="n">
        <v>45594</v>
      </c>
      <c r="C9864" s="1" t="n">
        <v>45798</v>
      </c>
      <c r="D9864" t="inlineStr">
        <is>
          <t>NORRBOTTENS LÄN</t>
        </is>
      </c>
      <c r="E9864" t="inlineStr">
        <is>
          <t>BODEN</t>
        </is>
      </c>
      <c r="G9864" t="n">
        <v>13.6</v>
      </c>
      <c r="H9864" t="n">
        <v>0</v>
      </c>
      <c r="I9864" t="n">
        <v>0</v>
      </c>
      <c r="J9864" t="n">
        <v>0</v>
      </c>
      <c r="K9864" t="n">
        <v>0</v>
      </c>
      <c r="L9864" t="n">
        <v>0</v>
      </c>
      <c r="M9864" t="n">
        <v>0</v>
      </c>
      <c r="N9864" t="n">
        <v>0</v>
      </c>
      <c r="O9864" t="n">
        <v>0</v>
      </c>
      <c r="P9864" t="n">
        <v>0</v>
      </c>
      <c r="Q9864" t="n">
        <v>0</v>
      </c>
      <c r="R9864" s="2" t="inlineStr"/>
    </row>
    <row r="9865" ht="15" customHeight="1">
      <c r="A9865" t="inlineStr">
        <is>
          <t>A 49071-2024</t>
        </is>
      </c>
      <c r="B9865" s="1" t="n">
        <v>45594</v>
      </c>
      <c r="C9865" s="1" t="n">
        <v>45798</v>
      </c>
      <c r="D9865" t="inlineStr">
        <is>
          <t>NORRBOTTENS LÄN</t>
        </is>
      </c>
      <c r="E9865" t="inlineStr">
        <is>
          <t>ARVIDSJAUR</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49075-2024</t>
        </is>
      </c>
      <c r="B9866" s="1" t="n">
        <v>45594</v>
      </c>
      <c r="C9866" s="1" t="n">
        <v>45798</v>
      </c>
      <c r="D9866" t="inlineStr">
        <is>
          <t>NORRBOTTENS LÄN</t>
        </is>
      </c>
      <c r="E9866" t="inlineStr">
        <is>
          <t>ARVIDSJAUR</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49091-2024</t>
        </is>
      </c>
      <c r="B9867" s="1" t="n">
        <v>45594</v>
      </c>
      <c r="C9867" s="1" t="n">
        <v>45798</v>
      </c>
      <c r="D9867" t="inlineStr">
        <is>
          <t>NORRBOTTENS LÄN</t>
        </is>
      </c>
      <c r="E9867" t="inlineStr">
        <is>
          <t>ÖVERKALIX</t>
        </is>
      </c>
      <c r="F9867" t="inlineStr">
        <is>
          <t>Sveaskog</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49143-2024</t>
        </is>
      </c>
      <c r="B9868" s="1" t="n">
        <v>45594</v>
      </c>
      <c r="C9868" s="1" t="n">
        <v>45798</v>
      </c>
      <c r="D9868" t="inlineStr">
        <is>
          <t>NORRBOTTENS LÄN</t>
        </is>
      </c>
      <c r="E9868" t="inlineStr">
        <is>
          <t>KALIX</t>
        </is>
      </c>
      <c r="F9868" t="inlineStr">
        <is>
          <t>SCA</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49271-2024</t>
        </is>
      </c>
      <c r="B9869" s="1" t="n">
        <v>45595</v>
      </c>
      <c r="C9869" s="1" t="n">
        <v>45798</v>
      </c>
      <c r="D9869" t="inlineStr">
        <is>
          <t>NORRBOTTENS LÄN</t>
        </is>
      </c>
      <c r="E9869" t="inlineStr">
        <is>
          <t>PITEÅ</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49204-2024</t>
        </is>
      </c>
      <c r="B9870" s="1" t="n">
        <v>45595</v>
      </c>
      <c r="C9870" s="1" t="n">
        <v>45798</v>
      </c>
      <c r="D9870" t="inlineStr">
        <is>
          <t>NORRBOTTENS LÄN</t>
        </is>
      </c>
      <c r="E9870" t="inlineStr">
        <is>
          <t>ARVIDSJAUR</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49208-2024</t>
        </is>
      </c>
      <c r="B9871" s="1" t="n">
        <v>45595</v>
      </c>
      <c r="C9871" s="1" t="n">
        <v>45798</v>
      </c>
      <c r="D9871" t="inlineStr">
        <is>
          <t>NORRBOTTENS LÄN</t>
        </is>
      </c>
      <c r="E9871" t="inlineStr">
        <is>
          <t>LULEÅ</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49220-2024</t>
        </is>
      </c>
      <c r="B9872" s="1" t="n">
        <v>45595</v>
      </c>
      <c r="C9872" s="1" t="n">
        <v>45798</v>
      </c>
      <c r="D9872" t="inlineStr">
        <is>
          <t>NORRBOTTENS LÄN</t>
        </is>
      </c>
      <c r="E9872" t="inlineStr">
        <is>
          <t>JOKKMOKK</t>
        </is>
      </c>
      <c r="F9872" t="inlineStr">
        <is>
          <t>Allmännings- och besparingsskogar</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49273-2024</t>
        </is>
      </c>
      <c r="B9873" s="1" t="n">
        <v>45595</v>
      </c>
      <c r="C9873" s="1" t="n">
        <v>45798</v>
      </c>
      <c r="D9873" t="inlineStr">
        <is>
          <t>NORRBOTTENS LÄN</t>
        </is>
      </c>
      <c r="E9873" t="inlineStr">
        <is>
          <t>BODEN</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49170-2024</t>
        </is>
      </c>
      <c r="B9874" s="1" t="n">
        <v>45595</v>
      </c>
      <c r="C9874" s="1" t="n">
        <v>45798</v>
      </c>
      <c r="D9874" t="inlineStr">
        <is>
          <t>NORRBOTTENS LÄN</t>
        </is>
      </c>
      <c r="E9874" t="inlineStr">
        <is>
          <t>ARVIDSJAUR</t>
        </is>
      </c>
      <c r="F9874" t="inlineStr">
        <is>
          <t>Sveaskog</t>
        </is>
      </c>
      <c r="G9874" t="n">
        <v>10.6</v>
      </c>
      <c r="H9874" t="n">
        <v>0</v>
      </c>
      <c r="I9874" t="n">
        <v>0</v>
      </c>
      <c r="J9874" t="n">
        <v>0</v>
      </c>
      <c r="K9874" t="n">
        <v>0</v>
      </c>
      <c r="L9874" t="n">
        <v>0</v>
      </c>
      <c r="M9874" t="n">
        <v>0</v>
      </c>
      <c r="N9874" t="n">
        <v>0</v>
      </c>
      <c r="O9874" t="n">
        <v>0</v>
      </c>
      <c r="P9874" t="n">
        <v>0</v>
      </c>
      <c r="Q9874" t="n">
        <v>0</v>
      </c>
      <c r="R9874" s="2" t="inlineStr"/>
    </row>
    <row r="9875" ht="15" customHeight="1">
      <c r="A9875" t="inlineStr">
        <is>
          <t>A 49174-2024</t>
        </is>
      </c>
      <c r="B9875" s="1" t="n">
        <v>45595</v>
      </c>
      <c r="C9875" s="1" t="n">
        <v>45798</v>
      </c>
      <c r="D9875" t="inlineStr">
        <is>
          <t>NORRBOTTENS LÄN</t>
        </is>
      </c>
      <c r="E9875" t="inlineStr">
        <is>
          <t>PITEÅ</t>
        </is>
      </c>
      <c r="F9875" t="inlineStr">
        <is>
          <t>Sveaskog</t>
        </is>
      </c>
      <c r="G9875" t="n">
        <v>16.7</v>
      </c>
      <c r="H9875" t="n">
        <v>0</v>
      </c>
      <c r="I9875" t="n">
        <v>0</v>
      </c>
      <c r="J9875" t="n">
        <v>0</v>
      </c>
      <c r="K9875" t="n">
        <v>0</v>
      </c>
      <c r="L9875" t="n">
        <v>0</v>
      </c>
      <c r="M9875" t="n">
        <v>0</v>
      </c>
      <c r="N9875" t="n">
        <v>0</v>
      </c>
      <c r="O9875" t="n">
        <v>0</v>
      </c>
      <c r="P9875" t="n">
        <v>0</v>
      </c>
      <c r="Q9875" t="n">
        <v>0</v>
      </c>
      <c r="R9875" s="2" t="inlineStr"/>
    </row>
    <row r="9876" ht="15" customHeight="1">
      <c r="A9876" t="inlineStr">
        <is>
          <t>A 49207-2024</t>
        </is>
      </c>
      <c r="B9876" s="1" t="n">
        <v>45595</v>
      </c>
      <c r="C9876" s="1" t="n">
        <v>45798</v>
      </c>
      <c r="D9876" t="inlineStr">
        <is>
          <t>NORRBOTTENS LÄN</t>
        </is>
      </c>
      <c r="E9876" t="inlineStr">
        <is>
          <t>ARVIDSJAUR</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49299-2024</t>
        </is>
      </c>
      <c r="B9877" s="1" t="n">
        <v>45595</v>
      </c>
      <c r="C9877" s="1" t="n">
        <v>45798</v>
      </c>
      <c r="D9877" t="inlineStr">
        <is>
          <t>NORRBOTTENS LÄN</t>
        </is>
      </c>
      <c r="E9877" t="inlineStr">
        <is>
          <t>ÖVERTORNEÅ</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49254-2024</t>
        </is>
      </c>
      <c r="B9878" s="1" t="n">
        <v>45595</v>
      </c>
      <c r="C9878" s="1" t="n">
        <v>45798</v>
      </c>
      <c r="D9878" t="inlineStr">
        <is>
          <t>NORRBOTTENS LÄN</t>
        </is>
      </c>
      <c r="E9878" t="inlineStr">
        <is>
          <t>PAJALA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49172-2024</t>
        </is>
      </c>
      <c r="B9879" s="1" t="n">
        <v>45595</v>
      </c>
      <c r="C9879" s="1" t="n">
        <v>45798</v>
      </c>
      <c r="D9879" t="inlineStr">
        <is>
          <t>NORRBOTTENS LÄN</t>
        </is>
      </c>
      <c r="E9879" t="inlineStr">
        <is>
          <t>ARVIDSJAUR</t>
        </is>
      </c>
      <c r="F9879" t="inlineStr">
        <is>
          <t>Sveaskog</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49664-2024</t>
        </is>
      </c>
      <c r="B9880" s="1" t="n">
        <v>45596</v>
      </c>
      <c r="C9880" s="1" t="n">
        <v>45798</v>
      </c>
      <c r="D9880" t="inlineStr">
        <is>
          <t>NORRBOTTENS LÄN</t>
        </is>
      </c>
      <c r="E9880" t="inlineStr">
        <is>
          <t>JOKKMOKK</t>
        </is>
      </c>
      <c r="F9880" t="inlineStr">
        <is>
          <t>Allmännings- och besparingsskogar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49704-2024</t>
        </is>
      </c>
      <c r="B9881" s="1" t="n">
        <v>45596</v>
      </c>
      <c r="C9881" s="1" t="n">
        <v>45798</v>
      </c>
      <c r="D9881" t="inlineStr">
        <is>
          <t>NORRBOTTENS LÄN</t>
        </is>
      </c>
      <c r="E9881" t="inlineStr">
        <is>
          <t>KIRUNA</t>
        </is>
      </c>
      <c r="G9881" t="n">
        <v>17.4</v>
      </c>
      <c r="H9881" t="n">
        <v>0</v>
      </c>
      <c r="I9881" t="n">
        <v>0</v>
      </c>
      <c r="J9881" t="n">
        <v>0</v>
      </c>
      <c r="K9881" t="n">
        <v>0</v>
      </c>
      <c r="L9881" t="n">
        <v>0</v>
      </c>
      <c r="M9881" t="n">
        <v>0</v>
      </c>
      <c r="N9881" t="n">
        <v>0</v>
      </c>
      <c r="O9881" t="n">
        <v>0</v>
      </c>
      <c r="P9881" t="n">
        <v>0</v>
      </c>
      <c r="Q9881" t="n">
        <v>0</v>
      </c>
      <c r="R9881" s="2" t="inlineStr"/>
    </row>
    <row r="9882" ht="15" customHeight="1">
      <c r="A9882" t="inlineStr">
        <is>
          <t>A 49648-2024</t>
        </is>
      </c>
      <c r="B9882" s="1" t="n">
        <v>45596</v>
      </c>
      <c r="C9882" s="1" t="n">
        <v>45798</v>
      </c>
      <c r="D9882" t="inlineStr">
        <is>
          <t>NORRBOTTENS LÄN</t>
        </is>
      </c>
      <c r="E9882" t="inlineStr">
        <is>
          <t>LULEÅ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49722-2024</t>
        </is>
      </c>
      <c r="B9883" s="1" t="n">
        <v>45596</v>
      </c>
      <c r="C9883" s="1" t="n">
        <v>45798</v>
      </c>
      <c r="D9883" t="inlineStr">
        <is>
          <t>NORRBOTTENS LÄN</t>
        </is>
      </c>
      <c r="E9883" t="inlineStr">
        <is>
          <t>LULEÅ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49720-2024</t>
        </is>
      </c>
      <c r="B9884" s="1" t="n">
        <v>45596</v>
      </c>
      <c r="C9884" s="1" t="n">
        <v>45798</v>
      </c>
      <c r="D9884" t="inlineStr">
        <is>
          <t>NORRBOTTENS LÄN</t>
        </is>
      </c>
      <c r="E9884" t="inlineStr">
        <is>
          <t>LULEÅ</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49472-2024</t>
        </is>
      </c>
      <c r="B9885" s="1" t="n">
        <v>45596</v>
      </c>
      <c r="C9885" s="1" t="n">
        <v>45798</v>
      </c>
      <c r="D9885" t="inlineStr">
        <is>
          <t>NORRBOTTENS LÄN</t>
        </is>
      </c>
      <c r="E9885" t="inlineStr">
        <is>
          <t>JOKKMOKK</t>
        </is>
      </c>
      <c r="F9885" t="inlineStr">
        <is>
          <t>SCA</t>
        </is>
      </c>
      <c r="G9885" t="n">
        <v>30.9</v>
      </c>
      <c r="H9885" t="n">
        <v>0</v>
      </c>
      <c r="I9885" t="n">
        <v>0</v>
      </c>
      <c r="J9885" t="n">
        <v>0</v>
      </c>
      <c r="K9885" t="n">
        <v>0</v>
      </c>
      <c r="L9885" t="n">
        <v>0</v>
      </c>
      <c r="M9885" t="n">
        <v>0</v>
      </c>
      <c r="N9885" t="n">
        <v>0</v>
      </c>
      <c r="O9885" t="n">
        <v>0</v>
      </c>
      <c r="P9885" t="n">
        <v>0</v>
      </c>
      <c r="Q9885" t="n">
        <v>0</v>
      </c>
      <c r="R9885" s="2" t="inlineStr"/>
    </row>
    <row r="9886" ht="15" customHeight="1">
      <c r="A9886" t="inlineStr">
        <is>
          <t>A 49476-2024</t>
        </is>
      </c>
      <c r="B9886" s="1" t="n">
        <v>45596</v>
      </c>
      <c r="C9886" s="1" t="n">
        <v>45798</v>
      </c>
      <c r="D9886" t="inlineStr">
        <is>
          <t>NORRBOTTENS LÄN</t>
        </is>
      </c>
      <c r="E9886" t="inlineStr">
        <is>
          <t>JOKKMOKK</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49473-2024</t>
        </is>
      </c>
      <c r="B9887" s="1" t="n">
        <v>45596</v>
      </c>
      <c r="C9887" s="1" t="n">
        <v>45798</v>
      </c>
      <c r="D9887" t="inlineStr">
        <is>
          <t>NORRBOTTENS LÄN</t>
        </is>
      </c>
      <c r="E9887" t="inlineStr">
        <is>
          <t>JOKKMOKK</t>
        </is>
      </c>
      <c r="F9887" t="inlineStr">
        <is>
          <t>SCA</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49477-2024</t>
        </is>
      </c>
      <c r="B9888" s="1" t="n">
        <v>45596</v>
      </c>
      <c r="C9888" s="1" t="n">
        <v>45798</v>
      </c>
      <c r="D9888" t="inlineStr">
        <is>
          <t>NORRBOTTENS LÄN</t>
        </is>
      </c>
      <c r="E9888" t="inlineStr">
        <is>
          <t>JOKKMOKK</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49671-2024</t>
        </is>
      </c>
      <c r="B9889" s="1" t="n">
        <v>45596</v>
      </c>
      <c r="C9889" s="1" t="n">
        <v>45798</v>
      </c>
      <c r="D9889" t="inlineStr">
        <is>
          <t>NORRBOTTENS LÄN</t>
        </is>
      </c>
      <c r="E9889" t="inlineStr">
        <is>
          <t>JOKKMOKK</t>
        </is>
      </c>
      <c r="F9889" t="inlineStr">
        <is>
          <t>Allmännings- och besparingsskogar</t>
        </is>
      </c>
      <c r="G9889" t="n">
        <v>15.5</v>
      </c>
      <c r="H9889" t="n">
        <v>0</v>
      </c>
      <c r="I9889" t="n">
        <v>0</v>
      </c>
      <c r="J9889" t="n">
        <v>0</v>
      </c>
      <c r="K9889" t="n">
        <v>0</v>
      </c>
      <c r="L9889" t="n">
        <v>0</v>
      </c>
      <c r="M9889" t="n">
        <v>0</v>
      </c>
      <c r="N9889" t="n">
        <v>0</v>
      </c>
      <c r="O9889" t="n">
        <v>0</v>
      </c>
      <c r="P9889" t="n">
        <v>0</v>
      </c>
      <c r="Q9889" t="n">
        <v>0</v>
      </c>
      <c r="R9889" s="2" t="inlineStr"/>
    </row>
    <row r="9890" ht="15" customHeight="1">
      <c r="A9890" t="inlineStr">
        <is>
          <t>A 49679-2024</t>
        </is>
      </c>
      <c r="B9890" s="1" t="n">
        <v>45596</v>
      </c>
      <c r="C9890" s="1" t="n">
        <v>45798</v>
      </c>
      <c r="D9890" t="inlineStr">
        <is>
          <t>NORRBOTTENS LÄN</t>
        </is>
      </c>
      <c r="E9890" t="inlineStr">
        <is>
          <t>JOKKMOKK</t>
        </is>
      </c>
      <c r="F9890" t="inlineStr">
        <is>
          <t>Allmännings- och besparingsskogar</t>
        </is>
      </c>
      <c r="G9890" t="n">
        <v>14.1</v>
      </c>
      <c r="H9890" t="n">
        <v>0</v>
      </c>
      <c r="I9890" t="n">
        <v>0</v>
      </c>
      <c r="J9890" t="n">
        <v>0</v>
      </c>
      <c r="K9890" t="n">
        <v>0</v>
      </c>
      <c r="L9890" t="n">
        <v>0</v>
      </c>
      <c r="M9890" t="n">
        <v>0</v>
      </c>
      <c r="N9890" t="n">
        <v>0</v>
      </c>
      <c r="O9890" t="n">
        <v>0</v>
      </c>
      <c r="P9890" t="n">
        <v>0</v>
      </c>
      <c r="Q9890" t="n">
        <v>0</v>
      </c>
      <c r="R9890" s="2" t="inlineStr"/>
    </row>
    <row r="9891" ht="15" customHeight="1">
      <c r="A9891" t="inlineStr">
        <is>
          <t>A 49518-2024</t>
        </is>
      </c>
      <c r="B9891" s="1" t="n">
        <v>45596</v>
      </c>
      <c r="C9891" s="1" t="n">
        <v>45798</v>
      </c>
      <c r="D9891" t="inlineStr">
        <is>
          <t>NORRBOTTENS LÄN</t>
        </is>
      </c>
      <c r="E9891" t="inlineStr">
        <is>
          <t>LULEÅ</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49513-2024</t>
        </is>
      </c>
      <c r="B9892" s="1" t="n">
        <v>45596</v>
      </c>
      <c r="C9892" s="1" t="n">
        <v>45798</v>
      </c>
      <c r="D9892" t="inlineStr">
        <is>
          <t>NORRBOTTENS LÄN</t>
        </is>
      </c>
      <c r="E9892" t="inlineStr">
        <is>
          <t>LULEÅ</t>
        </is>
      </c>
      <c r="G9892" t="n">
        <v>7</v>
      </c>
      <c r="H9892" t="n">
        <v>0</v>
      </c>
      <c r="I9892" t="n">
        <v>0</v>
      </c>
      <c r="J9892" t="n">
        <v>0</v>
      </c>
      <c r="K9892" t="n">
        <v>0</v>
      </c>
      <c r="L9892" t="n">
        <v>0</v>
      </c>
      <c r="M9892" t="n">
        <v>0</v>
      </c>
      <c r="N9892" t="n">
        <v>0</v>
      </c>
      <c r="O9892" t="n">
        <v>0</v>
      </c>
      <c r="P9892" t="n">
        <v>0</v>
      </c>
      <c r="Q9892" t="n">
        <v>0</v>
      </c>
      <c r="R9892" s="2" t="inlineStr"/>
    </row>
    <row r="9893" ht="15" customHeight="1">
      <c r="A9893" t="inlineStr">
        <is>
          <t>A 49537-2024</t>
        </is>
      </c>
      <c r="B9893" s="1" t="n">
        <v>45596</v>
      </c>
      <c r="C9893" s="1" t="n">
        <v>45798</v>
      </c>
      <c r="D9893" t="inlineStr">
        <is>
          <t>NORRBOTTENS LÄN</t>
        </is>
      </c>
      <c r="E9893" t="inlineStr">
        <is>
          <t>LULEÅ</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49562-2024</t>
        </is>
      </c>
      <c r="B9894" s="1" t="n">
        <v>45596</v>
      </c>
      <c r="C9894" s="1" t="n">
        <v>45798</v>
      </c>
      <c r="D9894" t="inlineStr">
        <is>
          <t>NORRBOTTENS LÄN</t>
        </is>
      </c>
      <c r="E9894" t="inlineStr">
        <is>
          <t>JOKKMOKK</t>
        </is>
      </c>
      <c r="F9894" t="inlineStr">
        <is>
          <t>Allmännings- och besparingsskogar</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49471-2024</t>
        </is>
      </c>
      <c r="B9895" s="1" t="n">
        <v>45596</v>
      </c>
      <c r="C9895" s="1" t="n">
        <v>45798</v>
      </c>
      <c r="D9895" t="inlineStr">
        <is>
          <t>NORRBOTTENS LÄN</t>
        </is>
      </c>
      <c r="E9895" t="inlineStr">
        <is>
          <t>JOKKMOKK</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49475-2024</t>
        </is>
      </c>
      <c r="B9896" s="1" t="n">
        <v>45596</v>
      </c>
      <c r="C9896" s="1" t="n">
        <v>45798</v>
      </c>
      <c r="D9896" t="inlineStr">
        <is>
          <t>NORRBOTTENS LÄN</t>
        </is>
      </c>
      <c r="E9896" t="inlineStr">
        <is>
          <t>JOKKMOKK</t>
        </is>
      </c>
      <c r="F9896" t="inlineStr">
        <is>
          <t>SCA</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49643-2024</t>
        </is>
      </c>
      <c r="B9897" s="1" t="n">
        <v>45596</v>
      </c>
      <c r="C9897" s="1" t="n">
        <v>45798</v>
      </c>
      <c r="D9897" t="inlineStr">
        <is>
          <t>NORRBOTTENS LÄN</t>
        </is>
      </c>
      <c r="E9897" t="inlineStr">
        <is>
          <t>LULEÅ</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49620-2024</t>
        </is>
      </c>
      <c r="B9898" s="1" t="n">
        <v>45596</v>
      </c>
      <c r="C9898" s="1" t="n">
        <v>45798</v>
      </c>
      <c r="D9898" t="inlineStr">
        <is>
          <t>NORRBOTTENS LÄN</t>
        </is>
      </c>
      <c r="E9898" t="inlineStr">
        <is>
          <t>ARVIDSJAUR</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49520-2024</t>
        </is>
      </c>
      <c r="B9899" s="1" t="n">
        <v>45596</v>
      </c>
      <c r="C9899" s="1" t="n">
        <v>45798</v>
      </c>
      <c r="D9899" t="inlineStr">
        <is>
          <t>NORRBOTTENS LÄN</t>
        </is>
      </c>
      <c r="E9899" t="inlineStr">
        <is>
          <t>PITEÅ</t>
        </is>
      </c>
      <c r="F9899" t="inlineStr">
        <is>
          <t>Sveaskog</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49728-2024</t>
        </is>
      </c>
      <c r="B9900" s="1" t="n">
        <v>45596</v>
      </c>
      <c r="C9900" s="1" t="n">
        <v>45798</v>
      </c>
      <c r="D9900" t="inlineStr">
        <is>
          <t>NORRBOTTENS LÄN</t>
        </is>
      </c>
      <c r="E9900" t="inlineStr">
        <is>
          <t>BODEN</t>
        </is>
      </c>
      <c r="G9900" t="n">
        <v>22.7</v>
      </c>
      <c r="H9900" t="n">
        <v>0</v>
      </c>
      <c r="I9900" t="n">
        <v>0</v>
      </c>
      <c r="J9900" t="n">
        <v>0</v>
      </c>
      <c r="K9900" t="n">
        <v>0</v>
      </c>
      <c r="L9900" t="n">
        <v>0</v>
      </c>
      <c r="M9900" t="n">
        <v>0</v>
      </c>
      <c r="N9900" t="n">
        <v>0</v>
      </c>
      <c r="O9900" t="n">
        <v>0</v>
      </c>
      <c r="P9900" t="n">
        <v>0</v>
      </c>
      <c r="Q9900" t="n">
        <v>0</v>
      </c>
      <c r="R9900" s="2" t="inlineStr"/>
    </row>
    <row r="9901" ht="15" customHeight="1">
      <c r="A9901" t="inlineStr">
        <is>
          <t>A 49729-2024</t>
        </is>
      </c>
      <c r="B9901" s="1" t="n">
        <v>45596</v>
      </c>
      <c r="C9901" s="1" t="n">
        <v>45798</v>
      </c>
      <c r="D9901" t="inlineStr">
        <is>
          <t>NORRBOTTENS LÄN</t>
        </is>
      </c>
      <c r="E9901" t="inlineStr">
        <is>
          <t>BODEN</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49462-2024</t>
        </is>
      </c>
      <c r="B9902" s="1" t="n">
        <v>45596</v>
      </c>
      <c r="C9902" s="1" t="n">
        <v>45798</v>
      </c>
      <c r="D9902" t="inlineStr">
        <is>
          <t>NORRBOTTENS LÄN</t>
        </is>
      </c>
      <c r="E9902" t="inlineStr">
        <is>
          <t>PITEÅ</t>
        </is>
      </c>
      <c r="F9902" t="inlineStr">
        <is>
          <t>Sveaskog</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49638-2024</t>
        </is>
      </c>
      <c r="B9903" s="1" t="n">
        <v>45596</v>
      </c>
      <c r="C9903" s="1" t="n">
        <v>45798</v>
      </c>
      <c r="D9903" t="inlineStr">
        <is>
          <t>NORRBOTTENS LÄN</t>
        </is>
      </c>
      <c r="E9903" t="inlineStr">
        <is>
          <t>LULEÅ</t>
        </is>
      </c>
      <c r="G9903" t="n">
        <v>11.7</v>
      </c>
      <c r="H9903" t="n">
        <v>0</v>
      </c>
      <c r="I9903" t="n">
        <v>0</v>
      </c>
      <c r="J9903" t="n">
        <v>0</v>
      </c>
      <c r="K9903" t="n">
        <v>0</v>
      </c>
      <c r="L9903" t="n">
        <v>0</v>
      </c>
      <c r="M9903" t="n">
        <v>0</v>
      </c>
      <c r="N9903" t="n">
        <v>0</v>
      </c>
      <c r="O9903" t="n">
        <v>0</v>
      </c>
      <c r="P9903" t="n">
        <v>0</v>
      </c>
      <c r="Q9903" t="n">
        <v>0</v>
      </c>
      <c r="R9903" s="2" t="inlineStr"/>
    </row>
    <row r="9904" ht="15" customHeight="1">
      <c r="A9904" t="inlineStr">
        <is>
          <t>A 49474-2024</t>
        </is>
      </c>
      <c r="B9904" s="1" t="n">
        <v>45596</v>
      </c>
      <c r="C9904" s="1" t="n">
        <v>45798</v>
      </c>
      <c r="D9904" t="inlineStr">
        <is>
          <t>NORRBOTTENS LÄN</t>
        </is>
      </c>
      <c r="E9904" t="inlineStr">
        <is>
          <t>JOKKMOKK</t>
        </is>
      </c>
      <c r="F9904" t="inlineStr">
        <is>
          <t>SCA</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49478-2024</t>
        </is>
      </c>
      <c r="B9905" s="1" t="n">
        <v>45596</v>
      </c>
      <c r="C9905" s="1" t="n">
        <v>45798</v>
      </c>
      <c r="D9905" t="inlineStr">
        <is>
          <t>NORRBOTTENS LÄN</t>
        </is>
      </c>
      <c r="E9905" t="inlineStr">
        <is>
          <t>JOKKMOKK</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49612-2024</t>
        </is>
      </c>
      <c r="B9906" s="1" t="n">
        <v>45596</v>
      </c>
      <c r="C9906" s="1" t="n">
        <v>45798</v>
      </c>
      <c r="D9906" t="inlineStr">
        <is>
          <t>NORRBOTTENS LÄN</t>
        </is>
      </c>
      <c r="E9906" t="inlineStr">
        <is>
          <t>JOKKMOKK</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49641-2024</t>
        </is>
      </c>
      <c r="B9907" s="1" t="n">
        <v>45596</v>
      </c>
      <c r="C9907" s="1" t="n">
        <v>45798</v>
      </c>
      <c r="D9907" t="inlineStr">
        <is>
          <t>NORRBOTTENS LÄN</t>
        </is>
      </c>
      <c r="E9907" t="inlineStr">
        <is>
          <t>LULEÅ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49730-2024</t>
        </is>
      </c>
      <c r="B9908" s="1" t="n">
        <v>45596</v>
      </c>
      <c r="C9908" s="1" t="n">
        <v>45798</v>
      </c>
      <c r="D9908" t="inlineStr">
        <is>
          <t>NORRBOTTENS LÄN</t>
        </is>
      </c>
      <c r="E9908" t="inlineStr">
        <is>
          <t>BODEN</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49904-2024</t>
        </is>
      </c>
      <c r="B9909" s="1" t="n">
        <v>45597</v>
      </c>
      <c r="C9909" s="1" t="n">
        <v>45798</v>
      </c>
      <c r="D9909" t="inlineStr">
        <is>
          <t>NORRBOTTENS LÄN</t>
        </is>
      </c>
      <c r="E9909" t="inlineStr">
        <is>
          <t>HAPARANDA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49830-2024</t>
        </is>
      </c>
      <c r="B9910" s="1" t="n">
        <v>45597</v>
      </c>
      <c r="C9910" s="1" t="n">
        <v>45798</v>
      </c>
      <c r="D9910" t="inlineStr">
        <is>
          <t>NORRBOTTENS LÄN</t>
        </is>
      </c>
      <c r="E9910" t="inlineStr">
        <is>
          <t>PAJALA</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49902-2024</t>
        </is>
      </c>
      <c r="B9911" s="1" t="n">
        <v>45597</v>
      </c>
      <c r="C9911" s="1" t="n">
        <v>45798</v>
      </c>
      <c r="D9911" t="inlineStr">
        <is>
          <t>NORRBOTTENS LÄN</t>
        </is>
      </c>
      <c r="E9911" t="inlineStr">
        <is>
          <t>HAPARANDA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49897-2024</t>
        </is>
      </c>
      <c r="B9912" s="1" t="n">
        <v>45597</v>
      </c>
      <c r="C9912" s="1" t="n">
        <v>45798</v>
      </c>
      <c r="D9912" t="inlineStr">
        <is>
          <t>NORRBOTTENS LÄN</t>
        </is>
      </c>
      <c r="E9912" t="inlineStr">
        <is>
          <t>GÄLLIVARE</t>
        </is>
      </c>
      <c r="F9912" t="inlineStr">
        <is>
          <t>Sveaskog</t>
        </is>
      </c>
      <c r="G9912" t="n">
        <v>16.9</v>
      </c>
      <c r="H9912" t="n">
        <v>0</v>
      </c>
      <c r="I9912" t="n">
        <v>0</v>
      </c>
      <c r="J9912" t="n">
        <v>0</v>
      </c>
      <c r="K9912" t="n">
        <v>0</v>
      </c>
      <c r="L9912" t="n">
        <v>0</v>
      </c>
      <c r="M9912" t="n">
        <v>0</v>
      </c>
      <c r="N9912" t="n">
        <v>0</v>
      </c>
      <c r="O9912" t="n">
        <v>0</v>
      </c>
      <c r="P9912" t="n">
        <v>0</v>
      </c>
      <c r="Q9912" t="n">
        <v>0</v>
      </c>
      <c r="R9912" s="2" t="inlineStr"/>
    </row>
    <row r="9913" ht="15" customHeight="1">
      <c r="A9913" t="inlineStr">
        <is>
          <t>A 49852-2024</t>
        </is>
      </c>
      <c r="B9913" s="1" t="n">
        <v>45597</v>
      </c>
      <c r="C9913" s="1" t="n">
        <v>45798</v>
      </c>
      <c r="D9913" t="inlineStr">
        <is>
          <t>NORRBOTTENS LÄN</t>
        </is>
      </c>
      <c r="E9913" t="inlineStr">
        <is>
          <t>HAPARANDA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49907-2024</t>
        </is>
      </c>
      <c r="B9914" s="1" t="n">
        <v>45597</v>
      </c>
      <c r="C9914" s="1" t="n">
        <v>45798</v>
      </c>
      <c r="D9914" t="inlineStr">
        <is>
          <t>NORRBOTTENS LÄN</t>
        </is>
      </c>
      <c r="E9914" t="inlineStr">
        <is>
          <t>HAPARANDA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49923-2024</t>
        </is>
      </c>
      <c r="B9915" s="1" t="n">
        <v>45597</v>
      </c>
      <c r="C9915" s="1" t="n">
        <v>45798</v>
      </c>
      <c r="D9915" t="inlineStr">
        <is>
          <t>NORRBOTTENS LÄN</t>
        </is>
      </c>
      <c r="E9915" t="inlineStr">
        <is>
          <t>ÖVERKALIX</t>
        </is>
      </c>
      <c r="F9915" t="inlineStr">
        <is>
          <t>Sveaskog</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49953-2024</t>
        </is>
      </c>
      <c r="B9916" s="1" t="n">
        <v>45597</v>
      </c>
      <c r="C9916" s="1" t="n">
        <v>45798</v>
      </c>
      <c r="D9916" t="inlineStr">
        <is>
          <t>NORRBOTTENS LÄN</t>
        </is>
      </c>
      <c r="E9916" t="inlineStr">
        <is>
          <t>JOKKMOKK</t>
        </is>
      </c>
      <c r="F9916" t="inlineStr">
        <is>
          <t>Allmännings- och besparingsskogar</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50043-2024</t>
        </is>
      </c>
      <c r="B9917" s="1" t="n">
        <v>45597</v>
      </c>
      <c r="C9917" s="1" t="n">
        <v>45798</v>
      </c>
      <c r="D9917" t="inlineStr">
        <is>
          <t>NORRBOTTENS LÄN</t>
        </is>
      </c>
      <c r="E9917" t="inlineStr">
        <is>
          <t>ARVIDSJAUR</t>
        </is>
      </c>
      <c r="G9917" t="n">
        <v>10.4</v>
      </c>
      <c r="H9917" t="n">
        <v>0</v>
      </c>
      <c r="I9917" t="n">
        <v>0</v>
      </c>
      <c r="J9917" t="n">
        <v>0</v>
      </c>
      <c r="K9917" t="n">
        <v>0</v>
      </c>
      <c r="L9917" t="n">
        <v>0</v>
      </c>
      <c r="M9917" t="n">
        <v>0</v>
      </c>
      <c r="N9917" t="n">
        <v>0</v>
      </c>
      <c r="O9917" t="n">
        <v>0</v>
      </c>
      <c r="P9917" t="n">
        <v>0</v>
      </c>
      <c r="Q9917" t="n">
        <v>0</v>
      </c>
      <c r="R9917" s="2" t="inlineStr"/>
    </row>
    <row r="9918" ht="15" customHeight="1">
      <c r="A9918" t="inlineStr">
        <is>
          <t>A 49872-2024</t>
        </is>
      </c>
      <c r="B9918" s="1" t="n">
        <v>45597</v>
      </c>
      <c r="C9918" s="1" t="n">
        <v>45798</v>
      </c>
      <c r="D9918" t="inlineStr">
        <is>
          <t>NORRBOTTENS LÄN</t>
        </is>
      </c>
      <c r="E9918" t="inlineStr">
        <is>
          <t>ÖVERKALIX</t>
        </is>
      </c>
      <c r="G9918" t="n">
        <v>12.5</v>
      </c>
      <c r="H9918" t="n">
        <v>0</v>
      </c>
      <c r="I9918" t="n">
        <v>0</v>
      </c>
      <c r="J9918" t="n">
        <v>0</v>
      </c>
      <c r="K9918" t="n">
        <v>0</v>
      </c>
      <c r="L9918" t="n">
        <v>0</v>
      </c>
      <c r="M9918" t="n">
        <v>0</v>
      </c>
      <c r="N9918" t="n">
        <v>0</v>
      </c>
      <c r="O9918" t="n">
        <v>0</v>
      </c>
      <c r="P9918" t="n">
        <v>0</v>
      </c>
      <c r="Q9918" t="n">
        <v>0</v>
      </c>
      <c r="R9918" s="2" t="inlineStr"/>
    </row>
    <row r="9919" ht="15" customHeight="1">
      <c r="A9919" t="inlineStr">
        <is>
          <t>A 49848-2024</t>
        </is>
      </c>
      <c r="B9919" s="1" t="n">
        <v>45597</v>
      </c>
      <c r="C9919" s="1" t="n">
        <v>45798</v>
      </c>
      <c r="D9919" t="inlineStr">
        <is>
          <t>NORRBOTTENS LÄN</t>
        </is>
      </c>
      <c r="E9919" t="inlineStr">
        <is>
          <t>HAPARANDA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50016-2024</t>
        </is>
      </c>
      <c r="B9920" s="1" t="n">
        <v>45599</v>
      </c>
      <c r="C9920" s="1" t="n">
        <v>45798</v>
      </c>
      <c r="D9920" t="inlineStr">
        <is>
          <t>NORRBOTTENS LÄN</t>
        </is>
      </c>
      <c r="E9920" t="inlineStr">
        <is>
          <t>PAJALA</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50080-2024</t>
        </is>
      </c>
      <c r="B9921" s="1" t="n">
        <v>45600</v>
      </c>
      <c r="C9921" s="1" t="n">
        <v>45798</v>
      </c>
      <c r="D9921" t="inlineStr">
        <is>
          <t>NORRBOTTENS LÄN</t>
        </is>
      </c>
      <c r="E9921" t="inlineStr">
        <is>
          <t>PITEÅ</t>
        </is>
      </c>
      <c r="F9921" t="inlineStr">
        <is>
          <t>Sveaskog</t>
        </is>
      </c>
      <c r="G9921" t="n">
        <v>8.800000000000001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50087-2024</t>
        </is>
      </c>
      <c r="B9922" s="1" t="n">
        <v>45600</v>
      </c>
      <c r="C9922" s="1" t="n">
        <v>45798</v>
      </c>
      <c r="D9922" t="inlineStr">
        <is>
          <t>NORRBOTTENS LÄN</t>
        </is>
      </c>
      <c r="E9922" t="inlineStr">
        <is>
          <t>GÄLLIVARE</t>
        </is>
      </c>
      <c r="F9922" t="inlineStr">
        <is>
          <t>Sveaskog</t>
        </is>
      </c>
      <c r="G9922" t="n">
        <v>19.3</v>
      </c>
      <c r="H9922" t="n">
        <v>0</v>
      </c>
      <c r="I9922" t="n">
        <v>0</v>
      </c>
      <c r="J9922" t="n">
        <v>0</v>
      </c>
      <c r="K9922" t="n">
        <v>0</v>
      </c>
      <c r="L9922" t="n">
        <v>0</v>
      </c>
      <c r="M9922" t="n">
        <v>0</v>
      </c>
      <c r="N9922" t="n">
        <v>0</v>
      </c>
      <c r="O9922" t="n">
        <v>0</v>
      </c>
      <c r="P9922" t="n">
        <v>0</v>
      </c>
      <c r="Q9922" t="n">
        <v>0</v>
      </c>
      <c r="R9922" s="2" t="inlineStr"/>
    </row>
    <row r="9923" ht="15" customHeight="1">
      <c r="A9923" t="inlineStr">
        <is>
          <t>A 50095-2024</t>
        </is>
      </c>
      <c r="B9923" s="1" t="n">
        <v>45600</v>
      </c>
      <c r="C9923" s="1" t="n">
        <v>45798</v>
      </c>
      <c r="D9923" t="inlineStr">
        <is>
          <t>NORRBOTTENS LÄN</t>
        </is>
      </c>
      <c r="E9923" t="inlineStr">
        <is>
          <t>GÄLLIVARE</t>
        </is>
      </c>
      <c r="F9923" t="inlineStr">
        <is>
          <t>Sveaskog</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50103-2024</t>
        </is>
      </c>
      <c r="B9924" s="1" t="n">
        <v>45600</v>
      </c>
      <c r="C9924" s="1" t="n">
        <v>45798</v>
      </c>
      <c r="D9924" t="inlineStr">
        <is>
          <t>NORRBOTTENS LÄN</t>
        </is>
      </c>
      <c r="E9924" t="inlineStr">
        <is>
          <t>BODEN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50107-2024</t>
        </is>
      </c>
      <c r="B9925" s="1" t="n">
        <v>45600</v>
      </c>
      <c r="C9925" s="1" t="n">
        <v>45798</v>
      </c>
      <c r="D9925" t="inlineStr">
        <is>
          <t>NORRBOTTENS LÄN</t>
        </is>
      </c>
      <c r="E9925" t="inlineStr">
        <is>
          <t>BODEN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50111-2024</t>
        </is>
      </c>
      <c r="B9926" s="1" t="n">
        <v>45600</v>
      </c>
      <c r="C9926" s="1" t="n">
        <v>45798</v>
      </c>
      <c r="D9926" t="inlineStr">
        <is>
          <t>NORRBOTTENS LÄN</t>
        </is>
      </c>
      <c r="E9926" t="inlineStr">
        <is>
          <t>ARVIDSJAUR</t>
        </is>
      </c>
      <c r="F9926" t="inlineStr">
        <is>
          <t>Sveaskog</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50115-2024</t>
        </is>
      </c>
      <c r="B9927" s="1" t="n">
        <v>45600</v>
      </c>
      <c r="C9927" s="1" t="n">
        <v>45798</v>
      </c>
      <c r="D9927" t="inlineStr">
        <is>
          <t>NORRBOTTENS LÄN</t>
        </is>
      </c>
      <c r="E9927" t="inlineStr">
        <is>
          <t>KALIX</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50119-2024</t>
        </is>
      </c>
      <c r="B9928" s="1" t="n">
        <v>45600</v>
      </c>
      <c r="C9928" s="1" t="n">
        <v>45798</v>
      </c>
      <c r="D9928" t="inlineStr">
        <is>
          <t>NORRBOTTENS LÄN</t>
        </is>
      </c>
      <c r="E9928" t="inlineStr">
        <is>
          <t>ARVIDSJAUR</t>
        </is>
      </c>
      <c r="F9928" t="inlineStr">
        <is>
          <t>Sveaskog</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50109-2024</t>
        </is>
      </c>
      <c r="B9929" s="1" t="n">
        <v>45600</v>
      </c>
      <c r="C9929" s="1" t="n">
        <v>45798</v>
      </c>
      <c r="D9929" t="inlineStr">
        <is>
          <t>NORRBOTTENS LÄN</t>
        </is>
      </c>
      <c r="E9929" t="inlineStr">
        <is>
          <t>ARVIDSJAUR</t>
        </is>
      </c>
      <c r="F9929" t="inlineStr">
        <is>
          <t>Sveaskog</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50131-2024</t>
        </is>
      </c>
      <c r="B9930" s="1" t="n">
        <v>45600</v>
      </c>
      <c r="C9930" s="1" t="n">
        <v>45798</v>
      </c>
      <c r="D9930" t="inlineStr">
        <is>
          <t>NORRBOTTENS LÄN</t>
        </is>
      </c>
      <c r="E9930" t="inlineStr">
        <is>
          <t>JOKKMOKK</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50329-2024</t>
        </is>
      </c>
      <c r="B9931" s="1" t="n">
        <v>45600</v>
      </c>
      <c r="C9931" s="1" t="n">
        <v>45798</v>
      </c>
      <c r="D9931" t="inlineStr">
        <is>
          <t>NORRBOTTENS LÄN</t>
        </is>
      </c>
      <c r="E9931" t="inlineStr">
        <is>
          <t>PITEÅ</t>
        </is>
      </c>
      <c r="F9931" t="inlineStr">
        <is>
          <t>Sveaskog</t>
        </is>
      </c>
      <c r="G9931" t="n">
        <v>9</v>
      </c>
      <c r="H9931" t="n">
        <v>0</v>
      </c>
      <c r="I9931" t="n">
        <v>0</v>
      </c>
      <c r="J9931" t="n">
        <v>0</v>
      </c>
      <c r="K9931" t="n">
        <v>0</v>
      </c>
      <c r="L9931" t="n">
        <v>0</v>
      </c>
      <c r="M9931" t="n">
        <v>0</v>
      </c>
      <c r="N9931" t="n">
        <v>0</v>
      </c>
      <c r="O9931" t="n">
        <v>0</v>
      </c>
      <c r="P9931" t="n">
        <v>0</v>
      </c>
      <c r="Q9931" t="n">
        <v>0</v>
      </c>
      <c r="R9931" s="2" t="inlineStr"/>
    </row>
    <row r="9932" ht="15" customHeight="1">
      <c r="A9932" t="inlineStr">
        <is>
          <t>A 50323-2024</t>
        </is>
      </c>
      <c r="B9932" s="1" t="n">
        <v>45600</v>
      </c>
      <c r="C9932" s="1" t="n">
        <v>45798</v>
      </c>
      <c r="D9932" t="inlineStr">
        <is>
          <t>NORRBOTTENS LÄN</t>
        </is>
      </c>
      <c r="E9932" t="inlineStr">
        <is>
          <t>ARVIDSJAUR</t>
        </is>
      </c>
      <c r="F9932" t="inlineStr">
        <is>
          <t>Sveaskog</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50132-2024</t>
        </is>
      </c>
      <c r="B9933" s="1" t="n">
        <v>45600</v>
      </c>
      <c r="C9933" s="1" t="n">
        <v>45798</v>
      </c>
      <c r="D9933" t="inlineStr">
        <is>
          <t>NORRBOTTENS LÄN</t>
        </is>
      </c>
      <c r="E9933" t="inlineStr">
        <is>
          <t>KALIX</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50175-2024</t>
        </is>
      </c>
      <c r="B9934" s="1" t="n">
        <v>45600</v>
      </c>
      <c r="C9934" s="1" t="n">
        <v>45798</v>
      </c>
      <c r="D9934" t="inlineStr">
        <is>
          <t>NORRBOTTENS LÄN</t>
        </is>
      </c>
      <c r="E9934" t="inlineStr">
        <is>
          <t>ÖVERKALIX</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50085-2024</t>
        </is>
      </c>
      <c r="B9935" s="1" t="n">
        <v>45600</v>
      </c>
      <c r="C9935" s="1" t="n">
        <v>45798</v>
      </c>
      <c r="D9935" t="inlineStr">
        <is>
          <t>NORRBOTTENS LÄN</t>
        </is>
      </c>
      <c r="E9935" t="inlineStr">
        <is>
          <t>BODEN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50114-2024</t>
        </is>
      </c>
      <c r="B9936" s="1" t="n">
        <v>45600</v>
      </c>
      <c r="C9936" s="1" t="n">
        <v>45798</v>
      </c>
      <c r="D9936" t="inlineStr">
        <is>
          <t>NORRBOTTENS LÄN</t>
        </is>
      </c>
      <c r="E9936" t="inlineStr">
        <is>
          <t>BODEN</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50162-2024</t>
        </is>
      </c>
      <c r="B9937" s="1" t="n">
        <v>45600</v>
      </c>
      <c r="C9937" s="1" t="n">
        <v>45798</v>
      </c>
      <c r="D9937" t="inlineStr">
        <is>
          <t>NORRBOTTENS LÄN</t>
        </is>
      </c>
      <c r="E9937" t="inlineStr">
        <is>
          <t>PITEÅ</t>
        </is>
      </c>
      <c r="F9937" t="inlineStr">
        <is>
          <t>Sveaskog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50167-2024</t>
        </is>
      </c>
      <c r="B9938" s="1" t="n">
        <v>45600</v>
      </c>
      <c r="C9938" s="1" t="n">
        <v>45798</v>
      </c>
      <c r="D9938" t="inlineStr">
        <is>
          <t>NORRBOTTENS LÄN</t>
        </is>
      </c>
      <c r="E9938" t="inlineStr">
        <is>
          <t>PITEÅ</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50216-2024</t>
        </is>
      </c>
      <c r="B9939" s="1" t="n">
        <v>45600</v>
      </c>
      <c r="C9939" s="1" t="n">
        <v>45798</v>
      </c>
      <c r="D9939" t="inlineStr">
        <is>
          <t>NORRBOTTENS LÄN</t>
        </is>
      </c>
      <c r="E9939" t="inlineStr">
        <is>
          <t>ÖVERKALIX</t>
        </is>
      </c>
      <c r="F9939" t="inlineStr">
        <is>
          <t>Sveaskog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50253-2024</t>
        </is>
      </c>
      <c r="B9940" s="1" t="n">
        <v>45600</v>
      </c>
      <c r="C9940" s="1" t="n">
        <v>45798</v>
      </c>
      <c r="D9940" t="inlineStr">
        <is>
          <t>NORRBOTTENS LÄN</t>
        </is>
      </c>
      <c r="E9940" t="inlineStr">
        <is>
          <t>BODEN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50310-2024</t>
        </is>
      </c>
      <c r="B9941" s="1" t="n">
        <v>45600</v>
      </c>
      <c r="C9941" s="1" t="n">
        <v>45798</v>
      </c>
      <c r="D9941" t="inlineStr">
        <is>
          <t>NORRBOTTENS LÄN</t>
        </is>
      </c>
      <c r="E9941" t="inlineStr">
        <is>
          <t>ÄLVSBYN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50645-2024</t>
        </is>
      </c>
      <c r="B9942" s="1" t="n">
        <v>45601</v>
      </c>
      <c r="C9942" s="1" t="n">
        <v>45798</v>
      </c>
      <c r="D9942" t="inlineStr">
        <is>
          <t>NORRBOTTENS LÄN</t>
        </is>
      </c>
      <c r="E9942" t="inlineStr">
        <is>
          <t>LULEÅ</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50496-2024</t>
        </is>
      </c>
      <c r="B9943" s="1" t="n">
        <v>45601</v>
      </c>
      <c r="C9943" s="1" t="n">
        <v>45798</v>
      </c>
      <c r="D9943" t="inlineStr">
        <is>
          <t>NORRBOTTENS LÄN</t>
        </is>
      </c>
      <c r="E9943" t="inlineStr">
        <is>
          <t>JOKKMOKK</t>
        </is>
      </c>
      <c r="F9943" t="inlineStr">
        <is>
          <t>Allmännings- och besparingsskogar</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50607-2024</t>
        </is>
      </c>
      <c r="B9944" s="1" t="n">
        <v>45601</v>
      </c>
      <c r="C9944" s="1" t="n">
        <v>45798</v>
      </c>
      <c r="D9944" t="inlineStr">
        <is>
          <t>NORRBOTTENS LÄN</t>
        </is>
      </c>
      <c r="E9944" t="inlineStr">
        <is>
          <t>ARVIDSJAUR</t>
        </is>
      </c>
      <c r="G9944" t="n">
        <v>10</v>
      </c>
      <c r="H9944" t="n">
        <v>0</v>
      </c>
      <c r="I9944" t="n">
        <v>0</v>
      </c>
      <c r="J9944" t="n">
        <v>0</v>
      </c>
      <c r="K9944" t="n">
        <v>0</v>
      </c>
      <c r="L9944" t="n">
        <v>0</v>
      </c>
      <c r="M9944" t="n">
        <v>0</v>
      </c>
      <c r="N9944" t="n">
        <v>0</v>
      </c>
      <c r="O9944" t="n">
        <v>0</v>
      </c>
      <c r="P9944" t="n">
        <v>0</v>
      </c>
      <c r="Q9944" t="n">
        <v>0</v>
      </c>
      <c r="R9944" s="2" t="inlineStr"/>
    </row>
    <row r="9945" ht="15" customHeight="1">
      <c r="A9945" t="inlineStr">
        <is>
          <t>A 50651-2024</t>
        </is>
      </c>
      <c r="B9945" s="1" t="n">
        <v>45601</v>
      </c>
      <c r="C9945" s="1" t="n">
        <v>45798</v>
      </c>
      <c r="D9945" t="inlineStr">
        <is>
          <t>NORRBOTTENS LÄN</t>
        </is>
      </c>
      <c r="E9945" t="inlineStr">
        <is>
          <t>JOKKMOKK</t>
        </is>
      </c>
      <c r="F9945" t="inlineStr">
        <is>
          <t>Allmännings- och besparingsskogar</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50608-2024</t>
        </is>
      </c>
      <c r="B9946" s="1" t="n">
        <v>45601</v>
      </c>
      <c r="C9946" s="1" t="n">
        <v>45798</v>
      </c>
      <c r="D9946" t="inlineStr">
        <is>
          <t>NORRBOTTENS LÄN</t>
        </is>
      </c>
      <c r="E9946" t="inlineStr">
        <is>
          <t>PAJALA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50628-2024</t>
        </is>
      </c>
      <c r="B9947" s="1" t="n">
        <v>45601</v>
      </c>
      <c r="C9947" s="1" t="n">
        <v>45798</v>
      </c>
      <c r="D9947" t="inlineStr">
        <is>
          <t>NORRBOTTENS LÄN</t>
        </is>
      </c>
      <c r="E9947" t="inlineStr">
        <is>
          <t>JOKKMOKK</t>
        </is>
      </c>
      <c r="F9947" t="inlineStr">
        <is>
          <t>Allmännings- och besparingsskogar</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50640-2024</t>
        </is>
      </c>
      <c r="B9948" s="1" t="n">
        <v>45601</v>
      </c>
      <c r="C9948" s="1" t="n">
        <v>45798</v>
      </c>
      <c r="D9948" t="inlineStr">
        <is>
          <t>NORRBOTTENS LÄN</t>
        </is>
      </c>
      <c r="E9948" t="inlineStr">
        <is>
          <t>LULEÅ</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50527-2024</t>
        </is>
      </c>
      <c r="B9949" s="1" t="n">
        <v>45601</v>
      </c>
      <c r="C9949" s="1" t="n">
        <v>45798</v>
      </c>
      <c r="D9949" t="inlineStr">
        <is>
          <t>NORRBOTTENS LÄN</t>
        </is>
      </c>
      <c r="E9949" t="inlineStr">
        <is>
          <t>ARVIDSJAUR</t>
        </is>
      </c>
      <c r="F9949" t="inlineStr">
        <is>
          <t>Sveaskog</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50505-2024</t>
        </is>
      </c>
      <c r="B9950" s="1" t="n">
        <v>45601</v>
      </c>
      <c r="C9950" s="1" t="n">
        <v>45798</v>
      </c>
      <c r="D9950" t="inlineStr">
        <is>
          <t>NORRBOTTENS LÄN</t>
        </is>
      </c>
      <c r="E9950" t="inlineStr">
        <is>
          <t>BODEN</t>
        </is>
      </c>
      <c r="G9950" t="n">
        <v>12.4</v>
      </c>
      <c r="H9950" t="n">
        <v>0</v>
      </c>
      <c r="I9950" t="n">
        <v>0</v>
      </c>
      <c r="J9950" t="n">
        <v>0</v>
      </c>
      <c r="K9950" t="n">
        <v>0</v>
      </c>
      <c r="L9950" t="n">
        <v>0</v>
      </c>
      <c r="M9950" t="n">
        <v>0</v>
      </c>
      <c r="N9950" t="n">
        <v>0</v>
      </c>
      <c r="O9950" t="n">
        <v>0</v>
      </c>
      <c r="P9950" t="n">
        <v>0</v>
      </c>
      <c r="Q9950" t="n">
        <v>0</v>
      </c>
      <c r="R9950" s="2" t="inlineStr"/>
    </row>
    <row r="9951" ht="15" customHeight="1">
      <c r="A9951" t="inlineStr">
        <is>
          <t>A 50598-2024</t>
        </is>
      </c>
      <c r="B9951" s="1" t="n">
        <v>45601</v>
      </c>
      <c r="C9951" s="1" t="n">
        <v>45798</v>
      </c>
      <c r="D9951" t="inlineStr">
        <is>
          <t>NORRBOTTENS LÄN</t>
        </is>
      </c>
      <c r="E9951" t="inlineStr">
        <is>
          <t>ÄLVSBYN</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50559-2024</t>
        </is>
      </c>
      <c r="B9952" s="1" t="n">
        <v>45601</v>
      </c>
      <c r="C9952" s="1" t="n">
        <v>45798</v>
      </c>
      <c r="D9952" t="inlineStr">
        <is>
          <t>NORRBOTTENS LÄN</t>
        </is>
      </c>
      <c r="E9952" t="inlineStr">
        <is>
          <t>PITEÅ</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50436-2024</t>
        </is>
      </c>
      <c r="B9953" s="1" t="n">
        <v>45601</v>
      </c>
      <c r="C9953" s="1" t="n">
        <v>45798</v>
      </c>
      <c r="D9953" t="inlineStr">
        <is>
          <t>NORRBOTTENS LÄN</t>
        </is>
      </c>
      <c r="E9953" t="inlineStr">
        <is>
          <t>JOKKMOKK</t>
        </is>
      </c>
      <c r="F9953" t="inlineStr">
        <is>
          <t>Allmännings- och besparingsskogar</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50553-2024</t>
        </is>
      </c>
      <c r="B9954" s="1" t="n">
        <v>45601</v>
      </c>
      <c r="C9954" s="1" t="n">
        <v>45798</v>
      </c>
      <c r="D9954" t="inlineStr">
        <is>
          <t>NORRBOTTENS LÄN</t>
        </is>
      </c>
      <c r="E9954" t="inlineStr">
        <is>
          <t>GÄLLIVARE</t>
        </is>
      </c>
      <c r="F9954" t="inlineStr">
        <is>
          <t>SCA</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50596-2024</t>
        </is>
      </c>
      <c r="B9955" s="1" t="n">
        <v>45601</v>
      </c>
      <c r="C9955" s="1" t="n">
        <v>45798</v>
      </c>
      <c r="D9955" t="inlineStr">
        <is>
          <t>NORRBOTTENS LÄN</t>
        </is>
      </c>
      <c r="E9955" t="inlineStr">
        <is>
          <t>ÄLVSBYN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50610-2024</t>
        </is>
      </c>
      <c r="B9956" s="1" t="n">
        <v>45601</v>
      </c>
      <c r="C9956" s="1" t="n">
        <v>45798</v>
      </c>
      <c r="D9956" t="inlineStr">
        <is>
          <t>NORRBOTTENS LÄN</t>
        </is>
      </c>
      <c r="E9956" t="inlineStr">
        <is>
          <t>PAJALA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50642-2024</t>
        </is>
      </c>
      <c r="B9957" s="1" t="n">
        <v>45601</v>
      </c>
      <c r="C9957" s="1" t="n">
        <v>45798</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50672-2024</t>
        </is>
      </c>
      <c r="B9958" s="1" t="n">
        <v>45601</v>
      </c>
      <c r="C9958" s="1" t="n">
        <v>45798</v>
      </c>
      <c r="D9958" t="inlineStr">
        <is>
          <t>NORRBOTTENS LÄN</t>
        </is>
      </c>
      <c r="E9958" t="inlineStr">
        <is>
          <t>ÄLVSBYN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50597-2024</t>
        </is>
      </c>
      <c r="B9959" s="1" t="n">
        <v>45601</v>
      </c>
      <c r="C9959" s="1" t="n">
        <v>45798</v>
      </c>
      <c r="D9959" t="inlineStr">
        <is>
          <t>NORRBOTTENS LÄN</t>
        </is>
      </c>
      <c r="E9959" t="inlineStr">
        <is>
          <t>ÄLVSBYN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50566-2024</t>
        </is>
      </c>
      <c r="B9960" s="1" t="n">
        <v>45601</v>
      </c>
      <c r="C9960" s="1" t="n">
        <v>45798</v>
      </c>
      <c r="D9960" t="inlineStr">
        <is>
          <t>NORRBOTTENS LÄN</t>
        </is>
      </c>
      <c r="E9960" t="inlineStr">
        <is>
          <t>JOKKMOKK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50554-2024</t>
        </is>
      </c>
      <c r="B9961" s="1" t="n">
        <v>45601</v>
      </c>
      <c r="C9961" s="1" t="n">
        <v>45798</v>
      </c>
      <c r="D9961" t="inlineStr">
        <is>
          <t>NORRBOTTENS LÄN</t>
        </is>
      </c>
      <c r="E9961" t="inlineStr">
        <is>
          <t>GÄLLIVARE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50447-2024</t>
        </is>
      </c>
      <c r="B9962" s="1" t="n">
        <v>45601</v>
      </c>
      <c r="C9962" s="1" t="n">
        <v>45798</v>
      </c>
      <c r="D9962" t="inlineStr">
        <is>
          <t>NORRBOTTENS LÄN</t>
        </is>
      </c>
      <c r="E9962" t="inlineStr">
        <is>
          <t>ÖVERTORNEÅ</t>
        </is>
      </c>
      <c r="G9962" t="n">
        <v>10</v>
      </c>
      <c r="H9962" t="n">
        <v>0</v>
      </c>
      <c r="I9962" t="n">
        <v>0</v>
      </c>
      <c r="J9962" t="n">
        <v>0</v>
      </c>
      <c r="K9962" t="n">
        <v>0</v>
      </c>
      <c r="L9962" t="n">
        <v>0</v>
      </c>
      <c r="M9962" t="n">
        <v>0</v>
      </c>
      <c r="N9962" t="n">
        <v>0</v>
      </c>
      <c r="O9962" t="n">
        <v>0</v>
      </c>
      <c r="P9962" t="n">
        <v>0</v>
      </c>
      <c r="Q9962" t="n">
        <v>0</v>
      </c>
      <c r="R9962" s="2" t="inlineStr"/>
    </row>
    <row r="9963" ht="15" customHeight="1">
      <c r="A9963" t="inlineStr">
        <is>
          <t>A 50438-2024</t>
        </is>
      </c>
      <c r="B9963" s="1" t="n">
        <v>45601</v>
      </c>
      <c r="C9963" s="1" t="n">
        <v>45798</v>
      </c>
      <c r="D9963" t="inlineStr">
        <is>
          <t>NORRBOTTENS LÄN</t>
        </is>
      </c>
      <c r="E9963" t="inlineStr">
        <is>
          <t>PITEÅ</t>
        </is>
      </c>
      <c r="G9963" t="n">
        <v>38.7</v>
      </c>
      <c r="H9963" t="n">
        <v>0</v>
      </c>
      <c r="I9963" t="n">
        <v>0</v>
      </c>
      <c r="J9963" t="n">
        <v>0</v>
      </c>
      <c r="K9963" t="n">
        <v>0</v>
      </c>
      <c r="L9963" t="n">
        <v>0</v>
      </c>
      <c r="M9963" t="n">
        <v>0</v>
      </c>
      <c r="N9963" t="n">
        <v>0</v>
      </c>
      <c r="O9963" t="n">
        <v>0</v>
      </c>
      <c r="P9963" t="n">
        <v>0</v>
      </c>
      <c r="Q9963" t="n">
        <v>0</v>
      </c>
      <c r="R9963" s="2" t="inlineStr"/>
    </row>
    <row r="9964" ht="15" customHeight="1">
      <c r="A9964" t="inlineStr">
        <is>
          <t>A 50595-2024</t>
        </is>
      </c>
      <c r="B9964" s="1" t="n">
        <v>45601</v>
      </c>
      <c r="C9964" s="1" t="n">
        <v>45798</v>
      </c>
      <c r="D9964" t="inlineStr">
        <is>
          <t>NORRBOTTENS LÄN</t>
        </is>
      </c>
      <c r="E9964" t="inlineStr">
        <is>
          <t>ÄLVSBYN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50569-2024</t>
        </is>
      </c>
      <c r="B9965" s="1" t="n">
        <v>45601</v>
      </c>
      <c r="C9965" s="1" t="n">
        <v>45798</v>
      </c>
      <c r="D9965" t="inlineStr">
        <is>
          <t>NORRBOTTENS LÄN</t>
        </is>
      </c>
      <c r="E9965" t="inlineStr">
        <is>
          <t>PAJALA</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50547-2024</t>
        </is>
      </c>
      <c r="B9966" s="1" t="n">
        <v>45601</v>
      </c>
      <c r="C9966" s="1" t="n">
        <v>45798</v>
      </c>
      <c r="D9966" t="inlineStr">
        <is>
          <t>NORRBOTTENS LÄN</t>
        </is>
      </c>
      <c r="E9966" t="inlineStr">
        <is>
          <t>PITEÅ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50519-2024</t>
        </is>
      </c>
      <c r="B9967" s="1" t="n">
        <v>45601</v>
      </c>
      <c r="C9967" s="1" t="n">
        <v>45798</v>
      </c>
      <c r="D9967" t="inlineStr">
        <is>
          <t>NORRBOTTENS LÄN</t>
        </is>
      </c>
      <c r="E9967" t="inlineStr">
        <is>
          <t>PAJALA</t>
        </is>
      </c>
      <c r="F9967" t="inlineStr">
        <is>
          <t>Sveaskog</t>
        </is>
      </c>
      <c r="G9967" t="n">
        <v>31.8</v>
      </c>
      <c r="H9967" t="n">
        <v>0</v>
      </c>
      <c r="I9967" t="n">
        <v>0</v>
      </c>
      <c r="J9967" t="n">
        <v>0</v>
      </c>
      <c r="K9967" t="n">
        <v>0</v>
      </c>
      <c r="L9967" t="n">
        <v>0</v>
      </c>
      <c r="M9967" t="n">
        <v>0</v>
      </c>
      <c r="N9967" t="n">
        <v>0</v>
      </c>
      <c r="O9967" t="n">
        <v>0</v>
      </c>
      <c r="P9967" t="n">
        <v>0</v>
      </c>
      <c r="Q9967" t="n">
        <v>0</v>
      </c>
      <c r="R9967" s="2" t="inlineStr"/>
    </row>
    <row r="9968" ht="15" customHeight="1">
      <c r="A9968" t="inlineStr">
        <is>
          <t>A 50691-2024</t>
        </is>
      </c>
      <c r="B9968" s="1" t="n">
        <v>45602</v>
      </c>
      <c r="C9968" s="1" t="n">
        <v>45798</v>
      </c>
      <c r="D9968" t="inlineStr">
        <is>
          <t>NORRBOTTENS LÄN</t>
        </is>
      </c>
      <c r="E9968" t="inlineStr">
        <is>
          <t>ÖVERKALIX</t>
        </is>
      </c>
      <c r="F9968" t="inlineStr">
        <is>
          <t>Sveaskog</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50820-2024</t>
        </is>
      </c>
      <c r="B9969" s="1" t="n">
        <v>45602</v>
      </c>
      <c r="C9969" s="1" t="n">
        <v>45798</v>
      </c>
      <c r="D9969" t="inlineStr">
        <is>
          <t>NORRBOTTENS LÄN</t>
        </is>
      </c>
      <c r="E9969" t="inlineStr">
        <is>
          <t>JOKKMOKK</t>
        </is>
      </c>
      <c r="F9969" t="inlineStr">
        <is>
          <t>Allmännings- och besparingsskogar</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50723-2024</t>
        </is>
      </c>
      <c r="B9970" s="1" t="n">
        <v>45602</v>
      </c>
      <c r="C9970" s="1" t="n">
        <v>45798</v>
      </c>
      <c r="D9970" t="inlineStr">
        <is>
          <t>NORRBOTTENS LÄN</t>
        </is>
      </c>
      <c r="E9970" t="inlineStr">
        <is>
          <t>KALIX</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50761-2024</t>
        </is>
      </c>
      <c r="B9971" s="1" t="n">
        <v>45602</v>
      </c>
      <c r="C9971" s="1" t="n">
        <v>45798</v>
      </c>
      <c r="D9971" t="inlineStr">
        <is>
          <t>NORRBOTTENS LÄN</t>
        </is>
      </c>
      <c r="E9971" t="inlineStr">
        <is>
          <t>KALIX</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50867-2024</t>
        </is>
      </c>
      <c r="B9972" s="1" t="n">
        <v>45602</v>
      </c>
      <c r="C9972" s="1" t="n">
        <v>45798</v>
      </c>
      <c r="D9972" t="inlineStr">
        <is>
          <t>NORRBOTTENS LÄN</t>
        </is>
      </c>
      <c r="E9972" t="inlineStr">
        <is>
          <t>ARVIDSJAUR</t>
        </is>
      </c>
      <c r="F9972" t="inlineStr">
        <is>
          <t>Sveaskog</t>
        </is>
      </c>
      <c r="G9972" t="n">
        <v>24.7</v>
      </c>
      <c r="H9972" t="n">
        <v>0</v>
      </c>
      <c r="I9972" t="n">
        <v>0</v>
      </c>
      <c r="J9972" t="n">
        <v>0</v>
      </c>
      <c r="K9972" t="n">
        <v>0</v>
      </c>
      <c r="L9972" t="n">
        <v>0</v>
      </c>
      <c r="M9972" t="n">
        <v>0</v>
      </c>
      <c r="N9972" t="n">
        <v>0</v>
      </c>
      <c r="O9972" t="n">
        <v>0</v>
      </c>
      <c r="P9972" t="n">
        <v>0</v>
      </c>
      <c r="Q9972" t="n">
        <v>0</v>
      </c>
      <c r="R9972" s="2" t="inlineStr"/>
    </row>
    <row r="9973" ht="15" customHeight="1">
      <c r="A9973" t="inlineStr">
        <is>
          <t>A 50888-2024</t>
        </is>
      </c>
      <c r="B9973" s="1" t="n">
        <v>45602</v>
      </c>
      <c r="C9973" s="1" t="n">
        <v>45798</v>
      </c>
      <c r="D9973" t="inlineStr">
        <is>
          <t>NORRBOTTENS LÄN</t>
        </is>
      </c>
      <c r="E9973" t="inlineStr">
        <is>
          <t>PAJALA</t>
        </is>
      </c>
      <c r="G9973" t="n">
        <v>17.2</v>
      </c>
      <c r="H9973" t="n">
        <v>0</v>
      </c>
      <c r="I9973" t="n">
        <v>0</v>
      </c>
      <c r="J9973" t="n">
        <v>0</v>
      </c>
      <c r="K9973" t="n">
        <v>0</v>
      </c>
      <c r="L9973" t="n">
        <v>0</v>
      </c>
      <c r="M9973" t="n">
        <v>0</v>
      </c>
      <c r="N9973" t="n">
        <v>0</v>
      </c>
      <c r="O9973" t="n">
        <v>0</v>
      </c>
      <c r="P9973" t="n">
        <v>0</v>
      </c>
      <c r="Q9973" t="n">
        <v>0</v>
      </c>
      <c r="R9973" s="2" t="inlineStr"/>
    </row>
    <row r="9974" ht="15" customHeight="1">
      <c r="A9974" t="inlineStr">
        <is>
          <t>A 51273-2024</t>
        </is>
      </c>
      <c r="B9974" s="1" t="n">
        <v>45602</v>
      </c>
      <c r="C9974" s="1" t="n">
        <v>45798</v>
      </c>
      <c r="D9974" t="inlineStr">
        <is>
          <t>NORRBOTTENS LÄN</t>
        </is>
      </c>
      <c r="E9974" t="inlineStr">
        <is>
          <t>ÖVERTORNEÅ</t>
        </is>
      </c>
      <c r="G9974" t="n">
        <v>13.6</v>
      </c>
      <c r="H9974" t="n">
        <v>0</v>
      </c>
      <c r="I9974" t="n">
        <v>0</v>
      </c>
      <c r="J9974" t="n">
        <v>0</v>
      </c>
      <c r="K9974" t="n">
        <v>0</v>
      </c>
      <c r="L9974" t="n">
        <v>0</v>
      </c>
      <c r="M9974" t="n">
        <v>0</v>
      </c>
      <c r="N9974" t="n">
        <v>0</v>
      </c>
      <c r="O9974" t="n">
        <v>0</v>
      </c>
      <c r="P9974" t="n">
        <v>0</v>
      </c>
      <c r="Q9974" t="n">
        <v>0</v>
      </c>
      <c r="R9974" s="2" t="inlineStr"/>
    </row>
    <row r="9975" ht="15" customHeight="1">
      <c r="A9975" t="inlineStr">
        <is>
          <t>A 51272-2024</t>
        </is>
      </c>
      <c r="B9975" s="1" t="n">
        <v>45602</v>
      </c>
      <c r="C9975" s="1" t="n">
        <v>45798</v>
      </c>
      <c r="D9975" t="inlineStr">
        <is>
          <t>NORRBOTTENS LÄN</t>
        </is>
      </c>
      <c r="E9975" t="inlineStr">
        <is>
          <t>ÖVERTORNEÅ</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50747-2024</t>
        </is>
      </c>
      <c r="B9976" s="1" t="n">
        <v>45602</v>
      </c>
      <c r="C9976" s="1" t="n">
        <v>45798</v>
      </c>
      <c r="D9976" t="inlineStr">
        <is>
          <t>NORRBOTTENS LÄN</t>
        </is>
      </c>
      <c r="E9976" t="inlineStr">
        <is>
          <t>PITEÅ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50823-2024</t>
        </is>
      </c>
      <c r="B9977" s="1" t="n">
        <v>45602</v>
      </c>
      <c r="C9977" s="1" t="n">
        <v>45798</v>
      </c>
      <c r="D9977" t="inlineStr">
        <is>
          <t>NORRBOTTENS LÄN</t>
        </is>
      </c>
      <c r="E9977" t="inlineStr">
        <is>
          <t>PAJALA</t>
        </is>
      </c>
      <c r="F9977" t="inlineStr">
        <is>
          <t>Sveaskog</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51275-2024</t>
        </is>
      </c>
      <c r="B9978" s="1" t="n">
        <v>45602</v>
      </c>
      <c r="C9978" s="1" t="n">
        <v>45798</v>
      </c>
      <c r="D9978" t="inlineStr">
        <is>
          <t>NORRBOTTENS LÄN</t>
        </is>
      </c>
      <c r="E9978" t="inlineStr">
        <is>
          <t>ÖVERTORNEÅ</t>
        </is>
      </c>
      <c r="G9978" t="n">
        <v>10.4</v>
      </c>
      <c r="H9978" t="n">
        <v>0</v>
      </c>
      <c r="I9978" t="n">
        <v>0</v>
      </c>
      <c r="J9978" t="n">
        <v>0</v>
      </c>
      <c r="K9978" t="n">
        <v>0</v>
      </c>
      <c r="L9978" t="n">
        <v>0</v>
      </c>
      <c r="M9978" t="n">
        <v>0</v>
      </c>
      <c r="N9978" t="n">
        <v>0</v>
      </c>
      <c r="O9978" t="n">
        <v>0</v>
      </c>
      <c r="P9978" t="n">
        <v>0</v>
      </c>
      <c r="Q9978" t="n">
        <v>0</v>
      </c>
      <c r="R9978" s="2" t="inlineStr"/>
    </row>
    <row r="9979" ht="15" customHeight="1">
      <c r="A9979" t="inlineStr">
        <is>
          <t>A 50889-2024</t>
        </is>
      </c>
      <c r="B9979" s="1" t="n">
        <v>45602</v>
      </c>
      <c r="C9979" s="1" t="n">
        <v>45798</v>
      </c>
      <c r="D9979" t="inlineStr">
        <is>
          <t>NORRBOTTENS LÄN</t>
        </is>
      </c>
      <c r="E9979" t="inlineStr">
        <is>
          <t>ARVIDSJAUR</t>
        </is>
      </c>
      <c r="F9979" t="inlineStr">
        <is>
          <t>Sveaskog</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50925-2024</t>
        </is>
      </c>
      <c r="B9980" s="1" t="n">
        <v>45602</v>
      </c>
      <c r="C9980" s="1" t="n">
        <v>45798</v>
      </c>
      <c r="D9980" t="inlineStr">
        <is>
          <t>NORRBOTTENS LÄN</t>
        </is>
      </c>
      <c r="E9980" t="inlineStr">
        <is>
          <t>ÖVERTORNEÅ</t>
        </is>
      </c>
      <c r="F9980" t="inlineStr">
        <is>
          <t>Sveaskog</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51274-2024</t>
        </is>
      </c>
      <c r="B9981" s="1" t="n">
        <v>45602</v>
      </c>
      <c r="C9981" s="1" t="n">
        <v>45798</v>
      </c>
      <c r="D9981" t="inlineStr">
        <is>
          <t>NORRBOTTENS LÄN</t>
        </is>
      </c>
      <c r="E9981" t="inlineStr">
        <is>
          <t>ÖVERTORNEÅ</t>
        </is>
      </c>
      <c r="G9981" t="n">
        <v>15.2</v>
      </c>
      <c r="H9981" t="n">
        <v>0</v>
      </c>
      <c r="I9981" t="n">
        <v>0</v>
      </c>
      <c r="J9981" t="n">
        <v>0</v>
      </c>
      <c r="K9981" t="n">
        <v>0</v>
      </c>
      <c r="L9981" t="n">
        <v>0</v>
      </c>
      <c r="M9981" t="n">
        <v>0</v>
      </c>
      <c r="N9981" t="n">
        <v>0</v>
      </c>
      <c r="O9981" t="n">
        <v>0</v>
      </c>
      <c r="P9981" t="n">
        <v>0</v>
      </c>
      <c r="Q9981" t="n">
        <v>0</v>
      </c>
      <c r="R9981" s="2" t="inlineStr"/>
    </row>
    <row r="9982" ht="15" customHeight="1">
      <c r="A9982" t="inlineStr">
        <is>
          <t>A 51057-2024</t>
        </is>
      </c>
      <c r="B9982" s="1" t="n">
        <v>45603</v>
      </c>
      <c r="C9982" s="1" t="n">
        <v>45798</v>
      </c>
      <c r="D9982" t="inlineStr">
        <is>
          <t>NORRBOTTENS LÄN</t>
        </is>
      </c>
      <c r="E9982" t="inlineStr">
        <is>
          <t>ÖVERKALIX</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50979-2024</t>
        </is>
      </c>
      <c r="B9983" s="1" t="n">
        <v>45603</v>
      </c>
      <c r="C9983" s="1" t="n">
        <v>45798</v>
      </c>
      <c r="D9983" t="inlineStr">
        <is>
          <t>NORRBOTTENS LÄN</t>
        </is>
      </c>
      <c r="E9983" t="inlineStr">
        <is>
          <t>PITEÅ</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50977-2024</t>
        </is>
      </c>
      <c r="B9984" s="1" t="n">
        <v>45603</v>
      </c>
      <c r="C9984" s="1" t="n">
        <v>45798</v>
      </c>
      <c r="D9984" t="inlineStr">
        <is>
          <t>NORRBOTTENS LÄN</t>
        </is>
      </c>
      <c r="E9984" t="inlineStr">
        <is>
          <t>PITEÅ</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50989-2024</t>
        </is>
      </c>
      <c r="B9985" s="1" t="n">
        <v>45603</v>
      </c>
      <c r="C9985" s="1" t="n">
        <v>45798</v>
      </c>
      <c r="D9985" t="inlineStr">
        <is>
          <t>NORRBOTTENS LÄN</t>
        </is>
      </c>
      <c r="E9985" t="inlineStr">
        <is>
          <t>ÄLVSBYN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51058-2024</t>
        </is>
      </c>
      <c r="B9986" s="1" t="n">
        <v>45603</v>
      </c>
      <c r="C9986" s="1" t="n">
        <v>45798</v>
      </c>
      <c r="D9986" t="inlineStr">
        <is>
          <t>NORRBOTTENS LÄN</t>
        </is>
      </c>
      <c r="E9986" t="inlineStr">
        <is>
          <t>ÖVERKALIX</t>
        </is>
      </c>
      <c r="F9986" t="inlineStr">
        <is>
          <t>SCA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51062-2024</t>
        </is>
      </c>
      <c r="B9987" s="1" t="n">
        <v>45603</v>
      </c>
      <c r="C9987" s="1" t="n">
        <v>45798</v>
      </c>
      <c r="D9987" t="inlineStr">
        <is>
          <t>NORRBOTTENS LÄN</t>
        </is>
      </c>
      <c r="E9987" t="inlineStr">
        <is>
          <t>PAJALA</t>
        </is>
      </c>
      <c r="F9987" t="inlineStr">
        <is>
          <t>SCA</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51107-2024</t>
        </is>
      </c>
      <c r="B9988" s="1" t="n">
        <v>45603</v>
      </c>
      <c r="C9988" s="1" t="n">
        <v>45798</v>
      </c>
      <c r="D9988" t="inlineStr">
        <is>
          <t>NORRBOTTENS LÄN</t>
        </is>
      </c>
      <c r="E9988" t="inlineStr">
        <is>
          <t>LULEÅ</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50970-2024</t>
        </is>
      </c>
      <c r="B9989" s="1" t="n">
        <v>45603</v>
      </c>
      <c r="C9989" s="1" t="n">
        <v>45798</v>
      </c>
      <c r="D9989" t="inlineStr">
        <is>
          <t>NORRBOTTENS LÄN</t>
        </is>
      </c>
      <c r="E9989" t="inlineStr">
        <is>
          <t>ÄLVSBYN</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51051-2024</t>
        </is>
      </c>
      <c r="B9990" s="1" t="n">
        <v>45603</v>
      </c>
      <c r="C9990" s="1" t="n">
        <v>45798</v>
      </c>
      <c r="D9990" t="inlineStr">
        <is>
          <t>NORRBOTTENS LÄN</t>
        </is>
      </c>
      <c r="E9990" t="inlineStr">
        <is>
          <t>ÄLVSBYN</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51063-2024</t>
        </is>
      </c>
      <c r="B9991" s="1" t="n">
        <v>45603</v>
      </c>
      <c r="C9991" s="1" t="n">
        <v>45798</v>
      </c>
      <c r="D9991" t="inlineStr">
        <is>
          <t>NORRBOTTENS LÄN</t>
        </is>
      </c>
      <c r="E9991" t="inlineStr">
        <is>
          <t>ÖVERKALIX</t>
        </is>
      </c>
      <c r="F9991" t="inlineStr">
        <is>
          <t>SCA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51261-2024</t>
        </is>
      </c>
      <c r="B9992" s="1" t="n">
        <v>45603</v>
      </c>
      <c r="C9992" s="1" t="n">
        <v>45798</v>
      </c>
      <c r="D9992" t="inlineStr">
        <is>
          <t>NORRBOTTENS LÄN</t>
        </is>
      </c>
      <c r="E9992" t="inlineStr">
        <is>
          <t>JOKKMOKK</t>
        </is>
      </c>
      <c r="F9992" t="inlineStr">
        <is>
          <t>Allmännings- och besparingsskogar</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51269-2024</t>
        </is>
      </c>
      <c r="B9993" s="1" t="n">
        <v>45603</v>
      </c>
      <c r="C9993" s="1" t="n">
        <v>45798</v>
      </c>
      <c r="D9993" t="inlineStr">
        <is>
          <t>NORRBOTTENS LÄN</t>
        </is>
      </c>
      <c r="E9993" t="inlineStr">
        <is>
          <t>JOKKMOKK</t>
        </is>
      </c>
      <c r="F9993" t="inlineStr">
        <is>
          <t>Allmännings- och besparingsskogar</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51277-2024</t>
        </is>
      </c>
      <c r="B9994" s="1" t="n">
        <v>45603</v>
      </c>
      <c r="C9994" s="1" t="n">
        <v>45798</v>
      </c>
      <c r="D9994" t="inlineStr">
        <is>
          <t>NORRBOTTENS LÄN</t>
        </is>
      </c>
      <c r="E9994" t="inlineStr">
        <is>
          <t>LULEÅ</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51294-2024</t>
        </is>
      </c>
      <c r="B9995" s="1" t="n">
        <v>45603</v>
      </c>
      <c r="C9995" s="1" t="n">
        <v>45798</v>
      </c>
      <c r="D9995" t="inlineStr">
        <is>
          <t>NORRBOTTENS LÄN</t>
        </is>
      </c>
      <c r="E9995" t="inlineStr">
        <is>
          <t>BODEN</t>
        </is>
      </c>
      <c r="G9995" t="n">
        <v>17.3</v>
      </c>
      <c r="H9995" t="n">
        <v>0</v>
      </c>
      <c r="I9995" t="n">
        <v>0</v>
      </c>
      <c r="J9995" t="n">
        <v>0</v>
      </c>
      <c r="K9995" t="n">
        <v>0</v>
      </c>
      <c r="L9995" t="n">
        <v>0</v>
      </c>
      <c r="M9995" t="n">
        <v>0</v>
      </c>
      <c r="N9995" t="n">
        <v>0</v>
      </c>
      <c r="O9995" t="n">
        <v>0</v>
      </c>
      <c r="P9995" t="n">
        <v>0</v>
      </c>
      <c r="Q9995" t="n">
        <v>0</v>
      </c>
      <c r="R9995" s="2" t="inlineStr"/>
    </row>
    <row r="9996" ht="15" customHeight="1">
      <c r="A9996" t="inlineStr">
        <is>
          <t>A 51048-2024</t>
        </is>
      </c>
      <c r="B9996" s="1" t="n">
        <v>45603</v>
      </c>
      <c r="C9996" s="1" t="n">
        <v>45798</v>
      </c>
      <c r="D9996" t="inlineStr">
        <is>
          <t>NORRBOTTENS LÄN</t>
        </is>
      </c>
      <c r="E9996" t="inlineStr">
        <is>
          <t>PAJALA</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51108-2024</t>
        </is>
      </c>
      <c r="B9997" s="1" t="n">
        <v>45603</v>
      </c>
      <c r="C9997" s="1" t="n">
        <v>45798</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51279-2024</t>
        </is>
      </c>
      <c r="B9998" s="1" t="n">
        <v>45603</v>
      </c>
      <c r="C9998" s="1" t="n">
        <v>45798</v>
      </c>
      <c r="D9998" t="inlineStr">
        <is>
          <t>NORRBOTTENS LÄN</t>
        </is>
      </c>
      <c r="E9998" t="inlineStr">
        <is>
          <t>BODEN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51292-2024</t>
        </is>
      </c>
      <c r="B9999" s="1" t="n">
        <v>45603</v>
      </c>
      <c r="C9999" s="1" t="n">
        <v>45798</v>
      </c>
      <c r="D9999" t="inlineStr">
        <is>
          <t>NORRBOTTENS LÄN</t>
        </is>
      </c>
      <c r="E9999" t="inlineStr">
        <is>
          <t>JOKKMOKK</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51280-2024</t>
        </is>
      </c>
      <c r="B10000" s="1" t="n">
        <v>45603</v>
      </c>
      <c r="C10000" s="1" t="n">
        <v>45798</v>
      </c>
      <c r="D10000" t="inlineStr">
        <is>
          <t>NORRBOTTENS LÄN</t>
        </is>
      </c>
      <c r="E10000" t="inlineStr">
        <is>
          <t>BODEN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51293-2024</t>
        </is>
      </c>
      <c r="B10001" s="1" t="n">
        <v>45603</v>
      </c>
      <c r="C10001" s="1" t="n">
        <v>45798</v>
      </c>
      <c r="D10001" t="inlineStr">
        <is>
          <t>NORRBOTTENS LÄN</t>
        </is>
      </c>
      <c r="E10001" t="inlineStr">
        <is>
          <t>JOKKMOKK</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51376-2024</t>
        </is>
      </c>
      <c r="B10002" s="1" t="n">
        <v>45603</v>
      </c>
      <c r="C10002" s="1" t="n">
        <v>45798</v>
      </c>
      <c r="D10002" t="inlineStr">
        <is>
          <t>NORRBOTTENS LÄN</t>
        </is>
      </c>
      <c r="E10002" t="inlineStr">
        <is>
          <t>HAPARANDA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51069-2024</t>
        </is>
      </c>
      <c r="B10003" s="1" t="n">
        <v>45603</v>
      </c>
      <c r="C10003" s="1" t="n">
        <v>45798</v>
      </c>
      <c r="D10003" t="inlineStr">
        <is>
          <t>NORRBOTTENS LÄN</t>
        </is>
      </c>
      <c r="E10003" t="inlineStr">
        <is>
          <t>ÖVERTORNEÅ</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51336-2024</t>
        </is>
      </c>
      <c r="B10004" s="1" t="n">
        <v>45604</v>
      </c>
      <c r="C10004" s="1" t="n">
        <v>45798</v>
      </c>
      <c r="D10004" t="inlineStr">
        <is>
          <t>NORRBOTTENS LÄN</t>
        </is>
      </c>
      <c r="E10004" t="inlineStr">
        <is>
          <t>JOKKMOKK</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51350-2024</t>
        </is>
      </c>
      <c r="B10005" s="1" t="n">
        <v>45604</v>
      </c>
      <c r="C10005" s="1" t="n">
        <v>45798</v>
      </c>
      <c r="D10005" t="inlineStr">
        <is>
          <t>NORRBOTTENS LÄN</t>
        </is>
      </c>
      <c r="E10005" t="inlineStr">
        <is>
          <t>PITEÅ</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51525-2024</t>
        </is>
      </c>
      <c r="B10006" s="1" t="n">
        <v>45604</v>
      </c>
      <c r="C10006" s="1" t="n">
        <v>45798</v>
      </c>
      <c r="D10006" t="inlineStr">
        <is>
          <t>NORRBOTTENS LÄN</t>
        </is>
      </c>
      <c r="E10006" t="inlineStr">
        <is>
          <t>ÖVERKALIX</t>
        </is>
      </c>
      <c r="F10006" t="inlineStr">
        <is>
          <t>SCA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51561-2024</t>
        </is>
      </c>
      <c r="B10007" s="1" t="n">
        <v>45604</v>
      </c>
      <c r="C10007" s="1" t="n">
        <v>45798</v>
      </c>
      <c r="D10007" t="inlineStr">
        <is>
          <t>NORRBOTTENS LÄN</t>
        </is>
      </c>
      <c r="E10007" t="inlineStr">
        <is>
          <t>ÖVERKALIX</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51607-2024</t>
        </is>
      </c>
      <c r="B10008" s="1" t="n">
        <v>45604</v>
      </c>
      <c r="C10008" s="1" t="n">
        <v>45798</v>
      </c>
      <c r="D10008" t="inlineStr">
        <is>
          <t>NORRBOTTENS LÄN</t>
        </is>
      </c>
      <c r="E10008" t="inlineStr">
        <is>
          <t>BODEN</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51617-2024</t>
        </is>
      </c>
      <c r="B10009" s="1" t="n">
        <v>45604</v>
      </c>
      <c r="C10009" s="1" t="n">
        <v>45798</v>
      </c>
      <c r="D10009" t="inlineStr">
        <is>
          <t>NORRBOTTENS LÄN</t>
        </is>
      </c>
      <c r="E10009" t="inlineStr">
        <is>
          <t>JOKKMOKK</t>
        </is>
      </c>
      <c r="F10009" t="inlineStr">
        <is>
          <t>SCA</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51570-2024</t>
        </is>
      </c>
      <c r="B10010" s="1" t="n">
        <v>45604</v>
      </c>
      <c r="C10010" s="1" t="n">
        <v>45798</v>
      </c>
      <c r="D10010" t="inlineStr">
        <is>
          <t>NORRBOTTENS LÄN</t>
        </is>
      </c>
      <c r="E10010" t="inlineStr">
        <is>
          <t>GÄLLIVARE</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51614-2024</t>
        </is>
      </c>
      <c r="B10011" s="1" t="n">
        <v>45604</v>
      </c>
      <c r="C10011" s="1" t="n">
        <v>45798</v>
      </c>
      <c r="D10011" t="inlineStr">
        <is>
          <t>NORRBOTTENS LÄN</t>
        </is>
      </c>
      <c r="E10011" t="inlineStr">
        <is>
          <t>BODEN</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51409-2024</t>
        </is>
      </c>
      <c r="B10012" s="1" t="n">
        <v>45604</v>
      </c>
      <c r="C10012" s="1" t="n">
        <v>45798</v>
      </c>
      <c r="D10012" t="inlineStr">
        <is>
          <t>NORRBOTTENS LÄN</t>
        </is>
      </c>
      <c r="E10012" t="inlineStr">
        <is>
          <t>LULEÅ</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51526-2024</t>
        </is>
      </c>
      <c r="B10013" s="1" t="n">
        <v>45604</v>
      </c>
      <c r="C10013" s="1" t="n">
        <v>45798</v>
      </c>
      <c r="D10013" t="inlineStr">
        <is>
          <t>NORRBOTTENS LÄN</t>
        </is>
      </c>
      <c r="E10013" t="inlineStr">
        <is>
          <t>ÖVERKALIX</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51642-2024</t>
        </is>
      </c>
      <c r="B10014" s="1" t="n">
        <v>45605</v>
      </c>
      <c r="C10014" s="1" t="n">
        <v>45798</v>
      </c>
      <c r="D10014" t="inlineStr">
        <is>
          <t>NORRBOTTENS LÄN</t>
        </is>
      </c>
      <c r="E10014" t="inlineStr">
        <is>
          <t>PITEÅ</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51975-2024</t>
        </is>
      </c>
      <c r="B10015" s="1" t="n">
        <v>45607</v>
      </c>
      <c r="C10015" s="1" t="n">
        <v>45798</v>
      </c>
      <c r="D10015" t="inlineStr">
        <is>
          <t>NORRBOTTENS LÄN</t>
        </is>
      </c>
      <c r="E10015" t="inlineStr">
        <is>
          <t>ÄLVSBYN</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52200-2024</t>
        </is>
      </c>
      <c r="B10016" s="1" t="n">
        <v>45607</v>
      </c>
      <c r="C10016" s="1" t="n">
        <v>45798</v>
      </c>
      <c r="D10016" t="inlineStr">
        <is>
          <t>NORRBOTTENS LÄN</t>
        </is>
      </c>
      <c r="E10016" t="inlineStr">
        <is>
          <t>PITEÅ</t>
        </is>
      </c>
      <c r="G10016" t="n">
        <v>19.4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51732-2024</t>
        </is>
      </c>
      <c r="B10017" s="1" t="n">
        <v>45607</v>
      </c>
      <c r="C10017" s="1" t="n">
        <v>45798</v>
      </c>
      <c r="D10017" t="inlineStr">
        <is>
          <t>NORRBOTTENS LÄN</t>
        </is>
      </c>
      <c r="E10017" t="inlineStr">
        <is>
          <t>PITEÅ</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51851-2024</t>
        </is>
      </c>
      <c r="B10018" s="1" t="n">
        <v>45607</v>
      </c>
      <c r="C10018" s="1" t="n">
        <v>45798</v>
      </c>
      <c r="D10018" t="inlineStr">
        <is>
          <t>NORRBOTTENS LÄN</t>
        </is>
      </c>
      <c r="E10018" t="inlineStr">
        <is>
          <t>ÖVERTORNEÅ</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51684-2024</t>
        </is>
      </c>
      <c r="B10019" s="1" t="n">
        <v>45607</v>
      </c>
      <c r="C10019" s="1" t="n">
        <v>45798</v>
      </c>
      <c r="D10019" t="inlineStr">
        <is>
          <t>NORRBOTTENS LÄN</t>
        </is>
      </c>
      <c r="E10019" t="inlineStr">
        <is>
          <t>ÄLVSBYN</t>
        </is>
      </c>
      <c r="F10019" t="inlineStr">
        <is>
          <t>Sveaskog</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51705-2024</t>
        </is>
      </c>
      <c r="B10020" s="1" t="n">
        <v>45607</v>
      </c>
      <c r="C10020" s="1" t="n">
        <v>45798</v>
      </c>
      <c r="D10020" t="inlineStr">
        <is>
          <t>NORRBOTTENS LÄN</t>
        </is>
      </c>
      <c r="E10020" t="inlineStr">
        <is>
          <t>PITEÅ</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51750-2024</t>
        </is>
      </c>
      <c r="B10021" s="1" t="n">
        <v>45607</v>
      </c>
      <c r="C10021" s="1" t="n">
        <v>45798</v>
      </c>
      <c r="D10021" t="inlineStr">
        <is>
          <t>NORRBOTTENS LÄN</t>
        </is>
      </c>
      <c r="E10021" t="inlineStr">
        <is>
          <t>KALIX</t>
        </is>
      </c>
      <c r="G10021" t="n">
        <v>7.7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51840-2024</t>
        </is>
      </c>
      <c r="B10022" s="1" t="n">
        <v>45607</v>
      </c>
      <c r="C10022" s="1" t="n">
        <v>45798</v>
      </c>
      <c r="D10022" t="inlineStr">
        <is>
          <t>NORRBOTTENS LÄN</t>
        </is>
      </c>
      <c r="E10022" t="inlineStr">
        <is>
          <t>BODEN</t>
        </is>
      </c>
      <c r="F10022" t="inlineStr">
        <is>
          <t>Sveaskog</t>
        </is>
      </c>
      <c r="G10022" t="n">
        <v>16.7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51961-2024</t>
        </is>
      </c>
      <c r="B10023" s="1" t="n">
        <v>45607</v>
      </c>
      <c r="C10023" s="1" t="n">
        <v>45798</v>
      </c>
      <c r="D10023" t="inlineStr">
        <is>
          <t>NORRBOTTENS LÄN</t>
        </is>
      </c>
      <c r="E10023" t="inlineStr">
        <is>
          <t>KIRUNA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51886-2024</t>
        </is>
      </c>
      <c r="B10024" s="1" t="n">
        <v>45607</v>
      </c>
      <c r="C10024" s="1" t="n">
        <v>45798</v>
      </c>
      <c r="D10024" t="inlineStr">
        <is>
          <t>NORRBOTTENS LÄN</t>
        </is>
      </c>
      <c r="E10024" t="inlineStr">
        <is>
          <t>LULEÅ</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51817-2024</t>
        </is>
      </c>
      <c r="B10025" s="1" t="n">
        <v>45607</v>
      </c>
      <c r="C10025" s="1" t="n">
        <v>45798</v>
      </c>
      <c r="D10025" t="inlineStr">
        <is>
          <t>NORRBOTTENS LÄN</t>
        </is>
      </c>
      <c r="E10025" t="inlineStr">
        <is>
          <t>PAJALA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51808-2024</t>
        </is>
      </c>
      <c r="B10026" s="1" t="n">
        <v>45607</v>
      </c>
      <c r="C10026" s="1" t="n">
        <v>45798</v>
      </c>
      <c r="D10026" t="inlineStr">
        <is>
          <t>NORRBOTTENS LÄN</t>
        </is>
      </c>
      <c r="E10026" t="inlineStr">
        <is>
          <t>ÄLVSBYN</t>
        </is>
      </c>
      <c r="G10026" t="n">
        <v>19.7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51745-2024</t>
        </is>
      </c>
      <c r="B10027" s="1" t="n">
        <v>45607</v>
      </c>
      <c r="C10027" s="1" t="n">
        <v>45798</v>
      </c>
      <c r="D10027" t="inlineStr">
        <is>
          <t>NORRBOTTENS LÄN</t>
        </is>
      </c>
      <c r="E10027" t="inlineStr">
        <is>
          <t>ÖVERKALIX</t>
        </is>
      </c>
      <c r="G10027" t="n">
        <v>17.5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51674-2024</t>
        </is>
      </c>
      <c r="B10028" s="1" t="n">
        <v>45607</v>
      </c>
      <c r="C10028" s="1" t="n">
        <v>45798</v>
      </c>
      <c r="D10028" t="inlineStr">
        <is>
          <t>NORRBOTTENS LÄN</t>
        </is>
      </c>
      <c r="E10028" t="inlineStr">
        <is>
          <t>ÖVERTORNEÅ</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52154-2024</t>
        </is>
      </c>
      <c r="B10029" s="1" t="n">
        <v>45608</v>
      </c>
      <c r="C10029" s="1" t="n">
        <v>45798</v>
      </c>
      <c r="D10029" t="inlineStr">
        <is>
          <t>NORRBOTTENS LÄN</t>
        </is>
      </c>
      <c r="E10029" t="inlineStr">
        <is>
          <t>ÖVERKALIX</t>
        </is>
      </c>
      <c r="F10029" t="inlineStr">
        <is>
          <t>SCA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52162-2024</t>
        </is>
      </c>
      <c r="B10030" s="1" t="n">
        <v>45608</v>
      </c>
      <c r="C10030" s="1" t="n">
        <v>45798</v>
      </c>
      <c r="D10030" t="inlineStr">
        <is>
          <t>NORRBOTTENS LÄN</t>
        </is>
      </c>
      <c r="E10030" t="inlineStr">
        <is>
          <t>ARVIDSJAUR</t>
        </is>
      </c>
      <c r="F10030" t="inlineStr">
        <is>
          <t>Sveaskog</t>
        </is>
      </c>
      <c r="G10030" t="n">
        <v>16.8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52248-2024</t>
        </is>
      </c>
      <c r="B10031" s="1" t="n">
        <v>45608</v>
      </c>
      <c r="C10031" s="1" t="n">
        <v>45798</v>
      </c>
      <c r="D10031" t="inlineStr">
        <is>
          <t>NORRBOTTENS LÄN</t>
        </is>
      </c>
      <c r="E10031" t="inlineStr">
        <is>
          <t>BODEN</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52283-2024</t>
        </is>
      </c>
      <c r="B10032" s="1" t="n">
        <v>45608</v>
      </c>
      <c r="C10032" s="1" t="n">
        <v>45798</v>
      </c>
      <c r="D10032" t="inlineStr">
        <is>
          <t>NORRBOTTENS LÄN</t>
        </is>
      </c>
      <c r="E10032" t="inlineStr">
        <is>
          <t>GÄLLIVARE</t>
        </is>
      </c>
      <c r="F10032" t="inlineStr">
        <is>
          <t>SCA</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52289-2024</t>
        </is>
      </c>
      <c r="B10033" s="1" t="n">
        <v>45608</v>
      </c>
      <c r="C10033" s="1" t="n">
        <v>45798</v>
      </c>
      <c r="D10033" t="inlineStr">
        <is>
          <t>NORRBOTTENS LÄN</t>
        </is>
      </c>
      <c r="E10033" t="inlineStr">
        <is>
          <t>JOKKMOKK</t>
        </is>
      </c>
      <c r="F10033" t="inlineStr">
        <is>
          <t>Allmännings- och besparingsskogar</t>
        </is>
      </c>
      <c r="G10033" t="n">
        <v>11.6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52323-2024</t>
        </is>
      </c>
      <c r="B10034" s="1" t="n">
        <v>45608</v>
      </c>
      <c r="C10034" s="1" t="n">
        <v>45798</v>
      </c>
      <c r="D10034" t="inlineStr">
        <is>
          <t>NORRBOTTENS LÄN</t>
        </is>
      </c>
      <c r="E10034" t="inlineStr">
        <is>
          <t>ÖVERTORNEÅ</t>
        </is>
      </c>
      <c r="G10034" t="n">
        <v>18.1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52294-2024</t>
        </is>
      </c>
      <c r="B10035" s="1" t="n">
        <v>45608</v>
      </c>
      <c r="C10035" s="1" t="n">
        <v>45798</v>
      </c>
      <c r="D10035" t="inlineStr">
        <is>
          <t>NORRBOTTENS LÄN</t>
        </is>
      </c>
      <c r="E10035" t="inlineStr">
        <is>
          <t>LULEÅ</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52130-2024</t>
        </is>
      </c>
      <c r="B10036" s="1" t="n">
        <v>45608</v>
      </c>
      <c r="C10036" s="1" t="n">
        <v>45798</v>
      </c>
      <c r="D10036" t="inlineStr">
        <is>
          <t>NORRBOTTENS LÄN</t>
        </is>
      </c>
      <c r="E10036" t="inlineStr">
        <is>
          <t>JOKKMOKK</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52295-2024</t>
        </is>
      </c>
      <c r="B10037" s="1" t="n">
        <v>45608</v>
      </c>
      <c r="C10037" s="1" t="n">
        <v>45798</v>
      </c>
      <c r="D10037" t="inlineStr">
        <is>
          <t>NORRBOTTENS LÄN</t>
        </is>
      </c>
      <c r="E10037" t="inlineStr">
        <is>
          <t>LULEÅ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52145-2024</t>
        </is>
      </c>
      <c r="B10038" s="1" t="n">
        <v>45608</v>
      </c>
      <c r="C10038" s="1" t="n">
        <v>45798</v>
      </c>
      <c r="D10038" t="inlineStr">
        <is>
          <t>NORRBOTTENS LÄN</t>
        </is>
      </c>
      <c r="E10038" t="inlineStr">
        <is>
          <t>ARVIDSJAUR</t>
        </is>
      </c>
      <c r="F10038" t="inlineStr">
        <is>
          <t>Sveaskog</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52247-2024</t>
        </is>
      </c>
      <c r="B10039" s="1" t="n">
        <v>45608</v>
      </c>
      <c r="C10039" s="1" t="n">
        <v>45798</v>
      </c>
      <c r="D10039" t="inlineStr">
        <is>
          <t>NORRBOTTENS LÄN</t>
        </is>
      </c>
      <c r="E10039" t="inlineStr">
        <is>
          <t>BODEN</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52096-2024</t>
        </is>
      </c>
      <c r="B10040" s="1" t="n">
        <v>45608</v>
      </c>
      <c r="C10040" s="1" t="n">
        <v>45798</v>
      </c>
      <c r="D10040" t="inlineStr">
        <is>
          <t>NORRBOTTENS LÄN</t>
        </is>
      </c>
      <c r="E10040" t="inlineStr">
        <is>
          <t>GÄLLIVARE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52246-2024</t>
        </is>
      </c>
      <c r="B10041" s="1" t="n">
        <v>45608</v>
      </c>
      <c r="C10041" s="1" t="n">
        <v>45798</v>
      </c>
      <c r="D10041" t="inlineStr">
        <is>
          <t>NORRBOTTENS LÄN</t>
        </is>
      </c>
      <c r="E10041" t="inlineStr">
        <is>
          <t>BODEN</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52356-2024</t>
        </is>
      </c>
      <c r="B10042" s="1" t="n">
        <v>45609</v>
      </c>
      <c r="C10042" s="1" t="n">
        <v>45798</v>
      </c>
      <c r="D10042" t="inlineStr">
        <is>
          <t>NORRBOTTENS LÄN</t>
        </is>
      </c>
      <c r="E10042" t="inlineStr">
        <is>
          <t>JOKKMOKK</t>
        </is>
      </c>
      <c r="F10042" t="inlineStr">
        <is>
          <t>SCA</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52459-2024</t>
        </is>
      </c>
      <c r="B10043" s="1" t="n">
        <v>45609</v>
      </c>
      <c r="C10043" s="1" t="n">
        <v>45798</v>
      </c>
      <c r="D10043" t="inlineStr">
        <is>
          <t>NORRBOTTENS LÄN</t>
        </is>
      </c>
      <c r="E10043" t="inlineStr">
        <is>
          <t>KALIX</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52385-2024</t>
        </is>
      </c>
      <c r="B10044" s="1" t="n">
        <v>45609</v>
      </c>
      <c r="C10044" s="1" t="n">
        <v>45798</v>
      </c>
      <c r="D10044" t="inlineStr">
        <is>
          <t>NORRBOTTENS LÄN</t>
        </is>
      </c>
      <c r="E10044" t="inlineStr">
        <is>
          <t>PITEÅ</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52446-2024</t>
        </is>
      </c>
      <c r="B10045" s="1" t="n">
        <v>45609</v>
      </c>
      <c r="C10045" s="1" t="n">
        <v>45798</v>
      </c>
      <c r="D10045" t="inlineStr">
        <is>
          <t>NORRBOTTENS LÄN</t>
        </is>
      </c>
      <c r="E10045" t="inlineStr">
        <is>
          <t>GÄLLIVARE</t>
        </is>
      </c>
      <c r="F10045" t="inlineStr">
        <is>
          <t>Allmännings- och besparingsskogar</t>
        </is>
      </c>
      <c r="G10045" t="n">
        <v>17.5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52498-2024</t>
        </is>
      </c>
      <c r="B10046" s="1" t="n">
        <v>45609</v>
      </c>
      <c r="C10046" s="1" t="n">
        <v>45798</v>
      </c>
      <c r="D10046" t="inlineStr">
        <is>
          <t>NORRBOTTENS LÄN</t>
        </is>
      </c>
      <c r="E10046" t="inlineStr">
        <is>
          <t>PITEÅ</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52564-2024</t>
        </is>
      </c>
      <c r="B10047" s="1" t="n">
        <v>45609</v>
      </c>
      <c r="C10047" s="1" t="n">
        <v>45798</v>
      </c>
      <c r="D10047" t="inlineStr">
        <is>
          <t>NORRBOTTENS LÄN</t>
        </is>
      </c>
      <c r="E10047" t="inlineStr">
        <is>
          <t>JOKKMOKK</t>
        </is>
      </c>
      <c r="F10047" t="inlineStr">
        <is>
          <t>Allmännings- och besparingsskogar</t>
        </is>
      </c>
      <c r="G10047" t="n">
        <v>16.5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52733-2024</t>
        </is>
      </c>
      <c r="B10048" s="1" t="n">
        <v>45610</v>
      </c>
      <c r="C10048" s="1" t="n">
        <v>45798</v>
      </c>
      <c r="D10048" t="inlineStr">
        <is>
          <t>NORRBOTTENS LÄN</t>
        </is>
      </c>
      <c r="E10048" t="inlineStr">
        <is>
          <t>JOKKMOKK</t>
        </is>
      </c>
      <c r="F10048" t="inlineStr">
        <is>
          <t>Allmännings- och besparingsskogar</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52837-2024</t>
        </is>
      </c>
      <c r="B10049" s="1" t="n">
        <v>45610</v>
      </c>
      <c r="C10049" s="1" t="n">
        <v>45798</v>
      </c>
      <c r="D10049" t="inlineStr">
        <is>
          <t>NORRBOTTENS LÄN</t>
        </is>
      </c>
      <c r="E10049" t="inlineStr">
        <is>
          <t>ARVIDSJAUR</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52812-2024</t>
        </is>
      </c>
      <c r="B10050" s="1" t="n">
        <v>45610</v>
      </c>
      <c r="C10050" s="1" t="n">
        <v>45798</v>
      </c>
      <c r="D10050" t="inlineStr">
        <is>
          <t>NORRBOTTENS LÄN</t>
        </is>
      </c>
      <c r="E10050" t="inlineStr">
        <is>
          <t>JOKKMOKK</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52735-2024</t>
        </is>
      </c>
      <c r="B10051" s="1" t="n">
        <v>45610</v>
      </c>
      <c r="C10051" s="1" t="n">
        <v>45798</v>
      </c>
      <c r="D10051" t="inlineStr">
        <is>
          <t>NORRBOTTENS LÄN</t>
        </is>
      </c>
      <c r="E10051" t="inlineStr">
        <is>
          <t>HAPARANDA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52815-2024</t>
        </is>
      </c>
      <c r="B10052" s="1" t="n">
        <v>45610</v>
      </c>
      <c r="C10052" s="1" t="n">
        <v>45798</v>
      </c>
      <c r="D10052" t="inlineStr">
        <is>
          <t>NORRBOTTENS LÄN</t>
        </is>
      </c>
      <c r="E10052" t="inlineStr">
        <is>
          <t>ÖVERTORNEÅ</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52667-2024</t>
        </is>
      </c>
      <c r="B10053" s="1" t="n">
        <v>45610</v>
      </c>
      <c r="C10053" s="1" t="n">
        <v>45798</v>
      </c>
      <c r="D10053" t="inlineStr">
        <is>
          <t>NORRBOTTENS LÄN</t>
        </is>
      </c>
      <c r="E10053" t="inlineStr">
        <is>
          <t>LULEÅ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52647-2024</t>
        </is>
      </c>
      <c r="B10054" s="1" t="n">
        <v>45610</v>
      </c>
      <c r="C10054" s="1" t="n">
        <v>45798</v>
      </c>
      <c r="D10054" t="inlineStr">
        <is>
          <t>NORRBOTTENS LÄN</t>
        </is>
      </c>
      <c r="E10054" t="inlineStr">
        <is>
          <t>ÖVERKALIX</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52855-2024</t>
        </is>
      </c>
      <c r="B10055" s="1" t="n">
        <v>45610</v>
      </c>
      <c r="C10055" s="1" t="n">
        <v>45798</v>
      </c>
      <c r="D10055" t="inlineStr">
        <is>
          <t>NORRBOTTENS LÄN</t>
        </is>
      </c>
      <c r="E10055" t="inlineStr">
        <is>
          <t>JOKKMOKK</t>
        </is>
      </c>
      <c r="F10055" t="inlineStr">
        <is>
          <t>Allmännings- och besparingsskogar</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52908-2024</t>
        </is>
      </c>
      <c r="B10056" s="1" t="n">
        <v>45610</v>
      </c>
      <c r="C10056" s="1" t="n">
        <v>45798</v>
      </c>
      <c r="D10056" t="inlineStr">
        <is>
          <t>NORRBOTTENS LÄN</t>
        </is>
      </c>
      <c r="E10056" t="inlineStr">
        <is>
          <t>PITEÅ</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52907-2024</t>
        </is>
      </c>
      <c r="B10057" s="1" t="n">
        <v>45610</v>
      </c>
      <c r="C10057" s="1" t="n">
        <v>45798</v>
      </c>
      <c r="D10057" t="inlineStr">
        <is>
          <t>NORRBOTTENS LÄN</t>
        </is>
      </c>
      <c r="E10057" t="inlineStr">
        <is>
          <t>ÄLVSBYN</t>
        </is>
      </c>
      <c r="F10057" t="inlineStr">
        <is>
          <t>SCA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52698-2024</t>
        </is>
      </c>
      <c r="B10058" s="1" t="n">
        <v>45610</v>
      </c>
      <c r="C10058" s="1" t="n">
        <v>45798</v>
      </c>
      <c r="D10058" t="inlineStr">
        <is>
          <t>NORRBOTTENS LÄN</t>
        </is>
      </c>
      <c r="E10058" t="inlineStr">
        <is>
          <t>LULEÅ</t>
        </is>
      </c>
      <c r="G10058" t="n">
        <v>8.9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52976-2024</t>
        </is>
      </c>
      <c r="B10059" s="1" t="n">
        <v>45611</v>
      </c>
      <c r="C10059" s="1" t="n">
        <v>45798</v>
      </c>
      <c r="D10059" t="inlineStr">
        <is>
          <t>NORRBOTTENS LÄN</t>
        </is>
      </c>
      <c r="E10059" t="inlineStr">
        <is>
          <t>ÖVERKALIX</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52984-2024</t>
        </is>
      </c>
      <c r="B10060" s="1" t="n">
        <v>45611</v>
      </c>
      <c r="C10060" s="1" t="n">
        <v>45798</v>
      </c>
      <c r="D10060" t="inlineStr">
        <is>
          <t>NORRBOTTENS LÄN</t>
        </is>
      </c>
      <c r="E10060" t="inlineStr">
        <is>
          <t>ÖVERKALIX</t>
        </is>
      </c>
      <c r="F10060" t="inlineStr">
        <is>
          <t>Sveaskog</t>
        </is>
      </c>
      <c r="G10060" t="n">
        <v>25.9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53014-2024</t>
        </is>
      </c>
      <c r="B10061" s="1" t="n">
        <v>45611</v>
      </c>
      <c r="C10061" s="1" t="n">
        <v>45798</v>
      </c>
      <c r="D10061" t="inlineStr">
        <is>
          <t>NORRBOTTENS LÄN</t>
        </is>
      </c>
      <c r="E10061" t="inlineStr">
        <is>
          <t>ARVIDSJAUR</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53185-2024</t>
        </is>
      </c>
      <c r="B10062" s="1" t="n">
        <v>45611</v>
      </c>
      <c r="C10062" s="1" t="n">
        <v>45798</v>
      </c>
      <c r="D10062" t="inlineStr">
        <is>
          <t>NORRBOTTENS LÄN</t>
        </is>
      </c>
      <c r="E10062" t="inlineStr">
        <is>
          <t>JOKKMOKK</t>
        </is>
      </c>
      <c r="F10062" t="inlineStr">
        <is>
          <t>Allmännings- och besparingsskogar</t>
        </is>
      </c>
      <c r="G10062" t="n">
        <v>12.8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53052-2024</t>
        </is>
      </c>
      <c r="B10063" s="1" t="n">
        <v>45611</v>
      </c>
      <c r="C10063" s="1" t="n">
        <v>45798</v>
      </c>
      <c r="D10063" t="inlineStr">
        <is>
          <t>NORRBOTTENS LÄN</t>
        </is>
      </c>
      <c r="E10063" t="inlineStr">
        <is>
          <t>PAJALA</t>
        </is>
      </c>
      <c r="G10063" t="n">
        <v>9.5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53172-2024</t>
        </is>
      </c>
      <c r="B10064" s="1" t="n">
        <v>45611</v>
      </c>
      <c r="C10064" s="1" t="n">
        <v>45798</v>
      </c>
      <c r="D10064" t="inlineStr">
        <is>
          <t>NORRBOTTENS LÄN</t>
        </is>
      </c>
      <c r="E10064" t="inlineStr">
        <is>
          <t>JOKKMOKK</t>
        </is>
      </c>
      <c r="F10064" t="inlineStr">
        <is>
          <t>Allmännings- och besparingsskogar</t>
        </is>
      </c>
      <c r="G10064" t="n">
        <v>6.5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53088-2024</t>
        </is>
      </c>
      <c r="B10065" s="1" t="n">
        <v>45611</v>
      </c>
      <c r="C10065" s="1" t="n">
        <v>45798</v>
      </c>
      <c r="D10065" t="inlineStr">
        <is>
          <t>NORRBOTTENS LÄN</t>
        </is>
      </c>
      <c r="E10065" t="inlineStr">
        <is>
          <t>PAJALA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53037-2024</t>
        </is>
      </c>
      <c r="B10066" s="1" t="n">
        <v>45611</v>
      </c>
      <c r="C10066" s="1" t="n">
        <v>45798</v>
      </c>
      <c r="D10066" t="inlineStr">
        <is>
          <t>NORRBOTTENS LÄN</t>
        </is>
      </c>
      <c r="E10066" t="inlineStr">
        <is>
          <t>PAJALA</t>
        </is>
      </c>
      <c r="G10066" t="n">
        <v>11.7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53021-2024</t>
        </is>
      </c>
      <c r="B10067" s="1" t="n">
        <v>45611</v>
      </c>
      <c r="C10067" s="1" t="n">
        <v>45798</v>
      </c>
      <c r="D10067" t="inlineStr">
        <is>
          <t>NORRBOTTENS LÄN</t>
        </is>
      </c>
      <c r="E10067" t="inlineStr">
        <is>
          <t>ARVIDSJAUR</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53074-2024</t>
        </is>
      </c>
      <c r="B10068" s="1" t="n">
        <v>45611</v>
      </c>
      <c r="C10068" s="1" t="n">
        <v>45798</v>
      </c>
      <c r="D10068" t="inlineStr">
        <is>
          <t>NORRBOTTENS LÄN</t>
        </is>
      </c>
      <c r="E10068" t="inlineStr">
        <is>
          <t>PAJALA</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53040-2024</t>
        </is>
      </c>
      <c r="B10069" s="1" t="n">
        <v>45611</v>
      </c>
      <c r="C10069" s="1" t="n">
        <v>45798</v>
      </c>
      <c r="D10069" t="inlineStr">
        <is>
          <t>NORRBOTTENS LÄN</t>
        </is>
      </c>
      <c r="E10069" t="inlineStr">
        <is>
          <t>PAJALA</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53162-2024</t>
        </is>
      </c>
      <c r="B10070" s="1" t="n">
        <v>45611</v>
      </c>
      <c r="C10070" s="1" t="n">
        <v>45798</v>
      </c>
      <c r="D10070" t="inlineStr">
        <is>
          <t>NORRBOTTENS LÄN</t>
        </is>
      </c>
      <c r="E10070" t="inlineStr">
        <is>
          <t>ARVIDSJAUR</t>
        </is>
      </c>
      <c r="F10070" t="inlineStr">
        <is>
          <t>Sveaskog</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53190-2024</t>
        </is>
      </c>
      <c r="B10071" s="1" t="n">
        <v>45611</v>
      </c>
      <c r="C10071" s="1" t="n">
        <v>45798</v>
      </c>
      <c r="D10071" t="inlineStr">
        <is>
          <t>NORRBOTTENS LÄN</t>
        </is>
      </c>
      <c r="E10071" t="inlineStr">
        <is>
          <t>JOKKMOKK</t>
        </is>
      </c>
      <c r="F10071" t="inlineStr">
        <is>
          <t>Allmännings- och besparingsskogar</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53207-2024</t>
        </is>
      </c>
      <c r="B10072" s="1" t="n">
        <v>45612</v>
      </c>
      <c r="C10072" s="1" t="n">
        <v>45798</v>
      </c>
      <c r="D10072" t="inlineStr">
        <is>
          <t>NORRBOTTENS LÄN</t>
        </is>
      </c>
      <c r="E10072" t="inlineStr">
        <is>
          <t>GÄLLIVARE</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53223-2024</t>
        </is>
      </c>
      <c r="B10073" s="1" t="n">
        <v>45612</v>
      </c>
      <c r="C10073" s="1" t="n">
        <v>45798</v>
      </c>
      <c r="D10073" t="inlineStr">
        <is>
          <t>NORRBOTTENS LÄN</t>
        </is>
      </c>
      <c r="E10073" t="inlineStr">
        <is>
          <t>GÄLLIVARE</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53677-2024</t>
        </is>
      </c>
      <c r="B10074" s="1" t="n">
        <v>45612</v>
      </c>
      <c r="C10074" s="1" t="n">
        <v>45798</v>
      </c>
      <c r="D10074" t="inlineStr">
        <is>
          <t>NORRBOTTENS LÄN</t>
        </is>
      </c>
      <c r="E10074" t="inlineStr">
        <is>
          <t>GÄLLIVARE</t>
        </is>
      </c>
      <c r="F10074" t="inlineStr">
        <is>
          <t>Allmännings- och besparingsskogar</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53208-2024</t>
        </is>
      </c>
      <c r="B10075" s="1" t="n">
        <v>45612</v>
      </c>
      <c r="C10075" s="1" t="n">
        <v>45798</v>
      </c>
      <c r="D10075" t="inlineStr">
        <is>
          <t>NORRBOTTENS LÄN</t>
        </is>
      </c>
      <c r="E10075" t="inlineStr">
        <is>
          <t>GÄLLIVARE</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53683-2024</t>
        </is>
      </c>
      <c r="B10076" s="1" t="n">
        <v>45612</v>
      </c>
      <c r="C10076" s="1" t="n">
        <v>45798</v>
      </c>
      <c r="D10076" t="inlineStr">
        <is>
          <t>NORRBOTTENS LÄN</t>
        </is>
      </c>
      <c r="E10076" t="inlineStr">
        <is>
          <t>ARVIDSJAUR</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53222-2024</t>
        </is>
      </c>
      <c r="B10077" s="1" t="n">
        <v>45612</v>
      </c>
      <c r="C10077" s="1" t="n">
        <v>45798</v>
      </c>
      <c r="D10077" t="inlineStr">
        <is>
          <t>NORRBOTTENS LÄN</t>
        </is>
      </c>
      <c r="E10077" t="inlineStr">
        <is>
          <t>GÄLLIVARE</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53674-2024</t>
        </is>
      </c>
      <c r="B10078" s="1" t="n">
        <v>45612</v>
      </c>
      <c r="C10078" s="1" t="n">
        <v>45798</v>
      </c>
      <c r="D10078" t="inlineStr">
        <is>
          <t>NORRBOTTENS LÄN</t>
        </is>
      </c>
      <c r="E10078" t="inlineStr">
        <is>
          <t>GÄLLIVARE</t>
        </is>
      </c>
      <c r="F10078" t="inlineStr">
        <is>
          <t>Allmännings- och besparingsskogar</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53669-2024</t>
        </is>
      </c>
      <c r="B10079" s="1" t="n">
        <v>45612</v>
      </c>
      <c r="C10079" s="1" t="n">
        <v>45798</v>
      </c>
      <c r="D10079" t="inlineStr">
        <is>
          <t>NORRBOTTENS LÄN</t>
        </is>
      </c>
      <c r="E10079" t="inlineStr">
        <is>
          <t>GÄLLIVARE</t>
        </is>
      </c>
      <c r="F10079" t="inlineStr">
        <is>
          <t>Allmännings- och besparingsskogar</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53230-2024</t>
        </is>
      </c>
      <c r="B10080" s="1" t="n">
        <v>45613</v>
      </c>
      <c r="C10080" s="1" t="n">
        <v>45798</v>
      </c>
      <c r="D10080" t="inlineStr">
        <is>
          <t>NORRBOTTENS LÄN</t>
        </is>
      </c>
      <c r="E10080" t="inlineStr">
        <is>
          <t>PAJALA</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53232-2024</t>
        </is>
      </c>
      <c r="B10081" s="1" t="n">
        <v>45613</v>
      </c>
      <c r="C10081" s="1" t="n">
        <v>45798</v>
      </c>
      <c r="D10081" t="inlineStr">
        <is>
          <t>NORRBOTTENS LÄN</t>
        </is>
      </c>
      <c r="E10081" t="inlineStr">
        <is>
          <t>JOKKMOKK</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53228-2024</t>
        </is>
      </c>
      <c r="B10082" s="1" t="n">
        <v>45613</v>
      </c>
      <c r="C10082" s="1" t="n">
        <v>45798</v>
      </c>
      <c r="D10082" t="inlineStr">
        <is>
          <t>NORRBOTTENS LÄN</t>
        </is>
      </c>
      <c r="E10082" t="inlineStr">
        <is>
          <t>PAJALA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53227-2024</t>
        </is>
      </c>
      <c r="B10083" s="1" t="n">
        <v>45613</v>
      </c>
      <c r="C10083" s="1" t="n">
        <v>45798</v>
      </c>
      <c r="D10083" t="inlineStr">
        <is>
          <t>NORRBOTTENS LÄN</t>
        </is>
      </c>
      <c r="E10083" t="inlineStr">
        <is>
          <t>PAJALA</t>
        </is>
      </c>
      <c r="G10083" t="n">
        <v>44.3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53229-2024</t>
        </is>
      </c>
      <c r="B10084" s="1" t="n">
        <v>45613</v>
      </c>
      <c r="C10084" s="1" t="n">
        <v>45798</v>
      </c>
      <c r="D10084" t="inlineStr">
        <is>
          <t>NORRBOTTENS LÄN</t>
        </is>
      </c>
      <c r="E10084" t="inlineStr">
        <is>
          <t>PAJALA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53630-2024</t>
        </is>
      </c>
      <c r="B10085" s="1" t="n">
        <v>45614</v>
      </c>
      <c r="C10085" s="1" t="n">
        <v>45798</v>
      </c>
      <c r="D10085" t="inlineStr">
        <is>
          <t>NORRBOTTENS LÄN</t>
        </is>
      </c>
      <c r="E10085" t="inlineStr">
        <is>
          <t>BODEN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53603-2024</t>
        </is>
      </c>
      <c r="B10086" s="1" t="n">
        <v>45614</v>
      </c>
      <c r="C10086" s="1" t="n">
        <v>45798</v>
      </c>
      <c r="D10086" t="inlineStr">
        <is>
          <t>NORRBOTTENS LÄN</t>
        </is>
      </c>
      <c r="E10086" t="inlineStr">
        <is>
          <t>LULEÅ</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53822-2024</t>
        </is>
      </c>
      <c r="B10087" s="1" t="n">
        <v>45614</v>
      </c>
      <c r="C10087" s="1" t="n">
        <v>45798</v>
      </c>
      <c r="D10087" t="inlineStr">
        <is>
          <t>NORRBOTTENS LÄN</t>
        </is>
      </c>
      <c r="E10087" t="inlineStr">
        <is>
          <t>ARJEPLOG</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53891-2024</t>
        </is>
      </c>
      <c r="B10088" s="1" t="n">
        <v>45614</v>
      </c>
      <c r="C10088" s="1" t="n">
        <v>45798</v>
      </c>
      <c r="D10088" t="inlineStr">
        <is>
          <t>NORRBOTTENS LÄN</t>
        </is>
      </c>
      <c r="E10088" t="inlineStr">
        <is>
          <t>GÄLLIVARE</t>
        </is>
      </c>
      <c r="F10088" t="inlineStr">
        <is>
          <t>Allmännings- och besparingsskogar</t>
        </is>
      </c>
      <c r="G10088" t="n">
        <v>27.3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53870-2024</t>
        </is>
      </c>
      <c r="B10089" s="1" t="n">
        <v>45614</v>
      </c>
      <c r="C10089" s="1" t="n">
        <v>45798</v>
      </c>
      <c r="D10089" t="inlineStr">
        <is>
          <t>NORRBOTTENS LÄN</t>
        </is>
      </c>
      <c r="E10089" t="inlineStr">
        <is>
          <t>LULEÅ</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53329-2024</t>
        </is>
      </c>
      <c r="B10090" s="1" t="n">
        <v>45614</v>
      </c>
      <c r="C10090" s="1" t="n">
        <v>45798</v>
      </c>
      <c r="D10090" t="inlineStr">
        <is>
          <t>NORRBOTTENS LÄN</t>
        </is>
      </c>
      <c r="E10090" t="inlineStr">
        <is>
          <t>LULEÅ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53706-2024</t>
        </is>
      </c>
      <c r="B10091" s="1" t="n">
        <v>45615</v>
      </c>
      <c r="C10091" s="1" t="n">
        <v>45798</v>
      </c>
      <c r="D10091" t="inlineStr">
        <is>
          <t>NORRBOTTENS LÄN</t>
        </is>
      </c>
      <c r="E10091" t="inlineStr">
        <is>
          <t>GÄLLIVARE</t>
        </is>
      </c>
      <c r="F10091" t="inlineStr">
        <is>
          <t>Sveaskog</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53700-2024</t>
        </is>
      </c>
      <c r="B10092" s="1" t="n">
        <v>45615</v>
      </c>
      <c r="C10092" s="1" t="n">
        <v>45798</v>
      </c>
      <c r="D10092" t="inlineStr">
        <is>
          <t>NORRBOTTENS LÄN</t>
        </is>
      </c>
      <c r="E10092" t="inlineStr">
        <is>
          <t>GÄLLIVARE</t>
        </is>
      </c>
      <c r="F10092" t="inlineStr">
        <is>
          <t>Sveaskog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53784-2024</t>
        </is>
      </c>
      <c r="B10093" s="1" t="n">
        <v>45615</v>
      </c>
      <c r="C10093" s="1" t="n">
        <v>45798</v>
      </c>
      <c r="D10093" t="inlineStr">
        <is>
          <t>NORRBOTTENS LÄN</t>
        </is>
      </c>
      <c r="E10093" t="inlineStr">
        <is>
          <t>GÄLLIVARE</t>
        </is>
      </c>
      <c r="G10093" t="n">
        <v>9.300000000000001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53821-2024</t>
        </is>
      </c>
      <c r="B10094" s="1" t="n">
        <v>45615</v>
      </c>
      <c r="C10094" s="1" t="n">
        <v>45798</v>
      </c>
      <c r="D10094" t="inlineStr">
        <is>
          <t>NORRBOTTENS LÄN</t>
        </is>
      </c>
      <c r="E10094" t="inlineStr">
        <is>
          <t>GÄLLIVARE</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53794-2024</t>
        </is>
      </c>
      <c r="B10095" s="1" t="n">
        <v>45615</v>
      </c>
      <c r="C10095" s="1" t="n">
        <v>45798</v>
      </c>
      <c r="D10095" t="inlineStr">
        <is>
          <t>NORRBOTTENS LÄN</t>
        </is>
      </c>
      <c r="E10095" t="inlineStr">
        <is>
          <t>GÄLLIVARE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53824-2024</t>
        </is>
      </c>
      <c r="B10096" s="1" t="n">
        <v>45615</v>
      </c>
      <c r="C10096" s="1" t="n">
        <v>45798</v>
      </c>
      <c r="D10096" t="inlineStr">
        <is>
          <t>NORRBOTTENS LÄN</t>
        </is>
      </c>
      <c r="E10096" t="inlineStr">
        <is>
          <t>GÄLLIVARE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53828-2024</t>
        </is>
      </c>
      <c r="B10097" s="1" t="n">
        <v>45615</v>
      </c>
      <c r="C10097" s="1" t="n">
        <v>45798</v>
      </c>
      <c r="D10097" t="inlineStr">
        <is>
          <t>NORRBOTTENS LÄN</t>
        </is>
      </c>
      <c r="E10097" t="inlineStr">
        <is>
          <t>GÄLLIVARE</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53653-2024</t>
        </is>
      </c>
      <c r="B10098" s="1" t="n">
        <v>45615</v>
      </c>
      <c r="C10098" s="1" t="n">
        <v>45798</v>
      </c>
      <c r="D10098" t="inlineStr">
        <is>
          <t>NORRBOTTENS LÄN</t>
        </is>
      </c>
      <c r="E10098" t="inlineStr">
        <is>
          <t>PAJALA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53836-2024</t>
        </is>
      </c>
      <c r="B10099" s="1" t="n">
        <v>45615</v>
      </c>
      <c r="C10099" s="1" t="n">
        <v>45798</v>
      </c>
      <c r="D10099" t="inlineStr">
        <is>
          <t>NORRBOTTENS LÄN</t>
        </is>
      </c>
      <c r="E10099" t="inlineStr">
        <is>
          <t>LULEÅ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53893-2024</t>
        </is>
      </c>
      <c r="B10100" s="1" t="n">
        <v>45615</v>
      </c>
      <c r="C10100" s="1" t="n">
        <v>45798</v>
      </c>
      <c r="D10100" t="inlineStr">
        <is>
          <t>NORRBOTTENS LÄN</t>
        </is>
      </c>
      <c r="E10100" t="inlineStr">
        <is>
          <t>GÄLLIVARE</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53909-2024</t>
        </is>
      </c>
      <c r="B10101" s="1" t="n">
        <v>45615</v>
      </c>
      <c r="C10101" s="1" t="n">
        <v>45798</v>
      </c>
      <c r="D10101" t="inlineStr">
        <is>
          <t>NORRBOTTENS LÄN</t>
        </is>
      </c>
      <c r="E10101" t="inlineStr">
        <is>
          <t>GÄLLIVARE</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54067-2024</t>
        </is>
      </c>
      <c r="B10102" s="1" t="n">
        <v>45616</v>
      </c>
      <c r="C10102" s="1" t="n">
        <v>45798</v>
      </c>
      <c r="D10102" t="inlineStr">
        <is>
          <t>NORRBOTTENS LÄN</t>
        </is>
      </c>
      <c r="E10102" t="inlineStr">
        <is>
          <t>BODEN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54122-2024</t>
        </is>
      </c>
      <c r="B10103" s="1" t="n">
        <v>45616</v>
      </c>
      <c r="C10103" s="1" t="n">
        <v>45798</v>
      </c>
      <c r="D10103" t="inlineStr">
        <is>
          <t>NORRBOTTENS LÄN</t>
        </is>
      </c>
      <c r="E10103" t="inlineStr">
        <is>
          <t>KALIX</t>
        </is>
      </c>
      <c r="G10103" t="n">
        <v>7.6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54126-2024</t>
        </is>
      </c>
      <c r="B10104" s="1" t="n">
        <v>45616</v>
      </c>
      <c r="C10104" s="1" t="n">
        <v>45798</v>
      </c>
      <c r="D10104" t="inlineStr">
        <is>
          <t>NORRBOTTENS LÄN</t>
        </is>
      </c>
      <c r="E10104" t="inlineStr">
        <is>
          <t>KALIX</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54218-2024</t>
        </is>
      </c>
      <c r="B10105" s="1" t="n">
        <v>45616</v>
      </c>
      <c r="C10105" s="1" t="n">
        <v>45798</v>
      </c>
      <c r="D10105" t="inlineStr">
        <is>
          <t>NORRBOTTENS LÄN</t>
        </is>
      </c>
      <c r="E10105" t="inlineStr">
        <is>
          <t>ARVIDSJAUR</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54281-2024</t>
        </is>
      </c>
      <c r="B10106" s="1" t="n">
        <v>45616</v>
      </c>
      <c r="C10106" s="1" t="n">
        <v>45798</v>
      </c>
      <c r="D10106" t="inlineStr">
        <is>
          <t>NORRBOTTENS LÄN</t>
        </is>
      </c>
      <c r="E10106" t="inlineStr">
        <is>
          <t>GÄLLIVARE</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54197-2024</t>
        </is>
      </c>
      <c r="B10107" s="1" t="n">
        <v>45616</v>
      </c>
      <c r="C10107" s="1" t="n">
        <v>45798</v>
      </c>
      <c r="D10107" t="inlineStr">
        <is>
          <t>NORRBOTTENS LÄN</t>
        </is>
      </c>
      <c r="E10107" t="inlineStr">
        <is>
          <t>ARVIDSJAUR</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54256-2024</t>
        </is>
      </c>
      <c r="B10108" s="1" t="n">
        <v>45616</v>
      </c>
      <c r="C10108" s="1" t="n">
        <v>45798</v>
      </c>
      <c r="D10108" t="inlineStr">
        <is>
          <t>NORRBOTTENS LÄN</t>
        </is>
      </c>
      <c r="E10108" t="inlineStr">
        <is>
          <t>PAJALA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54060-2024</t>
        </is>
      </c>
      <c r="B10109" s="1" t="n">
        <v>45616</v>
      </c>
      <c r="C10109" s="1" t="n">
        <v>45798</v>
      </c>
      <c r="D10109" t="inlineStr">
        <is>
          <t>NORRBOTTENS LÄN</t>
        </is>
      </c>
      <c r="E10109" t="inlineStr">
        <is>
          <t>BODEN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54103-2024</t>
        </is>
      </c>
      <c r="B10110" s="1" t="n">
        <v>45616</v>
      </c>
      <c r="C10110" s="1" t="n">
        <v>45798</v>
      </c>
      <c r="D10110" t="inlineStr">
        <is>
          <t>NORRBOTTENS LÄN</t>
        </is>
      </c>
      <c r="E10110" t="inlineStr">
        <is>
          <t>GÄLLIVARE</t>
        </is>
      </c>
      <c r="F10110" t="inlineStr">
        <is>
          <t>Allmännings- och besparingsskogar</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54211-2024</t>
        </is>
      </c>
      <c r="B10111" s="1" t="n">
        <v>45616</v>
      </c>
      <c r="C10111" s="1" t="n">
        <v>45798</v>
      </c>
      <c r="D10111" t="inlineStr">
        <is>
          <t>NORRBOTTENS LÄN</t>
        </is>
      </c>
      <c r="E10111" t="inlineStr">
        <is>
          <t>ARVIDSJAUR</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54336-2024</t>
        </is>
      </c>
      <c r="B10112" s="1" t="n">
        <v>45617</v>
      </c>
      <c r="C10112" s="1" t="n">
        <v>45798</v>
      </c>
      <c r="D10112" t="inlineStr">
        <is>
          <t>NORRBOTTENS LÄN</t>
        </is>
      </c>
      <c r="E10112" t="inlineStr">
        <is>
          <t>ARVIDSJAUR</t>
        </is>
      </c>
      <c r="F10112" t="inlineStr">
        <is>
          <t>Sveaskog</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54296-2024</t>
        </is>
      </c>
      <c r="B10113" s="1" t="n">
        <v>45617</v>
      </c>
      <c r="C10113" s="1" t="n">
        <v>45798</v>
      </c>
      <c r="D10113" t="inlineStr">
        <is>
          <t>NORRBOTTENS LÄN</t>
        </is>
      </c>
      <c r="E10113" t="inlineStr">
        <is>
          <t>KALIX</t>
        </is>
      </c>
      <c r="F10113" t="inlineStr">
        <is>
          <t>Sveaskog</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54341-2024</t>
        </is>
      </c>
      <c r="B10114" s="1" t="n">
        <v>45617</v>
      </c>
      <c r="C10114" s="1" t="n">
        <v>45798</v>
      </c>
      <c r="D10114" t="inlineStr">
        <is>
          <t>NORRBOTTENS LÄN</t>
        </is>
      </c>
      <c r="E10114" t="inlineStr">
        <is>
          <t>ARVIDSJAUR</t>
        </is>
      </c>
      <c r="F10114" t="inlineStr">
        <is>
          <t>Sveaskog</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54526-2024</t>
        </is>
      </c>
      <c r="B10115" s="1" t="n">
        <v>45617</v>
      </c>
      <c r="C10115" s="1" t="n">
        <v>45798</v>
      </c>
      <c r="D10115" t="inlineStr">
        <is>
          <t>NORRBOTTENS LÄN</t>
        </is>
      </c>
      <c r="E10115" t="inlineStr">
        <is>
          <t>PITEÅ</t>
        </is>
      </c>
      <c r="F10115" t="inlineStr">
        <is>
          <t>Sveaskog</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54331-2024</t>
        </is>
      </c>
      <c r="B10116" s="1" t="n">
        <v>45617</v>
      </c>
      <c r="C10116" s="1" t="n">
        <v>45798</v>
      </c>
      <c r="D10116" t="inlineStr">
        <is>
          <t>NORRBOTTENS LÄN</t>
        </is>
      </c>
      <c r="E10116" t="inlineStr">
        <is>
          <t>PITEÅ</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54343-2024</t>
        </is>
      </c>
      <c r="B10117" s="1" t="n">
        <v>45617</v>
      </c>
      <c r="C10117" s="1" t="n">
        <v>45798</v>
      </c>
      <c r="D10117" t="inlineStr">
        <is>
          <t>NORRBOTTENS LÄN</t>
        </is>
      </c>
      <c r="E10117" t="inlineStr">
        <is>
          <t>PITEÅ</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54380-2024</t>
        </is>
      </c>
      <c r="B10118" s="1" t="n">
        <v>45617</v>
      </c>
      <c r="C10118" s="1" t="n">
        <v>45798</v>
      </c>
      <c r="D10118" t="inlineStr">
        <is>
          <t>NORRBOTTENS LÄN</t>
        </is>
      </c>
      <c r="E10118" t="inlineStr">
        <is>
          <t>LULEÅ</t>
        </is>
      </c>
      <c r="F10118" t="inlineStr">
        <is>
          <t>Sveaskog</t>
        </is>
      </c>
      <c r="G10118" t="n">
        <v>37.8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54384-2024</t>
        </is>
      </c>
      <c r="B10119" s="1" t="n">
        <v>45617</v>
      </c>
      <c r="C10119" s="1" t="n">
        <v>45798</v>
      </c>
      <c r="D10119" t="inlineStr">
        <is>
          <t>NORRBOTTENS LÄN</t>
        </is>
      </c>
      <c r="E10119" t="inlineStr">
        <is>
          <t>LULEÅ</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54484-2024</t>
        </is>
      </c>
      <c r="B10120" s="1" t="n">
        <v>45617</v>
      </c>
      <c r="C10120" s="1" t="n">
        <v>45798</v>
      </c>
      <c r="D10120" t="inlineStr">
        <is>
          <t>NORRBOTTENS LÄN</t>
        </is>
      </c>
      <c r="E10120" t="inlineStr">
        <is>
          <t>KALIX</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54879-2024</t>
        </is>
      </c>
      <c r="B10121" s="1" t="n">
        <v>45618</v>
      </c>
      <c r="C10121" s="1" t="n">
        <v>45798</v>
      </c>
      <c r="D10121" t="inlineStr">
        <is>
          <t>NORRBOTTENS LÄN</t>
        </is>
      </c>
      <c r="E10121" t="inlineStr">
        <is>
          <t>ARVIDSJAUR</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54941-2024</t>
        </is>
      </c>
      <c r="B10122" s="1" t="n">
        <v>45618</v>
      </c>
      <c r="C10122" s="1" t="n">
        <v>45798</v>
      </c>
      <c r="D10122" t="inlineStr">
        <is>
          <t>NORRBOTTENS LÄN</t>
        </is>
      </c>
      <c r="E10122" t="inlineStr">
        <is>
          <t>PITEÅ</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54847-2024</t>
        </is>
      </c>
      <c r="B10123" s="1" t="n">
        <v>45618</v>
      </c>
      <c r="C10123" s="1" t="n">
        <v>45798</v>
      </c>
      <c r="D10123" t="inlineStr">
        <is>
          <t>NORRBOTTENS LÄN</t>
        </is>
      </c>
      <c r="E10123" t="inlineStr">
        <is>
          <t>ÄLVSBYN</t>
        </is>
      </c>
      <c r="G10123" t="n">
        <v>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55124-2024</t>
        </is>
      </c>
      <c r="B10124" s="1" t="n">
        <v>45618</v>
      </c>
      <c r="C10124" s="1" t="n">
        <v>45798</v>
      </c>
      <c r="D10124" t="inlineStr">
        <is>
          <t>NORRBOTTENS LÄN</t>
        </is>
      </c>
      <c r="E10124" t="inlineStr">
        <is>
          <t>ARJEPLOG</t>
        </is>
      </c>
      <c r="G10124" t="n">
        <v>18.3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54848-2024</t>
        </is>
      </c>
      <c r="B10125" s="1" t="n">
        <v>45618</v>
      </c>
      <c r="C10125" s="1" t="n">
        <v>45798</v>
      </c>
      <c r="D10125" t="inlineStr">
        <is>
          <t>NORRBOTTENS LÄN</t>
        </is>
      </c>
      <c r="E10125" t="inlineStr">
        <is>
          <t>ÄLVSBYN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54775-2024</t>
        </is>
      </c>
      <c r="B10126" s="1" t="n">
        <v>45618</v>
      </c>
      <c r="C10126" s="1" t="n">
        <v>45798</v>
      </c>
      <c r="D10126" t="inlineStr">
        <is>
          <t>NORRBOTTENS LÄN</t>
        </is>
      </c>
      <c r="E10126" t="inlineStr">
        <is>
          <t>PITEÅ</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54738-2024</t>
        </is>
      </c>
      <c r="B10127" s="1" t="n">
        <v>45618</v>
      </c>
      <c r="C10127" s="1" t="n">
        <v>45798</v>
      </c>
      <c r="D10127" t="inlineStr">
        <is>
          <t>NORRBOTTENS LÄN</t>
        </is>
      </c>
      <c r="E10127" t="inlineStr">
        <is>
          <t>LULEÅ</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54722-2024</t>
        </is>
      </c>
      <c r="B10128" s="1" t="n">
        <v>45618</v>
      </c>
      <c r="C10128" s="1" t="n">
        <v>45798</v>
      </c>
      <c r="D10128" t="inlineStr">
        <is>
          <t>NORRBOTTENS LÄN</t>
        </is>
      </c>
      <c r="E10128" t="inlineStr">
        <is>
          <t>BODEN</t>
        </is>
      </c>
      <c r="F10128" t="inlineStr">
        <is>
          <t>Naturvårdsverket</t>
        </is>
      </c>
      <c r="G10128" t="n">
        <v>12.9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54718-2024</t>
        </is>
      </c>
      <c r="B10129" s="1" t="n">
        <v>45618</v>
      </c>
      <c r="C10129" s="1" t="n">
        <v>45798</v>
      </c>
      <c r="D10129" t="inlineStr">
        <is>
          <t>NORRBOTTENS LÄN</t>
        </is>
      </c>
      <c r="E10129" t="inlineStr">
        <is>
          <t>BODEN</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54674-2024</t>
        </is>
      </c>
      <c r="B10130" s="1" t="n">
        <v>45618</v>
      </c>
      <c r="C10130" s="1" t="n">
        <v>45798</v>
      </c>
      <c r="D10130" t="inlineStr">
        <is>
          <t>NORRBOTTENS LÄN</t>
        </is>
      </c>
      <c r="E10130" t="inlineStr">
        <is>
          <t>JOKKMOKK</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54889-2024</t>
        </is>
      </c>
      <c r="B10131" s="1" t="n">
        <v>45618</v>
      </c>
      <c r="C10131" s="1" t="n">
        <v>45798</v>
      </c>
      <c r="D10131" t="inlineStr">
        <is>
          <t>NORRBOTTENS LÄN</t>
        </is>
      </c>
      <c r="E10131" t="inlineStr">
        <is>
          <t>ARVIDSJAUR</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54881-2024</t>
        </is>
      </c>
      <c r="B10132" s="1" t="n">
        <v>45618</v>
      </c>
      <c r="C10132" s="1" t="n">
        <v>45798</v>
      </c>
      <c r="D10132" t="inlineStr">
        <is>
          <t>NORRBOTTENS LÄN</t>
        </is>
      </c>
      <c r="E10132" t="inlineStr">
        <is>
          <t>ARVIDSJAUR</t>
        </is>
      </c>
      <c r="G10132" t="n">
        <v>22.7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54670-2024</t>
        </is>
      </c>
      <c r="B10133" s="1" t="n">
        <v>45618</v>
      </c>
      <c r="C10133" s="1" t="n">
        <v>45798</v>
      </c>
      <c r="D10133" t="inlineStr">
        <is>
          <t>NORRBOTTENS LÄN</t>
        </is>
      </c>
      <c r="E10133" t="inlineStr">
        <is>
          <t>JOKKMOKK</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54755-2024</t>
        </is>
      </c>
      <c r="B10134" s="1" t="n">
        <v>45618</v>
      </c>
      <c r="C10134" s="1" t="n">
        <v>45798</v>
      </c>
      <c r="D10134" t="inlineStr">
        <is>
          <t>NORRBOTTENS LÄN</t>
        </is>
      </c>
      <c r="E10134" t="inlineStr">
        <is>
          <t>PITEÅ</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54739-2024</t>
        </is>
      </c>
      <c r="B10135" s="1" t="n">
        <v>45618</v>
      </c>
      <c r="C10135" s="1" t="n">
        <v>45798</v>
      </c>
      <c r="D10135" t="inlineStr">
        <is>
          <t>NORRBOTTENS LÄN</t>
        </is>
      </c>
      <c r="E10135" t="inlineStr">
        <is>
          <t>LULEÅ</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54769-2024</t>
        </is>
      </c>
      <c r="B10136" s="1" t="n">
        <v>45618</v>
      </c>
      <c r="C10136" s="1" t="n">
        <v>45798</v>
      </c>
      <c r="D10136" t="inlineStr">
        <is>
          <t>NORRBOTTENS LÄN</t>
        </is>
      </c>
      <c r="E10136" t="inlineStr">
        <is>
          <t>LULEÅ</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54765-2024</t>
        </is>
      </c>
      <c r="B10137" s="1" t="n">
        <v>45618</v>
      </c>
      <c r="C10137" s="1" t="n">
        <v>45798</v>
      </c>
      <c r="D10137" t="inlineStr">
        <is>
          <t>NORRBOTTENS LÄN</t>
        </is>
      </c>
      <c r="E10137" t="inlineStr">
        <is>
          <t>BODEN</t>
        </is>
      </c>
      <c r="F10137" t="inlineStr">
        <is>
          <t>SCA</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54761-2024</t>
        </is>
      </c>
      <c r="B10138" s="1" t="n">
        <v>45618</v>
      </c>
      <c r="C10138" s="1" t="n">
        <v>45798</v>
      </c>
      <c r="D10138" t="inlineStr">
        <is>
          <t>NORRBOTTENS LÄN</t>
        </is>
      </c>
      <c r="E10138" t="inlineStr">
        <is>
          <t>PITEÅ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54740-2024</t>
        </is>
      </c>
      <c r="B10139" s="1" t="n">
        <v>45618</v>
      </c>
      <c r="C10139" s="1" t="n">
        <v>45798</v>
      </c>
      <c r="D10139" t="inlineStr">
        <is>
          <t>NORRBOTTENS LÄN</t>
        </is>
      </c>
      <c r="E10139" t="inlineStr">
        <is>
          <t>ÖVERKALIX</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54953-2024</t>
        </is>
      </c>
      <c r="B10140" s="1" t="n">
        <v>45619</v>
      </c>
      <c r="C10140" s="1" t="n">
        <v>45798</v>
      </c>
      <c r="D10140" t="inlineStr">
        <is>
          <t>NORRBOTTENS LÄN</t>
        </is>
      </c>
      <c r="E10140" t="inlineStr">
        <is>
          <t>JOKKMOKK</t>
        </is>
      </c>
      <c r="F10140" t="inlineStr">
        <is>
          <t>SCA</t>
        </is>
      </c>
      <c r="G10140" t="n">
        <v>17.5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54954-2024</t>
        </is>
      </c>
      <c r="B10141" s="1" t="n">
        <v>45619</v>
      </c>
      <c r="C10141" s="1" t="n">
        <v>45798</v>
      </c>
      <c r="D10141" t="inlineStr">
        <is>
          <t>NORRBOTTENS LÄN</t>
        </is>
      </c>
      <c r="E10141" t="inlineStr">
        <is>
          <t>JOKKMOKK</t>
        </is>
      </c>
      <c r="F10141" t="inlineStr">
        <is>
          <t>SCA</t>
        </is>
      </c>
      <c r="G10141" t="n">
        <v>17.1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54952-2024</t>
        </is>
      </c>
      <c r="B10142" s="1" t="n">
        <v>45619</v>
      </c>
      <c r="C10142" s="1" t="n">
        <v>45798</v>
      </c>
      <c r="D10142" t="inlineStr">
        <is>
          <t>NORRBOTTENS LÄN</t>
        </is>
      </c>
      <c r="E10142" t="inlineStr">
        <is>
          <t>JOKKMOKK</t>
        </is>
      </c>
      <c r="F10142" t="inlineStr">
        <is>
          <t>SCA</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54970-2024</t>
        </is>
      </c>
      <c r="B10143" s="1" t="n">
        <v>45620</v>
      </c>
      <c r="C10143" s="1" t="n">
        <v>45798</v>
      </c>
      <c r="D10143" t="inlineStr">
        <is>
          <t>NORRBOTTENS LÄN</t>
        </is>
      </c>
      <c r="E10143" t="inlineStr">
        <is>
          <t>PITEÅ</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55196-2024</t>
        </is>
      </c>
      <c r="B10144" s="1" t="n">
        <v>45621</v>
      </c>
      <c r="C10144" s="1" t="n">
        <v>45798</v>
      </c>
      <c r="D10144" t="inlineStr">
        <is>
          <t>NORRBOTTENS LÄN</t>
        </is>
      </c>
      <c r="E10144" t="inlineStr">
        <is>
          <t>ÖVERTORNEÅ</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55266-2024</t>
        </is>
      </c>
      <c r="B10145" s="1" t="n">
        <v>45621</v>
      </c>
      <c r="C10145" s="1" t="n">
        <v>45798</v>
      </c>
      <c r="D10145" t="inlineStr">
        <is>
          <t>NORRBOTTENS LÄN</t>
        </is>
      </c>
      <c r="E10145" t="inlineStr">
        <is>
          <t>ARJEPLOG</t>
        </is>
      </c>
      <c r="G10145" t="n">
        <v>11.3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55085-2024</t>
        </is>
      </c>
      <c r="B10146" s="1" t="n">
        <v>45621</v>
      </c>
      <c r="C10146" s="1" t="n">
        <v>45798</v>
      </c>
      <c r="D10146" t="inlineStr">
        <is>
          <t>NORRBOTTENS LÄN</t>
        </is>
      </c>
      <c r="E10146" t="inlineStr">
        <is>
          <t>ÖVERKALIX</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55089-2024</t>
        </is>
      </c>
      <c r="B10147" s="1" t="n">
        <v>45621</v>
      </c>
      <c r="C10147" s="1" t="n">
        <v>45798</v>
      </c>
      <c r="D10147" t="inlineStr">
        <is>
          <t>NORRBOTTENS LÄN</t>
        </is>
      </c>
      <c r="E10147" t="inlineStr">
        <is>
          <t>ÖVERKALIX</t>
        </is>
      </c>
      <c r="G10147" t="n">
        <v>12.3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55329-2024</t>
        </is>
      </c>
      <c r="B10148" s="1" t="n">
        <v>45621</v>
      </c>
      <c r="C10148" s="1" t="n">
        <v>45798</v>
      </c>
      <c r="D10148" t="inlineStr">
        <is>
          <t>NORRBOTTENS LÄN</t>
        </is>
      </c>
      <c r="E10148" t="inlineStr">
        <is>
          <t>ÖVERKALIX</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55060-2024</t>
        </is>
      </c>
      <c r="B10149" s="1" t="n">
        <v>45621</v>
      </c>
      <c r="C10149" s="1" t="n">
        <v>45798</v>
      </c>
      <c r="D10149" t="inlineStr">
        <is>
          <t>NORRBOTTENS LÄN</t>
        </is>
      </c>
      <c r="E10149" t="inlineStr">
        <is>
          <t>HAPARANDA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55076-2024</t>
        </is>
      </c>
      <c r="B10150" s="1" t="n">
        <v>45621</v>
      </c>
      <c r="C10150" s="1" t="n">
        <v>45798</v>
      </c>
      <c r="D10150" t="inlineStr">
        <is>
          <t>NORRBOTTENS LÄN</t>
        </is>
      </c>
      <c r="E10150" t="inlineStr">
        <is>
          <t>LULEÅ</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55225-2024</t>
        </is>
      </c>
      <c r="B10151" s="1" t="n">
        <v>45621</v>
      </c>
      <c r="C10151" s="1" t="n">
        <v>45798</v>
      </c>
      <c r="D10151" t="inlineStr">
        <is>
          <t>NORRBOTTENS LÄN</t>
        </is>
      </c>
      <c r="E10151" t="inlineStr">
        <is>
          <t>ÄLVSBYN</t>
        </is>
      </c>
      <c r="F10151" t="inlineStr">
        <is>
          <t>Kommuner</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55330-2024</t>
        </is>
      </c>
      <c r="B10152" s="1" t="n">
        <v>45621</v>
      </c>
      <c r="C10152" s="1" t="n">
        <v>45798</v>
      </c>
      <c r="D10152" t="inlineStr">
        <is>
          <t>NORRBOTTENS LÄN</t>
        </is>
      </c>
      <c r="E10152" t="inlineStr">
        <is>
          <t>ÖVERKALIX</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55343-2024</t>
        </is>
      </c>
      <c r="B10153" s="1" t="n">
        <v>45621</v>
      </c>
      <c r="C10153" s="1" t="n">
        <v>45798</v>
      </c>
      <c r="D10153" t="inlineStr">
        <is>
          <t>NORRBOTTENS LÄN</t>
        </is>
      </c>
      <c r="E10153" t="inlineStr">
        <is>
          <t>PAJALA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55078-2024</t>
        </is>
      </c>
      <c r="B10154" s="1" t="n">
        <v>45621</v>
      </c>
      <c r="C10154" s="1" t="n">
        <v>45798</v>
      </c>
      <c r="D10154" t="inlineStr">
        <is>
          <t>NORRBOTTENS LÄN</t>
        </is>
      </c>
      <c r="E10154" t="inlineStr">
        <is>
          <t>ÄLVSBYN</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55094-2024</t>
        </is>
      </c>
      <c r="B10155" s="1" t="n">
        <v>45621</v>
      </c>
      <c r="C10155" s="1" t="n">
        <v>45798</v>
      </c>
      <c r="D10155" t="inlineStr">
        <is>
          <t>NORRBOTTENS LÄN</t>
        </is>
      </c>
      <c r="E10155" t="inlineStr">
        <is>
          <t>ÖVERKALIX</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55164-2024</t>
        </is>
      </c>
      <c r="B10156" s="1" t="n">
        <v>45621</v>
      </c>
      <c r="C10156" s="1" t="n">
        <v>45798</v>
      </c>
      <c r="D10156" t="inlineStr">
        <is>
          <t>NORRBOTTENS LÄN</t>
        </is>
      </c>
      <c r="E10156" t="inlineStr">
        <is>
          <t>ARVIDSJAUR</t>
        </is>
      </c>
      <c r="G10156" t="n">
        <v>21.1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55181-2024</t>
        </is>
      </c>
      <c r="B10157" s="1" t="n">
        <v>45621</v>
      </c>
      <c r="C10157" s="1" t="n">
        <v>45798</v>
      </c>
      <c r="D10157" t="inlineStr">
        <is>
          <t>NORRBOTTENS LÄN</t>
        </is>
      </c>
      <c r="E10157" t="inlineStr">
        <is>
          <t>ÄLVSBYN</t>
        </is>
      </c>
      <c r="F10157" t="inlineStr">
        <is>
          <t>Kommuner</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55227-2024</t>
        </is>
      </c>
      <c r="B10158" s="1" t="n">
        <v>45621</v>
      </c>
      <c r="C10158" s="1" t="n">
        <v>45798</v>
      </c>
      <c r="D10158" t="inlineStr">
        <is>
          <t>NORRBOTTENS LÄN</t>
        </is>
      </c>
      <c r="E10158" t="inlineStr">
        <is>
          <t>ÖVERKALIX</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55083-2024</t>
        </is>
      </c>
      <c r="B10159" s="1" t="n">
        <v>45621</v>
      </c>
      <c r="C10159" s="1" t="n">
        <v>45798</v>
      </c>
      <c r="D10159" t="inlineStr">
        <is>
          <t>NORRBOTTENS LÄN</t>
        </is>
      </c>
      <c r="E10159" t="inlineStr">
        <is>
          <t>LULEÅ</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55226-2024</t>
        </is>
      </c>
      <c r="B10160" s="1" t="n">
        <v>45621</v>
      </c>
      <c r="C10160" s="1" t="n">
        <v>45798</v>
      </c>
      <c r="D10160" t="inlineStr">
        <is>
          <t>NORRBOTTENS LÄN</t>
        </is>
      </c>
      <c r="E10160" t="inlineStr">
        <is>
          <t>ÖVERKALIX</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55245-2024</t>
        </is>
      </c>
      <c r="B10161" s="1" t="n">
        <v>45621</v>
      </c>
      <c r="C10161" s="1" t="n">
        <v>45798</v>
      </c>
      <c r="D10161" t="inlineStr">
        <is>
          <t>NORRBOTTENS LÄN</t>
        </is>
      </c>
      <c r="E10161" t="inlineStr">
        <is>
          <t>ÖVERTORNEÅ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55259-2024</t>
        </is>
      </c>
      <c r="B10162" s="1" t="n">
        <v>45621</v>
      </c>
      <c r="C10162" s="1" t="n">
        <v>45798</v>
      </c>
      <c r="D10162" t="inlineStr">
        <is>
          <t>NORRBOTTENS LÄN</t>
        </is>
      </c>
      <c r="E10162" t="inlineStr">
        <is>
          <t>GÄLLIVARE</t>
        </is>
      </c>
      <c r="G10162" t="n">
        <v>17.9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55292-2024</t>
        </is>
      </c>
      <c r="B10163" s="1" t="n">
        <v>45621</v>
      </c>
      <c r="C10163" s="1" t="n">
        <v>45798</v>
      </c>
      <c r="D10163" t="inlineStr">
        <is>
          <t>NORRBOTTENS LÄN</t>
        </is>
      </c>
      <c r="E10163" t="inlineStr">
        <is>
          <t>GÄLLIVARE</t>
        </is>
      </c>
      <c r="F10163" t="inlineStr">
        <is>
          <t>Sveaskog</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55388-2024</t>
        </is>
      </c>
      <c r="B10164" s="1" t="n">
        <v>45622</v>
      </c>
      <c r="C10164" s="1" t="n">
        <v>45798</v>
      </c>
      <c r="D10164" t="inlineStr">
        <is>
          <t>NORRBOTTENS LÄN</t>
        </is>
      </c>
      <c r="E10164" t="inlineStr">
        <is>
          <t>PITEÅ</t>
        </is>
      </c>
      <c r="F10164" t="inlineStr">
        <is>
          <t>Sveaskog</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55396-2024</t>
        </is>
      </c>
      <c r="B10165" s="1" t="n">
        <v>45622</v>
      </c>
      <c r="C10165" s="1" t="n">
        <v>45798</v>
      </c>
      <c r="D10165" t="inlineStr">
        <is>
          <t>NORRBOTTENS LÄN</t>
        </is>
      </c>
      <c r="E10165" t="inlineStr">
        <is>
          <t>PITEÅ</t>
        </is>
      </c>
      <c r="F10165" t="inlineStr">
        <is>
          <t>Sveaskog</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55413-2024</t>
        </is>
      </c>
      <c r="B10166" s="1" t="n">
        <v>45622</v>
      </c>
      <c r="C10166" s="1" t="n">
        <v>45798</v>
      </c>
      <c r="D10166" t="inlineStr">
        <is>
          <t>NORRBOTTENS LÄN</t>
        </is>
      </c>
      <c r="E10166" t="inlineStr">
        <is>
          <t>GÄLLIVARE</t>
        </is>
      </c>
      <c r="F10166" t="inlineStr">
        <is>
          <t>Sveaskog</t>
        </is>
      </c>
      <c r="G10166" t="n">
        <v>40.9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55455-2024</t>
        </is>
      </c>
      <c r="B10167" s="1" t="n">
        <v>45622</v>
      </c>
      <c r="C10167" s="1" t="n">
        <v>45798</v>
      </c>
      <c r="D10167" t="inlineStr">
        <is>
          <t>NORRBOTTENS LÄN</t>
        </is>
      </c>
      <c r="E10167" t="inlineStr">
        <is>
          <t>ÖVERTORNEÅ</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55491-2024</t>
        </is>
      </c>
      <c r="B10168" s="1" t="n">
        <v>45622</v>
      </c>
      <c r="C10168" s="1" t="n">
        <v>45798</v>
      </c>
      <c r="D10168" t="inlineStr">
        <is>
          <t>NORRBOTTENS LÄN</t>
        </is>
      </c>
      <c r="E10168" t="inlineStr">
        <is>
          <t>JOKKMOKK</t>
        </is>
      </c>
      <c r="F10168" t="inlineStr">
        <is>
          <t>Allmännings- och besparingsskogar</t>
        </is>
      </c>
      <c r="G10168" t="n">
        <v>25.2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55515-2024</t>
        </is>
      </c>
      <c r="B10169" s="1" t="n">
        <v>45622</v>
      </c>
      <c r="C10169" s="1" t="n">
        <v>45798</v>
      </c>
      <c r="D10169" t="inlineStr">
        <is>
          <t>NORRBOTTENS LÄN</t>
        </is>
      </c>
      <c r="E10169" t="inlineStr">
        <is>
          <t>PITEÅ</t>
        </is>
      </c>
      <c r="G10169" t="n">
        <v>8.9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55539-2024</t>
        </is>
      </c>
      <c r="B10170" s="1" t="n">
        <v>45622</v>
      </c>
      <c r="C10170" s="1" t="n">
        <v>45798</v>
      </c>
      <c r="D10170" t="inlineStr">
        <is>
          <t>NORRBOTTENS LÄN</t>
        </is>
      </c>
      <c r="E10170" t="inlineStr">
        <is>
          <t>KALIX</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55559-2024</t>
        </is>
      </c>
      <c r="B10171" s="1" t="n">
        <v>45622</v>
      </c>
      <c r="C10171" s="1" t="n">
        <v>45798</v>
      </c>
      <c r="D10171" t="inlineStr">
        <is>
          <t>NORRBOTTENS LÄN</t>
        </is>
      </c>
      <c r="E10171" t="inlineStr">
        <is>
          <t>ÖVERTORNEÅ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55381-2024</t>
        </is>
      </c>
      <c r="B10172" s="1" t="n">
        <v>45622</v>
      </c>
      <c r="C10172" s="1" t="n">
        <v>45798</v>
      </c>
      <c r="D10172" t="inlineStr">
        <is>
          <t>NORRBOTTENS LÄN</t>
        </is>
      </c>
      <c r="E10172" t="inlineStr">
        <is>
          <t>GÄLLIVARE</t>
        </is>
      </c>
      <c r="F10172" t="inlineStr">
        <is>
          <t>Sveaskog</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55648-2024</t>
        </is>
      </c>
      <c r="B10173" s="1" t="n">
        <v>45622</v>
      </c>
      <c r="C10173" s="1" t="n">
        <v>45798</v>
      </c>
      <c r="D10173" t="inlineStr">
        <is>
          <t>NORRBOTTENS LÄN</t>
        </is>
      </c>
      <c r="E10173" t="inlineStr">
        <is>
          <t>LULEÅ</t>
        </is>
      </c>
      <c r="F10173" t="inlineStr">
        <is>
          <t>Övriga Aktiebolag</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55674-2024</t>
        </is>
      </c>
      <c r="B10174" s="1" t="n">
        <v>45622</v>
      </c>
      <c r="C10174" s="1" t="n">
        <v>45798</v>
      </c>
      <c r="D10174" t="inlineStr">
        <is>
          <t>NORRBOTTENS LÄN</t>
        </is>
      </c>
      <c r="E10174" t="inlineStr">
        <is>
          <t>ARVIDSJAUR</t>
        </is>
      </c>
      <c r="F10174" t="inlineStr">
        <is>
          <t>Sveaskog</t>
        </is>
      </c>
      <c r="G10174" t="n">
        <v>13.6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55552-2024</t>
        </is>
      </c>
      <c r="B10175" s="1" t="n">
        <v>45622</v>
      </c>
      <c r="C10175" s="1" t="n">
        <v>45798</v>
      </c>
      <c r="D10175" t="inlineStr">
        <is>
          <t>NORRBOTTENS LÄN</t>
        </is>
      </c>
      <c r="E10175" t="inlineStr">
        <is>
          <t>ÄLVSBYN</t>
        </is>
      </c>
      <c r="F10175" t="inlineStr">
        <is>
          <t>Övriga Aktiebolag</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55556-2024</t>
        </is>
      </c>
      <c r="B10176" s="1" t="n">
        <v>45622</v>
      </c>
      <c r="C10176" s="1" t="n">
        <v>45798</v>
      </c>
      <c r="D10176" t="inlineStr">
        <is>
          <t>NORRBOTTENS LÄN</t>
        </is>
      </c>
      <c r="E10176" t="inlineStr">
        <is>
          <t>ÖVERTORNEÅ</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55564-2024</t>
        </is>
      </c>
      <c r="B10177" s="1" t="n">
        <v>45622</v>
      </c>
      <c r="C10177" s="1" t="n">
        <v>45798</v>
      </c>
      <c r="D10177" t="inlineStr">
        <is>
          <t>NORRBOTTENS LÄN</t>
        </is>
      </c>
      <c r="E10177" t="inlineStr">
        <is>
          <t>KALIX</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55583-2024</t>
        </is>
      </c>
      <c r="B10178" s="1" t="n">
        <v>45622</v>
      </c>
      <c r="C10178" s="1" t="n">
        <v>45798</v>
      </c>
      <c r="D10178" t="inlineStr">
        <is>
          <t>NORRBOTTENS LÄN</t>
        </is>
      </c>
      <c r="E10178" t="inlineStr">
        <is>
          <t>GÄLLIVARE</t>
        </is>
      </c>
      <c r="F10178" t="inlineStr">
        <is>
          <t>Sveaskog</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55635-2024</t>
        </is>
      </c>
      <c r="B10179" s="1" t="n">
        <v>45622</v>
      </c>
      <c r="C10179" s="1" t="n">
        <v>45798</v>
      </c>
      <c r="D10179" t="inlineStr">
        <is>
          <t>NORRBOTTENS LÄN</t>
        </is>
      </c>
      <c r="E10179" t="inlineStr">
        <is>
          <t>JOKKMOKK</t>
        </is>
      </c>
      <c r="F10179" t="inlineStr">
        <is>
          <t>Allmännings- och besparingsskogar</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55720-2024</t>
        </is>
      </c>
      <c r="B10180" s="1" t="n">
        <v>45622</v>
      </c>
      <c r="C10180" s="1" t="n">
        <v>45798</v>
      </c>
      <c r="D10180" t="inlineStr">
        <is>
          <t>NORRBOTTENS LÄN</t>
        </is>
      </c>
      <c r="E10180" t="inlineStr">
        <is>
          <t>LULEÅ</t>
        </is>
      </c>
      <c r="G10180" t="n">
        <v>11.6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55853-2024</t>
        </is>
      </c>
      <c r="B10181" s="1" t="n">
        <v>45622</v>
      </c>
      <c r="C10181" s="1" t="n">
        <v>45798</v>
      </c>
      <c r="D10181" t="inlineStr">
        <is>
          <t>NORRBOTTENS LÄN</t>
        </is>
      </c>
      <c r="E10181" t="inlineStr">
        <is>
          <t>ÖVERKALIX</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55938-2024</t>
        </is>
      </c>
      <c r="B10182" s="1" t="n">
        <v>45622</v>
      </c>
      <c r="C10182" s="1" t="n">
        <v>45798</v>
      </c>
      <c r="D10182" t="inlineStr">
        <is>
          <t>NORRBOTTENS LÄN</t>
        </is>
      </c>
      <c r="E10182" t="inlineStr">
        <is>
          <t>ARVIDSJAUR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55838-2024</t>
        </is>
      </c>
      <c r="B10183" s="1" t="n">
        <v>45622</v>
      </c>
      <c r="C10183" s="1" t="n">
        <v>45798</v>
      </c>
      <c r="D10183" t="inlineStr">
        <is>
          <t>NORRBOTTENS LÄN</t>
        </is>
      </c>
      <c r="E10183" t="inlineStr">
        <is>
          <t>ÖVERKALIX</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55917-2024</t>
        </is>
      </c>
      <c r="B10184" s="1" t="n">
        <v>45622</v>
      </c>
      <c r="C10184" s="1" t="n">
        <v>45798</v>
      </c>
      <c r="D10184" t="inlineStr">
        <is>
          <t>NORRBOTTENS LÄN</t>
        </is>
      </c>
      <c r="E10184" t="inlineStr">
        <is>
          <t>ARVIDSJAUR</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55545-2024</t>
        </is>
      </c>
      <c r="B10185" s="1" t="n">
        <v>45622</v>
      </c>
      <c r="C10185" s="1" t="n">
        <v>45798</v>
      </c>
      <c r="D10185" t="inlineStr">
        <is>
          <t>NORRBOTTENS LÄN</t>
        </is>
      </c>
      <c r="E10185" t="inlineStr">
        <is>
          <t>ÖVERTORNEÅ</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55857-2024</t>
        </is>
      </c>
      <c r="B10186" s="1" t="n">
        <v>45622</v>
      </c>
      <c r="C10186" s="1" t="n">
        <v>45798</v>
      </c>
      <c r="D10186" t="inlineStr">
        <is>
          <t>NORRBOTTENS LÄN</t>
        </is>
      </c>
      <c r="E10186" t="inlineStr">
        <is>
          <t>ÖVERKALIX</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55774-2024</t>
        </is>
      </c>
      <c r="B10187" s="1" t="n">
        <v>45623</v>
      </c>
      <c r="C10187" s="1" t="n">
        <v>45798</v>
      </c>
      <c r="D10187" t="inlineStr">
        <is>
          <t>NORRBOTTENS LÄN</t>
        </is>
      </c>
      <c r="E10187" t="inlineStr">
        <is>
          <t>PAJALA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55779-2024</t>
        </is>
      </c>
      <c r="B10188" s="1" t="n">
        <v>45623</v>
      </c>
      <c r="C10188" s="1" t="n">
        <v>45798</v>
      </c>
      <c r="D10188" t="inlineStr">
        <is>
          <t>NORRBOTTENS LÄN</t>
        </is>
      </c>
      <c r="E10188" t="inlineStr">
        <is>
          <t>BODEN</t>
        </is>
      </c>
      <c r="G10188" t="n">
        <v>11.7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55755-2024</t>
        </is>
      </c>
      <c r="B10189" s="1" t="n">
        <v>45623</v>
      </c>
      <c r="C10189" s="1" t="n">
        <v>45798</v>
      </c>
      <c r="D10189" t="inlineStr">
        <is>
          <t>NORRBOTTENS LÄN</t>
        </is>
      </c>
      <c r="E10189" t="inlineStr">
        <is>
          <t>GÄLLIVARE</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55776-2024</t>
        </is>
      </c>
      <c r="B10190" s="1" t="n">
        <v>45623</v>
      </c>
      <c r="C10190" s="1" t="n">
        <v>45798</v>
      </c>
      <c r="D10190" t="inlineStr">
        <is>
          <t>NORRBOTTENS LÄN</t>
        </is>
      </c>
      <c r="E10190" t="inlineStr">
        <is>
          <t>PAJALA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55744-2024</t>
        </is>
      </c>
      <c r="B10191" s="1" t="n">
        <v>45623</v>
      </c>
      <c r="C10191" s="1" t="n">
        <v>45798</v>
      </c>
      <c r="D10191" t="inlineStr">
        <is>
          <t>NORRBOTTENS LÄN</t>
        </is>
      </c>
      <c r="E10191" t="inlineStr">
        <is>
          <t>KALIX</t>
        </is>
      </c>
      <c r="F10191" t="inlineStr">
        <is>
          <t>Sveaskog</t>
        </is>
      </c>
      <c r="G10191" t="n">
        <v>48.3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55798-2024</t>
        </is>
      </c>
      <c r="B10192" s="1" t="n">
        <v>45623</v>
      </c>
      <c r="C10192" s="1" t="n">
        <v>45798</v>
      </c>
      <c r="D10192" t="inlineStr">
        <is>
          <t>NORRBOTTENS LÄN</t>
        </is>
      </c>
      <c r="E10192" t="inlineStr">
        <is>
          <t>ÄLVSBYN</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55928-2024</t>
        </is>
      </c>
      <c r="B10193" s="1" t="n">
        <v>45623</v>
      </c>
      <c r="C10193" s="1" t="n">
        <v>45798</v>
      </c>
      <c r="D10193" t="inlineStr">
        <is>
          <t>NORRBOTTENS LÄN</t>
        </is>
      </c>
      <c r="E10193" t="inlineStr">
        <is>
          <t>PAJALA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55949-2024</t>
        </is>
      </c>
      <c r="B10194" s="1" t="n">
        <v>45623</v>
      </c>
      <c r="C10194" s="1" t="n">
        <v>45798</v>
      </c>
      <c r="D10194" t="inlineStr">
        <is>
          <t>NORRBOTTENS LÄN</t>
        </is>
      </c>
      <c r="E10194" t="inlineStr">
        <is>
          <t>PAJALA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55960-2024</t>
        </is>
      </c>
      <c r="B10195" s="1" t="n">
        <v>45623</v>
      </c>
      <c r="C10195" s="1" t="n">
        <v>45798</v>
      </c>
      <c r="D10195" t="inlineStr">
        <is>
          <t>NORRBOTTENS LÄN</t>
        </is>
      </c>
      <c r="E10195" t="inlineStr">
        <is>
          <t>ÄLVSBYN</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56300-2024</t>
        </is>
      </c>
      <c r="B10196" s="1" t="n">
        <v>45624</v>
      </c>
      <c r="C10196" s="1" t="n">
        <v>45798</v>
      </c>
      <c r="D10196" t="inlineStr">
        <is>
          <t>NORRBOTTENS LÄN</t>
        </is>
      </c>
      <c r="E10196" t="inlineStr">
        <is>
          <t>PAJALA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56103-2024</t>
        </is>
      </c>
      <c r="B10197" s="1" t="n">
        <v>45624</v>
      </c>
      <c r="C10197" s="1" t="n">
        <v>45798</v>
      </c>
      <c r="D10197" t="inlineStr">
        <is>
          <t>NORRBOTTENS LÄN</t>
        </is>
      </c>
      <c r="E10197" t="inlineStr">
        <is>
          <t>ARVIDSJAUR</t>
        </is>
      </c>
      <c r="F10197" t="inlineStr">
        <is>
          <t>Sveaskog</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56230-2024</t>
        </is>
      </c>
      <c r="B10198" s="1" t="n">
        <v>45624</v>
      </c>
      <c r="C10198" s="1" t="n">
        <v>45798</v>
      </c>
      <c r="D10198" t="inlineStr">
        <is>
          <t>NORRBOTTENS LÄN</t>
        </is>
      </c>
      <c r="E10198" t="inlineStr">
        <is>
          <t>ÄLVSBYN</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56139-2024</t>
        </is>
      </c>
      <c r="B10199" s="1" t="n">
        <v>45624</v>
      </c>
      <c r="C10199" s="1" t="n">
        <v>45798</v>
      </c>
      <c r="D10199" t="inlineStr">
        <is>
          <t>NORRBOTTENS LÄN</t>
        </is>
      </c>
      <c r="E10199" t="inlineStr">
        <is>
          <t>BODEN</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56245-2024</t>
        </is>
      </c>
      <c r="B10200" s="1" t="n">
        <v>45624</v>
      </c>
      <c r="C10200" s="1" t="n">
        <v>45798</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56418-2024</t>
        </is>
      </c>
      <c r="B10201" s="1" t="n">
        <v>45625</v>
      </c>
      <c r="C10201" s="1" t="n">
        <v>45798</v>
      </c>
      <c r="D10201" t="inlineStr">
        <is>
          <t>NORRBOTTENS LÄN</t>
        </is>
      </c>
      <c r="E10201" t="inlineStr">
        <is>
          <t>PITEÅ</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56538-2024</t>
        </is>
      </c>
      <c r="B10202" s="1" t="n">
        <v>45625</v>
      </c>
      <c r="C10202" s="1" t="n">
        <v>45798</v>
      </c>
      <c r="D10202" t="inlineStr">
        <is>
          <t>NORRBOTTENS LÄN</t>
        </is>
      </c>
      <c r="E10202" t="inlineStr">
        <is>
          <t>ÖVERTORNEÅ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56628-2024</t>
        </is>
      </c>
      <c r="B10203" s="1" t="n">
        <v>45625</v>
      </c>
      <c r="C10203" s="1" t="n">
        <v>45798</v>
      </c>
      <c r="D10203" t="inlineStr">
        <is>
          <t>NORRBOTTENS LÄN</t>
        </is>
      </c>
      <c r="E10203" t="inlineStr">
        <is>
          <t>ARVIDSJAUR</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56457-2024</t>
        </is>
      </c>
      <c r="B10204" s="1" t="n">
        <v>45625</v>
      </c>
      <c r="C10204" s="1" t="n">
        <v>45798</v>
      </c>
      <c r="D10204" t="inlineStr">
        <is>
          <t>NORRBOTTENS LÄN</t>
        </is>
      </c>
      <c r="E10204" t="inlineStr">
        <is>
          <t>BODEN</t>
        </is>
      </c>
      <c r="F10204" t="inlineStr">
        <is>
          <t>SCA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56545-2024</t>
        </is>
      </c>
      <c r="B10205" s="1" t="n">
        <v>45625</v>
      </c>
      <c r="C10205" s="1" t="n">
        <v>45798</v>
      </c>
      <c r="D10205" t="inlineStr">
        <is>
          <t>NORRBOTTENS LÄN</t>
        </is>
      </c>
      <c r="E10205" t="inlineStr">
        <is>
          <t>ÖVERTORNEÅ</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56581-2024</t>
        </is>
      </c>
      <c r="B10206" s="1" t="n">
        <v>45625</v>
      </c>
      <c r="C10206" s="1" t="n">
        <v>45798</v>
      </c>
      <c r="D10206" t="inlineStr">
        <is>
          <t>NORRBOTTENS LÄN</t>
        </is>
      </c>
      <c r="E10206" t="inlineStr">
        <is>
          <t>BODEN</t>
        </is>
      </c>
      <c r="G10206" t="n">
        <v>10.7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56794-2024</t>
        </is>
      </c>
      <c r="B10207" s="1" t="n">
        <v>45625</v>
      </c>
      <c r="C10207" s="1" t="n">
        <v>45798</v>
      </c>
      <c r="D10207" t="inlineStr">
        <is>
          <t>NORRBOTTENS LÄN</t>
        </is>
      </c>
      <c r="E10207" t="inlineStr">
        <is>
          <t>ARJEPLOG</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56495-2024</t>
        </is>
      </c>
      <c r="B10208" s="1" t="n">
        <v>45625</v>
      </c>
      <c r="C10208" s="1" t="n">
        <v>45798</v>
      </c>
      <c r="D10208" t="inlineStr">
        <is>
          <t>NORRBOTTENS LÄN</t>
        </is>
      </c>
      <c r="E10208" t="inlineStr">
        <is>
          <t>ARVIDSJAUR</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56544-2024</t>
        </is>
      </c>
      <c r="B10209" s="1" t="n">
        <v>45625</v>
      </c>
      <c r="C10209" s="1" t="n">
        <v>45798</v>
      </c>
      <c r="D10209" t="inlineStr">
        <is>
          <t>NORRBOTTENS LÄN</t>
        </is>
      </c>
      <c r="E10209" t="inlineStr">
        <is>
          <t>ÖVERTORNEÅ</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56527-2024</t>
        </is>
      </c>
      <c r="B10210" s="1" t="n">
        <v>45625</v>
      </c>
      <c r="C10210" s="1" t="n">
        <v>45798</v>
      </c>
      <c r="D10210" t="inlineStr">
        <is>
          <t>NORRBOTTENS LÄN</t>
        </is>
      </c>
      <c r="E10210" t="inlineStr">
        <is>
          <t>ÖVERTORNEÅ</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56800-2024</t>
        </is>
      </c>
      <c r="B10211" s="1" t="n">
        <v>45625</v>
      </c>
      <c r="C10211" s="1" t="n">
        <v>45798</v>
      </c>
      <c r="D10211" t="inlineStr">
        <is>
          <t>NORRBOTTENS LÄN</t>
        </is>
      </c>
      <c r="E10211" t="inlineStr">
        <is>
          <t>ARJEPLOG</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56782-2024</t>
        </is>
      </c>
      <c r="B10212" s="1" t="n">
        <v>45625</v>
      </c>
      <c r="C10212" s="1" t="n">
        <v>45798</v>
      </c>
      <c r="D10212" t="inlineStr">
        <is>
          <t>NORRBOTTENS LÄN</t>
        </is>
      </c>
      <c r="E10212" t="inlineStr">
        <is>
          <t>ARJEPLOG</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56754-2024</t>
        </is>
      </c>
      <c r="B10213" s="1" t="n">
        <v>45625</v>
      </c>
      <c r="C10213" s="1" t="n">
        <v>45798</v>
      </c>
      <c r="D10213" t="inlineStr">
        <is>
          <t>NORRBOTTENS LÄN</t>
        </is>
      </c>
      <c r="E10213" t="inlineStr">
        <is>
          <t>ARJEPLOG</t>
        </is>
      </c>
      <c r="G10213" t="n">
        <v>11.5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56707-2024</t>
        </is>
      </c>
      <c r="B10214" s="1" t="n">
        <v>45627</v>
      </c>
      <c r="C10214" s="1" t="n">
        <v>45798</v>
      </c>
      <c r="D10214" t="inlineStr">
        <is>
          <t>NORRBOTTENS LÄN</t>
        </is>
      </c>
      <c r="E10214" t="inlineStr">
        <is>
          <t>PITEÅ</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56711-2024</t>
        </is>
      </c>
      <c r="B10215" s="1" t="n">
        <v>45628</v>
      </c>
      <c r="C10215" s="1" t="n">
        <v>45798</v>
      </c>
      <c r="D10215" t="inlineStr">
        <is>
          <t>NORRBOTTENS LÄN</t>
        </is>
      </c>
      <c r="E10215" t="inlineStr">
        <is>
          <t>BODEN</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56796-2024</t>
        </is>
      </c>
      <c r="B10216" s="1" t="n">
        <v>45628</v>
      </c>
      <c r="C10216" s="1" t="n">
        <v>45798</v>
      </c>
      <c r="D10216" t="inlineStr">
        <is>
          <t>NORRBOTTENS LÄN</t>
        </is>
      </c>
      <c r="E10216" t="inlineStr">
        <is>
          <t>LULEÅ</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56734-2024</t>
        </is>
      </c>
      <c r="B10217" s="1" t="n">
        <v>45628</v>
      </c>
      <c r="C10217" s="1" t="n">
        <v>45798</v>
      </c>
      <c r="D10217" t="inlineStr">
        <is>
          <t>NORRBOTTENS LÄN</t>
        </is>
      </c>
      <c r="E10217" t="inlineStr">
        <is>
          <t>ÖVERTORNEÅ</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56951-2024</t>
        </is>
      </c>
      <c r="B10218" s="1" t="n">
        <v>45628</v>
      </c>
      <c r="C10218" s="1" t="n">
        <v>45798</v>
      </c>
      <c r="D10218" t="inlineStr">
        <is>
          <t>NORRBOTTENS LÄN</t>
        </is>
      </c>
      <c r="E10218" t="inlineStr">
        <is>
          <t>ÄLVSBYN</t>
        </is>
      </c>
      <c r="F10218" t="inlineStr">
        <is>
          <t>Övriga Aktiebolag</t>
        </is>
      </c>
      <c r="G10218" t="n">
        <v>23.8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56980-2024</t>
        </is>
      </c>
      <c r="B10219" s="1" t="n">
        <v>45628</v>
      </c>
      <c r="C10219" s="1" t="n">
        <v>45798</v>
      </c>
      <c r="D10219" t="inlineStr">
        <is>
          <t>NORRBOTTENS LÄN</t>
        </is>
      </c>
      <c r="E10219" t="inlineStr">
        <is>
          <t>ARVIDSJAUR</t>
        </is>
      </c>
      <c r="F10219" t="inlineStr">
        <is>
          <t>Övriga Aktiebolag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56975-2024</t>
        </is>
      </c>
      <c r="B10220" s="1" t="n">
        <v>45628</v>
      </c>
      <c r="C10220" s="1" t="n">
        <v>45798</v>
      </c>
      <c r="D10220" t="inlineStr">
        <is>
          <t>NORRBOTTENS LÄN</t>
        </is>
      </c>
      <c r="E10220" t="inlineStr">
        <is>
          <t>HAPARANDA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57062-2024</t>
        </is>
      </c>
      <c r="B10221" s="1" t="n">
        <v>45629</v>
      </c>
      <c r="C10221" s="1" t="n">
        <v>45798</v>
      </c>
      <c r="D10221" t="inlineStr">
        <is>
          <t>NORRBOTTENS LÄN</t>
        </is>
      </c>
      <c r="E10221" t="inlineStr">
        <is>
          <t>BODEN</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57138-2024</t>
        </is>
      </c>
      <c r="B10222" s="1" t="n">
        <v>45629</v>
      </c>
      <c r="C10222" s="1" t="n">
        <v>45798</v>
      </c>
      <c r="D10222" t="inlineStr">
        <is>
          <t>NORRBOTTENS LÄN</t>
        </is>
      </c>
      <c r="E10222" t="inlineStr">
        <is>
          <t>ÄLVSBYN</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57117-2024</t>
        </is>
      </c>
      <c r="B10223" s="1" t="n">
        <v>45629</v>
      </c>
      <c r="C10223" s="1" t="n">
        <v>45798</v>
      </c>
      <c r="D10223" t="inlineStr">
        <is>
          <t>NORRBOTTENS LÄN</t>
        </is>
      </c>
      <c r="E10223" t="inlineStr">
        <is>
          <t>KALIX</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57319-2024</t>
        </is>
      </c>
      <c r="B10224" s="1" t="n">
        <v>45629</v>
      </c>
      <c r="C10224" s="1" t="n">
        <v>45798</v>
      </c>
      <c r="D10224" t="inlineStr">
        <is>
          <t>NORRBOTTENS LÄN</t>
        </is>
      </c>
      <c r="E10224" t="inlineStr">
        <is>
          <t>KALIX</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57327-2024</t>
        </is>
      </c>
      <c r="B10225" s="1" t="n">
        <v>45629</v>
      </c>
      <c r="C10225" s="1" t="n">
        <v>45798</v>
      </c>
      <c r="D10225" t="inlineStr">
        <is>
          <t>NORRBOTTENS LÄN</t>
        </is>
      </c>
      <c r="E10225" t="inlineStr">
        <is>
          <t>LULEÅ</t>
        </is>
      </c>
      <c r="F10225" t="inlineStr">
        <is>
          <t>Övriga Aktiebolag</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57371-2024</t>
        </is>
      </c>
      <c r="B10226" s="1" t="n">
        <v>45629</v>
      </c>
      <c r="C10226" s="1" t="n">
        <v>45798</v>
      </c>
      <c r="D10226" t="inlineStr">
        <is>
          <t>NORRBOTTENS LÄN</t>
        </is>
      </c>
      <c r="E10226" t="inlineStr">
        <is>
          <t>JOKKMOKK</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57111-2024</t>
        </is>
      </c>
      <c r="B10227" s="1" t="n">
        <v>45629</v>
      </c>
      <c r="C10227" s="1" t="n">
        <v>45798</v>
      </c>
      <c r="D10227" t="inlineStr">
        <is>
          <t>NORRBOTTENS LÄN</t>
        </is>
      </c>
      <c r="E10227" t="inlineStr">
        <is>
          <t>ÖVERTORNEÅ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57115-2024</t>
        </is>
      </c>
      <c r="B10228" s="1" t="n">
        <v>45629</v>
      </c>
      <c r="C10228" s="1" t="n">
        <v>45798</v>
      </c>
      <c r="D10228" t="inlineStr">
        <is>
          <t>NORRBOTTENS LÄN</t>
        </is>
      </c>
      <c r="E10228" t="inlineStr">
        <is>
          <t>LULEÅ</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57139-2024</t>
        </is>
      </c>
      <c r="B10229" s="1" t="n">
        <v>45629</v>
      </c>
      <c r="C10229" s="1" t="n">
        <v>45798</v>
      </c>
      <c r="D10229" t="inlineStr">
        <is>
          <t>NORRBOTTENS LÄN</t>
        </is>
      </c>
      <c r="E10229" t="inlineStr">
        <is>
          <t>ÄLVSBYN</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57326-2024</t>
        </is>
      </c>
      <c r="B10230" s="1" t="n">
        <v>45629</v>
      </c>
      <c r="C10230" s="1" t="n">
        <v>45798</v>
      </c>
      <c r="D10230" t="inlineStr">
        <is>
          <t>NORRBOTTENS LÄN</t>
        </is>
      </c>
      <c r="E10230" t="inlineStr">
        <is>
          <t>KALIX</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57338-2024</t>
        </is>
      </c>
      <c r="B10231" s="1" t="n">
        <v>45629</v>
      </c>
      <c r="C10231" s="1" t="n">
        <v>45798</v>
      </c>
      <c r="D10231" t="inlineStr">
        <is>
          <t>NORRBOTTENS LÄN</t>
        </is>
      </c>
      <c r="E10231" t="inlineStr">
        <is>
          <t>KALIX</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57370-2024</t>
        </is>
      </c>
      <c r="B10232" s="1" t="n">
        <v>45629</v>
      </c>
      <c r="C10232" s="1" t="n">
        <v>45798</v>
      </c>
      <c r="D10232" t="inlineStr">
        <is>
          <t>NORRBOTTENS LÄN</t>
        </is>
      </c>
      <c r="E10232" t="inlineStr">
        <is>
          <t>JOKKMOKK</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57431-2024</t>
        </is>
      </c>
      <c r="B10233" s="1" t="n">
        <v>45629</v>
      </c>
      <c r="C10233" s="1" t="n">
        <v>45798</v>
      </c>
      <c r="D10233" t="inlineStr">
        <is>
          <t>NORRBOTTENS LÄN</t>
        </is>
      </c>
      <c r="E10233" t="inlineStr">
        <is>
          <t>LULEÅ</t>
        </is>
      </c>
      <c r="G10233" t="n">
        <v>30.5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57332-2024</t>
        </is>
      </c>
      <c r="B10234" s="1" t="n">
        <v>45629</v>
      </c>
      <c r="C10234" s="1" t="n">
        <v>45798</v>
      </c>
      <c r="D10234" t="inlineStr">
        <is>
          <t>NORRBOTTENS LÄN</t>
        </is>
      </c>
      <c r="E10234" t="inlineStr">
        <is>
          <t>KALIX</t>
        </is>
      </c>
      <c r="G10234" t="n">
        <v>13.9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57434-2024</t>
        </is>
      </c>
      <c r="B10235" s="1" t="n">
        <v>45629</v>
      </c>
      <c r="C10235" s="1" t="n">
        <v>45798</v>
      </c>
      <c r="D10235" t="inlineStr">
        <is>
          <t>NORRBOTTENS LÄN</t>
        </is>
      </c>
      <c r="E10235" t="inlineStr">
        <is>
          <t>LULEÅ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57438-2024</t>
        </is>
      </c>
      <c r="B10236" s="1" t="n">
        <v>45629</v>
      </c>
      <c r="C10236" s="1" t="n">
        <v>45798</v>
      </c>
      <c r="D10236" t="inlineStr">
        <is>
          <t>NORRBOTTENS LÄN</t>
        </is>
      </c>
      <c r="E10236" t="inlineStr">
        <is>
          <t>LULEÅ</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57518-2024</t>
        </is>
      </c>
      <c r="B10237" s="1" t="n">
        <v>45629</v>
      </c>
      <c r="C10237" s="1" t="n">
        <v>45798</v>
      </c>
      <c r="D10237" t="inlineStr">
        <is>
          <t>NORRBOTTENS LÄN</t>
        </is>
      </c>
      <c r="E10237" t="inlineStr">
        <is>
          <t>LULEÅ</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57484-2024</t>
        </is>
      </c>
      <c r="B10238" s="1" t="n">
        <v>45629</v>
      </c>
      <c r="C10238" s="1" t="n">
        <v>45798</v>
      </c>
      <c r="D10238" t="inlineStr">
        <is>
          <t>NORRBOTTENS LÄN</t>
        </is>
      </c>
      <c r="E10238" t="inlineStr">
        <is>
          <t>LULEÅ</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57437-2024</t>
        </is>
      </c>
      <c r="B10239" s="1" t="n">
        <v>45629</v>
      </c>
      <c r="C10239" s="1" t="n">
        <v>45798</v>
      </c>
      <c r="D10239" t="inlineStr">
        <is>
          <t>NORRBOTTENS LÄN</t>
        </is>
      </c>
      <c r="E10239" t="inlineStr">
        <is>
          <t>LULEÅ</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57535-2024</t>
        </is>
      </c>
      <c r="B10240" s="1" t="n">
        <v>45630</v>
      </c>
      <c r="C10240" s="1" t="n">
        <v>45798</v>
      </c>
      <c r="D10240" t="inlineStr">
        <is>
          <t>NORRBOTTENS LÄN</t>
        </is>
      </c>
      <c r="E10240" t="inlineStr">
        <is>
          <t>GÄLLIVARE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57472-2024</t>
        </is>
      </c>
      <c r="B10241" s="1" t="n">
        <v>45630</v>
      </c>
      <c r="C10241" s="1" t="n">
        <v>45798</v>
      </c>
      <c r="D10241" t="inlineStr">
        <is>
          <t>NORRBOTTENS LÄN</t>
        </is>
      </c>
      <c r="E10241" t="inlineStr">
        <is>
          <t>JOKKMOKK</t>
        </is>
      </c>
      <c r="F10241" t="inlineStr">
        <is>
          <t>Sveaskog</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57549-2024</t>
        </is>
      </c>
      <c r="B10242" s="1" t="n">
        <v>45630</v>
      </c>
      <c r="C10242" s="1" t="n">
        <v>45798</v>
      </c>
      <c r="D10242" t="inlineStr">
        <is>
          <t>NORRBOTTENS LÄN</t>
        </is>
      </c>
      <c r="E10242" t="inlineStr">
        <is>
          <t>PAJALA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57577-2024</t>
        </is>
      </c>
      <c r="B10243" s="1" t="n">
        <v>45630</v>
      </c>
      <c r="C10243" s="1" t="n">
        <v>45798</v>
      </c>
      <c r="D10243" t="inlineStr">
        <is>
          <t>NORRBOTTENS LÄN</t>
        </is>
      </c>
      <c r="E10243" t="inlineStr">
        <is>
          <t>PAJALA</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57654-2024</t>
        </is>
      </c>
      <c r="B10244" s="1" t="n">
        <v>45630</v>
      </c>
      <c r="C10244" s="1" t="n">
        <v>45798</v>
      </c>
      <c r="D10244" t="inlineStr">
        <is>
          <t>NORRBOTTENS LÄN</t>
        </is>
      </c>
      <c r="E10244" t="inlineStr">
        <is>
          <t>PITEÅ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57691-2024</t>
        </is>
      </c>
      <c r="B10245" s="1" t="n">
        <v>45630</v>
      </c>
      <c r="C10245" s="1" t="n">
        <v>45798</v>
      </c>
      <c r="D10245" t="inlineStr">
        <is>
          <t>NORRBOTTENS LÄN</t>
        </is>
      </c>
      <c r="E10245" t="inlineStr">
        <is>
          <t>BODEN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57696-2024</t>
        </is>
      </c>
      <c r="B10246" s="1" t="n">
        <v>45630</v>
      </c>
      <c r="C10246" s="1" t="n">
        <v>45798</v>
      </c>
      <c r="D10246" t="inlineStr">
        <is>
          <t>NORRBOTTENS LÄN</t>
        </is>
      </c>
      <c r="E10246" t="inlineStr">
        <is>
          <t>GÄLLIVARE</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57705-2024</t>
        </is>
      </c>
      <c r="B10247" s="1" t="n">
        <v>45630</v>
      </c>
      <c r="C10247" s="1" t="n">
        <v>45798</v>
      </c>
      <c r="D10247" t="inlineStr">
        <is>
          <t>NORRBOTTENS LÄN</t>
        </is>
      </c>
      <c r="E10247" t="inlineStr">
        <is>
          <t>GÄLLIVARE</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57713-2024</t>
        </is>
      </c>
      <c r="B10248" s="1" t="n">
        <v>45630</v>
      </c>
      <c r="C10248" s="1" t="n">
        <v>45798</v>
      </c>
      <c r="D10248" t="inlineStr">
        <is>
          <t>NORRBOTTENS LÄN</t>
        </is>
      </c>
      <c r="E10248" t="inlineStr">
        <is>
          <t>BODEN</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57594-2024</t>
        </is>
      </c>
      <c r="B10249" s="1" t="n">
        <v>45630</v>
      </c>
      <c r="C10249" s="1" t="n">
        <v>45798</v>
      </c>
      <c r="D10249" t="inlineStr">
        <is>
          <t>NORRBOTTENS LÄN</t>
        </is>
      </c>
      <c r="E10249" t="inlineStr">
        <is>
          <t>ARVIDSJAUR</t>
        </is>
      </c>
      <c r="F10249" t="inlineStr">
        <is>
          <t>Sveaskog</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57648-2024</t>
        </is>
      </c>
      <c r="B10250" s="1" t="n">
        <v>45630</v>
      </c>
      <c r="C10250" s="1" t="n">
        <v>45798</v>
      </c>
      <c r="D10250" t="inlineStr">
        <is>
          <t>NORRBOTTENS LÄN</t>
        </is>
      </c>
      <c r="E10250" t="inlineStr">
        <is>
          <t>PITEÅ</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57694-2024</t>
        </is>
      </c>
      <c r="B10251" s="1" t="n">
        <v>45630</v>
      </c>
      <c r="C10251" s="1" t="n">
        <v>45798</v>
      </c>
      <c r="D10251" t="inlineStr">
        <is>
          <t>NORRBOTTENS LÄN</t>
        </is>
      </c>
      <c r="E10251" t="inlineStr">
        <is>
          <t>PITEÅ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57698-2024</t>
        </is>
      </c>
      <c r="B10252" s="1" t="n">
        <v>45630</v>
      </c>
      <c r="C10252" s="1" t="n">
        <v>45798</v>
      </c>
      <c r="D10252" t="inlineStr">
        <is>
          <t>NORRBOTTENS LÄN</t>
        </is>
      </c>
      <c r="E10252" t="inlineStr">
        <is>
          <t>PITEÅ</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57739-2024</t>
        </is>
      </c>
      <c r="B10253" s="1" t="n">
        <v>45630</v>
      </c>
      <c r="C10253" s="1" t="n">
        <v>45798</v>
      </c>
      <c r="D10253" t="inlineStr">
        <is>
          <t>NORRBOTTENS LÄN</t>
        </is>
      </c>
      <c r="E10253" t="inlineStr">
        <is>
          <t>PAJALA</t>
        </is>
      </c>
      <c r="G10253" t="n">
        <v>13.9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57559-2024</t>
        </is>
      </c>
      <c r="B10254" s="1" t="n">
        <v>45630</v>
      </c>
      <c r="C10254" s="1" t="n">
        <v>45798</v>
      </c>
      <c r="D10254" t="inlineStr">
        <is>
          <t>NORRBOTTENS LÄN</t>
        </is>
      </c>
      <c r="E10254" t="inlineStr">
        <is>
          <t>PAJALA</t>
        </is>
      </c>
      <c r="G10254" t="n">
        <v>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57740-2024</t>
        </is>
      </c>
      <c r="B10255" s="1" t="n">
        <v>45630</v>
      </c>
      <c r="C10255" s="1" t="n">
        <v>45798</v>
      </c>
      <c r="D10255" t="inlineStr">
        <is>
          <t>NORRBOTTENS LÄN</t>
        </is>
      </c>
      <c r="E10255" t="inlineStr">
        <is>
          <t>PAJALA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57811-2024</t>
        </is>
      </c>
      <c r="B10256" s="1" t="n">
        <v>45631</v>
      </c>
      <c r="C10256" s="1" t="n">
        <v>45798</v>
      </c>
      <c r="D10256" t="inlineStr">
        <is>
          <t>NORRBOTTENS LÄN</t>
        </is>
      </c>
      <c r="E10256" t="inlineStr">
        <is>
          <t>PITEÅ</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58009-2024</t>
        </is>
      </c>
      <c r="B10257" s="1" t="n">
        <v>45631</v>
      </c>
      <c r="C10257" s="1" t="n">
        <v>45798</v>
      </c>
      <c r="D10257" t="inlineStr">
        <is>
          <t>NORRBOTTENS LÄN</t>
        </is>
      </c>
      <c r="E10257" t="inlineStr">
        <is>
          <t>PITEÅ</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57908-2024</t>
        </is>
      </c>
      <c r="B10258" s="1" t="n">
        <v>45631</v>
      </c>
      <c r="C10258" s="1" t="n">
        <v>45798</v>
      </c>
      <c r="D10258" t="inlineStr">
        <is>
          <t>NORRBOTTENS LÄN</t>
        </is>
      </c>
      <c r="E10258" t="inlineStr">
        <is>
          <t>PITEÅ</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58007-2024</t>
        </is>
      </c>
      <c r="B10259" s="1" t="n">
        <v>45631</v>
      </c>
      <c r="C10259" s="1" t="n">
        <v>45798</v>
      </c>
      <c r="D10259" t="inlineStr">
        <is>
          <t>NORRBOTTENS LÄN</t>
        </is>
      </c>
      <c r="E10259" t="inlineStr">
        <is>
          <t>ÄLVSBYN</t>
        </is>
      </c>
      <c r="G10259" t="n">
        <v>11.3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58052-2024</t>
        </is>
      </c>
      <c r="B10260" s="1" t="n">
        <v>45631</v>
      </c>
      <c r="C10260" s="1" t="n">
        <v>45798</v>
      </c>
      <c r="D10260" t="inlineStr">
        <is>
          <t>NORRBOTTENS LÄN</t>
        </is>
      </c>
      <c r="E10260" t="inlineStr">
        <is>
          <t>PAJALA</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58034-2024</t>
        </is>
      </c>
      <c r="B10261" s="1" t="n">
        <v>45631</v>
      </c>
      <c r="C10261" s="1" t="n">
        <v>45798</v>
      </c>
      <c r="D10261" t="inlineStr">
        <is>
          <t>NORRBOTTENS LÄN</t>
        </is>
      </c>
      <c r="E10261" t="inlineStr">
        <is>
          <t>PITEÅ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58038-2024</t>
        </is>
      </c>
      <c r="B10262" s="1" t="n">
        <v>45631</v>
      </c>
      <c r="C10262" s="1" t="n">
        <v>45798</v>
      </c>
      <c r="D10262" t="inlineStr">
        <is>
          <t>NORRBOTTENS LÄN</t>
        </is>
      </c>
      <c r="E10262" t="inlineStr">
        <is>
          <t>ÖVERKALIX</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58037-2024</t>
        </is>
      </c>
      <c r="B10263" s="1" t="n">
        <v>45631</v>
      </c>
      <c r="C10263" s="1" t="n">
        <v>45798</v>
      </c>
      <c r="D10263" t="inlineStr">
        <is>
          <t>NORRBOTTENS LÄN</t>
        </is>
      </c>
      <c r="E10263" t="inlineStr">
        <is>
          <t>ÖVERKALIX</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58031-2024</t>
        </is>
      </c>
      <c r="B10264" s="1" t="n">
        <v>45631</v>
      </c>
      <c r="C10264" s="1" t="n">
        <v>45798</v>
      </c>
      <c r="D10264" t="inlineStr">
        <is>
          <t>NORRBOTTENS LÄN</t>
        </is>
      </c>
      <c r="E10264" t="inlineStr">
        <is>
          <t>PAJALA</t>
        </is>
      </c>
      <c r="G10264" t="n">
        <v>10.8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58055-2024</t>
        </is>
      </c>
      <c r="B10265" s="1" t="n">
        <v>45631</v>
      </c>
      <c r="C10265" s="1" t="n">
        <v>45798</v>
      </c>
      <c r="D10265" t="inlineStr">
        <is>
          <t>NORRBOTTENS LÄN</t>
        </is>
      </c>
      <c r="E10265" t="inlineStr">
        <is>
          <t>PAJALA</t>
        </is>
      </c>
      <c r="G10265" t="n">
        <v>20.3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58101-2024</t>
        </is>
      </c>
      <c r="B10266" s="1" t="n">
        <v>45632</v>
      </c>
      <c r="C10266" s="1" t="n">
        <v>45798</v>
      </c>
      <c r="D10266" t="inlineStr">
        <is>
          <t>NORRBOTTENS LÄN</t>
        </is>
      </c>
      <c r="E10266" t="inlineStr">
        <is>
          <t>ÖVERTORNEÅ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58178-2024</t>
        </is>
      </c>
      <c r="B10267" s="1" t="n">
        <v>45632</v>
      </c>
      <c r="C10267" s="1" t="n">
        <v>45798</v>
      </c>
      <c r="D10267" t="inlineStr">
        <is>
          <t>NORRBOTTENS LÄN</t>
        </is>
      </c>
      <c r="E10267" t="inlineStr">
        <is>
          <t>ÖVERTORNEÅ</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58182-2024</t>
        </is>
      </c>
      <c r="B10268" s="1" t="n">
        <v>45632</v>
      </c>
      <c r="C10268" s="1" t="n">
        <v>45798</v>
      </c>
      <c r="D10268" t="inlineStr">
        <is>
          <t>NORRBOTTENS LÄN</t>
        </is>
      </c>
      <c r="E10268" t="inlineStr">
        <is>
          <t>KALIX</t>
        </is>
      </c>
      <c r="G10268" t="n">
        <v>17.4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58083-2024</t>
        </is>
      </c>
      <c r="B10269" s="1" t="n">
        <v>45632</v>
      </c>
      <c r="C10269" s="1" t="n">
        <v>45798</v>
      </c>
      <c r="D10269" t="inlineStr">
        <is>
          <t>NORRBOTTENS LÄN</t>
        </is>
      </c>
      <c r="E10269" t="inlineStr">
        <is>
          <t>ÖVERTORNEÅ</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58096-2024</t>
        </is>
      </c>
      <c r="B10270" s="1" t="n">
        <v>45632</v>
      </c>
      <c r="C10270" s="1" t="n">
        <v>45798</v>
      </c>
      <c r="D10270" t="inlineStr">
        <is>
          <t>NORRBOTTENS LÄN</t>
        </is>
      </c>
      <c r="E10270" t="inlineStr">
        <is>
          <t>ÖVERTORNEÅ</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58218-2024</t>
        </is>
      </c>
      <c r="B10271" s="1" t="n">
        <v>45632</v>
      </c>
      <c r="C10271" s="1" t="n">
        <v>45798</v>
      </c>
      <c r="D10271" t="inlineStr">
        <is>
          <t>NORRBOTTENS LÄN</t>
        </is>
      </c>
      <c r="E10271" t="inlineStr">
        <is>
          <t>ÖVERTORNEÅ</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58317-2024</t>
        </is>
      </c>
      <c r="B10272" s="1" t="n">
        <v>45632</v>
      </c>
      <c r="C10272" s="1" t="n">
        <v>45798</v>
      </c>
      <c r="D10272" t="inlineStr">
        <is>
          <t>NORRBOTTENS LÄN</t>
        </is>
      </c>
      <c r="E10272" t="inlineStr">
        <is>
          <t>ÄLVSBYN</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58363-2024</t>
        </is>
      </c>
      <c r="B10273" s="1" t="n">
        <v>45632</v>
      </c>
      <c r="C10273" s="1" t="n">
        <v>45798</v>
      </c>
      <c r="D10273" t="inlineStr">
        <is>
          <t>NORRBOTTENS LÄN</t>
        </is>
      </c>
      <c r="E10273" t="inlineStr">
        <is>
          <t>BODEN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58215-2024</t>
        </is>
      </c>
      <c r="B10274" s="1" t="n">
        <v>45632</v>
      </c>
      <c r="C10274" s="1" t="n">
        <v>45798</v>
      </c>
      <c r="D10274" t="inlineStr">
        <is>
          <t>NORRBOTTENS LÄN</t>
        </is>
      </c>
      <c r="E10274" t="inlineStr">
        <is>
          <t>ÖVERTORNEÅ</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58243-2024</t>
        </is>
      </c>
      <c r="B10275" s="1" t="n">
        <v>45632</v>
      </c>
      <c r="C10275" s="1" t="n">
        <v>45798</v>
      </c>
      <c r="D10275" t="inlineStr">
        <is>
          <t>NORRBOTTENS LÄN</t>
        </is>
      </c>
      <c r="E10275" t="inlineStr">
        <is>
          <t>ÄLVSBYN</t>
        </is>
      </c>
      <c r="G10275" t="n">
        <v>14.4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58248-2024</t>
        </is>
      </c>
      <c r="B10276" s="1" t="n">
        <v>45632</v>
      </c>
      <c r="C10276" s="1" t="n">
        <v>45798</v>
      </c>
      <c r="D10276" t="inlineStr">
        <is>
          <t>NORRBOTTENS LÄN</t>
        </is>
      </c>
      <c r="E10276" t="inlineStr">
        <is>
          <t>ÄLVSBYN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58253-2024</t>
        </is>
      </c>
      <c r="B10277" s="1" t="n">
        <v>45632</v>
      </c>
      <c r="C10277" s="1" t="n">
        <v>45798</v>
      </c>
      <c r="D10277" t="inlineStr">
        <is>
          <t>NORRBOTTENS LÄN</t>
        </is>
      </c>
      <c r="E10277" t="inlineStr">
        <is>
          <t>ÄLVSBYN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58308-2024</t>
        </is>
      </c>
      <c r="B10278" s="1" t="n">
        <v>45632</v>
      </c>
      <c r="C10278" s="1" t="n">
        <v>45798</v>
      </c>
      <c r="D10278" t="inlineStr">
        <is>
          <t>NORRBOTTENS LÄN</t>
        </is>
      </c>
      <c r="E10278" t="inlineStr">
        <is>
          <t>ÄLVSBYN</t>
        </is>
      </c>
      <c r="G10278" t="n">
        <v>23.4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58469-2024</t>
        </is>
      </c>
      <c r="B10279" s="1" t="n">
        <v>45632</v>
      </c>
      <c r="C10279" s="1" t="n">
        <v>45798</v>
      </c>
      <c r="D10279" t="inlineStr">
        <is>
          <t>NORRBOTTENS LÄN</t>
        </is>
      </c>
      <c r="E10279" t="inlineStr">
        <is>
          <t>LULEÅ</t>
        </is>
      </c>
      <c r="G10279" t="n">
        <v>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58201-2024</t>
        </is>
      </c>
      <c r="B10280" s="1" t="n">
        <v>45632</v>
      </c>
      <c r="C10280" s="1" t="n">
        <v>45798</v>
      </c>
      <c r="D10280" t="inlineStr">
        <is>
          <t>NORRBOTTENS LÄN</t>
        </is>
      </c>
      <c r="E10280" t="inlineStr">
        <is>
          <t>ÖVERTORNEÅ</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58263-2024</t>
        </is>
      </c>
      <c r="B10281" s="1" t="n">
        <v>45632</v>
      </c>
      <c r="C10281" s="1" t="n">
        <v>45798</v>
      </c>
      <c r="D10281" t="inlineStr">
        <is>
          <t>NORRBOTTENS LÄN</t>
        </is>
      </c>
      <c r="E10281" t="inlineStr">
        <is>
          <t>ÄLVSBYN</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58306-2024</t>
        </is>
      </c>
      <c r="B10282" s="1" t="n">
        <v>45632</v>
      </c>
      <c r="C10282" s="1" t="n">
        <v>45798</v>
      </c>
      <c r="D10282" t="inlineStr">
        <is>
          <t>NORRBOTTENS LÄN</t>
        </is>
      </c>
      <c r="E10282" t="inlineStr">
        <is>
          <t>ÖVERTORNEÅ</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58315-2024</t>
        </is>
      </c>
      <c r="B10283" s="1" t="n">
        <v>45632</v>
      </c>
      <c r="C10283" s="1" t="n">
        <v>45798</v>
      </c>
      <c r="D10283" t="inlineStr">
        <is>
          <t>NORRBOTTENS LÄN</t>
        </is>
      </c>
      <c r="E10283" t="inlineStr">
        <is>
          <t>ÄLVSBYN</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58321-2024</t>
        </is>
      </c>
      <c r="B10284" s="1" t="n">
        <v>45632</v>
      </c>
      <c r="C10284" s="1" t="n">
        <v>45798</v>
      </c>
      <c r="D10284" t="inlineStr">
        <is>
          <t>NORRBOTTENS LÄN</t>
        </is>
      </c>
      <c r="E10284" t="inlineStr">
        <is>
          <t>ÄLVSBYN</t>
        </is>
      </c>
      <c r="G10284" t="n">
        <v>22.1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58358-2024</t>
        </is>
      </c>
      <c r="B10285" s="1" t="n">
        <v>45632</v>
      </c>
      <c r="C10285" s="1" t="n">
        <v>45798</v>
      </c>
      <c r="D10285" t="inlineStr">
        <is>
          <t>NORRBOTTENS LÄN</t>
        </is>
      </c>
      <c r="E10285" t="inlineStr">
        <is>
          <t>JOKKMOKK</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58172-2024</t>
        </is>
      </c>
      <c r="B10286" s="1" t="n">
        <v>45632</v>
      </c>
      <c r="C10286" s="1" t="n">
        <v>45798</v>
      </c>
      <c r="D10286" t="inlineStr">
        <is>
          <t>NORRBOTTENS LÄN</t>
        </is>
      </c>
      <c r="E10286" t="inlineStr">
        <is>
          <t>ÖVERTORNEÅ</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58212-2024</t>
        </is>
      </c>
      <c r="B10287" s="1" t="n">
        <v>45632</v>
      </c>
      <c r="C10287" s="1" t="n">
        <v>45798</v>
      </c>
      <c r="D10287" t="inlineStr">
        <is>
          <t>NORRBOTTENS LÄN</t>
        </is>
      </c>
      <c r="E10287" t="inlineStr">
        <is>
          <t>ÖVERTORNEÅ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58266-2024</t>
        </is>
      </c>
      <c r="B10288" s="1" t="n">
        <v>45632</v>
      </c>
      <c r="C10288" s="1" t="n">
        <v>45798</v>
      </c>
      <c r="D10288" t="inlineStr">
        <is>
          <t>NORRBOTTENS LÄN</t>
        </is>
      </c>
      <c r="E10288" t="inlineStr">
        <is>
          <t>ÄLVSBYN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58274-2024</t>
        </is>
      </c>
      <c r="B10289" s="1" t="n">
        <v>45632</v>
      </c>
      <c r="C10289" s="1" t="n">
        <v>45798</v>
      </c>
      <c r="D10289" t="inlineStr">
        <is>
          <t>NORRBOTTENS LÄN</t>
        </is>
      </c>
      <c r="E10289" t="inlineStr">
        <is>
          <t>KALIX</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58291-2024</t>
        </is>
      </c>
      <c r="B10290" s="1" t="n">
        <v>45632</v>
      </c>
      <c r="C10290" s="1" t="n">
        <v>45798</v>
      </c>
      <c r="D10290" t="inlineStr">
        <is>
          <t>NORRBOTTENS LÄN</t>
        </is>
      </c>
      <c r="E10290" t="inlineStr">
        <is>
          <t>BODEN</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58309-2024</t>
        </is>
      </c>
      <c r="B10291" s="1" t="n">
        <v>45632</v>
      </c>
      <c r="C10291" s="1" t="n">
        <v>45798</v>
      </c>
      <c r="D10291" t="inlineStr">
        <is>
          <t>NORRBOTTENS LÄN</t>
        </is>
      </c>
      <c r="E10291" t="inlineStr">
        <is>
          <t>ÄLVSBYN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58353-2024</t>
        </is>
      </c>
      <c r="B10292" s="1" t="n">
        <v>45632</v>
      </c>
      <c r="C10292" s="1" t="n">
        <v>45798</v>
      </c>
      <c r="D10292" t="inlineStr">
        <is>
          <t>NORRBOTTENS LÄN</t>
        </is>
      </c>
      <c r="E10292" t="inlineStr">
        <is>
          <t>JOKKMOKK</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58365-2024</t>
        </is>
      </c>
      <c r="B10293" s="1" t="n">
        <v>45632</v>
      </c>
      <c r="C10293" s="1" t="n">
        <v>45798</v>
      </c>
      <c r="D10293" t="inlineStr">
        <is>
          <t>NORRBOTTENS LÄN</t>
        </is>
      </c>
      <c r="E10293" t="inlineStr">
        <is>
          <t>JOKKMOKK</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58386-2024</t>
        </is>
      </c>
      <c r="B10294" s="1" t="n">
        <v>45633</v>
      </c>
      <c r="C10294" s="1" t="n">
        <v>45798</v>
      </c>
      <c r="D10294" t="inlineStr">
        <is>
          <t>NORRBOTTENS LÄN</t>
        </is>
      </c>
      <c r="E10294" t="inlineStr">
        <is>
          <t>ÖVERTORNEÅ</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58394-2024</t>
        </is>
      </c>
      <c r="B10295" s="1" t="n">
        <v>45634</v>
      </c>
      <c r="C10295" s="1" t="n">
        <v>45798</v>
      </c>
      <c r="D10295" t="inlineStr">
        <is>
          <t>NORRBOTTENS LÄN</t>
        </is>
      </c>
      <c r="E10295" t="inlineStr">
        <is>
          <t>ÖVERTORNEÅ</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58500-2024</t>
        </is>
      </c>
      <c r="B10296" s="1" t="n">
        <v>45635</v>
      </c>
      <c r="C10296" s="1" t="n">
        <v>45798</v>
      </c>
      <c r="D10296" t="inlineStr">
        <is>
          <t>NORRBOTTENS LÄN</t>
        </is>
      </c>
      <c r="E10296" t="inlineStr">
        <is>
          <t>BODEN</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58504-2024</t>
        </is>
      </c>
      <c r="B10297" s="1" t="n">
        <v>45635</v>
      </c>
      <c r="C10297" s="1" t="n">
        <v>45798</v>
      </c>
      <c r="D10297" t="inlineStr">
        <is>
          <t>NORRBOTTENS LÄN</t>
        </is>
      </c>
      <c r="E10297" t="inlineStr">
        <is>
          <t>BODEN</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58545-2024</t>
        </is>
      </c>
      <c r="B10298" s="1" t="n">
        <v>45635</v>
      </c>
      <c r="C10298" s="1" t="n">
        <v>45798</v>
      </c>
      <c r="D10298" t="inlineStr">
        <is>
          <t>NORRBOTTENS LÄN</t>
        </is>
      </c>
      <c r="E10298" t="inlineStr">
        <is>
          <t>ÖVERTORNEÅ</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58506-2024</t>
        </is>
      </c>
      <c r="B10299" s="1" t="n">
        <v>45635</v>
      </c>
      <c r="C10299" s="1" t="n">
        <v>45798</v>
      </c>
      <c r="D10299" t="inlineStr">
        <is>
          <t>NORRBOTTENS LÄN</t>
        </is>
      </c>
      <c r="E10299" t="inlineStr">
        <is>
          <t>BODEN</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58547-2024</t>
        </is>
      </c>
      <c r="B10300" s="1" t="n">
        <v>45635</v>
      </c>
      <c r="C10300" s="1" t="n">
        <v>45798</v>
      </c>
      <c r="D10300" t="inlineStr">
        <is>
          <t>NORRBOTTENS LÄN</t>
        </is>
      </c>
      <c r="E10300" t="inlineStr">
        <is>
          <t>LULEÅ</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58735-2024</t>
        </is>
      </c>
      <c r="B10301" s="1" t="n">
        <v>45635</v>
      </c>
      <c r="C10301" s="1" t="n">
        <v>45798</v>
      </c>
      <c r="D10301" t="inlineStr">
        <is>
          <t>NORRBOTTENS LÄN</t>
        </is>
      </c>
      <c r="E10301" t="inlineStr">
        <is>
          <t>LULEÅ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58536-2024</t>
        </is>
      </c>
      <c r="B10302" s="1" t="n">
        <v>45635</v>
      </c>
      <c r="C10302" s="1" t="n">
        <v>45798</v>
      </c>
      <c r="D10302" t="inlineStr">
        <is>
          <t>NORRBOTTENS LÄN</t>
        </is>
      </c>
      <c r="E10302" t="inlineStr">
        <is>
          <t>ÖVERTORNEÅ</t>
        </is>
      </c>
      <c r="G10302" t="n">
        <v>14.9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58438-2024</t>
        </is>
      </c>
      <c r="B10303" s="1" t="n">
        <v>45635</v>
      </c>
      <c r="C10303" s="1" t="n">
        <v>45798</v>
      </c>
      <c r="D10303" t="inlineStr">
        <is>
          <t>NORRBOTTENS LÄN</t>
        </is>
      </c>
      <c r="E10303" t="inlineStr">
        <is>
          <t>ÄLVSBYN</t>
        </is>
      </c>
      <c r="F10303" t="inlineStr">
        <is>
          <t>Sveaskog</t>
        </is>
      </c>
      <c r="G10303" t="n">
        <v>14.5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58643-2024</t>
        </is>
      </c>
      <c r="B10304" s="1" t="n">
        <v>45635</v>
      </c>
      <c r="C10304" s="1" t="n">
        <v>45798</v>
      </c>
      <c r="D10304" t="inlineStr">
        <is>
          <t>NORRBOTTENS LÄN</t>
        </is>
      </c>
      <c r="E10304" t="inlineStr">
        <is>
          <t>PAJALA</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58698-2024</t>
        </is>
      </c>
      <c r="B10305" s="1" t="n">
        <v>45635</v>
      </c>
      <c r="C10305" s="1" t="n">
        <v>45798</v>
      </c>
      <c r="D10305" t="inlineStr">
        <is>
          <t>NORRBOTTENS LÄN</t>
        </is>
      </c>
      <c r="E10305" t="inlineStr">
        <is>
          <t>PITEÅ</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58831-2024</t>
        </is>
      </c>
      <c r="B10306" s="1" t="n">
        <v>45635</v>
      </c>
      <c r="C10306" s="1" t="n">
        <v>45798</v>
      </c>
      <c r="D10306" t="inlineStr">
        <is>
          <t>NORRBOTTENS LÄN</t>
        </is>
      </c>
      <c r="E10306" t="inlineStr">
        <is>
          <t>LULEÅ</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58777-2024</t>
        </is>
      </c>
      <c r="B10307" s="1" t="n">
        <v>45635</v>
      </c>
      <c r="C10307" s="1" t="n">
        <v>45798</v>
      </c>
      <c r="D10307" t="inlineStr">
        <is>
          <t>NORRBOTTENS LÄN</t>
        </is>
      </c>
      <c r="E10307" t="inlineStr">
        <is>
          <t>ARJEPLOG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58816-2024</t>
        </is>
      </c>
      <c r="B10308" s="1" t="n">
        <v>45635</v>
      </c>
      <c r="C10308" s="1" t="n">
        <v>45798</v>
      </c>
      <c r="D10308" t="inlineStr">
        <is>
          <t>NORRBOTTENS LÄN</t>
        </is>
      </c>
      <c r="E10308" t="inlineStr">
        <is>
          <t>LULEÅ</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58778-2024</t>
        </is>
      </c>
      <c r="B10309" s="1" t="n">
        <v>45635</v>
      </c>
      <c r="C10309" s="1" t="n">
        <v>45798</v>
      </c>
      <c r="D10309" t="inlineStr">
        <is>
          <t>NORRBOTTENS LÄN</t>
        </is>
      </c>
      <c r="E10309" t="inlineStr">
        <is>
          <t>ARJEPLOG</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58827-2024</t>
        </is>
      </c>
      <c r="B10310" s="1" t="n">
        <v>45635</v>
      </c>
      <c r="C10310" s="1" t="n">
        <v>45798</v>
      </c>
      <c r="D10310" t="inlineStr">
        <is>
          <t>NORRBOTTENS LÄN</t>
        </is>
      </c>
      <c r="E10310" t="inlineStr">
        <is>
          <t>LULEÅ</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58823-2024</t>
        </is>
      </c>
      <c r="B10311" s="1" t="n">
        <v>45635</v>
      </c>
      <c r="C10311" s="1" t="n">
        <v>45798</v>
      </c>
      <c r="D10311" t="inlineStr">
        <is>
          <t>NORRBOTTENS LÄN</t>
        </is>
      </c>
      <c r="E10311" t="inlineStr">
        <is>
          <t>LULEÅ</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58862-2024</t>
        </is>
      </c>
      <c r="B10312" s="1" t="n">
        <v>45635</v>
      </c>
      <c r="C10312" s="1" t="n">
        <v>45798</v>
      </c>
      <c r="D10312" t="inlineStr">
        <is>
          <t>NORRBOTTENS LÄN</t>
        </is>
      </c>
      <c r="E10312" t="inlineStr">
        <is>
          <t>ARVIDSJAUR</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58942-2024</t>
        </is>
      </c>
      <c r="B10313" s="1" t="n">
        <v>45636</v>
      </c>
      <c r="C10313" s="1" t="n">
        <v>45798</v>
      </c>
      <c r="D10313" t="inlineStr">
        <is>
          <t>NORRBOTTENS LÄN</t>
        </is>
      </c>
      <c r="E10313" t="inlineStr">
        <is>
          <t>ARVIDSJAUR</t>
        </is>
      </c>
      <c r="F10313" t="inlineStr">
        <is>
          <t>Sveaskog</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58950-2024</t>
        </is>
      </c>
      <c r="B10314" s="1" t="n">
        <v>45636</v>
      </c>
      <c r="C10314" s="1" t="n">
        <v>45798</v>
      </c>
      <c r="D10314" t="inlineStr">
        <is>
          <t>NORRBOTTENS LÄN</t>
        </is>
      </c>
      <c r="E10314" t="inlineStr">
        <is>
          <t>HAPARANDA</t>
        </is>
      </c>
      <c r="G10314" t="n">
        <v>18.6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58981-2024</t>
        </is>
      </c>
      <c r="B10315" s="1" t="n">
        <v>45636</v>
      </c>
      <c r="C10315" s="1" t="n">
        <v>45798</v>
      </c>
      <c r="D10315" t="inlineStr">
        <is>
          <t>NORRBOTTENS LÄN</t>
        </is>
      </c>
      <c r="E10315" t="inlineStr">
        <is>
          <t>HAPARANDA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58932-2024</t>
        </is>
      </c>
      <c r="B10316" s="1" t="n">
        <v>45636</v>
      </c>
      <c r="C10316" s="1" t="n">
        <v>45798</v>
      </c>
      <c r="D10316" t="inlineStr">
        <is>
          <t>NORRBOTTENS LÄN</t>
        </is>
      </c>
      <c r="E10316" t="inlineStr">
        <is>
          <t>HAPARANDA</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58998-2024</t>
        </is>
      </c>
      <c r="B10317" s="1" t="n">
        <v>45636</v>
      </c>
      <c r="C10317" s="1" t="n">
        <v>45798</v>
      </c>
      <c r="D10317" t="inlineStr">
        <is>
          <t>NORRBOTTENS LÄN</t>
        </is>
      </c>
      <c r="E10317" t="inlineStr">
        <is>
          <t>KIRUNA</t>
        </is>
      </c>
      <c r="G10317" t="n">
        <v>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58973-2024</t>
        </is>
      </c>
      <c r="B10318" s="1" t="n">
        <v>45636</v>
      </c>
      <c r="C10318" s="1" t="n">
        <v>45798</v>
      </c>
      <c r="D10318" t="inlineStr">
        <is>
          <t>NORRBOTTENS LÄN</t>
        </is>
      </c>
      <c r="E10318" t="inlineStr">
        <is>
          <t>PITEÅ</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58959-2024</t>
        </is>
      </c>
      <c r="B10319" s="1" t="n">
        <v>45636</v>
      </c>
      <c r="C10319" s="1" t="n">
        <v>45798</v>
      </c>
      <c r="D10319" t="inlineStr">
        <is>
          <t>NORRBOTTENS LÄN</t>
        </is>
      </c>
      <c r="E10319" t="inlineStr">
        <is>
          <t>PITEÅ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59112-2024</t>
        </is>
      </c>
      <c r="B10320" s="1" t="n">
        <v>45636</v>
      </c>
      <c r="C10320" s="1" t="n">
        <v>45798</v>
      </c>
      <c r="D10320" t="inlineStr">
        <is>
          <t>NORRBOTTENS LÄN</t>
        </is>
      </c>
      <c r="E10320" t="inlineStr">
        <is>
          <t>GÄLLIVARE</t>
        </is>
      </c>
      <c r="F10320" t="inlineStr">
        <is>
          <t>Allmännings- och besparingsskogar</t>
        </is>
      </c>
      <c r="G10320" t="n">
        <v>138.3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58989-2024</t>
        </is>
      </c>
      <c r="B10321" s="1" t="n">
        <v>45636</v>
      </c>
      <c r="C10321" s="1" t="n">
        <v>45798</v>
      </c>
      <c r="D10321" t="inlineStr">
        <is>
          <t>NORRBOTTENS LÄN</t>
        </is>
      </c>
      <c r="E10321" t="inlineStr">
        <is>
          <t>ARJEPLOG</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58916-2024</t>
        </is>
      </c>
      <c r="B10322" s="1" t="n">
        <v>45636</v>
      </c>
      <c r="C10322" s="1" t="n">
        <v>45798</v>
      </c>
      <c r="D10322" t="inlineStr">
        <is>
          <t>NORRBOTTENS LÄN</t>
        </is>
      </c>
      <c r="E10322" t="inlineStr">
        <is>
          <t>HAPARANDA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58953-2024</t>
        </is>
      </c>
      <c r="B10323" s="1" t="n">
        <v>45636</v>
      </c>
      <c r="C10323" s="1" t="n">
        <v>45798</v>
      </c>
      <c r="D10323" t="inlineStr">
        <is>
          <t>NORRBOTTENS LÄN</t>
        </is>
      </c>
      <c r="E10323" t="inlineStr">
        <is>
          <t>HAPARANDA</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58992-2024</t>
        </is>
      </c>
      <c r="B10324" s="1" t="n">
        <v>45636</v>
      </c>
      <c r="C10324" s="1" t="n">
        <v>45798</v>
      </c>
      <c r="D10324" t="inlineStr">
        <is>
          <t>NORRBOTTENS LÄN</t>
        </is>
      </c>
      <c r="E10324" t="inlineStr">
        <is>
          <t>ÖVERTORNEÅ</t>
        </is>
      </c>
      <c r="G10324" t="n">
        <v>44.5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59181-2024</t>
        </is>
      </c>
      <c r="B10325" s="1" t="n">
        <v>45637</v>
      </c>
      <c r="C10325" s="1" t="n">
        <v>45798</v>
      </c>
      <c r="D10325" t="inlineStr">
        <is>
          <t>NORRBOTTENS LÄN</t>
        </is>
      </c>
      <c r="E10325" t="inlineStr">
        <is>
          <t>ÄLVSBYN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59183-2024</t>
        </is>
      </c>
      <c r="B10326" s="1" t="n">
        <v>45637</v>
      </c>
      <c r="C10326" s="1" t="n">
        <v>45798</v>
      </c>
      <c r="D10326" t="inlineStr">
        <is>
          <t>NORRBOTTENS LÄN</t>
        </is>
      </c>
      <c r="E10326" t="inlineStr">
        <is>
          <t>ÖVERKALIX</t>
        </is>
      </c>
      <c r="G10326" t="n">
        <v>16.9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59197-2024</t>
        </is>
      </c>
      <c r="B10327" s="1" t="n">
        <v>45637</v>
      </c>
      <c r="C10327" s="1" t="n">
        <v>45798</v>
      </c>
      <c r="D10327" t="inlineStr">
        <is>
          <t>NORRBOTTENS LÄN</t>
        </is>
      </c>
      <c r="E10327" t="inlineStr">
        <is>
          <t>PAJALA</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59280-2024</t>
        </is>
      </c>
      <c r="B10328" s="1" t="n">
        <v>45637</v>
      </c>
      <c r="C10328" s="1" t="n">
        <v>45798</v>
      </c>
      <c r="D10328" t="inlineStr">
        <is>
          <t>NORRBOTTENS LÄN</t>
        </is>
      </c>
      <c r="E10328" t="inlineStr">
        <is>
          <t>ÖVERKALIX</t>
        </is>
      </c>
      <c r="F10328" t="inlineStr">
        <is>
          <t>Sveaskog</t>
        </is>
      </c>
      <c r="G10328" t="n">
        <v>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59186-2024</t>
        </is>
      </c>
      <c r="B10329" s="1" t="n">
        <v>45637</v>
      </c>
      <c r="C10329" s="1" t="n">
        <v>45798</v>
      </c>
      <c r="D10329" t="inlineStr">
        <is>
          <t>NORRBOTTENS LÄN</t>
        </is>
      </c>
      <c r="E10329" t="inlineStr">
        <is>
          <t>ÖVERKALIX</t>
        </is>
      </c>
      <c r="G10329" t="n">
        <v>11.8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59180-2024</t>
        </is>
      </c>
      <c r="B10330" s="1" t="n">
        <v>45637</v>
      </c>
      <c r="C10330" s="1" t="n">
        <v>45798</v>
      </c>
      <c r="D10330" t="inlineStr">
        <is>
          <t>NORRBOTTENS LÄN</t>
        </is>
      </c>
      <c r="E10330" t="inlineStr">
        <is>
          <t>ÄLVSBYN</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59232-2024</t>
        </is>
      </c>
      <c r="B10331" s="1" t="n">
        <v>45637</v>
      </c>
      <c r="C10331" s="1" t="n">
        <v>45798</v>
      </c>
      <c r="D10331" t="inlineStr">
        <is>
          <t>NORRBOTTENS LÄN</t>
        </is>
      </c>
      <c r="E10331" t="inlineStr">
        <is>
          <t>GÄLLIVARE</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59494-2024</t>
        </is>
      </c>
      <c r="B10332" s="1" t="n">
        <v>45638</v>
      </c>
      <c r="C10332" s="1" t="n">
        <v>45798</v>
      </c>
      <c r="D10332" t="inlineStr">
        <is>
          <t>NORRBOTTENS LÄN</t>
        </is>
      </c>
      <c r="E10332" t="inlineStr">
        <is>
          <t>ARVIDSJAUR</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59609-2024</t>
        </is>
      </c>
      <c r="B10333" s="1" t="n">
        <v>45638</v>
      </c>
      <c r="C10333" s="1" t="n">
        <v>45798</v>
      </c>
      <c r="D10333" t="inlineStr">
        <is>
          <t>NORRBOTTENS LÄN</t>
        </is>
      </c>
      <c r="E10333" t="inlineStr">
        <is>
          <t>LULEÅ</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59557-2024</t>
        </is>
      </c>
      <c r="B10334" s="1" t="n">
        <v>45638</v>
      </c>
      <c r="C10334" s="1" t="n">
        <v>45798</v>
      </c>
      <c r="D10334" t="inlineStr">
        <is>
          <t>NORRBOTTENS LÄN</t>
        </is>
      </c>
      <c r="E10334" t="inlineStr">
        <is>
          <t>KALIX</t>
        </is>
      </c>
      <c r="F10334" t="inlineStr">
        <is>
          <t>SCA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59435-2024</t>
        </is>
      </c>
      <c r="B10335" s="1" t="n">
        <v>45638</v>
      </c>
      <c r="C10335" s="1" t="n">
        <v>45798</v>
      </c>
      <c r="D10335" t="inlineStr">
        <is>
          <t>NORRBOTTENS LÄN</t>
        </is>
      </c>
      <c r="E10335" t="inlineStr">
        <is>
          <t>BODEN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59539-2024</t>
        </is>
      </c>
      <c r="B10336" s="1" t="n">
        <v>45638</v>
      </c>
      <c r="C10336" s="1" t="n">
        <v>45798</v>
      </c>
      <c r="D10336" t="inlineStr">
        <is>
          <t>NORRBOTTENS LÄN</t>
        </is>
      </c>
      <c r="E10336" t="inlineStr">
        <is>
          <t>ARVIDSJAUR</t>
        </is>
      </c>
      <c r="F10336" t="inlineStr">
        <is>
          <t>Sveaskog</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59400-2024</t>
        </is>
      </c>
      <c r="B10337" s="1" t="n">
        <v>45638</v>
      </c>
      <c r="C10337" s="1" t="n">
        <v>45798</v>
      </c>
      <c r="D10337" t="inlineStr">
        <is>
          <t>NORRBOTTENS LÄN</t>
        </is>
      </c>
      <c r="E10337" t="inlineStr">
        <is>
          <t>LULEÅ</t>
        </is>
      </c>
      <c r="F10337" t="inlineStr">
        <is>
          <t>Sveaskog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59394-2024</t>
        </is>
      </c>
      <c r="B10338" s="1" t="n">
        <v>45638</v>
      </c>
      <c r="C10338" s="1" t="n">
        <v>45798</v>
      </c>
      <c r="D10338" t="inlineStr">
        <is>
          <t>NORRBOTTENS LÄN</t>
        </is>
      </c>
      <c r="E10338" t="inlineStr">
        <is>
          <t>ARVIDSJAUR</t>
        </is>
      </c>
      <c r="F10338" t="inlineStr">
        <is>
          <t>Sveaskog</t>
        </is>
      </c>
      <c r="G10338" t="n">
        <v>22.2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59788-2024</t>
        </is>
      </c>
      <c r="B10339" s="1" t="n">
        <v>45639</v>
      </c>
      <c r="C10339" s="1" t="n">
        <v>45798</v>
      </c>
      <c r="D10339" t="inlineStr">
        <is>
          <t>NORRBOTTENS LÄN</t>
        </is>
      </c>
      <c r="E10339" t="inlineStr">
        <is>
          <t>JOKKMOKK</t>
        </is>
      </c>
      <c r="F10339" t="inlineStr">
        <is>
          <t>Sveaskog</t>
        </is>
      </c>
      <c r="G10339" t="n">
        <v>11.4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59832-2024</t>
        </is>
      </c>
      <c r="B10340" s="1" t="n">
        <v>45639</v>
      </c>
      <c r="C10340" s="1" t="n">
        <v>45798</v>
      </c>
      <c r="D10340" t="inlineStr">
        <is>
          <t>NORRBOTTENS LÄN</t>
        </is>
      </c>
      <c r="E10340" t="inlineStr">
        <is>
          <t>ÖVERKALIX</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59698-2024</t>
        </is>
      </c>
      <c r="B10341" s="1" t="n">
        <v>45639</v>
      </c>
      <c r="C10341" s="1" t="n">
        <v>45798</v>
      </c>
      <c r="D10341" t="inlineStr">
        <is>
          <t>NORRBOTTENS LÄN</t>
        </is>
      </c>
      <c r="E10341" t="inlineStr">
        <is>
          <t>GÄLLIVARE</t>
        </is>
      </c>
      <c r="F10341" t="inlineStr">
        <is>
          <t>Sveaskog</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59685-2024</t>
        </is>
      </c>
      <c r="B10342" s="1" t="n">
        <v>45639</v>
      </c>
      <c r="C10342" s="1" t="n">
        <v>45798</v>
      </c>
      <c r="D10342" t="inlineStr">
        <is>
          <t>NORRBOTTENS LÄN</t>
        </is>
      </c>
      <c r="E10342" t="inlineStr">
        <is>
          <t>GÄLLIVARE</t>
        </is>
      </c>
      <c r="F10342" t="inlineStr">
        <is>
          <t>Sveaskog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59680-2024</t>
        </is>
      </c>
      <c r="B10343" s="1" t="n">
        <v>45639</v>
      </c>
      <c r="C10343" s="1" t="n">
        <v>45798</v>
      </c>
      <c r="D10343" t="inlineStr">
        <is>
          <t>NORRBOTTENS LÄN</t>
        </is>
      </c>
      <c r="E10343" t="inlineStr">
        <is>
          <t>GÄLLIVARE</t>
        </is>
      </c>
      <c r="F10343" t="inlineStr">
        <is>
          <t>Sveaskog</t>
        </is>
      </c>
      <c r="G10343" t="n">
        <v>14.4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59656-2024</t>
        </is>
      </c>
      <c r="B10344" s="1" t="n">
        <v>45639</v>
      </c>
      <c r="C10344" s="1" t="n">
        <v>45798</v>
      </c>
      <c r="D10344" t="inlineStr">
        <is>
          <t>NORRBOTTENS LÄN</t>
        </is>
      </c>
      <c r="E10344" t="inlineStr">
        <is>
          <t>LULEÅ</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59652-2024</t>
        </is>
      </c>
      <c r="B10345" s="1" t="n">
        <v>45639</v>
      </c>
      <c r="C10345" s="1" t="n">
        <v>45798</v>
      </c>
      <c r="D10345" t="inlineStr">
        <is>
          <t>NORRBOTTENS LÄN</t>
        </is>
      </c>
      <c r="E10345" t="inlineStr">
        <is>
          <t>GÄLLIVARE</t>
        </is>
      </c>
      <c r="F10345" t="inlineStr">
        <is>
          <t>SCA</t>
        </is>
      </c>
      <c r="G10345" t="n">
        <v>13.6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59825-2024</t>
        </is>
      </c>
      <c r="B10346" s="1" t="n">
        <v>45639</v>
      </c>
      <c r="C10346" s="1" t="n">
        <v>45798</v>
      </c>
      <c r="D10346" t="inlineStr">
        <is>
          <t>NORRBOTTENS LÄN</t>
        </is>
      </c>
      <c r="E10346" t="inlineStr">
        <is>
          <t>LULEÅ</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59675-2024</t>
        </is>
      </c>
      <c r="B10347" s="1" t="n">
        <v>45639</v>
      </c>
      <c r="C10347" s="1" t="n">
        <v>45798</v>
      </c>
      <c r="D10347" t="inlineStr">
        <is>
          <t>NORRBOTTENS LÄN</t>
        </is>
      </c>
      <c r="E10347" t="inlineStr">
        <is>
          <t>GÄLLIVARE</t>
        </is>
      </c>
      <c r="F10347" t="inlineStr">
        <is>
          <t>Sveaskog</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59697-2024</t>
        </is>
      </c>
      <c r="B10348" s="1" t="n">
        <v>45639</v>
      </c>
      <c r="C10348" s="1" t="n">
        <v>45798</v>
      </c>
      <c r="D10348" t="inlineStr">
        <is>
          <t>NORRBOTTENS LÄN</t>
        </is>
      </c>
      <c r="E10348" t="inlineStr">
        <is>
          <t>GÄLLIVARE</t>
        </is>
      </c>
      <c r="F10348" t="inlineStr">
        <is>
          <t>Sveaskog</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59722-2024</t>
        </is>
      </c>
      <c r="B10349" s="1" t="n">
        <v>45639</v>
      </c>
      <c r="C10349" s="1" t="n">
        <v>45798</v>
      </c>
      <c r="D10349" t="inlineStr">
        <is>
          <t>NORRBOTTENS LÄN</t>
        </is>
      </c>
      <c r="E10349" t="inlineStr">
        <is>
          <t>BODEN</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59826-2024</t>
        </is>
      </c>
      <c r="B10350" s="1" t="n">
        <v>45639</v>
      </c>
      <c r="C10350" s="1" t="n">
        <v>45798</v>
      </c>
      <c r="D10350" t="inlineStr">
        <is>
          <t>NORRBOTTENS LÄN</t>
        </is>
      </c>
      <c r="E10350" t="inlineStr">
        <is>
          <t>ÄLVSBYN</t>
        </is>
      </c>
      <c r="F10350" t="inlineStr">
        <is>
          <t>Övriga Aktiebolag</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59838-2024</t>
        </is>
      </c>
      <c r="B10351" s="1" t="n">
        <v>45639</v>
      </c>
      <c r="C10351" s="1" t="n">
        <v>45798</v>
      </c>
      <c r="D10351" t="inlineStr">
        <is>
          <t>NORRBOTTENS LÄN</t>
        </is>
      </c>
      <c r="E10351" t="inlineStr">
        <is>
          <t>KIRUNA</t>
        </is>
      </c>
      <c r="G10351" t="n">
        <v>37.1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59704-2024</t>
        </is>
      </c>
      <c r="B10352" s="1" t="n">
        <v>45639</v>
      </c>
      <c r="C10352" s="1" t="n">
        <v>45798</v>
      </c>
      <c r="D10352" t="inlineStr">
        <is>
          <t>NORRBOTTENS LÄN</t>
        </is>
      </c>
      <c r="E10352" t="inlineStr">
        <is>
          <t>GÄLLIVARE</t>
        </is>
      </c>
      <c r="F10352" t="inlineStr">
        <is>
          <t>Sveaskog</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59678-2024</t>
        </is>
      </c>
      <c r="B10353" s="1" t="n">
        <v>45639</v>
      </c>
      <c r="C10353" s="1" t="n">
        <v>45798</v>
      </c>
      <c r="D10353" t="inlineStr">
        <is>
          <t>NORRBOTTENS LÄN</t>
        </is>
      </c>
      <c r="E10353" t="inlineStr">
        <is>
          <t>PITEÅ</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59662-2024</t>
        </is>
      </c>
      <c r="B10354" s="1" t="n">
        <v>45639</v>
      </c>
      <c r="C10354" s="1" t="n">
        <v>45798</v>
      </c>
      <c r="D10354" t="inlineStr">
        <is>
          <t>NORRBOTTENS LÄN</t>
        </is>
      </c>
      <c r="E10354" t="inlineStr">
        <is>
          <t>ÖVERTORNEÅ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60085-2024</t>
        </is>
      </c>
      <c r="B10355" s="1" t="n">
        <v>45639</v>
      </c>
      <c r="C10355" s="1" t="n">
        <v>45798</v>
      </c>
      <c r="D10355" t="inlineStr">
        <is>
          <t>NORRBOTTENS LÄN</t>
        </is>
      </c>
      <c r="E10355" t="inlineStr">
        <is>
          <t>BODEN</t>
        </is>
      </c>
      <c r="G10355" t="n">
        <v>9.5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59793-2024</t>
        </is>
      </c>
      <c r="B10356" s="1" t="n">
        <v>45639</v>
      </c>
      <c r="C10356" s="1" t="n">
        <v>45798</v>
      </c>
      <c r="D10356" t="inlineStr">
        <is>
          <t>NORRBOTTENS LÄN</t>
        </is>
      </c>
      <c r="E10356" t="inlineStr">
        <is>
          <t>JOKKMOKK</t>
        </is>
      </c>
      <c r="F10356" t="inlineStr">
        <is>
          <t>Sveaskog</t>
        </is>
      </c>
      <c r="G10356" t="n">
        <v>10.8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59736-2024</t>
        </is>
      </c>
      <c r="B10357" s="1" t="n">
        <v>45639</v>
      </c>
      <c r="C10357" s="1" t="n">
        <v>45798</v>
      </c>
      <c r="D10357" t="inlineStr">
        <is>
          <t>NORRBOTTENS LÄN</t>
        </is>
      </c>
      <c r="E10357" t="inlineStr">
        <is>
          <t>KALIX</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59703-2024</t>
        </is>
      </c>
      <c r="B10358" s="1" t="n">
        <v>45639</v>
      </c>
      <c r="C10358" s="1" t="n">
        <v>45798</v>
      </c>
      <c r="D10358" t="inlineStr">
        <is>
          <t>NORRBOTTENS LÄN</t>
        </is>
      </c>
      <c r="E10358" t="inlineStr">
        <is>
          <t>GÄLLIVARE</t>
        </is>
      </c>
      <c r="F10358" t="inlineStr">
        <is>
          <t>Sveaskog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59695-2024</t>
        </is>
      </c>
      <c r="B10359" s="1" t="n">
        <v>45639</v>
      </c>
      <c r="C10359" s="1" t="n">
        <v>45798</v>
      </c>
      <c r="D10359" t="inlineStr">
        <is>
          <t>NORRBOTTENS LÄN</t>
        </is>
      </c>
      <c r="E10359" t="inlineStr">
        <is>
          <t>GÄLLIVARE</t>
        </is>
      </c>
      <c r="F10359" t="inlineStr">
        <is>
          <t>Sveaskog</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59677-2024</t>
        </is>
      </c>
      <c r="B10360" s="1" t="n">
        <v>45639</v>
      </c>
      <c r="C10360" s="1" t="n">
        <v>45798</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59887-2024</t>
        </is>
      </c>
      <c r="B10361" s="1" t="n">
        <v>45641</v>
      </c>
      <c r="C10361" s="1" t="n">
        <v>45798</v>
      </c>
      <c r="D10361" t="inlineStr">
        <is>
          <t>NORRBOTTENS LÄN</t>
        </is>
      </c>
      <c r="E10361" t="inlineStr">
        <is>
          <t>KALIX</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59920-2024</t>
        </is>
      </c>
      <c r="B10362" s="1" t="n">
        <v>45641</v>
      </c>
      <c r="C10362" s="1" t="n">
        <v>45798</v>
      </c>
      <c r="D10362" t="inlineStr">
        <is>
          <t>NORRBOTTENS LÄN</t>
        </is>
      </c>
      <c r="E10362" t="inlineStr">
        <is>
          <t>PITEÅ</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59886-2024</t>
        </is>
      </c>
      <c r="B10363" s="1" t="n">
        <v>45641</v>
      </c>
      <c r="C10363" s="1" t="n">
        <v>45798</v>
      </c>
      <c r="D10363" t="inlineStr">
        <is>
          <t>NORRBOTTENS LÄN</t>
        </is>
      </c>
      <c r="E10363" t="inlineStr">
        <is>
          <t>KALIX</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59911-2024</t>
        </is>
      </c>
      <c r="B10364" s="1" t="n">
        <v>45641</v>
      </c>
      <c r="C10364" s="1" t="n">
        <v>45798</v>
      </c>
      <c r="D10364" t="inlineStr">
        <is>
          <t>NORRBOTTENS LÄN</t>
        </is>
      </c>
      <c r="E10364" t="inlineStr">
        <is>
          <t>ÖVERKALIX</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59919-2024</t>
        </is>
      </c>
      <c r="B10365" s="1" t="n">
        <v>45641</v>
      </c>
      <c r="C10365" s="1" t="n">
        <v>45798</v>
      </c>
      <c r="D10365" t="inlineStr">
        <is>
          <t>NORRBOTTENS LÄN</t>
        </is>
      </c>
      <c r="E10365" t="inlineStr">
        <is>
          <t>PITEÅ</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59885-2024</t>
        </is>
      </c>
      <c r="B10366" s="1" t="n">
        <v>45641</v>
      </c>
      <c r="C10366" s="1" t="n">
        <v>45798</v>
      </c>
      <c r="D10366" t="inlineStr">
        <is>
          <t>NORRBOTTENS LÄN</t>
        </is>
      </c>
      <c r="E10366" t="inlineStr">
        <is>
          <t>KALIX</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59884-2024</t>
        </is>
      </c>
      <c r="B10367" s="1" t="n">
        <v>45641</v>
      </c>
      <c r="C10367" s="1" t="n">
        <v>45798</v>
      </c>
      <c r="D10367" t="inlineStr">
        <is>
          <t>NORRBOTTENS LÄN</t>
        </is>
      </c>
      <c r="E10367" t="inlineStr">
        <is>
          <t>KALIX</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60217-2024</t>
        </is>
      </c>
      <c r="B10368" s="1" t="n">
        <v>45642</v>
      </c>
      <c r="C10368" s="1" t="n">
        <v>45798</v>
      </c>
      <c r="D10368" t="inlineStr">
        <is>
          <t>NORRBOTTENS LÄN</t>
        </is>
      </c>
      <c r="E10368" t="inlineStr">
        <is>
          <t>HAPARANDA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60221-2024</t>
        </is>
      </c>
      <c r="B10369" s="1" t="n">
        <v>45642</v>
      </c>
      <c r="C10369" s="1" t="n">
        <v>45798</v>
      </c>
      <c r="D10369" t="inlineStr">
        <is>
          <t>NORRBOTTENS LÄN</t>
        </is>
      </c>
      <c r="E10369" t="inlineStr">
        <is>
          <t>GÄLLIVARE</t>
        </is>
      </c>
      <c r="F10369" t="inlineStr">
        <is>
          <t>SCA</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60587-2024</t>
        </is>
      </c>
      <c r="B10370" s="1" t="n">
        <v>45642</v>
      </c>
      <c r="C10370" s="1" t="n">
        <v>45798</v>
      </c>
      <c r="D10370" t="inlineStr">
        <is>
          <t>NORRBOTTENS LÄN</t>
        </is>
      </c>
      <c r="E10370" t="inlineStr">
        <is>
          <t>BODEN</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60222-2024</t>
        </is>
      </c>
      <c r="B10371" s="1" t="n">
        <v>45642</v>
      </c>
      <c r="C10371" s="1" t="n">
        <v>45798</v>
      </c>
      <c r="D10371" t="inlineStr">
        <is>
          <t>NORRBOTTENS LÄN</t>
        </is>
      </c>
      <c r="E10371" t="inlineStr">
        <is>
          <t>KALIX</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60214-2024</t>
        </is>
      </c>
      <c r="B10372" s="1" t="n">
        <v>45642</v>
      </c>
      <c r="C10372" s="1" t="n">
        <v>45798</v>
      </c>
      <c r="D10372" t="inlineStr">
        <is>
          <t>NORRBOTTENS LÄN</t>
        </is>
      </c>
      <c r="E10372" t="inlineStr">
        <is>
          <t>HAPARANDA</t>
        </is>
      </c>
      <c r="G10372" t="n">
        <v>11.7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60082-2024</t>
        </is>
      </c>
      <c r="B10373" s="1" t="n">
        <v>45642</v>
      </c>
      <c r="C10373" s="1" t="n">
        <v>45798</v>
      </c>
      <c r="D10373" t="inlineStr">
        <is>
          <t>NORRBOTTENS LÄN</t>
        </is>
      </c>
      <c r="E10373" t="inlineStr">
        <is>
          <t>PITEÅ</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60121-2024</t>
        </is>
      </c>
      <c r="B10374" s="1" t="n">
        <v>45642</v>
      </c>
      <c r="C10374" s="1" t="n">
        <v>45798</v>
      </c>
      <c r="D10374" t="inlineStr">
        <is>
          <t>NORRBOTTENS LÄN</t>
        </is>
      </c>
      <c r="E10374" t="inlineStr">
        <is>
          <t>LULEÅ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60108-2024</t>
        </is>
      </c>
      <c r="B10375" s="1" t="n">
        <v>45642</v>
      </c>
      <c r="C10375" s="1" t="n">
        <v>45798</v>
      </c>
      <c r="D10375" t="inlineStr">
        <is>
          <t>NORRBOTTENS LÄN</t>
        </is>
      </c>
      <c r="E10375" t="inlineStr">
        <is>
          <t>PITEÅ</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60106-2024</t>
        </is>
      </c>
      <c r="B10376" s="1" t="n">
        <v>45642</v>
      </c>
      <c r="C10376" s="1" t="n">
        <v>45798</v>
      </c>
      <c r="D10376" t="inlineStr">
        <is>
          <t>NORRBOTTENS LÄN</t>
        </is>
      </c>
      <c r="E10376" t="inlineStr">
        <is>
          <t>LULEÅ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60219-2024</t>
        </is>
      </c>
      <c r="B10377" s="1" t="n">
        <v>45642</v>
      </c>
      <c r="C10377" s="1" t="n">
        <v>45798</v>
      </c>
      <c r="D10377" t="inlineStr">
        <is>
          <t>NORRBOTTENS LÄN</t>
        </is>
      </c>
      <c r="E10377" t="inlineStr">
        <is>
          <t>HAPARANDA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60130-2024</t>
        </is>
      </c>
      <c r="B10378" s="1" t="n">
        <v>45642</v>
      </c>
      <c r="C10378" s="1" t="n">
        <v>45798</v>
      </c>
      <c r="D10378" t="inlineStr">
        <is>
          <t>NORRBOTTENS LÄN</t>
        </is>
      </c>
      <c r="E10378" t="inlineStr">
        <is>
          <t>LULEÅ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59990-2024</t>
        </is>
      </c>
      <c r="B10379" s="1" t="n">
        <v>45642</v>
      </c>
      <c r="C10379" s="1" t="n">
        <v>45798</v>
      </c>
      <c r="D10379" t="inlineStr">
        <is>
          <t>NORRBOTTENS LÄN</t>
        </is>
      </c>
      <c r="E10379" t="inlineStr">
        <is>
          <t>PITEÅ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59973-2024</t>
        </is>
      </c>
      <c r="B10380" s="1" t="n">
        <v>45642</v>
      </c>
      <c r="C10380" s="1" t="n">
        <v>45798</v>
      </c>
      <c r="D10380" t="inlineStr">
        <is>
          <t>NORRBOTTENS LÄN</t>
        </is>
      </c>
      <c r="E10380" t="inlineStr">
        <is>
          <t>PITEÅ</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59969-2024</t>
        </is>
      </c>
      <c r="B10381" s="1" t="n">
        <v>45642</v>
      </c>
      <c r="C10381" s="1" t="n">
        <v>45798</v>
      </c>
      <c r="D10381" t="inlineStr">
        <is>
          <t>NORRBOTTENS LÄN</t>
        </is>
      </c>
      <c r="E10381" t="inlineStr">
        <is>
          <t>PITEÅ</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59954-2024</t>
        </is>
      </c>
      <c r="B10382" s="1" t="n">
        <v>45642</v>
      </c>
      <c r="C10382" s="1" t="n">
        <v>45798</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59950-2024</t>
        </is>
      </c>
      <c r="B10383" s="1" t="n">
        <v>45642</v>
      </c>
      <c r="C10383" s="1" t="n">
        <v>45798</v>
      </c>
      <c r="D10383" t="inlineStr">
        <is>
          <t>NORRBOTTENS LÄN</t>
        </is>
      </c>
      <c r="E10383" t="inlineStr">
        <is>
          <t>ÄLVSBYN</t>
        </is>
      </c>
      <c r="F10383" t="inlineStr">
        <is>
          <t>Sveaskog</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59961-2024</t>
        </is>
      </c>
      <c r="B10384" s="1" t="n">
        <v>45642</v>
      </c>
      <c r="C10384" s="1" t="n">
        <v>45798</v>
      </c>
      <c r="D10384" t="inlineStr">
        <is>
          <t>NORRBOTTENS LÄN</t>
        </is>
      </c>
      <c r="E10384" t="inlineStr">
        <is>
          <t>PITEÅ</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59951-2024</t>
        </is>
      </c>
      <c r="B10385" s="1" t="n">
        <v>45642</v>
      </c>
      <c r="C10385" s="1" t="n">
        <v>45798</v>
      </c>
      <c r="D10385" t="inlineStr">
        <is>
          <t>NORRBOTTENS LÄN</t>
        </is>
      </c>
      <c r="E10385" t="inlineStr">
        <is>
          <t>PITEÅ</t>
        </is>
      </c>
      <c r="G10385" t="n">
        <v>13.3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60337-2024</t>
        </is>
      </c>
      <c r="B10386" s="1" t="n">
        <v>45643</v>
      </c>
      <c r="C10386" s="1" t="n">
        <v>45798</v>
      </c>
      <c r="D10386" t="inlineStr">
        <is>
          <t>NORRBOTTENS LÄN</t>
        </is>
      </c>
      <c r="E10386" t="inlineStr">
        <is>
          <t>BODEN</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60393-2024</t>
        </is>
      </c>
      <c r="B10387" s="1" t="n">
        <v>45643</v>
      </c>
      <c r="C10387" s="1" t="n">
        <v>45798</v>
      </c>
      <c r="D10387" t="inlineStr">
        <is>
          <t>NORRBOTTENS LÄN</t>
        </is>
      </c>
      <c r="E10387" t="inlineStr">
        <is>
          <t>ÖVERKALIX</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60387-2024</t>
        </is>
      </c>
      <c r="B10388" s="1" t="n">
        <v>45643</v>
      </c>
      <c r="C10388" s="1" t="n">
        <v>45798</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60399-2024</t>
        </is>
      </c>
      <c r="B10389" s="1" t="n">
        <v>45643</v>
      </c>
      <c r="C10389" s="1" t="n">
        <v>45798</v>
      </c>
      <c r="D10389" t="inlineStr">
        <is>
          <t>NORRBOTTENS LÄN</t>
        </is>
      </c>
      <c r="E10389" t="inlineStr">
        <is>
          <t>PAJALA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60417-2024</t>
        </is>
      </c>
      <c r="B10390" s="1" t="n">
        <v>45643</v>
      </c>
      <c r="C10390" s="1" t="n">
        <v>45798</v>
      </c>
      <c r="D10390" t="inlineStr">
        <is>
          <t>NORRBOTTENS LÄN</t>
        </is>
      </c>
      <c r="E10390" t="inlineStr">
        <is>
          <t>ÖVERKALIX</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60462-2024</t>
        </is>
      </c>
      <c r="B10391" s="1" t="n">
        <v>45643</v>
      </c>
      <c r="C10391" s="1" t="n">
        <v>45798</v>
      </c>
      <c r="D10391" t="inlineStr">
        <is>
          <t>NORRBOTTENS LÄN</t>
        </is>
      </c>
      <c r="E10391" t="inlineStr">
        <is>
          <t>ÖVERTORNEÅ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60466-2024</t>
        </is>
      </c>
      <c r="B10392" s="1" t="n">
        <v>45643</v>
      </c>
      <c r="C10392" s="1" t="n">
        <v>45798</v>
      </c>
      <c r="D10392" t="inlineStr">
        <is>
          <t>NORRBOTTENS LÄN</t>
        </is>
      </c>
      <c r="E10392" t="inlineStr">
        <is>
          <t>BODEN</t>
        </is>
      </c>
      <c r="F10392" t="inlineStr">
        <is>
          <t>Sveaskog</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60526-2024</t>
        </is>
      </c>
      <c r="B10393" s="1" t="n">
        <v>45643</v>
      </c>
      <c r="C10393" s="1" t="n">
        <v>45798</v>
      </c>
      <c r="D10393" t="inlineStr">
        <is>
          <t>NORRBOTTENS LÄN</t>
        </is>
      </c>
      <c r="E10393" t="inlineStr">
        <is>
          <t>BODEN</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60418-2024</t>
        </is>
      </c>
      <c r="B10394" s="1" t="n">
        <v>45643</v>
      </c>
      <c r="C10394" s="1" t="n">
        <v>45798</v>
      </c>
      <c r="D10394" t="inlineStr">
        <is>
          <t>NORRBOTTENS LÄN</t>
        </is>
      </c>
      <c r="E10394" t="inlineStr">
        <is>
          <t>ÖVERKALIX</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60463-2024</t>
        </is>
      </c>
      <c r="B10395" s="1" t="n">
        <v>45643</v>
      </c>
      <c r="C10395" s="1" t="n">
        <v>45798</v>
      </c>
      <c r="D10395" t="inlineStr">
        <is>
          <t>NORRBOTTENS LÄN</t>
        </is>
      </c>
      <c r="E10395" t="inlineStr">
        <is>
          <t>ÖVERKALIX</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60657-2024</t>
        </is>
      </c>
      <c r="B10396" s="1" t="n">
        <v>45644</v>
      </c>
      <c r="C10396" s="1" t="n">
        <v>45798</v>
      </c>
      <c r="D10396" t="inlineStr">
        <is>
          <t>NORRBOTTENS LÄN</t>
        </is>
      </c>
      <c r="E10396" t="inlineStr">
        <is>
          <t>ÖVERTORNEÅ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60661-2024</t>
        </is>
      </c>
      <c r="B10397" s="1" t="n">
        <v>45644</v>
      </c>
      <c r="C10397" s="1" t="n">
        <v>45798</v>
      </c>
      <c r="D10397" t="inlineStr">
        <is>
          <t>NORRBOTTENS LÄN</t>
        </is>
      </c>
      <c r="E10397" t="inlineStr">
        <is>
          <t>KALIX</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60774-2024</t>
        </is>
      </c>
      <c r="B10398" s="1" t="n">
        <v>45644</v>
      </c>
      <c r="C10398" s="1" t="n">
        <v>45798</v>
      </c>
      <c r="D10398" t="inlineStr">
        <is>
          <t>NORRBOTTENS LÄN</t>
        </is>
      </c>
      <c r="E10398" t="inlineStr">
        <is>
          <t>ÖVERKALIX</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60652-2024</t>
        </is>
      </c>
      <c r="B10399" s="1" t="n">
        <v>45644</v>
      </c>
      <c r="C10399" s="1" t="n">
        <v>45798</v>
      </c>
      <c r="D10399" t="inlineStr">
        <is>
          <t>NORRBOTTENS LÄN</t>
        </is>
      </c>
      <c r="E10399" t="inlineStr">
        <is>
          <t>ÖVERTORNEÅ</t>
        </is>
      </c>
      <c r="G10399" t="n">
        <v>8.699999999999999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60618-2024</t>
        </is>
      </c>
      <c r="B10400" s="1" t="n">
        <v>45644</v>
      </c>
      <c r="C10400" s="1" t="n">
        <v>45798</v>
      </c>
      <c r="D10400" t="inlineStr">
        <is>
          <t>NORRBOTTENS LÄN</t>
        </is>
      </c>
      <c r="E10400" t="inlineStr">
        <is>
          <t>PITEÅ</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60584-2024</t>
        </is>
      </c>
      <c r="B10401" s="1" t="n">
        <v>45644</v>
      </c>
      <c r="C10401" s="1" t="n">
        <v>45798</v>
      </c>
      <c r="D10401" t="inlineStr">
        <is>
          <t>NORRBOTTENS LÄN</t>
        </is>
      </c>
      <c r="E10401" t="inlineStr">
        <is>
          <t>LULEÅ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60687-2024</t>
        </is>
      </c>
      <c r="B10402" s="1" t="n">
        <v>45644</v>
      </c>
      <c r="C10402" s="1" t="n">
        <v>45798</v>
      </c>
      <c r="D10402" t="inlineStr">
        <is>
          <t>NORRBOTTENS LÄN</t>
        </is>
      </c>
      <c r="E10402" t="inlineStr">
        <is>
          <t>PITEÅ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60804-2024</t>
        </is>
      </c>
      <c r="B10403" s="1" t="n">
        <v>45644</v>
      </c>
      <c r="C10403" s="1" t="n">
        <v>45798</v>
      </c>
      <c r="D10403" t="inlineStr">
        <is>
          <t>NORRBOTTENS LÄN</t>
        </is>
      </c>
      <c r="E10403" t="inlineStr">
        <is>
          <t>BODEN</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60773-2024</t>
        </is>
      </c>
      <c r="B10404" s="1" t="n">
        <v>45644</v>
      </c>
      <c r="C10404" s="1" t="n">
        <v>45798</v>
      </c>
      <c r="D10404" t="inlineStr">
        <is>
          <t>NORRBOTTENS LÄN</t>
        </is>
      </c>
      <c r="E10404" t="inlineStr">
        <is>
          <t>ÄLVSBYN</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60721-2024</t>
        </is>
      </c>
      <c r="B10405" s="1" t="n">
        <v>45644</v>
      </c>
      <c r="C10405" s="1" t="n">
        <v>45798</v>
      </c>
      <c r="D10405" t="inlineStr">
        <is>
          <t>NORRBOTTENS LÄN</t>
        </is>
      </c>
      <c r="E10405" t="inlineStr">
        <is>
          <t>LULEÅ</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60726-2024</t>
        </is>
      </c>
      <c r="B10406" s="1" t="n">
        <v>45644</v>
      </c>
      <c r="C10406" s="1" t="n">
        <v>45798</v>
      </c>
      <c r="D10406" t="inlineStr">
        <is>
          <t>NORRBOTTENS LÄN</t>
        </is>
      </c>
      <c r="E10406" t="inlineStr">
        <is>
          <t>ÄLVSBYN</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60598-2024</t>
        </is>
      </c>
      <c r="B10407" s="1" t="n">
        <v>45644</v>
      </c>
      <c r="C10407" s="1" t="n">
        <v>45798</v>
      </c>
      <c r="D10407" t="inlineStr">
        <is>
          <t>NORRBOTTENS LÄN</t>
        </is>
      </c>
      <c r="E10407" t="inlineStr">
        <is>
          <t>HAPARANDA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60739-2024</t>
        </is>
      </c>
      <c r="B10408" s="1" t="n">
        <v>45644</v>
      </c>
      <c r="C10408" s="1" t="n">
        <v>45798</v>
      </c>
      <c r="D10408" t="inlineStr">
        <is>
          <t>NORRBOTTENS LÄN</t>
        </is>
      </c>
      <c r="E10408" t="inlineStr">
        <is>
          <t>PITEÅ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60786-2024</t>
        </is>
      </c>
      <c r="B10409" s="1" t="n">
        <v>45644</v>
      </c>
      <c r="C10409" s="1" t="n">
        <v>45798</v>
      </c>
      <c r="D10409" t="inlineStr">
        <is>
          <t>NORRBOTTENS LÄN</t>
        </is>
      </c>
      <c r="E10409" t="inlineStr">
        <is>
          <t>ÖVERKALIX</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60585-2024</t>
        </is>
      </c>
      <c r="B10410" s="1" t="n">
        <v>45644</v>
      </c>
      <c r="C10410" s="1" t="n">
        <v>45798</v>
      </c>
      <c r="D10410" t="inlineStr">
        <is>
          <t>NORRBOTTENS LÄN</t>
        </is>
      </c>
      <c r="E10410" t="inlineStr">
        <is>
          <t>LULEÅ</t>
        </is>
      </c>
      <c r="G10410" t="n">
        <v>9.699999999999999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60608-2024</t>
        </is>
      </c>
      <c r="B10411" s="1" t="n">
        <v>45644</v>
      </c>
      <c r="C10411" s="1" t="n">
        <v>45798</v>
      </c>
      <c r="D10411" t="inlineStr">
        <is>
          <t>NORRBOTTENS LÄN</t>
        </is>
      </c>
      <c r="E10411" t="inlineStr">
        <is>
          <t>PAJALA</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60821-2024</t>
        </is>
      </c>
      <c r="B10412" s="1" t="n">
        <v>45644</v>
      </c>
      <c r="C10412" s="1" t="n">
        <v>45798</v>
      </c>
      <c r="D10412" t="inlineStr">
        <is>
          <t>NORRBOTTENS LÄN</t>
        </is>
      </c>
      <c r="E10412" t="inlineStr">
        <is>
          <t>JOKKMOKK</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60734-2024</t>
        </is>
      </c>
      <c r="B10413" s="1" t="n">
        <v>45644</v>
      </c>
      <c r="C10413" s="1" t="n">
        <v>45798</v>
      </c>
      <c r="D10413" t="inlineStr">
        <is>
          <t>NORRBOTTENS LÄN</t>
        </is>
      </c>
      <c r="E10413" t="inlineStr">
        <is>
          <t>LULEÅ</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60719-2024</t>
        </is>
      </c>
      <c r="B10414" s="1" t="n">
        <v>45644</v>
      </c>
      <c r="C10414" s="1" t="n">
        <v>45798</v>
      </c>
      <c r="D10414" t="inlineStr">
        <is>
          <t>NORRBOTTENS LÄN</t>
        </is>
      </c>
      <c r="E10414" t="inlineStr">
        <is>
          <t>LULEÅ</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60881-2024</t>
        </is>
      </c>
      <c r="B10415" s="1" t="n">
        <v>45644</v>
      </c>
      <c r="C10415" s="1" t="n">
        <v>45798</v>
      </c>
      <c r="D10415" t="inlineStr">
        <is>
          <t>NORRBOTTENS LÄN</t>
        </is>
      </c>
      <c r="E10415" t="inlineStr">
        <is>
          <t>PITEÅ</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60883-2024</t>
        </is>
      </c>
      <c r="B10416" s="1" t="n">
        <v>45644</v>
      </c>
      <c r="C10416" s="1" t="n">
        <v>45798</v>
      </c>
      <c r="D10416" t="inlineStr">
        <is>
          <t>NORRBOTTENS LÄN</t>
        </is>
      </c>
      <c r="E10416" t="inlineStr">
        <is>
          <t>PITEÅ</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60727-2024</t>
        </is>
      </c>
      <c r="B10417" s="1" t="n">
        <v>45644</v>
      </c>
      <c r="C10417" s="1" t="n">
        <v>45798</v>
      </c>
      <c r="D10417" t="inlineStr">
        <is>
          <t>NORRBOTTENS LÄN</t>
        </is>
      </c>
      <c r="E10417" t="inlineStr">
        <is>
          <t>LULEÅ</t>
        </is>
      </c>
      <c r="G10417" t="n">
        <v>18.7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60772-2024</t>
        </is>
      </c>
      <c r="B10418" s="1" t="n">
        <v>45644</v>
      </c>
      <c r="C10418" s="1" t="n">
        <v>45798</v>
      </c>
      <c r="D10418" t="inlineStr">
        <is>
          <t>NORRBOTTENS LÄN</t>
        </is>
      </c>
      <c r="E10418" t="inlineStr">
        <is>
          <t>ÖVERKALIX</t>
        </is>
      </c>
      <c r="G10418" t="n">
        <v>10.3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60776-2024</t>
        </is>
      </c>
      <c r="B10419" s="1" t="n">
        <v>45644</v>
      </c>
      <c r="C10419" s="1" t="n">
        <v>45798</v>
      </c>
      <c r="D10419" t="inlineStr">
        <is>
          <t>NORRBOTTENS LÄN</t>
        </is>
      </c>
      <c r="E10419" t="inlineStr">
        <is>
          <t>ÖVERKALIX</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60785-2024</t>
        </is>
      </c>
      <c r="B10420" s="1" t="n">
        <v>45644</v>
      </c>
      <c r="C10420" s="1" t="n">
        <v>45798</v>
      </c>
      <c r="D10420" t="inlineStr">
        <is>
          <t>NORRBOTTENS LÄN</t>
        </is>
      </c>
      <c r="E10420" t="inlineStr">
        <is>
          <t>ÄLVSBYN</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60964-2024</t>
        </is>
      </c>
      <c r="B10421" s="1" t="n">
        <v>45645</v>
      </c>
      <c r="C10421" s="1" t="n">
        <v>45798</v>
      </c>
      <c r="D10421" t="inlineStr">
        <is>
          <t>NORRBOTTENS LÄN</t>
        </is>
      </c>
      <c r="E10421" t="inlineStr">
        <is>
          <t>KALIX</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61096-2024</t>
        </is>
      </c>
      <c r="B10422" s="1" t="n">
        <v>45645</v>
      </c>
      <c r="C10422" s="1" t="n">
        <v>45798</v>
      </c>
      <c r="D10422" t="inlineStr">
        <is>
          <t>NORRBOTTENS LÄN</t>
        </is>
      </c>
      <c r="E10422" t="inlineStr">
        <is>
          <t>JOKKMOKK</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61075-2024</t>
        </is>
      </c>
      <c r="B10423" s="1" t="n">
        <v>45645</v>
      </c>
      <c r="C10423" s="1" t="n">
        <v>45798</v>
      </c>
      <c r="D10423" t="inlineStr">
        <is>
          <t>NORRBOTTENS LÄN</t>
        </is>
      </c>
      <c r="E10423" t="inlineStr">
        <is>
          <t>HAPARANDA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61068-2024</t>
        </is>
      </c>
      <c r="B10424" s="1" t="n">
        <v>45645</v>
      </c>
      <c r="C10424" s="1" t="n">
        <v>45798</v>
      </c>
      <c r="D10424" t="inlineStr">
        <is>
          <t>NORRBOTTENS LÄN</t>
        </is>
      </c>
      <c r="E10424" t="inlineStr">
        <is>
          <t>HAPARANDA</t>
        </is>
      </c>
      <c r="G10424" t="n">
        <v>10.5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61088-2024</t>
        </is>
      </c>
      <c r="B10425" s="1" t="n">
        <v>45645</v>
      </c>
      <c r="C10425" s="1" t="n">
        <v>45798</v>
      </c>
      <c r="D10425" t="inlineStr">
        <is>
          <t>NORRBOTTENS LÄN</t>
        </is>
      </c>
      <c r="E10425" t="inlineStr">
        <is>
          <t>JOKKMOKK</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61128-2024</t>
        </is>
      </c>
      <c r="B10426" s="1" t="n">
        <v>45645</v>
      </c>
      <c r="C10426" s="1" t="n">
        <v>45798</v>
      </c>
      <c r="D10426" t="inlineStr">
        <is>
          <t>NORRBOTTENS LÄN</t>
        </is>
      </c>
      <c r="E10426" t="inlineStr">
        <is>
          <t>BODEN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61031-2024</t>
        </is>
      </c>
      <c r="B10427" s="1" t="n">
        <v>45645</v>
      </c>
      <c r="C10427" s="1" t="n">
        <v>45798</v>
      </c>
      <c r="D10427" t="inlineStr">
        <is>
          <t>NORRBOTTENS LÄN</t>
        </is>
      </c>
      <c r="E10427" t="inlineStr">
        <is>
          <t>BODEN</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61500-2024</t>
        </is>
      </c>
      <c r="B10428" s="1" t="n">
        <v>45645</v>
      </c>
      <c r="C10428" s="1" t="n">
        <v>45798</v>
      </c>
      <c r="D10428" t="inlineStr">
        <is>
          <t>NORRBOTTENS LÄN</t>
        </is>
      </c>
      <c r="E10428" t="inlineStr">
        <is>
          <t>JOKKMOKK</t>
        </is>
      </c>
      <c r="G10428" t="n">
        <v>39.8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61077-2024</t>
        </is>
      </c>
      <c r="B10429" s="1" t="n">
        <v>45645</v>
      </c>
      <c r="C10429" s="1" t="n">
        <v>45798</v>
      </c>
      <c r="D10429" t="inlineStr">
        <is>
          <t>NORRBOTTENS LÄN</t>
        </is>
      </c>
      <c r="E10429" t="inlineStr">
        <is>
          <t>JOKKMOKK</t>
        </is>
      </c>
      <c r="G10429" t="n">
        <v>13.3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61104-2024</t>
        </is>
      </c>
      <c r="B10430" s="1" t="n">
        <v>45645</v>
      </c>
      <c r="C10430" s="1" t="n">
        <v>45798</v>
      </c>
      <c r="D10430" t="inlineStr">
        <is>
          <t>NORRBOTTENS LÄN</t>
        </is>
      </c>
      <c r="E10430" t="inlineStr">
        <is>
          <t>KALIX</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61210-2024</t>
        </is>
      </c>
      <c r="B10431" s="1" t="n">
        <v>45645</v>
      </c>
      <c r="C10431" s="1" t="n">
        <v>45798</v>
      </c>
      <c r="D10431" t="inlineStr">
        <is>
          <t>NORRBOTTENS LÄN</t>
        </is>
      </c>
      <c r="E10431" t="inlineStr">
        <is>
          <t>BODEN</t>
        </is>
      </c>
      <c r="F10431" t="inlineStr">
        <is>
          <t>Sveaskog</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61214-2024</t>
        </is>
      </c>
      <c r="B10432" s="1" t="n">
        <v>45645</v>
      </c>
      <c r="C10432" s="1" t="n">
        <v>45798</v>
      </c>
      <c r="D10432" t="inlineStr">
        <is>
          <t>NORRBOTTENS LÄN</t>
        </is>
      </c>
      <c r="E10432" t="inlineStr">
        <is>
          <t>BODEN</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61162-2024</t>
        </is>
      </c>
      <c r="B10433" s="1" t="n">
        <v>45645</v>
      </c>
      <c r="C10433" s="1" t="n">
        <v>45798</v>
      </c>
      <c r="D10433" t="inlineStr">
        <is>
          <t>NORRBOTTENS LÄN</t>
        </is>
      </c>
      <c r="E10433" t="inlineStr">
        <is>
          <t>BODEN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61066-2024</t>
        </is>
      </c>
      <c r="B10434" s="1" t="n">
        <v>45645</v>
      </c>
      <c r="C10434" s="1" t="n">
        <v>45798</v>
      </c>
      <c r="D10434" t="inlineStr">
        <is>
          <t>NORRBOTTENS LÄN</t>
        </is>
      </c>
      <c r="E10434" t="inlineStr">
        <is>
          <t>KIRUNA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61273-2024</t>
        </is>
      </c>
      <c r="B10435" s="1" t="n">
        <v>45645</v>
      </c>
      <c r="C10435" s="1" t="n">
        <v>45798</v>
      </c>
      <c r="D10435" t="inlineStr">
        <is>
          <t>NORRBOTTENS LÄN</t>
        </is>
      </c>
      <c r="E10435" t="inlineStr">
        <is>
          <t>PAJALA</t>
        </is>
      </c>
      <c r="G10435" t="n">
        <v>14.2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61374-2024</t>
        </is>
      </c>
      <c r="B10436" s="1" t="n">
        <v>45646</v>
      </c>
      <c r="C10436" s="1" t="n">
        <v>45798</v>
      </c>
      <c r="D10436" t="inlineStr">
        <is>
          <t>NORRBOTTENS LÄN</t>
        </is>
      </c>
      <c r="E10436" t="inlineStr">
        <is>
          <t>ARVIDSJAUR</t>
        </is>
      </c>
      <c r="G10436" t="n">
        <v>13.9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61396-2024</t>
        </is>
      </c>
      <c r="B10437" s="1" t="n">
        <v>45646</v>
      </c>
      <c r="C10437" s="1" t="n">
        <v>45798</v>
      </c>
      <c r="D10437" t="inlineStr">
        <is>
          <t>NORRBOTTENS LÄN</t>
        </is>
      </c>
      <c r="E10437" t="inlineStr">
        <is>
          <t>LULEÅ</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61488-2024</t>
        </is>
      </c>
      <c r="B10438" s="1" t="n">
        <v>45646</v>
      </c>
      <c r="C10438" s="1" t="n">
        <v>45798</v>
      </c>
      <c r="D10438" t="inlineStr">
        <is>
          <t>NORRBOTTENS LÄN</t>
        </is>
      </c>
      <c r="E10438" t="inlineStr">
        <is>
          <t>LULEÅ</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61513-2024</t>
        </is>
      </c>
      <c r="B10439" s="1" t="n">
        <v>45646</v>
      </c>
      <c r="C10439" s="1" t="n">
        <v>45798</v>
      </c>
      <c r="D10439" t="inlineStr">
        <is>
          <t>NORRBOTTENS LÄN</t>
        </is>
      </c>
      <c r="E10439" t="inlineStr">
        <is>
          <t>BODEN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61468-2024</t>
        </is>
      </c>
      <c r="B10440" s="1" t="n">
        <v>45646</v>
      </c>
      <c r="C10440" s="1" t="n">
        <v>45798</v>
      </c>
      <c r="D10440" t="inlineStr">
        <is>
          <t>NORRBOTTENS LÄN</t>
        </is>
      </c>
      <c r="E10440" t="inlineStr">
        <is>
          <t>GÄLLIVARE</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61570-2024</t>
        </is>
      </c>
      <c r="B10441" s="1" t="n">
        <v>45646</v>
      </c>
      <c r="C10441" s="1" t="n">
        <v>45798</v>
      </c>
      <c r="D10441" t="inlineStr">
        <is>
          <t>NORRBOTTENS LÄN</t>
        </is>
      </c>
      <c r="E10441" t="inlineStr">
        <is>
          <t>BODEN</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61568-2024</t>
        </is>
      </c>
      <c r="B10442" s="1" t="n">
        <v>45646</v>
      </c>
      <c r="C10442" s="1" t="n">
        <v>45798</v>
      </c>
      <c r="D10442" t="inlineStr">
        <is>
          <t>NORRBOTTENS LÄN</t>
        </is>
      </c>
      <c r="E10442" t="inlineStr">
        <is>
          <t>BODEN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61588-2024</t>
        </is>
      </c>
      <c r="B10443" s="1" t="n">
        <v>45646</v>
      </c>
      <c r="C10443" s="1" t="n">
        <v>45798</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61603-2024</t>
        </is>
      </c>
      <c r="B10444" s="1" t="n">
        <v>45646</v>
      </c>
      <c r="C10444" s="1" t="n">
        <v>45798</v>
      </c>
      <c r="D10444" t="inlineStr">
        <is>
          <t>NORRBOTTENS LÄN</t>
        </is>
      </c>
      <c r="E10444" t="inlineStr">
        <is>
          <t>BODEN</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61369-2024</t>
        </is>
      </c>
      <c r="B10445" s="1" t="n">
        <v>45646</v>
      </c>
      <c r="C10445" s="1" t="n">
        <v>45798</v>
      </c>
      <c r="D10445" t="inlineStr">
        <is>
          <t>NORRBOTTENS LÄN</t>
        </is>
      </c>
      <c r="E10445" t="inlineStr">
        <is>
          <t>PAJALA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61383-2024</t>
        </is>
      </c>
      <c r="B10446" s="1" t="n">
        <v>45646</v>
      </c>
      <c r="C10446" s="1" t="n">
        <v>45798</v>
      </c>
      <c r="D10446" t="inlineStr">
        <is>
          <t>NORRBOTTENS LÄN</t>
        </is>
      </c>
      <c r="E10446" t="inlineStr">
        <is>
          <t>ARVIDSJAUR</t>
        </is>
      </c>
      <c r="G10446" t="n">
        <v>17.5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61625-2024</t>
        </is>
      </c>
      <c r="B10447" s="1" t="n">
        <v>45646</v>
      </c>
      <c r="C10447" s="1" t="n">
        <v>45798</v>
      </c>
      <c r="D10447" t="inlineStr">
        <is>
          <t>NORRBOTTENS LÄN</t>
        </is>
      </c>
      <c r="E10447" t="inlineStr">
        <is>
          <t>ARVIDSJAUR</t>
        </is>
      </c>
      <c r="F10447" t="inlineStr">
        <is>
          <t>Sveaskog</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61630-2024</t>
        </is>
      </c>
      <c r="B10448" s="1" t="n">
        <v>45646</v>
      </c>
      <c r="C10448" s="1" t="n">
        <v>45798</v>
      </c>
      <c r="D10448" t="inlineStr">
        <is>
          <t>NORRBOTTENS LÄN</t>
        </is>
      </c>
      <c r="E10448" t="inlineStr">
        <is>
          <t>BODEN</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61632-2024</t>
        </is>
      </c>
      <c r="B10449" s="1" t="n">
        <v>45646</v>
      </c>
      <c r="C10449" s="1" t="n">
        <v>45798</v>
      </c>
      <c r="D10449" t="inlineStr">
        <is>
          <t>NORRBOTTENS LÄN</t>
        </is>
      </c>
      <c r="E10449" t="inlineStr">
        <is>
          <t>BODEN</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61640-2024</t>
        </is>
      </c>
      <c r="B10450" s="1" t="n">
        <v>45646</v>
      </c>
      <c r="C10450" s="1" t="n">
        <v>45798</v>
      </c>
      <c r="D10450" t="inlineStr">
        <is>
          <t>NORRBOTTENS LÄN</t>
        </is>
      </c>
      <c r="E10450" t="inlineStr">
        <is>
          <t>JOKKMOKK</t>
        </is>
      </c>
      <c r="G10450" t="n">
        <v>10.6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61473-2024</t>
        </is>
      </c>
      <c r="B10451" s="1" t="n">
        <v>45646</v>
      </c>
      <c r="C10451" s="1" t="n">
        <v>45798</v>
      </c>
      <c r="D10451" t="inlineStr">
        <is>
          <t>NORRBOTTENS LÄN</t>
        </is>
      </c>
      <c r="E10451" t="inlineStr">
        <is>
          <t>GÄLLIVARE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61504-2024</t>
        </is>
      </c>
      <c r="B10452" s="1" t="n">
        <v>45646</v>
      </c>
      <c r="C10452" s="1" t="n">
        <v>45798</v>
      </c>
      <c r="D10452" t="inlineStr">
        <is>
          <t>NORRBOTTENS LÄN</t>
        </is>
      </c>
      <c r="E10452" t="inlineStr">
        <is>
          <t>LULEÅ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61557-2024</t>
        </is>
      </c>
      <c r="B10453" s="1" t="n">
        <v>45646</v>
      </c>
      <c r="C10453" s="1" t="n">
        <v>45798</v>
      </c>
      <c r="D10453" t="inlineStr">
        <is>
          <t>NORRBOTTENS LÄN</t>
        </is>
      </c>
      <c r="E10453" t="inlineStr">
        <is>
          <t>LULEÅ</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62140-2024</t>
        </is>
      </c>
      <c r="B10454" s="1" t="n">
        <v>45646</v>
      </c>
      <c r="C10454" s="1" t="n">
        <v>45798</v>
      </c>
      <c r="D10454" t="inlineStr">
        <is>
          <t>NORRBOTTENS LÄN</t>
        </is>
      </c>
      <c r="E10454" t="inlineStr">
        <is>
          <t>BODEN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61426-2024</t>
        </is>
      </c>
      <c r="B10455" s="1" t="n">
        <v>45646</v>
      </c>
      <c r="C10455" s="1" t="n">
        <v>45798</v>
      </c>
      <c r="D10455" t="inlineStr">
        <is>
          <t>NORRBOTTENS LÄN</t>
        </is>
      </c>
      <c r="E10455" t="inlineStr">
        <is>
          <t>LULEÅ</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61462-2024</t>
        </is>
      </c>
      <c r="B10456" s="1" t="n">
        <v>45646</v>
      </c>
      <c r="C10456" s="1" t="n">
        <v>45798</v>
      </c>
      <c r="D10456" t="inlineStr">
        <is>
          <t>NORRBOTTENS LÄN</t>
        </is>
      </c>
      <c r="E10456" t="inlineStr">
        <is>
          <t>PITEÅ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61471-2024</t>
        </is>
      </c>
      <c r="B10457" s="1" t="n">
        <v>45646</v>
      </c>
      <c r="C10457" s="1" t="n">
        <v>45798</v>
      </c>
      <c r="D10457" t="inlineStr">
        <is>
          <t>NORRBOTTENS LÄN</t>
        </is>
      </c>
      <c r="E10457" t="inlineStr">
        <is>
          <t>GÄLLIVARE</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61476-2024</t>
        </is>
      </c>
      <c r="B10458" s="1" t="n">
        <v>45646</v>
      </c>
      <c r="C10458" s="1" t="n">
        <v>45798</v>
      </c>
      <c r="D10458" t="inlineStr">
        <is>
          <t>NORRBOTTENS LÄN</t>
        </is>
      </c>
      <c r="E10458" t="inlineStr">
        <is>
          <t>GÄLLIVARE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61510-2024</t>
        </is>
      </c>
      <c r="B10459" s="1" t="n">
        <v>45646</v>
      </c>
      <c r="C10459" s="1" t="n">
        <v>45798</v>
      </c>
      <c r="D10459" t="inlineStr">
        <is>
          <t>NORRBOTTENS LÄN</t>
        </is>
      </c>
      <c r="E10459" t="inlineStr">
        <is>
          <t>LULEÅ</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61583-2024</t>
        </is>
      </c>
      <c r="B10460" s="1" t="n">
        <v>45646</v>
      </c>
      <c r="C10460" s="1" t="n">
        <v>45798</v>
      </c>
      <c r="D10460" t="inlineStr">
        <is>
          <t>NORRBOTTENS LÄN</t>
        </is>
      </c>
      <c r="E10460" t="inlineStr">
        <is>
          <t>BODEN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61587-2024</t>
        </is>
      </c>
      <c r="B10461" s="1" t="n">
        <v>45646</v>
      </c>
      <c r="C10461" s="1" t="n">
        <v>45798</v>
      </c>
      <c r="D10461" t="inlineStr">
        <is>
          <t>NORRBOTTENS LÄN</t>
        </is>
      </c>
      <c r="E10461" t="inlineStr">
        <is>
          <t>BODEN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61600-2024</t>
        </is>
      </c>
      <c r="B10462" s="1" t="n">
        <v>45646</v>
      </c>
      <c r="C10462" s="1" t="n">
        <v>45798</v>
      </c>
      <c r="D10462" t="inlineStr">
        <is>
          <t>NORRBOTTENS LÄN</t>
        </is>
      </c>
      <c r="E10462" t="inlineStr">
        <is>
          <t>BODEN</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61617-2024</t>
        </is>
      </c>
      <c r="B10463" s="1" t="n">
        <v>45646</v>
      </c>
      <c r="C10463" s="1" t="n">
        <v>45798</v>
      </c>
      <c r="D10463" t="inlineStr">
        <is>
          <t>NORRBOTTENS LÄN</t>
        </is>
      </c>
      <c r="E10463" t="inlineStr">
        <is>
          <t>BODEN</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61647-2024</t>
        </is>
      </c>
      <c r="B10464" s="1" t="n">
        <v>45646</v>
      </c>
      <c r="C10464" s="1" t="n">
        <v>45798</v>
      </c>
      <c r="D10464" t="inlineStr">
        <is>
          <t>NORRBOTTENS LÄN</t>
        </is>
      </c>
      <c r="E10464" t="inlineStr">
        <is>
          <t>JOKKMOKK</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61619-2024</t>
        </is>
      </c>
      <c r="B10465" s="1" t="n">
        <v>45646</v>
      </c>
      <c r="C10465" s="1" t="n">
        <v>45798</v>
      </c>
      <c r="D10465" t="inlineStr">
        <is>
          <t>NORRBOTTENS LÄN</t>
        </is>
      </c>
      <c r="E10465" t="inlineStr">
        <is>
          <t>ÄLVSBYN</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61641-2024</t>
        </is>
      </c>
      <c r="B10466" s="1" t="n">
        <v>45646</v>
      </c>
      <c r="C10466" s="1" t="n">
        <v>45798</v>
      </c>
      <c r="D10466" t="inlineStr">
        <is>
          <t>NORRBOTTENS LÄN</t>
        </is>
      </c>
      <c r="E10466" t="inlineStr">
        <is>
          <t>JOKKMOKK</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62137-2024</t>
        </is>
      </c>
      <c r="B10467" s="1" t="n">
        <v>45646</v>
      </c>
      <c r="C10467" s="1" t="n">
        <v>45798</v>
      </c>
      <c r="D10467" t="inlineStr">
        <is>
          <t>NORRBOTTENS LÄN</t>
        </is>
      </c>
      <c r="E10467" t="inlineStr">
        <is>
          <t>BODEN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61743-2024</t>
        </is>
      </c>
      <c r="B10468" s="1" t="n">
        <v>45649</v>
      </c>
      <c r="C10468" s="1" t="n">
        <v>45798</v>
      </c>
      <c r="D10468" t="inlineStr">
        <is>
          <t>NORRBOTTENS LÄN</t>
        </is>
      </c>
      <c r="E10468" t="inlineStr">
        <is>
          <t>BODEN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61771-2024</t>
        </is>
      </c>
      <c r="B10469" s="1" t="n">
        <v>45649</v>
      </c>
      <c r="C10469" s="1" t="n">
        <v>45798</v>
      </c>
      <c r="D10469" t="inlineStr">
        <is>
          <t>NORRBOTTENS LÄN</t>
        </is>
      </c>
      <c r="E10469" t="inlineStr">
        <is>
          <t>BODEN</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177-2025</t>
        </is>
      </c>
      <c r="B10470" s="1" t="n">
        <v>45649</v>
      </c>
      <c r="C10470" s="1" t="n">
        <v>45798</v>
      </c>
      <c r="D10470" t="inlineStr">
        <is>
          <t>NORRBOTTENS LÄN</t>
        </is>
      </c>
      <c r="E10470" t="inlineStr">
        <is>
          <t>GÄLLIVARE</t>
        </is>
      </c>
      <c r="F10470" t="inlineStr">
        <is>
          <t>Allmännings- och besparingsskogar</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184-2025</t>
        </is>
      </c>
      <c r="B10471" s="1" t="n">
        <v>45649</v>
      </c>
      <c r="C10471" s="1" t="n">
        <v>45798</v>
      </c>
      <c r="D10471" t="inlineStr">
        <is>
          <t>NORRBOTTENS LÄN</t>
        </is>
      </c>
      <c r="E10471" t="inlineStr">
        <is>
          <t>BODEN</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61808-2024</t>
        </is>
      </c>
      <c r="B10472" s="1" t="n">
        <v>45649</v>
      </c>
      <c r="C10472" s="1" t="n">
        <v>45798</v>
      </c>
      <c r="D10472" t="inlineStr">
        <is>
          <t>NORRBOTTENS LÄN</t>
        </is>
      </c>
      <c r="E10472" t="inlineStr">
        <is>
          <t>PITEÅ</t>
        </is>
      </c>
      <c r="G10472" t="n">
        <v>24.9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61772-2024</t>
        </is>
      </c>
      <c r="B10473" s="1" t="n">
        <v>45649</v>
      </c>
      <c r="C10473" s="1" t="n">
        <v>45798</v>
      </c>
      <c r="D10473" t="inlineStr">
        <is>
          <t>NORRBOTTENS LÄN</t>
        </is>
      </c>
      <c r="E10473" t="inlineStr">
        <is>
          <t>BODEN</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61768-2024</t>
        </is>
      </c>
      <c r="B10474" s="1" t="n">
        <v>45649</v>
      </c>
      <c r="C10474" s="1" t="n">
        <v>45798</v>
      </c>
      <c r="D10474" t="inlineStr">
        <is>
          <t>NORRBOTTENS LÄN</t>
        </is>
      </c>
      <c r="E10474" t="inlineStr">
        <is>
          <t>BODEN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61760-2024</t>
        </is>
      </c>
      <c r="B10475" s="1" t="n">
        <v>45649</v>
      </c>
      <c r="C10475" s="1" t="n">
        <v>45798</v>
      </c>
      <c r="D10475" t="inlineStr">
        <is>
          <t>NORRBOTTENS LÄN</t>
        </is>
      </c>
      <c r="E10475" t="inlineStr">
        <is>
          <t>JOKKMOKK</t>
        </is>
      </c>
      <c r="F10475" t="inlineStr">
        <is>
          <t>Övriga statliga verk och myndigheter</t>
        </is>
      </c>
      <c r="G10475" t="n">
        <v>19.3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61756-2024</t>
        </is>
      </c>
      <c r="B10476" s="1" t="n">
        <v>45649</v>
      </c>
      <c r="C10476" s="1" t="n">
        <v>45798</v>
      </c>
      <c r="D10476" t="inlineStr">
        <is>
          <t>NORRBOTTENS LÄN</t>
        </is>
      </c>
      <c r="E10476" t="inlineStr">
        <is>
          <t>BODEN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61748-2024</t>
        </is>
      </c>
      <c r="B10477" s="1" t="n">
        <v>45649</v>
      </c>
      <c r="C10477" s="1" t="n">
        <v>45798</v>
      </c>
      <c r="D10477" t="inlineStr">
        <is>
          <t>NORRBOTTENS LÄN</t>
        </is>
      </c>
      <c r="E10477" t="inlineStr">
        <is>
          <t>BODEN</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185-2025</t>
        </is>
      </c>
      <c r="B10478" s="1" t="n">
        <v>45649</v>
      </c>
      <c r="C10478" s="1" t="n">
        <v>45798</v>
      </c>
      <c r="D10478" t="inlineStr">
        <is>
          <t>NORRBOTTENS LÄN</t>
        </is>
      </c>
      <c r="E10478" t="inlineStr">
        <is>
          <t>BODEN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61810-2024</t>
        </is>
      </c>
      <c r="B10479" s="1" t="n">
        <v>45649</v>
      </c>
      <c r="C10479" s="1" t="n">
        <v>45798</v>
      </c>
      <c r="D10479" t="inlineStr">
        <is>
          <t>NORRBOTTENS LÄN</t>
        </is>
      </c>
      <c r="E10479" t="inlineStr">
        <is>
          <t>PITEÅ</t>
        </is>
      </c>
      <c r="G10479" t="n">
        <v>31.2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61770-2024</t>
        </is>
      </c>
      <c r="B10480" s="1" t="n">
        <v>45649</v>
      </c>
      <c r="C10480" s="1" t="n">
        <v>45798</v>
      </c>
      <c r="D10480" t="inlineStr">
        <is>
          <t>NORRBOTTENS LÄN</t>
        </is>
      </c>
      <c r="E10480" t="inlineStr">
        <is>
          <t>BODEN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61762-2024</t>
        </is>
      </c>
      <c r="B10481" s="1" t="n">
        <v>45649</v>
      </c>
      <c r="C10481" s="1" t="n">
        <v>45798</v>
      </c>
      <c r="D10481" t="inlineStr">
        <is>
          <t>NORRBOTTENS LÄN</t>
        </is>
      </c>
      <c r="E10481" t="inlineStr">
        <is>
          <t>JOKKMOKK</t>
        </is>
      </c>
      <c r="F10481" t="inlineStr">
        <is>
          <t>Övriga statliga verk och myndigheter</t>
        </is>
      </c>
      <c r="G10481" t="n">
        <v>15.4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61750-2024</t>
        </is>
      </c>
      <c r="B10482" s="1" t="n">
        <v>45649</v>
      </c>
      <c r="C10482" s="1" t="n">
        <v>45798</v>
      </c>
      <c r="D10482" t="inlineStr">
        <is>
          <t>NORRBOTTENS LÄN</t>
        </is>
      </c>
      <c r="E10482" t="inlineStr">
        <is>
          <t>BODEN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61773-2024</t>
        </is>
      </c>
      <c r="B10483" s="1" t="n">
        <v>45649</v>
      </c>
      <c r="C10483" s="1" t="n">
        <v>45798</v>
      </c>
      <c r="D10483" t="inlineStr">
        <is>
          <t>NORRBOTTENS LÄN</t>
        </is>
      </c>
      <c r="E10483" t="inlineStr">
        <is>
          <t>BODEN</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61761-2024</t>
        </is>
      </c>
      <c r="B10484" s="1" t="n">
        <v>45649</v>
      </c>
      <c r="C10484" s="1" t="n">
        <v>45798</v>
      </c>
      <c r="D10484" t="inlineStr">
        <is>
          <t>NORRBOTTENS LÄN</t>
        </is>
      </c>
      <c r="E10484" t="inlineStr">
        <is>
          <t>JOKKMOKK</t>
        </is>
      </c>
      <c r="F10484" t="inlineStr">
        <is>
          <t>Övriga statliga verk och myndigheter</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61757-2024</t>
        </is>
      </c>
      <c r="B10485" s="1" t="n">
        <v>45649</v>
      </c>
      <c r="C10485" s="1" t="n">
        <v>45798</v>
      </c>
      <c r="D10485" t="inlineStr">
        <is>
          <t>NORRBOTTENS LÄN</t>
        </is>
      </c>
      <c r="E10485" t="inlineStr">
        <is>
          <t>BODEN</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61729-2024</t>
        </is>
      </c>
      <c r="B10486" s="1" t="n">
        <v>45649</v>
      </c>
      <c r="C10486" s="1" t="n">
        <v>45798</v>
      </c>
      <c r="D10486" t="inlineStr">
        <is>
          <t>NORRBOTTENS LÄN</t>
        </is>
      </c>
      <c r="E10486" t="inlineStr">
        <is>
          <t>ARJEPLOG</t>
        </is>
      </c>
      <c r="F10486" t="inlineStr">
        <is>
          <t>Övriga statliga verk och myndigheter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61911-2024</t>
        </is>
      </c>
      <c r="B10487" s="1" t="n">
        <v>45653</v>
      </c>
      <c r="C10487" s="1" t="n">
        <v>45798</v>
      </c>
      <c r="D10487" t="inlineStr">
        <is>
          <t>NORRBOTTENS LÄN</t>
        </is>
      </c>
      <c r="E10487" t="inlineStr">
        <is>
          <t>BODEN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61930-2024</t>
        </is>
      </c>
      <c r="B10488" s="1" t="n">
        <v>45653</v>
      </c>
      <c r="C10488" s="1" t="n">
        <v>45798</v>
      </c>
      <c r="D10488" t="inlineStr">
        <is>
          <t>NORRBOTTENS LÄN</t>
        </is>
      </c>
      <c r="E10488" t="inlineStr">
        <is>
          <t>BODEN</t>
        </is>
      </c>
      <c r="G10488" t="n">
        <v>12.3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61934-2024</t>
        </is>
      </c>
      <c r="B10489" s="1" t="n">
        <v>45653</v>
      </c>
      <c r="C10489" s="1" t="n">
        <v>45798</v>
      </c>
      <c r="D10489" t="inlineStr">
        <is>
          <t>NORRBOTTENS LÄN</t>
        </is>
      </c>
      <c r="E10489" t="inlineStr">
        <is>
          <t>KALIX</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61936-2024</t>
        </is>
      </c>
      <c r="B10490" s="1" t="n">
        <v>45653</v>
      </c>
      <c r="C10490" s="1" t="n">
        <v>45798</v>
      </c>
      <c r="D10490" t="inlineStr">
        <is>
          <t>NORRBOTTENS LÄN</t>
        </is>
      </c>
      <c r="E10490" t="inlineStr">
        <is>
          <t>BODEN</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61912-2024</t>
        </is>
      </c>
      <c r="B10491" s="1" t="n">
        <v>45653</v>
      </c>
      <c r="C10491" s="1" t="n">
        <v>45798</v>
      </c>
      <c r="D10491" t="inlineStr">
        <is>
          <t>NORRBOTTENS LÄN</t>
        </is>
      </c>
      <c r="E10491" t="inlineStr">
        <is>
          <t>PITEÅ</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61920-2024</t>
        </is>
      </c>
      <c r="B10492" s="1" t="n">
        <v>45653</v>
      </c>
      <c r="C10492" s="1" t="n">
        <v>45798</v>
      </c>
      <c r="D10492" t="inlineStr">
        <is>
          <t>NORRBOTTENS LÄN</t>
        </is>
      </c>
      <c r="E10492" t="inlineStr">
        <is>
          <t>HAPARANDA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61949-2024</t>
        </is>
      </c>
      <c r="B10493" s="1" t="n">
        <v>45653</v>
      </c>
      <c r="C10493" s="1" t="n">
        <v>45798</v>
      </c>
      <c r="D10493" t="inlineStr">
        <is>
          <t>NORRBOTTENS LÄN</t>
        </is>
      </c>
      <c r="E10493" t="inlineStr">
        <is>
          <t>BODEN</t>
        </is>
      </c>
      <c r="G10493" t="n">
        <v>12.2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61969-2024</t>
        </is>
      </c>
      <c r="B10494" s="1" t="n">
        <v>45653</v>
      </c>
      <c r="C10494" s="1" t="n">
        <v>45798</v>
      </c>
      <c r="D10494" t="inlineStr">
        <is>
          <t>NORRBOTTENS LÄN</t>
        </is>
      </c>
      <c r="E10494" t="inlineStr">
        <is>
          <t>BODEN</t>
        </is>
      </c>
      <c r="G10494" t="n">
        <v>9.699999999999999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61932-2024</t>
        </is>
      </c>
      <c r="B10495" s="1" t="n">
        <v>45653</v>
      </c>
      <c r="C10495" s="1" t="n">
        <v>45798</v>
      </c>
      <c r="D10495" t="inlineStr">
        <is>
          <t>NORRBOTTENS LÄN</t>
        </is>
      </c>
      <c r="E10495" t="inlineStr">
        <is>
          <t>BODEN</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61941-2024</t>
        </is>
      </c>
      <c r="B10496" s="1" t="n">
        <v>45653</v>
      </c>
      <c r="C10496" s="1" t="n">
        <v>45798</v>
      </c>
      <c r="D10496" t="inlineStr">
        <is>
          <t>NORRBOTTENS LÄN</t>
        </is>
      </c>
      <c r="E10496" t="inlineStr">
        <is>
          <t>BODEN</t>
        </is>
      </c>
      <c r="G10496" t="n">
        <v>17.6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61917-2024</t>
        </is>
      </c>
      <c r="B10497" s="1" t="n">
        <v>45653</v>
      </c>
      <c r="C10497" s="1" t="n">
        <v>45798</v>
      </c>
      <c r="D10497" t="inlineStr">
        <is>
          <t>NORRBOTTENS LÄN</t>
        </is>
      </c>
      <c r="E10497" t="inlineStr">
        <is>
          <t>BODEN</t>
        </is>
      </c>
      <c r="G10497" t="n">
        <v>22.3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61921-2024</t>
        </is>
      </c>
      <c r="B10498" s="1" t="n">
        <v>45653</v>
      </c>
      <c r="C10498" s="1" t="n">
        <v>45798</v>
      </c>
      <c r="D10498" t="inlineStr">
        <is>
          <t>NORRBOTTENS LÄN</t>
        </is>
      </c>
      <c r="E10498" t="inlineStr">
        <is>
          <t>BODEN</t>
        </is>
      </c>
      <c r="G10498" t="n">
        <v>61.4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61925-2024</t>
        </is>
      </c>
      <c r="B10499" s="1" t="n">
        <v>45653</v>
      </c>
      <c r="C10499" s="1" t="n">
        <v>45798</v>
      </c>
      <c r="D10499" t="inlineStr">
        <is>
          <t>NORRBOTTENS LÄN</t>
        </is>
      </c>
      <c r="E10499" t="inlineStr">
        <is>
          <t>HAPARANDA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61938-2024</t>
        </is>
      </c>
      <c r="B10500" s="1" t="n">
        <v>45653</v>
      </c>
      <c r="C10500" s="1" t="n">
        <v>45798</v>
      </c>
      <c r="D10500" t="inlineStr">
        <is>
          <t>NORRBOTTENS LÄN</t>
        </is>
      </c>
      <c r="E10500" t="inlineStr">
        <is>
          <t>KALIX</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61942-2024</t>
        </is>
      </c>
      <c r="B10501" s="1" t="n">
        <v>45653</v>
      </c>
      <c r="C10501" s="1" t="n">
        <v>45798</v>
      </c>
      <c r="D10501" t="inlineStr">
        <is>
          <t>NORRBOTTENS LÄN</t>
        </is>
      </c>
      <c r="E10501" t="inlineStr">
        <is>
          <t>LULEÅ</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61955-2024</t>
        </is>
      </c>
      <c r="B10502" s="1" t="n">
        <v>45653</v>
      </c>
      <c r="C10502" s="1" t="n">
        <v>45798</v>
      </c>
      <c r="D10502" t="inlineStr">
        <is>
          <t>NORRBOTTENS LÄN</t>
        </is>
      </c>
      <c r="E10502" t="inlineStr">
        <is>
          <t>BODEN</t>
        </is>
      </c>
      <c r="G10502" t="n">
        <v>16.8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62076-2024</t>
        </is>
      </c>
      <c r="B10503" s="1" t="n">
        <v>45656</v>
      </c>
      <c r="C10503" s="1" t="n">
        <v>45798</v>
      </c>
      <c r="D10503" t="inlineStr">
        <is>
          <t>NORRBOTTENS LÄN</t>
        </is>
      </c>
      <c r="E10503" t="inlineStr">
        <is>
          <t>ÖVERTORNEÅ</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62174-2024</t>
        </is>
      </c>
      <c r="B10504" s="1" t="n">
        <v>45657</v>
      </c>
      <c r="C10504" s="1" t="n">
        <v>45798</v>
      </c>
      <c r="D10504" t="inlineStr">
        <is>
          <t>NORRBOTTENS LÄN</t>
        </is>
      </c>
      <c r="E10504" t="inlineStr">
        <is>
          <t>PAJALA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11-2025</t>
        </is>
      </c>
      <c r="B10505" s="1" t="n">
        <v>45658</v>
      </c>
      <c r="C10505" s="1" t="n">
        <v>45798</v>
      </c>
      <c r="D10505" t="inlineStr">
        <is>
          <t>NORRBOTTENS LÄN</t>
        </is>
      </c>
      <c r="E10505" t="inlineStr">
        <is>
          <t>KALIX</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71-2025</t>
        </is>
      </c>
      <c r="B10506" s="1" t="n">
        <v>45659</v>
      </c>
      <c r="C10506" s="1" t="n">
        <v>45798</v>
      </c>
      <c r="D10506" t="inlineStr">
        <is>
          <t>NORRBOTTENS LÄN</t>
        </is>
      </c>
      <c r="E10506" t="inlineStr">
        <is>
          <t>LULEÅ</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92-2025</t>
        </is>
      </c>
      <c r="B10507" s="1" t="n">
        <v>45659</v>
      </c>
      <c r="C10507" s="1" t="n">
        <v>45798</v>
      </c>
      <c r="D10507" t="inlineStr">
        <is>
          <t>NORRBOTTENS LÄN</t>
        </is>
      </c>
      <c r="E10507" t="inlineStr">
        <is>
          <t>LULEÅ</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83-2025</t>
        </is>
      </c>
      <c r="B10508" s="1" t="n">
        <v>45659</v>
      </c>
      <c r="C10508" s="1" t="n">
        <v>45798</v>
      </c>
      <c r="D10508" t="inlineStr">
        <is>
          <t>NORRBOTTENS LÄN</t>
        </is>
      </c>
      <c r="E10508" t="inlineStr">
        <is>
          <t>LULEÅ</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97-2025</t>
        </is>
      </c>
      <c r="B10509" s="1" t="n">
        <v>45659</v>
      </c>
      <c r="C10509" s="1" t="n">
        <v>45798</v>
      </c>
      <c r="D10509" t="inlineStr">
        <is>
          <t>NORRBOTTENS LÄN</t>
        </is>
      </c>
      <c r="E10509" t="inlineStr">
        <is>
          <t>LULEÅ</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115-2025</t>
        </is>
      </c>
      <c r="B10510" s="1" t="n">
        <v>45659</v>
      </c>
      <c r="C10510" s="1" t="n">
        <v>45798</v>
      </c>
      <c r="D10510" t="inlineStr">
        <is>
          <t>NORRBOTTENS LÄN</t>
        </is>
      </c>
      <c r="E10510" t="inlineStr">
        <is>
          <t>LULEÅ</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60-2025</t>
        </is>
      </c>
      <c r="B10511" s="1" t="n">
        <v>45659</v>
      </c>
      <c r="C10511" s="1" t="n">
        <v>45798</v>
      </c>
      <c r="D10511" t="inlineStr">
        <is>
          <t>NORRBOTTENS LÄN</t>
        </is>
      </c>
      <c r="E10511" t="inlineStr">
        <is>
          <t>ÖVERKALIX</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145-2025</t>
        </is>
      </c>
      <c r="B10512" s="1" t="n">
        <v>45659</v>
      </c>
      <c r="C10512" s="1" t="n">
        <v>45798</v>
      </c>
      <c r="D10512" t="inlineStr">
        <is>
          <t>NORRBOTTENS LÄN</t>
        </is>
      </c>
      <c r="E10512" t="inlineStr">
        <is>
          <t>LULEÅ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436-2025</t>
        </is>
      </c>
      <c r="B10513" s="1" t="n">
        <v>45659</v>
      </c>
      <c r="C10513" s="1" t="n">
        <v>45798</v>
      </c>
      <c r="D10513" t="inlineStr">
        <is>
          <t>NORRBOTTENS LÄN</t>
        </is>
      </c>
      <c r="E10513" t="inlineStr">
        <is>
          <t>BODEN</t>
        </is>
      </c>
      <c r="G10513" t="n">
        <v>15.8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65-2025</t>
        </is>
      </c>
      <c r="B10514" s="1" t="n">
        <v>45659</v>
      </c>
      <c r="C10514" s="1" t="n">
        <v>45798</v>
      </c>
      <c r="D10514" t="inlineStr">
        <is>
          <t>NORRBOTTENS LÄN</t>
        </is>
      </c>
      <c r="E10514" t="inlineStr">
        <is>
          <t>LULEÅ</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81-2025</t>
        </is>
      </c>
      <c r="B10515" s="1" t="n">
        <v>45659</v>
      </c>
      <c r="C10515" s="1" t="n">
        <v>45798</v>
      </c>
      <c r="D10515" t="inlineStr">
        <is>
          <t>NORRBOTTENS LÄN</t>
        </is>
      </c>
      <c r="E10515" t="inlineStr">
        <is>
          <t>LULEÅ</t>
        </is>
      </c>
      <c r="G10515" t="n">
        <v>17.1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86-2025</t>
        </is>
      </c>
      <c r="B10516" s="1" t="n">
        <v>45659</v>
      </c>
      <c r="C10516" s="1" t="n">
        <v>45798</v>
      </c>
      <c r="D10516" t="inlineStr">
        <is>
          <t>NORRBOTTENS LÄN</t>
        </is>
      </c>
      <c r="E10516" t="inlineStr">
        <is>
          <t>LULEÅ</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91-2025</t>
        </is>
      </c>
      <c r="B10517" s="1" t="n">
        <v>45659</v>
      </c>
      <c r="C10517" s="1" t="n">
        <v>45798</v>
      </c>
      <c r="D10517" t="inlineStr">
        <is>
          <t>NORRBOTTENS LÄN</t>
        </is>
      </c>
      <c r="E10517" t="inlineStr">
        <is>
          <t>KALIX</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96-2025</t>
        </is>
      </c>
      <c r="B10518" s="1" t="n">
        <v>45659</v>
      </c>
      <c r="C10518" s="1" t="n">
        <v>45798</v>
      </c>
      <c r="D10518" t="inlineStr">
        <is>
          <t>NORRBOTTENS LÄN</t>
        </is>
      </c>
      <c r="E10518" t="inlineStr">
        <is>
          <t>LULEÅ</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114-2025</t>
        </is>
      </c>
      <c r="B10519" s="1" t="n">
        <v>45659</v>
      </c>
      <c r="C10519" s="1" t="n">
        <v>45798</v>
      </c>
      <c r="D10519" t="inlineStr">
        <is>
          <t>NORRBOTTENS LÄN</t>
        </is>
      </c>
      <c r="E10519" t="inlineStr">
        <is>
          <t>LULEÅ</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1805-2025</t>
        </is>
      </c>
      <c r="B10520" s="1" t="n">
        <v>45659</v>
      </c>
      <c r="C10520" s="1" t="n">
        <v>45798</v>
      </c>
      <c r="D10520" t="inlineStr">
        <is>
          <t>NORRBOTTENS LÄN</t>
        </is>
      </c>
      <c r="E10520" t="inlineStr">
        <is>
          <t>BODEN</t>
        </is>
      </c>
      <c r="G10520" t="n">
        <v>13.3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267-2025</t>
        </is>
      </c>
      <c r="B10521" s="1" t="n">
        <v>45660</v>
      </c>
      <c r="C10521" s="1" t="n">
        <v>45798</v>
      </c>
      <c r="D10521" t="inlineStr">
        <is>
          <t>NORRBOTTENS LÄN</t>
        </is>
      </c>
      <c r="E10521" t="inlineStr">
        <is>
          <t>KALIX</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262-2025</t>
        </is>
      </c>
      <c r="B10522" s="1" t="n">
        <v>45660</v>
      </c>
      <c r="C10522" s="1" t="n">
        <v>45798</v>
      </c>
      <c r="D10522" t="inlineStr">
        <is>
          <t>NORRBOTTENS LÄN</t>
        </is>
      </c>
      <c r="E10522" t="inlineStr">
        <is>
          <t>KALIX</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276-2025</t>
        </is>
      </c>
      <c r="B10523" s="1" t="n">
        <v>45660</v>
      </c>
      <c r="C10523" s="1" t="n">
        <v>45798</v>
      </c>
      <c r="D10523" t="inlineStr">
        <is>
          <t>NORRBOTTENS LÄN</t>
        </is>
      </c>
      <c r="E10523" t="inlineStr">
        <is>
          <t>ÖVERKALIX</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338-2025</t>
        </is>
      </c>
      <c r="B10524" s="1" t="n">
        <v>45660</v>
      </c>
      <c r="C10524" s="1" t="n">
        <v>45798</v>
      </c>
      <c r="D10524" t="inlineStr">
        <is>
          <t>NORRBOTTENS LÄN</t>
        </is>
      </c>
      <c r="E10524" t="inlineStr">
        <is>
          <t>PAJALA</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334-2025</t>
        </is>
      </c>
      <c r="B10525" s="1" t="n">
        <v>45660</v>
      </c>
      <c r="C10525" s="1" t="n">
        <v>45798</v>
      </c>
      <c r="D10525" t="inlineStr">
        <is>
          <t>NORRBOTTENS LÄN</t>
        </is>
      </c>
      <c r="E10525" t="inlineStr">
        <is>
          <t>PAJALA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318-2025</t>
        </is>
      </c>
      <c r="B10526" s="1" t="n">
        <v>45660</v>
      </c>
      <c r="C10526" s="1" t="n">
        <v>45798</v>
      </c>
      <c r="D10526" t="inlineStr">
        <is>
          <t>NORRBOTTENS LÄN</t>
        </is>
      </c>
      <c r="E10526" t="inlineStr">
        <is>
          <t>PITEÅ</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339-2025</t>
        </is>
      </c>
      <c r="B10527" s="1" t="n">
        <v>45660</v>
      </c>
      <c r="C10527" s="1" t="n">
        <v>45798</v>
      </c>
      <c r="D10527" t="inlineStr">
        <is>
          <t>NORRBOTTENS LÄN</t>
        </is>
      </c>
      <c r="E10527" t="inlineStr">
        <is>
          <t>LULEÅ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263-2025</t>
        </is>
      </c>
      <c r="B10528" s="1" t="n">
        <v>45660</v>
      </c>
      <c r="C10528" s="1" t="n">
        <v>45798</v>
      </c>
      <c r="D10528" t="inlineStr">
        <is>
          <t>NORRBOTTENS LÄN</t>
        </is>
      </c>
      <c r="E10528" t="inlineStr">
        <is>
          <t>KALIX</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376-2025</t>
        </is>
      </c>
      <c r="B10529" s="1" t="n">
        <v>45661</v>
      </c>
      <c r="C10529" s="1" t="n">
        <v>45798</v>
      </c>
      <c r="D10529" t="inlineStr">
        <is>
          <t>NORRBOTTENS LÄN</t>
        </is>
      </c>
      <c r="E10529" t="inlineStr">
        <is>
          <t>LULEÅ</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656-2025</t>
        </is>
      </c>
      <c r="B10530" s="1" t="n">
        <v>45661</v>
      </c>
      <c r="C10530" s="1" t="n">
        <v>45798</v>
      </c>
      <c r="D10530" t="inlineStr">
        <is>
          <t>NORRBOTTENS LÄN</t>
        </is>
      </c>
      <c r="E10530" t="inlineStr">
        <is>
          <t>LULEÅ</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649-2025</t>
        </is>
      </c>
      <c r="B10531" s="1" t="n">
        <v>45661</v>
      </c>
      <c r="C10531" s="1" t="n">
        <v>45798</v>
      </c>
      <c r="D10531" t="inlineStr">
        <is>
          <t>NORRBOTTENS LÄN</t>
        </is>
      </c>
      <c r="E10531" t="inlineStr">
        <is>
          <t>LULEÅ</t>
        </is>
      </c>
      <c r="G10531" t="n">
        <v>8.800000000000001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700-2025</t>
        </is>
      </c>
      <c r="B10532" s="1" t="n">
        <v>45663</v>
      </c>
      <c r="C10532" s="1" t="n">
        <v>45798</v>
      </c>
      <c r="D10532" t="inlineStr">
        <is>
          <t>NORRBOTTENS LÄN</t>
        </is>
      </c>
      <c r="E10532" t="inlineStr">
        <is>
          <t>LULEÅ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702-2025</t>
        </is>
      </c>
      <c r="B10533" s="1" t="n">
        <v>45663</v>
      </c>
      <c r="C10533" s="1" t="n">
        <v>45798</v>
      </c>
      <c r="D10533" t="inlineStr">
        <is>
          <t>NORRBOTTENS LÄN</t>
        </is>
      </c>
      <c r="E10533" t="inlineStr">
        <is>
          <t>LULEÅ</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695-2025</t>
        </is>
      </c>
      <c r="B10534" s="1" t="n">
        <v>45663</v>
      </c>
      <c r="C10534" s="1" t="n">
        <v>45798</v>
      </c>
      <c r="D10534" t="inlineStr">
        <is>
          <t>NORRBOTTENS LÄN</t>
        </is>
      </c>
      <c r="E10534" t="inlineStr">
        <is>
          <t>LULEÅ</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705-2025</t>
        </is>
      </c>
      <c r="B10535" s="1" t="n">
        <v>45663</v>
      </c>
      <c r="C10535" s="1" t="n">
        <v>45798</v>
      </c>
      <c r="D10535" t="inlineStr">
        <is>
          <t>NORRBOTTENS LÄN</t>
        </is>
      </c>
      <c r="E10535" t="inlineStr">
        <is>
          <t>LULEÅ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704-2025</t>
        </is>
      </c>
      <c r="B10536" s="1" t="n">
        <v>45663</v>
      </c>
      <c r="C10536" s="1" t="n">
        <v>45798</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425-2025</t>
        </is>
      </c>
      <c r="B10537" s="1" t="n">
        <v>45664</v>
      </c>
      <c r="C10537" s="1" t="n">
        <v>45798</v>
      </c>
      <c r="D10537" t="inlineStr">
        <is>
          <t>NORRBOTTENS LÄN</t>
        </is>
      </c>
      <c r="E10537" t="inlineStr">
        <is>
          <t>JOKKMOKK</t>
        </is>
      </c>
      <c r="F10537" t="inlineStr">
        <is>
          <t>Övriga statliga verk och myndigheter</t>
        </is>
      </c>
      <c r="G10537" t="n">
        <v>36.5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434-2025</t>
        </is>
      </c>
      <c r="B10538" s="1" t="n">
        <v>45664</v>
      </c>
      <c r="C10538" s="1" t="n">
        <v>45798</v>
      </c>
      <c r="D10538" t="inlineStr">
        <is>
          <t>NORRBOTTENS LÄN</t>
        </is>
      </c>
      <c r="E10538" t="inlineStr">
        <is>
          <t>BODEN</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479-2025</t>
        </is>
      </c>
      <c r="B10539" s="1" t="n">
        <v>45664</v>
      </c>
      <c r="C10539" s="1" t="n">
        <v>45798</v>
      </c>
      <c r="D10539" t="inlineStr">
        <is>
          <t>NORRBOTTENS LÄN</t>
        </is>
      </c>
      <c r="E10539" t="inlineStr">
        <is>
          <t>PITEÅ</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510-2025</t>
        </is>
      </c>
      <c r="B10540" s="1" t="n">
        <v>45664</v>
      </c>
      <c r="C10540" s="1" t="n">
        <v>45798</v>
      </c>
      <c r="D10540" t="inlineStr">
        <is>
          <t>NORRBOTTENS LÄN</t>
        </is>
      </c>
      <c r="E10540" t="inlineStr">
        <is>
          <t>PITEÅ</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588-2025</t>
        </is>
      </c>
      <c r="B10541" s="1" t="n">
        <v>45664</v>
      </c>
      <c r="C10541" s="1" t="n">
        <v>45798</v>
      </c>
      <c r="D10541" t="inlineStr">
        <is>
          <t>NORRBOTTENS LÄN</t>
        </is>
      </c>
      <c r="E10541" t="inlineStr">
        <is>
          <t>PITEÅ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453-2025</t>
        </is>
      </c>
      <c r="B10542" s="1" t="n">
        <v>45664</v>
      </c>
      <c r="C10542" s="1" t="n">
        <v>45798</v>
      </c>
      <c r="D10542" t="inlineStr">
        <is>
          <t>NORRBOTTENS LÄN</t>
        </is>
      </c>
      <c r="E10542" t="inlineStr">
        <is>
          <t>JOKKMOKK</t>
        </is>
      </c>
      <c r="F10542" t="inlineStr">
        <is>
          <t>Övriga statliga verk och myndigheter</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457-2025</t>
        </is>
      </c>
      <c r="B10543" s="1" t="n">
        <v>45664</v>
      </c>
      <c r="C10543" s="1" t="n">
        <v>45798</v>
      </c>
      <c r="D10543" t="inlineStr">
        <is>
          <t>NORRBOTTENS LÄN</t>
        </is>
      </c>
      <c r="E10543" t="inlineStr">
        <is>
          <t>JOKKMOKK</t>
        </is>
      </c>
      <c r="F10543" t="inlineStr">
        <is>
          <t>Övriga statliga verk och myndigheter</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526-2025</t>
        </is>
      </c>
      <c r="B10544" s="1" t="n">
        <v>45664</v>
      </c>
      <c r="C10544" s="1" t="n">
        <v>45798</v>
      </c>
      <c r="D10544" t="inlineStr">
        <is>
          <t>NORRBOTTENS LÄN</t>
        </is>
      </c>
      <c r="E10544" t="inlineStr">
        <is>
          <t>ARJEPLOG</t>
        </is>
      </c>
      <c r="F10544" t="inlineStr">
        <is>
          <t>Övriga statliga verk och myndigheter</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822-2025</t>
        </is>
      </c>
      <c r="B10545" s="1" t="n">
        <v>45664</v>
      </c>
      <c r="C10545" s="1" t="n">
        <v>45798</v>
      </c>
      <c r="D10545" t="inlineStr">
        <is>
          <t>NORRBOTTENS LÄN</t>
        </is>
      </c>
      <c r="E10545" t="inlineStr">
        <is>
          <t>LULEÅ</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597-2025</t>
        </is>
      </c>
      <c r="B10546" s="1" t="n">
        <v>45664</v>
      </c>
      <c r="C10546" s="1" t="n">
        <v>45798</v>
      </c>
      <c r="D10546" t="inlineStr">
        <is>
          <t>NORRBOTTENS LÄN</t>
        </is>
      </c>
      <c r="E10546" t="inlineStr">
        <is>
          <t>PITEÅ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731-2025</t>
        </is>
      </c>
      <c r="B10547" s="1" t="n">
        <v>45664</v>
      </c>
      <c r="C10547" s="1" t="n">
        <v>45798</v>
      </c>
      <c r="D10547" t="inlineStr">
        <is>
          <t>NORRBOTTENS LÄN</t>
        </is>
      </c>
      <c r="E10547" t="inlineStr">
        <is>
          <t>LULEÅ</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806-2025</t>
        </is>
      </c>
      <c r="B10548" s="1" t="n">
        <v>45664</v>
      </c>
      <c r="C10548" s="1" t="n">
        <v>45798</v>
      </c>
      <c r="D10548" t="inlineStr">
        <is>
          <t>NORRBOTTENS LÄN</t>
        </is>
      </c>
      <c r="E10548" t="inlineStr">
        <is>
          <t>LULEÅ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825-2025</t>
        </is>
      </c>
      <c r="B10549" s="1" t="n">
        <v>45664</v>
      </c>
      <c r="C10549" s="1" t="n">
        <v>45798</v>
      </c>
      <c r="D10549" t="inlineStr">
        <is>
          <t>NORRBOTTENS LÄN</t>
        </is>
      </c>
      <c r="E10549" t="inlineStr">
        <is>
          <t>LULEÅ</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884-2025</t>
        </is>
      </c>
      <c r="B10550" s="1" t="n">
        <v>45664</v>
      </c>
      <c r="C10550" s="1" t="n">
        <v>45798</v>
      </c>
      <c r="D10550" t="inlineStr">
        <is>
          <t>NORRBOTTENS LÄN</t>
        </is>
      </c>
      <c r="E10550" t="inlineStr">
        <is>
          <t>LULEÅ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814-2025</t>
        </is>
      </c>
      <c r="B10551" s="1" t="n">
        <v>45664</v>
      </c>
      <c r="C10551" s="1" t="n">
        <v>45798</v>
      </c>
      <c r="D10551" t="inlineStr">
        <is>
          <t>NORRBOTTENS LÄN</t>
        </is>
      </c>
      <c r="E10551" t="inlineStr">
        <is>
          <t>LULEÅ</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877-2025</t>
        </is>
      </c>
      <c r="B10552" s="1" t="n">
        <v>45664</v>
      </c>
      <c r="C10552" s="1" t="n">
        <v>45798</v>
      </c>
      <c r="D10552" t="inlineStr">
        <is>
          <t>NORRBOTTENS LÄN</t>
        </is>
      </c>
      <c r="E10552" t="inlineStr">
        <is>
          <t>LULEÅ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804-2025</t>
        </is>
      </c>
      <c r="B10553" s="1" t="n">
        <v>45664</v>
      </c>
      <c r="C10553" s="1" t="n">
        <v>45798</v>
      </c>
      <c r="D10553" t="inlineStr">
        <is>
          <t>NORRBOTTENS LÄN</t>
        </is>
      </c>
      <c r="E10553" t="inlineStr">
        <is>
          <t>LULEÅ</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666-2025</t>
        </is>
      </c>
      <c r="B10554" s="1" t="n">
        <v>45664</v>
      </c>
      <c r="C10554" s="1" t="n">
        <v>45798</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817-2025</t>
        </is>
      </c>
      <c r="B10555" s="1" t="n">
        <v>45664</v>
      </c>
      <c r="C10555" s="1" t="n">
        <v>45798</v>
      </c>
      <c r="D10555" t="inlineStr">
        <is>
          <t>NORRBOTTENS LÄN</t>
        </is>
      </c>
      <c r="E10555" t="inlineStr">
        <is>
          <t>LULEÅ</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736-2025</t>
        </is>
      </c>
      <c r="B10556" s="1" t="n">
        <v>45664</v>
      </c>
      <c r="C10556" s="1" t="n">
        <v>45798</v>
      </c>
      <c r="D10556" t="inlineStr">
        <is>
          <t>NORRBOTTENS LÄN</t>
        </is>
      </c>
      <c r="E10556" t="inlineStr">
        <is>
          <t>LULEÅ</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458-2025</t>
        </is>
      </c>
      <c r="B10557" s="1" t="n">
        <v>45664</v>
      </c>
      <c r="C10557" s="1" t="n">
        <v>45798</v>
      </c>
      <c r="D10557" t="inlineStr">
        <is>
          <t>NORRBOTTENS LÄN</t>
        </is>
      </c>
      <c r="E10557" t="inlineStr">
        <is>
          <t>JOKKMOKK</t>
        </is>
      </c>
      <c r="F10557" t="inlineStr">
        <is>
          <t>Övriga statliga verk och myndigheter</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833-2025</t>
        </is>
      </c>
      <c r="B10558" s="1" t="n">
        <v>45665</v>
      </c>
      <c r="C10558" s="1" t="n">
        <v>45798</v>
      </c>
      <c r="D10558" t="inlineStr">
        <is>
          <t>NORRBOTTENS LÄN</t>
        </is>
      </c>
      <c r="E10558" t="inlineStr">
        <is>
          <t>GÄLLIVARE</t>
        </is>
      </c>
      <c r="F10558" t="inlineStr">
        <is>
          <t>Sveaskog</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888-2025</t>
        </is>
      </c>
      <c r="B10559" s="1" t="n">
        <v>45665</v>
      </c>
      <c r="C10559" s="1" t="n">
        <v>45798</v>
      </c>
      <c r="D10559" t="inlineStr">
        <is>
          <t>NORRBOTTENS LÄN</t>
        </is>
      </c>
      <c r="E10559" t="inlineStr">
        <is>
          <t>PAJALA</t>
        </is>
      </c>
      <c r="G10559" t="n">
        <v>10.9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785-2025</t>
        </is>
      </c>
      <c r="B10560" s="1" t="n">
        <v>45665</v>
      </c>
      <c r="C10560" s="1" t="n">
        <v>45798</v>
      </c>
      <c r="D10560" t="inlineStr">
        <is>
          <t>NORRBOTTENS LÄN</t>
        </is>
      </c>
      <c r="E10560" t="inlineStr">
        <is>
          <t>BODEN</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1084-2025</t>
        </is>
      </c>
      <c r="B10561" s="1" t="n">
        <v>45665</v>
      </c>
      <c r="C10561" s="1" t="n">
        <v>45798</v>
      </c>
      <c r="D10561" t="inlineStr">
        <is>
          <t>NORRBOTTENS LÄN</t>
        </is>
      </c>
      <c r="E10561" t="inlineStr">
        <is>
          <t>PAJALA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838-2025</t>
        </is>
      </c>
      <c r="B10562" s="1" t="n">
        <v>45665</v>
      </c>
      <c r="C10562" s="1" t="n">
        <v>45798</v>
      </c>
      <c r="D10562" t="inlineStr">
        <is>
          <t>NORRBOTTENS LÄN</t>
        </is>
      </c>
      <c r="E10562" t="inlineStr">
        <is>
          <t>GÄLLIVARE</t>
        </is>
      </c>
      <c r="F10562" t="inlineStr">
        <is>
          <t>Sveaskog</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749-2025</t>
        </is>
      </c>
      <c r="B10563" s="1" t="n">
        <v>45665</v>
      </c>
      <c r="C10563" s="1" t="n">
        <v>45798</v>
      </c>
      <c r="D10563" t="inlineStr">
        <is>
          <t>NORRBOTTENS LÄN</t>
        </is>
      </c>
      <c r="E10563" t="inlineStr">
        <is>
          <t>KALIX</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839-2025</t>
        </is>
      </c>
      <c r="B10564" s="1" t="n">
        <v>45665</v>
      </c>
      <c r="C10564" s="1" t="n">
        <v>45798</v>
      </c>
      <c r="D10564" t="inlineStr">
        <is>
          <t>NORRBOTTENS LÄN</t>
        </is>
      </c>
      <c r="E10564" t="inlineStr">
        <is>
          <t>GÄLLIVARE</t>
        </is>
      </c>
      <c r="F10564" t="inlineStr">
        <is>
          <t>Sveaskog</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1017-2025</t>
        </is>
      </c>
      <c r="B10565" s="1" t="n">
        <v>45665</v>
      </c>
      <c r="C10565" s="1" t="n">
        <v>45798</v>
      </c>
      <c r="D10565" t="inlineStr">
        <is>
          <t>NORRBOTTENS LÄN</t>
        </is>
      </c>
      <c r="E10565" t="inlineStr">
        <is>
          <t>LULEÅ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1002-2025</t>
        </is>
      </c>
      <c r="B10566" s="1" t="n">
        <v>45665</v>
      </c>
      <c r="C10566" s="1" t="n">
        <v>45798</v>
      </c>
      <c r="D10566" t="inlineStr">
        <is>
          <t>NORRBOTTENS LÄN</t>
        </is>
      </c>
      <c r="E10566" t="inlineStr">
        <is>
          <t>LULEÅ</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762-2025</t>
        </is>
      </c>
      <c r="B10567" s="1" t="n">
        <v>45665</v>
      </c>
      <c r="C10567" s="1" t="n">
        <v>45798</v>
      </c>
      <c r="D10567" t="inlineStr">
        <is>
          <t>NORRBOTTENS LÄN</t>
        </is>
      </c>
      <c r="E10567" t="inlineStr">
        <is>
          <t>KALIX</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1058-2025</t>
        </is>
      </c>
      <c r="B10568" s="1" t="n">
        <v>45665</v>
      </c>
      <c r="C10568" s="1" t="n">
        <v>45798</v>
      </c>
      <c r="D10568" t="inlineStr">
        <is>
          <t>NORRBOTTENS LÄN</t>
        </is>
      </c>
      <c r="E10568" t="inlineStr">
        <is>
          <t>LULEÅ</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1078-2025</t>
        </is>
      </c>
      <c r="B10569" s="1" t="n">
        <v>45665</v>
      </c>
      <c r="C10569" s="1" t="n">
        <v>45798</v>
      </c>
      <c r="D10569" t="inlineStr">
        <is>
          <t>NORRBOTTENS LÄN</t>
        </is>
      </c>
      <c r="E10569" t="inlineStr">
        <is>
          <t>PAJALA</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836-2025</t>
        </is>
      </c>
      <c r="B10570" s="1" t="n">
        <v>45665</v>
      </c>
      <c r="C10570" s="1" t="n">
        <v>45798</v>
      </c>
      <c r="D10570" t="inlineStr">
        <is>
          <t>NORRBOTTENS LÄN</t>
        </is>
      </c>
      <c r="E10570" t="inlineStr">
        <is>
          <t>GÄLLIVARE</t>
        </is>
      </c>
      <c r="F10570" t="inlineStr">
        <is>
          <t>Sveaskog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898-2025</t>
        </is>
      </c>
      <c r="B10571" s="1" t="n">
        <v>45665</v>
      </c>
      <c r="C10571" s="1" t="n">
        <v>45798</v>
      </c>
      <c r="D10571" t="inlineStr">
        <is>
          <t>NORRBOTTENS LÄN</t>
        </is>
      </c>
      <c r="E10571" t="inlineStr">
        <is>
          <t>PAJALA</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1010-2025</t>
        </is>
      </c>
      <c r="B10572" s="1" t="n">
        <v>45665</v>
      </c>
      <c r="C10572" s="1" t="n">
        <v>45798</v>
      </c>
      <c r="D10572" t="inlineStr">
        <is>
          <t>NORRBOTTENS LÄN</t>
        </is>
      </c>
      <c r="E10572" t="inlineStr">
        <is>
          <t>LULEÅ</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1071-2025</t>
        </is>
      </c>
      <c r="B10573" s="1" t="n">
        <v>45665</v>
      </c>
      <c r="C10573" s="1" t="n">
        <v>45798</v>
      </c>
      <c r="D10573" t="inlineStr">
        <is>
          <t>NORRBOTTENS LÄN</t>
        </is>
      </c>
      <c r="E10573" t="inlineStr">
        <is>
          <t>HAPARANDA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1130-2025</t>
        </is>
      </c>
      <c r="B10574" s="1" t="n">
        <v>45666</v>
      </c>
      <c r="C10574" s="1" t="n">
        <v>45798</v>
      </c>
      <c r="D10574" t="inlineStr">
        <is>
          <t>NORRBOTTENS LÄN</t>
        </is>
      </c>
      <c r="E10574" t="inlineStr">
        <is>
          <t>BODEN</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1067-2025</t>
        </is>
      </c>
      <c r="B10575" s="1" t="n">
        <v>45666</v>
      </c>
      <c r="C10575" s="1" t="n">
        <v>45798</v>
      </c>
      <c r="D10575" t="inlineStr">
        <is>
          <t>NORRBOTTENS LÄN</t>
        </is>
      </c>
      <c r="E10575" t="inlineStr">
        <is>
          <t>PAJALA</t>
        </is>
      </c>
      <c r="F10575" t="inlineStr">
        <is>
          <t>SCA</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963-2025</t>
        </is>
      </c>
      <c r="B10576" s="1" t="n">
        <v>45666</v>
      </c>
      <c r="C10576" s="1" t="n">
        <v>45798</v>
      </c>
      <c r="D10576" t="inlineStr">
        <is>
          <t>NORRBOTTENS LÄN</t>
        </is>
      </c>
      <c r="E10576" t="inlineStr">
        <is>
          <t>KALIX</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1195-2025</t>
        </is>
      </c>
      <c r="B10577" s="1" t="n">
        <v>45667</v>
      </c>
      <c r="C10577" s="1" t="n">
        <v>45798</v>
      </c>
      <c r="D10577" t="inlineStr">
        <is>
          <t>NORRBOTTENS LÄN</t>
        </is>
      </c>
      <c r="E10577" t="inlineStr">
        <is>
          <t>BODEN</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1220-2025</t>
        </is>
      </c>
      <c r="B10578" s="1" t="n">
        <v>45667</v>
      </c>
      <c r="C10578" s="1" t="n">
        <v>45798</v>
      </c>
      <c r="D10578" t="inlineStr">
        <is>
          <t>NORRBOTTENS LÄN</t>
        </is>
      </c>
      <c r="E10578" t="inlineStr">
        <is>
          <t>KALIX</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1192-2025</t>
        </is>
      </c>
      <c r="B10579" s="1" t="n">
        <v>45667</v>
      </c>
      <c r="C10579" s="1" t="n">
        <v>45798</v>
      </c>
      <c r="D10579" t="inlineStr">
        <is>
          <t>NORRBOTTENS LÄN</t>
        </is>
      </c>
      <c r="E10579" t="inlineStr">
        <is>
          <t>BODEN</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1205-2025</t>
        </is>
      </c>
      <c r="B10580" s="1" t="n">
        <v>45667</v>
      </c>
      <c r="C10580" s="1" t="n">
        <v>45798</v>
      </c>
      <c r="D10580" t="inlineStr">
        <is>
          <t>NORRBOTTENS LÄN</t>
        </is>
      </c>
      <c r="E10580" t="inlineStr">
        <is>
          <t>BODEN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1258-2025</t>
        </is>
      </c>
      <c r="B10581" s="1" t="n">
        <v>45667</v>
      </c>
      <c r="C10581" s="1" t="n">
        <v>45798</v>
      </c>
      <c r="D10581" t="inlineStr">
        <is>
          <t>NORRBOTTENS LÄN</t>
        </is>
      </c>
      <c r="E10581" t="inlineStr">
        <is>
          <t>KALIX</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1262-2025</t>
        </is>
      </c>
      <c r="B10582" s="1" t="n">
        <v>45667</v>
      </c>
      <c r="C10582" s="1" t="n">
        <v>45798</v>
      </c>
      <c r="D10582" t="inlineStr">
        <is>
          <t>NORRBOTTENS LÄN</t>
        </is>
      </c>
      <c r="E10582" t="inlineStr">
        <is>
          <t>KALIX</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1290-2025</t>
        </is>
      </c>
      <c r="B10583" s="1" t="n">
        <v>45667</v>
      </c>
      <c r="C10583" s="1" t="n">
        <v>45798</v>
      </c>
      <c r="D10583" t="inlineStr">
        <is>
          <t>NORRBOTTENS LÄN</t>
        </is>
      </c>
      <c r="E10583" t="inlineStr">
        <is>
          <t>PAJALA</t>
        </is>
      </c>
      <c r="G10583" t="n">
        <v>23.4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1310-2025</t>
        </is>
      </c>
      <c r="B10584" s="1" t="n">
        <v>45667</v>
      </c>
      <c r="C10584" s="1" t="n">
        <v>45798</v>
      </c>
      <c r="D10584" t="inlineStr">
        <is>
          <t>NORRBOTTENS LÄN</t>
        </is>
      </c>
      <c r="E10584" t="inlineStr">
        <is>
          <t>ÖVERKALIX</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1319-2025</t>
        </is>
      </c>
      <c r="B10585" s="1" t="n">
        <v>45667</v>
      </c>
      <c r="C10585" s="1" t="n">
        <v>45798</v>
      </c>
      <c r="D10585" t="inlineStr">
        <is>
          <t>NORRBOTTENS LÄN</t>
        </is>
      </c>
      <c r="E10585" t="inlineStr">
        <is>
          <t>ÖVERTORNEÅ</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1230-2025</t>
        </is>
      </c>
      <c r="B10586" s="1" t="n">
        <v>45667</v>
      </c>
      <c r="C10586" s="1" t="n">
        <v>45798</v>
      </c>
      <c r="D10586" t="inlineStr">
        <is>
          <t>NORRBOTTENS LÄN</t>
        </is>
      </c>
      <c r="E10586" t="inlineStr">
        <is>
          <t>KALIX</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1301-2025</t>
        </is>
      </c>
      <c r="B10587" s="1" t="n">
        <v>45667</v>
      </c>
      <c r="C10587" s="1" t="n">
        <v>45798</v>
      </c>
      <c r="D10587" t="inlineStr">
        <is>
          <t>NORRBOTTENS LÄN</t>
        </is>
      </c>
      <c r="E10587" t="inlineStr">
        <is>
          <t>ÖVERTORNEÅ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1305-2025</t>
        </is>
      </c>
      <c r="B10588" s="1" t="n">
        <v>45667</v>
      </c>
      <c r="C10588" s="1" t="n">
        <v>45798</v>
      </c>
      <c r="D10588" t="inlineStr">
        <is>
          <t>NORRBOTTENS LÄN</t>
        </is>
      </c>
      <c r="E10588" t="inlineStr">
        <is>
          <t>ÖVERTORNEÅ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1317-2025</t>
        </is>
      </c>
      <c r="B10589" s="1" t="n">
        <v>45667</v>
      </c>
      <c r="C10589" s="1" t="n">
        <v>45798</v>
      </c>
      <c r="D10589" t="inlineStr">
        <is>
          <t>NORRBOTTENS LÄN</t>
        </is>
      </c>
      <c r="E10589" t="inlineStr">
        <is>
          <t>KALIX</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1470-2025</t>
        </is>
      </c>
      <c r="B10590" s="1" t="n">
        <v>45670</v>
      </c>
      <c r="C10590" s="1" t="n">
        <v>45798</v>
      </c>
      <c r="D10590" t="inlineStr">
        <is>
          <t>NORRBOTTENS LÄN</t>
        </is>
      </c>
      <c r="E10590" t="inlineStr">
        <is>
          <t>ÖVERTORNEÅ</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1608-2025</t>
        </is>
      </c>
      <c r="B10591" s="1" t="n">
        <v>45670</v>
      </c>
      <c r="C10591" s="1" t="n">
        <v>45798</v>
      </c>
      <c r="D10591" t="inlineStr">
        <is>
          <t>NORRBOTTENS LÄN</t>
        </is>
      </c>
      <c r="E10591" t="inlineStr">
        <is>
          <t>KALIX</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1601-2025</t>
        </is>
      </c>
      <c r="B10592" s="1" t="n">
        <v>45670</v>
      </c>
      <c r="C10592" s="1" t="n">
        <v>45798</v>
      </c>
      <c r="D10592" t="inlineStr">
        <is>
          <t>NORRBOTTENS LÄN</t>
        </is>
      </c>
      <c r="E10592" t="inlineStr">
        <is>
          <t>KALIX</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1554-2025</t>
        </is>
      </c>
      <c r="B10593" s="1" t="n">
        <v>45670</v>
      </c>
      <c r="C10593" s="1" t="n">
        <v>45798</v>
      </c>
      <c r="D10593" t="inlineStr">
        <is>
          <t>NORRBOTTENS LÄN</t>
        </is>
      </c>
      <c r="E10593" t="inlineStr">
        <is>
          <t>ÄLVSBYN</t>
        </is>
      </c>
      <c r="G10593" t="n">
        <v>10.1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1685-2025</t>
        </is>
      </c>
      <c r="B10594" s="1" t="n">
        <v>45670</v>
      </c>
      <c r="C10594" s="1" t="n">
        <v>45798</v>
      </c>
      <c r="D10594" t="inlineStr">
        <is>
          <t>NORRBOTTENS LÄN</t>
        </is>
      </c>
      <c r="E10594" t="inlineStr">
        <is>
          <t>LULEÅ</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1507-2025</t>
        </is>
      </c>
      <c r="B10595" s="1" t="n">
        <v>45670</v>
      </c>
      <c r="C10595" s="1" t="n">
        <v>45798</v>
      </c>
      <c r="D10595" t="inlineStr">
        <is>
          <t>NORRBOTTENS LÄN</t>
        </is>
      </c>
      <c r="E10595" t="inlineStr">
        <is>
          <t>PAJALA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1513-2025</t>
        </is>
      </c>
      <c r="B10596" s="1" t="n">
        <v>45670</v>
      </c>
      <c r="C10596" s="1" t="n">
        <v>45798</v>
      </c>
      <c r="D10596" t="inlineStr">
        <is>
          <t>NORRBOTTENS LÄN</t>
        </is>
      </c>
      <c r="E10596" t="inlineStr">
        <is>
          <t>LULEÅ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1469-2025</t>
        </is>
      </c>
      <c r="B10597" s="1" t="n">
        <v>45670</v>
      </c>
      <c r="C10597" s="1" t="n">
        <v>45798</v>
      </c>
      <c r="D10597" t="inlineStr">
        <is>
          <t>NORRBOTTENS LÄN</t>
        </is>
      </c>
      <c r="E10597" t="inlineStr">
        <is>
          <t>ÖVERTORNEÅ</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1572-2025</t>
        </is>
      </c>
      <c r="B10598" s="1" t="n">
        <v>45670</v>
      </c>
      <c r="C10598" s="1" t="n">
        <v>45798</v>
      </c>
      <c r="D10598" t="inlineStr">
        <is>
          <t>NORRBOTTENS LÄN</t>
        </is>
      </c>
      <c r="E10598" t="inlineStr">
        <is>
          <t>LULEÅ</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1501-2025</t>
        </is>
      </c>
      <c r="B10599" s="1" t="n">
        <v>45670</v>
      </c>
      <c r="C10599" s="1" t="n">
        <v>45798</v>
      </c>
      <c r="D10599" t="inlineStr">
        <is>
          <t>NORRBOTTENS LÄN</t>
        </is>
      </c>
      <c r="E10599" t="inlineStr">
        <is>
          <t>PITEÅ</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1683-2025</t>
        </is>
      </c>
      <c r="B10600" s="1" t="n">
        <v>45670</v>
      </c>
      <c r="C10600" s="1" t="n">
        <v>45798</v>
      </c>
      <c r="D10600" t="inlineStr">
        <is>
          <t>NORRBOTTENS LÄN</t>
        </is>
      </c>
      <c r="E10600" t="inlineStr">
        <is>
          <t>LULEÅ</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2032-2025</t>
        </is>
      </c>
      <c r="B10601" s="1" t="n">
        <v>45671</v>
      </c>
      <c r="C10601" s="1" t="n">
        <v>45798</v>
      </c>
      <c r="D10601" t="inlineStr">
        <is>
          <t>NORRBOTTENS LÄN</t>
        </is>
      </c>
      <c r="E10601" t="inlineStr">
        <is>
          <t>JOKKMOKK</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2040-2025</t>
        </is>
      </c>
      <c r="B10602" s="1" t="n">
        <v>45671</v>
      </c>
      <c r="C10602" s="1" t="n">
        <v>45798</v>
      </c>
      <c r="D10602" t="inlineStr">
        <is>
          <t>NORRBOTTENS LÄN</t>
        </is>
      </c>
      <c r="E10602" t="inlineStr">
        <is>
          <t>JOKKMOKK</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2037-2025</t>
        </is>
      </c>
      <c r="B10603" s="1" t="n">
        <v>45671</v>
      </c>
      <c r="C10603" s="1" t="n">
        <v>45798</v>
      </c>
      <c r="D10603" t="inlineStr">
        <is>
          <t>NORRBOTTENS LÄN</t>
        </is>
      </c>
      <c r="E10603" t="inlineStr">
        <is>
          <t>JOKKMOKK</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1870-2025</t>
        </is>
      </c>
      <c r="B10604" s="1" t="n">
        <v>45671</v>
      </c>
      <c r="C10604" s="1" t="n">
        <v>45798</v>
      </c>
      <c r="D10604" t="inlineStr">
        <is>
          <t>NORRBOTTENS LÄN</t>
        </is>
      </c>
      <c r="E10604" t="inlineStr">
        <is>
          <t>HAPARANDA</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1821-2025</t>
        </is>
      </c>
      <c r="B10605" s="1" t="n">
        <v>45671</v>
      </c>
      <c r="C10605" s="1" t="n">
        <v>45798</v>
      </c>
      <c r="D10605" t="inlineStr">
        <is>
          <t>NORRBOTTENS LÄN</t>
        </is>
      </c>
      <c r="E10605" t="inlineStr">
        <is>
          <t>ÖVERKALIX</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1849-2025</t>
        </is>
      </c>
      <c r="B10606" s="1" t="n">
        <v>45671</v>
      </c>
      <c r="C10606" s="1" t="n">
        <v>45798</v>
      </c>
      <c r="D10606" t="inlineStr">
        <is>
          <t>NORRBOTTENS LÄN</t>
        </is>
      </c>
      <c r="E10606" t="inlineStr">
        <is>
          <t>HAPARANDA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1934-2025</t>
        </is>
      </c>
      <c r="B10607" s="1" t="n">
        <v>45671</v>
      </c>
      <c r="C10607" s="1" t="n">
        <v>45798</v>
      </c>
      <c r="D10607" t="inlineStr">
        <is>
          <t>NORRBOTTENS LÄN</t>
        </is>
      </c>
      <c r="E10607" t="inlineStr">
        <is>
          <t>PAJALA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1895-2025</t>
        </is>
      </c>
      <c r="B10608" s="1" t="n">
        <v>45671</v>
      </c>
      <c r="C10608" s="1" t="n">
        <v>45798</v>
      </c>
      <c r="D10608" t="inlineStr">
        <is>
          <t>NORRBOTTENS LÄN</t>
        </is>
      </c>
      <c r="E10608" t="inlineStr">
        <is>
          <t>KALIX</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1933-2025</t>
        </is>
      </c>
      <c r="B10609" s="1" t="n">
        <v>45671</v>
      </c>
      <c r="C10609" s="1" t="n">
        <v>45798</v>
      </c>
      <c r="D10609" t="inlineStr">
        <is>
          <t>NORRBOTTENS LÄN</t>
        </is>
      </c>
      <c r="E10609" t="inlineStr">
        <is>
          <t>PAJALA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1962-2025</t>
        </is>
      </c>
      <c r="B10610" s="1" t="n">
        <v>45672</v>
      </c>
      <c r="C10610" s="1" t="n">
        <v>45798</v>
      </c>
      <c r="D10610" t="inlineStr">
        <is>
          <t>NORRBOTTENS LÄN</t>
        </is>
      </c>
      <c r="E10610" t="inlineStr">
        <is>
          <t>BODEN</t>
        </is>
      </c>
      <c r="G10610" t="n">
        <v>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1961-2025</t>
        </is>
      </c>
      <c r="B10611" s="1" t="n">
        <v>45672</v>
      </c>
      <c r="C10611" s="1" t="n">
        <v>45798</v>
      </c>
      <c r="D10611" t="inlineStr">
        <is>
          <t>NORRBOTTENS LÄN</t>
        </is>
      </c>
      <c r="E10611" t="inlineStr">
        <is>
          <t>BODEN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2031-2025</t>
        </is>
      </c>
      <c r="B10612" s="1" t="n">
        <v>45672</v>
      </c>
      <c r="C10612" s="1" t="n">
        <v>45798</v>
      </c>
      <c r="D10612" t="inlineStr">
        <is>
          <t>NORRBOTTENS LÄN</t>
        </is>
      </c>
      <c r="E10612" t="inlineStr">
        <is>
          <t>JOKKMOKK</t>
        </is>
      </c>
      <c r="F10612" t="inlineStr">
        <is>
          <t>Övriga statliga verk och myndigheter</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2024-2025</t>
        </is>
      </c>
      <c r="B10613" s="1" t="n">
        <v>45672</v>
      </c>
      <c r="C10613" s="1" t="n">
        <v>45798</v>
      </c>
      <c r="D10613" t="inlineStr">
        <is>
          <t>NORRBOTTENS LÄN</t>
        </is>
      </c>
      <c r="E10613" t="inlineStr">
        <is>
          <t>JOKKMOKK</t>
        </is>
      </c>
      <c r="F10613" t="inlineStr">
        <is>
          <t>Övriga statliga verk och myndigheter</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2204-2025</t>
        </is>
      </c>
      <c r="B10614" s="1" t="n">
        <v>45673</v>
      </c>
      <c r="C10614" s="1" t="n">
        <v>45798</v>
      </c>
      <c r="D10614" t="inlineStr">
        <is>
          <t>NORRBOTTENS LÄN</t>
        </is>
      </c>
      <c r="E10614" t="inlineStr">
        <is>
          <t>BODEN</t>
        </is>
      </c>
      <c r="G10614" t="n">
        <v>10.7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2541-2025</t>
        </is>
      </c>
      <c r="B10615" s="1" t="n">
        <v>45673</v>
      </c>
      <c r="C10615" s="1" t="n">
        <v>45798</v>
      </c>
      <c r="D10615" t="inlineStr">
        <is>
          <t>NORRBOTTENS LÄN</t>
        </is>
      </c>
      <c r="E10615" t="inlineStr">
        <is>
          <t>KALIX</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2553-2025</t>
        </is>
      </c>
      <c r="B10616" s="1" t="n">
        <v>45673</v>
      </c>
      <c r="C10616" s="1" t="n">
        <v>45798</v>
      </c>
      <c r="D10616" t="inlineStr">
        <is>
          <t>NORRBOTTENS LÄN</t>
        </is>
      </c>
      <c r="E10616" t="inlineStr">
        <is>
          <t>KALIX</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2433-2025</t>
        </is>
      </c>
      <c r="B10617" s="1" t="n">
        <v>45673</v>
      </c>
      <c r="C10617" s="1" t="n">
        <v>45798</v>
      </c>
      <c r="D10617" t="inlineStr">
        <is>
          <t>NORRBOTTENS LÄN</t>
        </is>
      </c>
      <c r="E10617" t="inlineStr">
        <is>
          <t>ÖVERTORNEÅ</t>
        </is>
      </c>
      <c r="G10617" t="n">
        <v>9.6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2552-2025</t>
        </is>
      </c>
      <c r="B10618" s="1" t="n">
        <v>45674</v>
      </c>
      <c r="C10618" s="1" t="n">
        <v>45798</v>
      </c>
      <c r="D10618" t="inlineStr">
        <is>
          <t>NORRBOTTENS LÄN</t>
        </is>
      </c>
      <c r="E10618" t="inlineStr">
        <is>
          <t>BODEN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2392-2025</t>
        </is>
      </c>
      <c r="B10619" s="1" t="n">
        <v>45674</v>
      </c>
      <c r="C10619" s="1" t="n">
        <v>45798</v>
      </c>
      <c r="D10619" t="inlineStr">
        <is>
          <t>NORRBOTTENS LÄN</t>
        </is>
      </c>
      <c r="E10619" t="inlineStr">
        <is>
          <t>ARVIDSJAUR</t>
        </is>
      </c>
      <c r="F10619" t="inlineStr">
        <is>
          <t>Sveaskog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2601-2025</t>
        </is>
      </c>
      <c r="B10620" s="1" t="n">
        <v>45674</v>
      </c>
      <c r="C10620" s="1" t="n">
        <v>45798</v>
      </c>
      <c r="D10620" t="inlineStr">
        <is>
          <t>NORRBOTTENS LÄN</t>
        </is>
      </c>
      <c r="E10620" t="inlineStr">
        <is>
          <t>BODEN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2547-2025</t>
        </is>
      </c>
      <c r="B10621" s="1" t="n">
        <v>45674</v>
      </c>
      <c r="C10621" s="1" t="n">
        <v>45798</v>
      </c>
      <c r="D10621" t="inlineStr">
        <is>
          <t>NORRBOTTENS LÄN</t>
        </is>
      </c>
      <c r="E10621" t="inlineStr">
        <is>
          <t>BODEN</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2640-2025</t>
        </is>
      </c>
      <c r="B10622" s="1" t="n">
        <v>45675</v>
      </c>
      <c r="C10622" s="1" t="n">
        <v>45798</v>
      </c>
      <c r="D10622" t="inlineStr">
        <is>
          <t>NORRBOTTENS LÄN</t>
        </is>
      </c>
      <c r="E10622" t="inlineStr">
        <is>
          <t>PITEÅ</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2638-2025</t>
        </is>
      </c>
      <c r="B10623" s="1" t="n">
        <v>45675</v>
      </c>
      <c r="C10623" s="1" t="n">
        <v>45798</v>
      </c>
      <c r="D10623" t="inlineStr">
        <is>
          <t>NORRBOTTENS LÄN</t>
        </is>
      </c>
      <c r="E10623" t="inlineStr">
        <is>
          <t>PITEÅ</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2637-2025</t>
        </is>
      </c>
      <c r="B10624" s="1" t="n">
        <v>45675</v>
      </c>
      <c r="C10624" s="1" t="n">
        <v>45798</v>
      </c>
      <c r="D10624" t="inlineStr">
        <is>
          <t>NORRBOTTENS LÄN</t>
        </is>
      </c>
      <c r="E10624" t="inlineStr">
        <is>
          <t>PITEÅ</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2641-2025</t>
        </is>
      </c>
      <c r="B10625" s="1" t="n">
        <v>45676</v>
      </c>
      <c r="C10625" s="1" t="n">
        <v>45798</v>
      </c>
      <c r="D10625" t="inlineStr">
        <is>
          <t>NORRBOTTENS LÄN</t>
        </is>
      </c>
      <c r="E10625" t="inlineStr">
        <is>
          <t>PITEÅ</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2659-2025</t>
        </is>
      </c>
      <c r="B10626" s="1" t="n">
        <v>45676</v>
      </c>
      <c r="C10626" s="1" t="n">
        <v>45798</v>
      </c>
      <c r="D10626" t="inlineStr">
        <is>
          <t>NORRBOTTENS LÄN</t>
        </is>
      </c>
      <c r="E10626" t="inlineStr">
        <is>
          <t>LULEÅ</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2732-2025</t>
        </is>
      </c>
      <c r="B10627" s="1" t="n">
        <v>45677</v>
      </c>
      <c r="C10627" s="1" t="n">
        <v>45798</v>
      </c>
      <c r="D10627" t="inlineStr">
        <is>
          <t>NORRBOTTENS LÄN</t>
        </is>
      </c>
      <c r="E10627" t="inlineStr">
        <is>
          <t>BODEN</t>
        </is>
      </c>
      <c r="F10627" t="inlineStr">
        <is>
          <t>SCA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2786-2025</t>
        </is>
      </c>
      <c r="B10628" s="1" t="n">
        <v>45677</v>
      </c>
      <c r="C10628" s="1" t="n">
        <v>45798</v>
      </c>
      <c r="D10628" t="inlineStr">
        <is>
          <t>NORRBOTTENS LÄN</t>
        </is>
      </c>
      <c r="E10628" t="inlineStr">
        <is>
          <t>ARVIDSJAUR</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2826-2025</t>
        </is>
      </c>
      <c r="B10629" s="1" t="n">
        <v>45677</v>
      </c>
      <c r="C10629" s="1" t="n">
        <v>45798</v>
      </c>
      <c r="D10629" t="inlineStr">
        <is>
          <t>NORRBOTTENS LÄN</t>
        </is>
      </c>
      <c r="E10629" t="inlineStr">
        <is>
          <t>JOKKMOKK</t>
        </is>
      </c>
      <c r="F10629" t="inlineStr">
        <is>
          <t>Övriga statliga verk och myndigheter</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2778-2025</t>
        </is>
      </c>
      <c r="B10630" s="1" t="n">
        <v>45677</v>
      </c>
      <c r="C10630" s="1" t="n">
        <v>45798</v>
      </c>
      <c r="D10630" t="inlineStr">
        <is>
          <t>NORRBOTTENS LÄN</t>
        </is>
      </c>
      <c r="E10630" t="inlineStr">
        <is>
          <t>PITEÅ</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2840-2025</t>
        </is>
      </c>
      <c r="B10631" s="1" t="n">
        <v>45677</v>
      </c>
      <c r="C10631" s="1" t="n">
        <v>45798</v>
      </c>
      <c r="D10631" t="inlineStr">
        <is>
          <t>NORRBOTTENS LÄN</t>
        </is>
      </c>
      <c r="E10631" t="inlineStr">
        <is>
          <t>PAJALA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2845-2025</t>
        </is>
      </c>
      <c r="B10632" s="1" t="n">
        <v>45677</v>
      </c>
      <c r="C10632" s="1" t="n">
        <v>45798</v>
      </c>
      <c r="D10632" t="inlineStr">
        <is>
          <t>NORRBOTTENS LÄN</t>
        </is>
      </c>
      <c r="E10632" t="inlineStr">
        <is>
          <t>ARVIDSJAUR</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2700-2025</t>
        </is>
      </c>
      <c r="B10633" s="1" t="n">
        <v>45677</v>
      </c>
      <c r="C10633" s="1" t="n">
        <v>45798</v>
      </c>
      <c r="D10633" t="inlineStr">
        <is>
          <t>NORRBOTTENS LÄN</t>
        </is>
      </c>
      <c r="E10633" t="inlineStr">
        <is>
          <t>LULEÅ</t>
        </is>
      </c>
      <c r="F10633" t="inlineStr">
        <is>
          <t>SCA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2725-2025</t>
        </is>
      </c>
      <c r="B10634" s="1" t="n">
        <v>45677</v>
      </c>
      <c r="C10634" s="1" t="n">
        <v>45798</v>
      </c>
      <c r="D10634" t="inlineStr">
        <is>
          <t>NORRBOTTENS LÄN</t>
        </is>
      </c>
      <c r="E10634" t="inlineStr">
        <is>
          <t>ÖVERKALIX</t>
        </is>
      </c>
      <c r="G10634" t="n">
        <v>13.6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2768-2025</t>
        </is>
      </c>
      <c r="B10635" s="1" t="n">
        <v>45677</v>
      </c>
      <c r="C10635" s="1" t="n">
        <v>45798</v>
      </c>
      <c r="D10635" t="inlineStr">
        <is>
          <t>NORRBOTTENS LÄN</t>
        </is>
      </c>
      <c r="E10635" t="inlineStr">
        <is>
          <t>PITEÅ</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2773-2025</t>
        </is>
      </c>
      <c r="B10636" s="1" t="n">
        <v>45677</v>
      </c>
      <c r="C10636" s="1" t="n">
        <v>45798</v>
      </c>
      <c r="D10636" t="inlineStr">
        <is>
          <t>NORRBOTTENS LÄN</t>
        </is>
      </c>
      <c r="E10636" t="inlineStr">
        <is>
          <t>ARVIDSJAUR</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2791-2025</t>
        </is>
      </c>
      <c r="B10637" s="1" t="n">
        <v>45677</v>
      </c>
      <c r="C10637" s="1" t="n">
        <v>45798</v>
      </c>
      <c r="D10637" t="inlineStr">
        <is>
          <t>NORRBOTTENS LÄN</t>
        </is>
      </c>
      <c r="E10637" t="inlineStr">
        <is>
          <t>ARVIDSJAUR</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2799-2025</t>
        </is>
      </c>
      <c r="B10638" s="1" t="n">
        <v>45677</v>
      </c>
      <c r="C10638" s="1" t="n">
        <v>45798</v>
      </c>
      <c r="D10638" t="inlineStr">
        <is>
          <t>NORRBOTTENS LÄN</t>
        </is>
      </c>
      <c r="E10638" t="inlineStr">
        <is>
          <t>PAJALA</t>
        </is>
      </c>
      <c r="G10638" t="n">
        <v>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2844-2025</t>
        </is>
      </c>
      <c r="B10639" s="1" t="n">
        <v>45677</v>
      </c>
      <c r="C10639" s="1" t="n">
        <v>45798</v>
      </c>
      <c r="D10639" t="inlineStr">
        <is>
          <t>NORRBOTTENS LÄN</t>
        </is>
      </c>
      <c r="E10639" t="inlineStr">
        <is>
          <t>ARVIDSJAUR</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2888-2025</t>
        </is>
      </c>
      <c r="B10640" s="1" t="n">
        <v>45677</v>
      </c>
      <c r="C10640" s="1" t="n">
        <v>45798</v>
      </c>
      <c r="D10640" t="inlineStr">
        <is>
          <t>NORRBOTTENS LÄN</t>
        </is>
      </c>
      <c r="E10640" t="inlineStr">
        <is>
          <t>PITEÅ</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2727-2025</t>
        </is>
      </c>
      <c r="B10641" s="1" t="n">
        <v>45677</v>
      </c>
      <c r="C10641" s="1" t="n">
        <v>45798</v>
      </c>
      <c r="D10641" t="inlineStr">
        <is>
          <t>NORRBOTTENS LÄN</t>
        </is>
      </c>
      <c r="E10641" t="inlineStr">
        <is>
          <t>PITEÅ</t>
        </is>
      </c>
      <c r="G10641" t="n">
        <v>8.699999999999999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2723-2025</t>
        </is>
      </c>
      <c r="B10642" s="1" t="n">
        <v>45677</v>
      </c>
      <c r="C10642" s="1" t="n">
        <v>45798</v>
      </c>
      <c r="D10642" t="inlineStr">
        <is>
          <t>NORRBOTTENS LÄN</t>
        </is>
      </c>
      <c r="E10642" t="inlineStr">
        <is>
          <t>ÖVERKALIX</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3071-2025</t>
        </is>
      </c>
      <c r="B10643" s="1" t="n">
        <v>45678</v>
      </c>
      <c r="C10643" s="1" t="n">
        <v>45798</v>
      </c>
      <c r="D10643" t="inlineStr">
        <is>
          <t>NORRBOTTENS LÄN</t>
        </is>
      </c>
      <c r="E10643" t="inlineStr">
        <is>
          <t>PITEÅ</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3055-2025</t>
        </is>
      </c>
      <c r="B10644" s="1" t="n">
        <v>45678</v>
      </c>
      <c r="C10644" s="1" t="n">
        <v>45798</v>
      </c>
      <c r="D10644" t="inlineStr">
        <is>
          <t>NORRBOTTENS LÄN</t>
        </is>
      </c>
      <c r="E10644" t="inlineStr">
        <is>
          <t>JOKKMOKK</t>
        </is>
      </c>
      <c r="F10644" t="inlineStr">
        <is>
          <t>SCA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3043-2025</t>
        </is>
      </c>
      <c r="B10645" s="1" t="n">
        <v>45678</v>
      </c>
      <c r="C10645" s="1" t="n">
        <v>45798</v>
      </c>
      <c r="D10645" t="inlineStr">
        <is>
          <t>NORRBOTTENS LÄN</t>
        </is>
      </c>
      <c r="E10645" t="inlineStr">
        <is>
          <t>KALIX</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3038-2025</t>
        </is>
      </c>
      <c r="B10646" s="1" t="n">
        <v>45678</v>
      </c>
      <c r="C10646" s="1" t="n">
        <v>45798</v>
      </c>
      <c r="D10646" t="inlineStr">
        <is>
          <t>NORRBOTTENS LÄN</t>
        </is>
      </c>
      <c r="E10646" t="inlineStr">
        <is>
          <t>ÄLVSBYN</t>
        </is>
      </c>
      <c r="G10646" t="n">
        <v>9.699999999999999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3037-2025</t>
        </is>
      </c>
      <c r="B10647" s="1" t="n">
        <v>45678</v>
      </c>
      <c r="C10647" s="1" t="n">
        <v>45798</v>
      </c>
      <c r="D10647" t="inlineStr">
        <is>
          <t>NORRBOTTENS LÄN</t>
        </is>
      </c>
      <c r="E10647" t="inlineStr">
        <is>
          <t>KALIX</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2988-2025</t>
        </is>
      </c>
      <c r="B10648" s="1" t="n">
        <v>45678</v>
      </c>
      <c r="C10648" s="1" t="n">
        <v>45798</v>
      </c>
      <c r="D10648" t="inlineStr">
        <is>
          <t>NORRBOTTENS LÄN</t>
        </is>
      </c>
      <c r="E10648" t="inlineStr">
        <is>
          <t>PAJALA</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3310-2025</t>
        </is>
      </c>
      <c r="B10649" s="1" t="n">
        <v>45679</v>
      </c>
      <c r="C10649" s="1" t="n">
        <v>45798</v>
      </c>
      <c r="D10649" t="inlineStr">
        <is>
          <t>NORRBOTTENS LÄN</t>
        </is>
      </c>
      <c r="E10649" t="inlineStr">
        <is>
          <t>KALIX</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3270-2025</t>
        </is>
      </c>
      <c r="B10650" s="1" t="n">
        <v>45679</v>
      </c>
      <c r="C10650" s="1" t="n">
        <v>45798</v>
      </c>
      <c r="D10650" t="inlineStr">
        <is>
          <t>NORRBOTTENS LÄN</t>
        </is>
      </c>
      <c r="E10650" t="inlineStr">
        <is>
          <t>GÄLLIVARE</t>
        </is>
      </c>
      <c r="F10650" t="inlineStr">
        <is>
          <t>Sveaskog</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3169-2025</t>
        </is>
      </c>
      <c r="B10651" s="1" t="n">
        <v>45679</v>
      </c>
      <c r="C10651" s="1" t="n">
        <v>45798</v>
      </c>
      <c r="D10651" t="inlineStr">
        <is>
          <t>NORRBOTTENS LÄN</t>
        </is>
      </c>
      <c r="E10651" t="inlineStr">
        <is>
          <t>KALIX</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3185-2025</t>
        </is>
      </c>
      <c r="B10652" s="1" t="n">
        <v>45679</v>
      </c>
      <c r="C10652" s="1" t="n">
        <v>45798</v>
      </c>
      <c r="D10652" t="inlineStr">
        <is>
          <t>NORRBOTTENS LÄN</t>
        </is>
      </c>
      <c r="E10652" t="inlineStr">
        <is>
          <t>LULEÅ</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3242-2025</t>
        </is>
      </c>
      <c r="B10653" s="1" t="n">
        <v>45679</v>
      </c>
      <c r="C10653" s="1" t="n">
        <v>45798</v>
      </c>
      <c r="D10653" t="inlineStr">
        <is>
          <t>NORRBOTTENS LÄN</t>
        </is>
      </c>
      <c r="E10653" t="inlineStr">
        <is>
          <t>ÖVERKALIX</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3179-2025</t>
        </is>
      </c>
      <c r="B10654" s="1" t="n">
        <v>45679</v>
      </c>
      <c r="C10654" s="1" t="n">
        <v>45798</v>
      </c>
      <c r="D10654" t="inlineStr">
        <is>
          <t>NORRBOTTENS LÄN</t>
        </is>
      </c>
      <c r="E10654" t="inlineStr">
        <is>
          <t>HAPARANDA</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3184-2025</t>
        </is>
      </c>
      <c r="B10655" s="1" t="n">
        <v>45679</v>
      </c>
      <c r="C10655" s="1" t="n">
        <v>45798</v>
      </c>
      <c r="D10655" t="inlineStr">
        <is>
          <t>NORRBOTTENS LÄN</t>
        </is>
      </c>
      <c r="E10655" t="inlineStr">
        <is>
          <t>LULEÅ</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3168-2025</t>
        </is>
      </c>
      <c r="B10656" s="1" t="n">
        <v>45679</v>
      </c>
      <c r="C10656" s="1" t="n">
        <v>45798</v>
      </c>
      <c r="D10656" t="inlineStr">
        <is>
          <t>NORRBOTTENS LÄN</t>
        </is>
      </c>
      <c r="E10656" t="inlineStr">
        <is>
          <t>ÄLVSBYN</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3206-2025</t>
        </is>
      </c>
      <c r="B10657" s="1" t="n">
        <v>45679</v>
      </c>
      <c r="C10657" s="1" t="n">
        <v>45798</v>
      </c>
      <c r="D10657" t="inlineStr">
        <is>
          <t>NORRBOTTENS LÄN</t>
        </is>
      </c>
      <c r="E10657" t="inlineStr">
        <is>
          <t>JOKKMOKK</t>
        </is>
      </c>
      <c r="F10657" t="inlineStr">
        <is>
          <t>SCA</t>
        </is>
      </c>
      <c r="G10657" t="n">
        <v>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3202-2025</t>
        </is>
      </c>
      <c r="B10658" s="1" t="n">
        <v>45679</v>
      </c>
      <c r="C10658" s="1" t="n">
        <v>45798</v>
      </c>
      <c r="D10658" t="inlineStr">
        <is>
          <t>NORRBOTTENS LÄN</t>
        </is>
      </c>
      <c r="E10658" t="inlineStr">
        <is>
          <t>ÖVERKALIX</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3436-2025</t>
        </is>
      </c>
      <c r="B10659" s="1" t="n">
        <v>45680</v>
      </c>
      <c r="C10659" s="1" t="n">
        <v>45798</v>
      </c>
      <c r="D10659" t="inlineStr">
        <is>
          <t>NORRBOTTENS LÄN</t>
        </is>
      </c>
      <c r="E10659" t="inlineStr">
        <is>
          <t>BODEN</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3557-2025</t>
        </is>
      </c>
      <c r="B10660" s="1" t="n">
        <v>45680</v>
      </c>
      <c r="C10660" s="1" t="n">
        <v>45798</v>
      </c>
      <c r="D10660" t="inlineStr">
        <is>
          <t>NORRBOTTENS LÄN</t>
        </is>
      </c>
      <c r="E10660" t="inlineStr">
        <is>
          <t>JOKKMOKK</t>
        </is>
      </c>
      <c r="F10660" t="inlineStr">
        <is>
          <t>Övriga statliga verk och myndigheter</t>
        </is>
      </c>
      <c r="G10660" t="n">
        <v>60.6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3501-2025</t>
        </is>
      </c>
      <c r="B10661" s="1" t="n">
        <v>45680</v>
      </c>
      <c r="C10661" s="1" t="n">
        <v>45798</v>
      </c>
      <c r="D10661" t="inlineStr">
        <is>
          <t>NORRBOTTENS LÄN</t>
        </is>
      </c>
      <c r="E10661" t="inlineStr">
        <is>
          <t>BODEN</t>
        </is>
      </c>
      <c r="F10661" t="inlineStr">
        <is>
          <t>SCA</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3459-2025</t>
        </is>
      </c>
      <c r="B10662" s="1" t="n">
        <v>45680</v>
      </c>
      <c r="C10662" s="1" t="n">
        <v>45798</v>
      </c>
      <c r="D10662" t="inlineStr">
        <is>
          <t>NORRBOTTENS LÄN</t>
        </is>
      </c>
      <c r="E10662" t="inlineStr">
        <is>
          <t>BODEN</t>
        </is>
      </c>
      <c r="F10662" t="inlineStr">
        <is>
          <t>Naturvårdsverket</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3445-2025</t>
        </is>
      </c>
      <c r="B10663" s="1" t="n">
        <v>45680</v>
      </c>
      <c r="C10663" s="1" t="n">
        <v>45798</v>
      </c>
      <c r="D10663" t="inlineStr">
        <is>
          <t>NORRBOTTENS LÄN</t>
        </is>
      </c>
      <c r="E10663" t="inlineStr">
        <is>
          <t>ÄLVSBYN</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3438-2025</t>
        </is>
      </c>
      <c r="B10664" s="1" t="n">
        <v>45680</v>
      </c>
      <c r="C10664" s="1" t="n">
        <v>45798</v>
      </c>
      <c r="D10664" t="inlineStr">
        <is>
          <t>NORRBOTTENS LÄN</t>
        </is>
      </c>
      <c r="E10664" t="inlineStr">
        <is>
          <t>BODEN</t>
        </is>
      </c>
      <c r="F10664" t="inlineStr">
        <is>
          <t>Naturvårdsverket</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3806-2025</t>
        </is>
      </c>
      <c r="B10665" s="1" t="n">
        <v>45681</v>
      </c>
      <c r="C10665" s="1" t="n">
        <v>45798</v>
      </c>
      <c r="D10665" t="inlineStr">
        <is>
          <t>NORRBOTTENS LÄN</t>
        </is>
      </c>
      <c r="E10665" t="inlineStr">
        <is>
          <t>KALIX</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3799-2025</t>
        </is>
      </c>
      <c r="B10666" s="1" t="n">
        <v>45681</v>
      </c>
      <c r="C10666" s="1" t="n">
        <v>45798</v>
      </c>
      <c r="D10666" t="inlineStr">
        <is>
          <t>NORRBOTTENS LÄN</t>
        </is>
      </c>
      <c r="E10666" t="inlineStr">
        <is>
          <t>KALIX</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3802-2025</t>
        </is>
      </c>
      <c r="B10667" s="1" t="n">
        <v>45681</v>
      </c>
      <c r="C10667" s="1" t="n">
        <v>45798</v>
      </c>
      <c r="D10667" t="inlineStr">
        <is>
          <t>NORRBOTTENS LÄN</t>
        </is>
      </c>
      <c r="E10667" t="inlineStr">
        <is>
          <t>KALIX</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3797-2025</t>
        </is>
      </c>
      <c r="B10668" s="1" t="n">
        <v>45681</v>
      </c>
      <c r="C10668" s="1" t="n">
        <v>45798</v>
      </c>
      <c r="D10668" t="inlineStr">
        <is>
          <t>NORRBOTTENS LÄN</t>
        </is>
      </c>
      <c r="E10668" t="inlineStr">
        <is>
          <t>KALIX</t>
        </is>
      </c>
      <c r="G10668" t="n">
        <v>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3801-2025</t>
        </is>
      </c>
      <c r="B10669" s="1" t="n">
        <v>45681</v>
      </c>
      <c r="C10669" s="1" t="n">
        <v>45798</v>
      </c>
      <c r="D10669" t="inlineStr">
        <is>
          <t>NORRBOTTENS LÄN</t>
        </is>
      </c>
      <c r="E10669" t="inlineStr">
        <is>
          <t>KALIX</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3677-2025</t>
        </is>
      </c>
      <c r="B10670" s="1" t="n">
        <v>45681</v>
      </c>
      <c r="C10670" s="1" t="n">
        <v>45798</v>
      </c>
      <c r="D10670" t="inlineStr">
        <is>
          <t>NORRBOTTENS LÄN</t>
        </is>
      </c>
      <c r="E10670" t="inlineStr">
        <is>
          <t>PITEÅ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3608-2025</t>
        </is>
      </c>
      <c r="B10671" s="1" t="n">
        <v>45681</v>
      </c>
      <c r="C10671" s="1" t="n">
        <v>45798</v>
      </c>
      <c r="D10671" t="inlineStr">
        <is>
          <t>NORRBOTTENS LÄN</t>
        </is>
      </c>
      <c r="E10671" t="inlineStr">
        <is>
          <t>PITEÅ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3663-2025</t>
        </is>
      </c>
      <c r="B10672" s="1" t="n">
        <v>45681</v>
      </c>
      <c r="C10672" s="1" t="n">
        <v>45798</v>
      </c>
      <c r="D10672" t="inlineStr">
        <is>
          <t>NORRBOTTENS LÄN</t>
        </is>
      </c>
      <c r="E10672" t="inlineStr">
        <is>
          <t>PITEÅ</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3780-2025</t>
        </is>
      </c>
      <c r="B10673" s="1" t="n">
        <v>45681</v>
      </c>
      <c r="C10673" s="1" t="n">
        <v>45798</v>
      </c>
      <c r="D10673" t="inlineStr">
        <is>
          <t>NORRBOTTENS LÄN</t>
        </is>
      </c>
      <c r="E10673" t="inlineStr">
        <is>
          <t>HAPARANDA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3627-2025</t>
        </is>
      </c>
      <c r="B10674" s="1" t="n">
        <v>45681</v>
      </c>
      <c r="C10674" s="1" t="n">
        <v>45798</v>
      </c>
      <c r="D10674" t="inlineStr">
        <is>
          <t>NORRBOTTENS LÄN</t>
        </is>
      </c>
      <c r="E10674" t="inlineStr">
        <is>
          <t>PITEÅ</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3619-2025</t>
        </is>
      </c>
      <c r="B10675" s="1" t="n">
        <v>45681</v>
      </c>
      <c r="C10675" s="1" t="n">
        <v>45798</v>
      </c>
      <c r="D10675" t="inlineStr">
        <is>
          <t>NORRBOTTENS LÄN</t>
        </is>
      </c>
      <c r="E10675" t="inlineStr">
        <is>
          <t>KALIX</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3792-2025</t>
        </is>
      </c>
      <c r="B10676" s="1" t="n">
        <v>45681</v>
      </c>
      <c r="C10676" s="1" t="n">
        <v>45798</v>
      </c>
      <c r="D10676" t="inlineStr">
        <is>
          <t>NORRBOTTENS LÄN</t>
        </is>
      </c>
      <c r="E10676" t="inlineStr">
        <is>
          <t>KALIX</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3804-2025</t>
        </is>
      </c>
      <c r="B10677" s="1" t="n">
        <v>45681</v>
      </c>
      <c r="C10677" s="1" t="n">
        <v>45798</v>
      </c>
      <c r="D10677" t="inlineStr">
        <is>
          <t>NORRBOTTENS LÄN</t>
        </is>
      </c>
      <c r="E10677" t="inlineStr">
        <is>
          <t>KALIX</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3614-2025</t>
        </is>
      </c>
      <c r="B10678" s="1" t="n">
        <v>45681</v>
      </c>
      <c r="C10678" s="1" t="n">
        <v>45798</v>
      </c>
      <c r="D10678" t="inlineStr">
        <is>
          <t>NORRBOTTENS LÄN</t>
        </is>
      </c>
      <c r="E10678" t="inlineStr">
        <is>
          <t>KALIX</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3693-2025</t>
        </is>
      </c>
      <c r="B10679" s="1" t="n">
        <v>45681</v>
      </c>
      <c r="C10679" s="1" t="n">
        <v>45798</v>
      </c>
      <c r="D10679" t="inlineStr">
        <is>
          <t>NORRBOTTENS LÄN</t>
        </is>
      </c>
      <c r="E10679" t="inlineStr">
        <is>
          <t>LULEÅ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3656-2025</t>
        </is>
      </c>
      <c r="B10680" s="1" t="n">
        <v>45681</v>
      </c>
      <c r="C10680" s="1" t="n">
        <v>45798</v>
      </c>
      <c r="D10680" t="inlineStr">
        <is>
          <t>NORRBOTTENS LÄN</t>
        </is>
      </c>
      <c r="E10680" t="inlineStr">
        <is>
          <t>PITEÅ</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3649-2025</t>
        </is>
      </c>
      <c r="B10681" s="1" t="n">
        <v>45681</v>
      </c>
      <c r="C10681" s="1" t="n">
        <v>45798</v>
      </c>
      <c r="D10681" t="inlineStr">
        <is>
          <t>NORRBOTTENS LÄN</t>
        </is>
      </c>
      <c r="E10681" t="inlineStr">
        <is>
          <t>PITEÅ</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3607-2025</t>
        </is>
      </c>
      <c r="B10682" s="1" t="n">
        <v>45681</v>
      </c>
      <c r="C10682" s="1" t="n">
        <v>45798</v>
      </c>
      <c r="D10682" t="inlineStr">
        <is>
          <t>NORRBOTTENS LÄN</t>
        </is>
      </c>
      <c r="E10682" t="inlineStr">
        <is>
          <t>PITEÅ</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3833-2025</t>
        </is>
      </c>
      <c r="B10683" s="1" t="n">
        <v>45682</v>
      </c>
      <c r="C10683" s="1" t="n">
        <v>45798</v>
      </c>
      <c r="D10683" t="inlineStr">
        <is>
          <t>NORRBOTTENS LÄN</t>
        </is>
      </c>
      <c r="E10683" t="inlineStr">
        <is>
          <t>BODEN</t>
        </is>
      </c>
      <c r="F10683" t="inlineStr">
        <is>
          <t>SCA</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3836-2025</t>
        </is>
      </c>
      <c r="B10684" s="1" t="n">
        <v>45682</v>
      </c>
      <c r="C10684" s="1" t="n">
        <v>45798</v>
      </c>
      <c r="D10684" t="inlineStr">
        <is>
          <t>NORRBOTTENS LÄN</t>
        </is>
      </c>
      <c r="E10684" t="inlineStr">
        <is>
          <t>PAJALA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3871-2025</t>
        </is>
      </c>
      <c r="B10685" s="1" t="n">
        <v>45683</v>
      </c>
      <c r="C10685" s="1" t="n">
        <v>45798</v>
      </c>
      <c r="D10685" t="inlineStr">
        <is>
          <t>NORRBOTTENS LÄN</t>
        </is>
      </c>
      <c r="E10685" t="inlineStr">
        <is>
          <t>LULEÅ</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3872-2025</t>
        </is>
      </c>
      <c r="B10686" s="1" t="n">
        <v>45683</v>
      </c>
      <c r="C10686" s="1" t="n">
        <v>45798</v>
      </c>
      <c r="D10686" t="inlineStr">
        <is>
          <t>NORRBOTTENS LÄN</t>
        </is>
      </c>
      <c r="E10686" t="inlineStr">
        <is>
          <t>LULEÅ</t>
        </is>
      </c>
      <c r="G10686" t="n">
        <v>12.1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3895-2025</t>
        </is>
      </c>
      <c r="B10687" s="1" t="n">
        <v>45683</v>
      </c>
      <c r="C10687" s="1" t="n">
        <v>45798</v>
      </c>
      <c r="D10687" t="inlineStr">
        <is>
          <t>NORRBOTTENS LÄN</t>
        </is>
      </c>
      <c r="E10687" t="inlineStr">
        <is>
          <t>LULEÅ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3902-2025</t>
        </is>
      </c>
      <c r="B10688" s="1" t="n">
        <v>45683</v>
      </c>
      <c r="C10688" s="1" t="n">
        <v>45798</v>
      </c>
      <c r="D10688" t="inlineStr">
        <is>
          <t>NORRBOTTENS LÄN</t>
        </is>
      </c>
      <c r="E10688" t="inlineStr">
        <is>
          <t>LULEÅ</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3870-2025</t>
        </is>
      </c>
      <c r="B10689" s="1" t="n">
        <v>45684</v>
      </c>
      <c r="C10689" s="1" t="n">
        <v>45798</v>
      </c>
      <c r="D10689" t="inlineStr">
        <is>
          <t>NORRBOTTENS LÄN</t>
        </is>
      </c>
      <c r="E10689" t="inlineStr">
        <is>
          <t>PITEÅ</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3922-2025</t>
        </is>
      </c>
      <c r="B10690" s="1" t="n">
        <v>45684</v>
      </c>
      <c r="C10690" s="1" t="n">
        <v>45798</v>
      </c>
      <c r="D10690" t="inlineStr">
        <is>
          <t>NORRBOTTENS LÄN</t>
        </is>
      </c>
      <c r="E10690" t="inlineStr">
        <is>
          <t>BODEN</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3982-2025</t>
        </is>
      </c>
      <c r="B10691" s="1" t="n">
        <v>45684</v>
      </c>
      <c r="C10691" s="1" t="n">
        <v>45798</v>
      </c>
      <c r="D10691" t="inlineStr">
        <is>
          <t>NORRBOTTENS LÄN</t>
        </is>
      </c>
      <c r="E10691" t="inlineStr">
        <is>
          <t>ÖVERTORNEÅ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3887-2025</t>
        </is>
      </c>
      <c r="B10692" s="1" t="n">
        <v>45684</v>
      </c>
      <c r="C10692" s="1" t="n">
        <v>45798</v>
      </c>
      <c r="D10692" t="inlineStr">
        <is>
          <t>NORRBOTTENS LÄN</t>
        </is>
      </c>
      <c r="E10692" t="inlineStr">
        <is>
          <t>PITEÅ</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4038-2025</t>
        </is>
      </c>
      <c r="B10693" s="1" t="n">
        <v>45684</v>
      </c>
      <c r="C10693" s="1" t="n">
        <v>45798</v>
      </c>
      <c r="D10693" t="inlineStr">
        <is>
          <t>NORRBOTTENS LÄN</t>
        </is>
      </c>
      <c r="E10693" t="inlineStr">
        <is>
          <t>PITEÅ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4120-2025</t>
        </is>
      </c>
      <c r="B10694" s="1" t="n">
        <v>45684</v>
      </c>
      <c r="C10694" s="1" t="n">
        <v>45798</v>
      </c>
      <c r="D10694" t="inlineStr">
        <is>
          <t>NORRBOTTENS LÄN</t>
        </is>
      </c>
      <c r="E10694" t="inlineStr">
        <is>
          <t>LULEÅ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4288-2025</t>
        </is>
      </c>
      <c r="B10695" s="1" t="n">
        <v>45685</v>
      </c>
      <c r="C10695" s="1" t="n">
        <v>45798</v>
      </c>
      <c r="D10695" t="inlineStr">
        <is>
          <t>NORRBOTTENS LÄN</t>
        </is>
      </c>
      <c r="E10695" t="inlineStr">
        <is>
          <t>KALIX</t>
        </is>
      </c>
      <c r="G10695" t="n">
        <v>15.5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4278-2025</t>
        </is>
      </c>
      <c r="B10696" s="1" t="n">
        <v>45685</v>
      </c>
      <c r="C10696" s="1" t="n">
        <v>45798</v>
      </c>
      <c r="D10696" t="inlineStr">
        <is>
          <t>NORRBOTTENS LÄN</t>
        </is>
      </c>
      <c r="E10696" t="inlineStr">
        <is>
          <t>KALIX</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4286-2025</t>
        </is>
      </c>
      <c r="B10697" s="1" t="n">
        <v>45685</v>
      </c>
      <c r="C10697" s="1" t="n">
        <v>45798</v>
      </c>
      <c r="D10697" t="inlineStr">
        <is>
          <t>NORRBOTTENS LÄN</t>
        </is>
      </c>
      <c r="E10697" t="inlineStr">
        <is>
          <t>LULEÅ</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4317-2025</t>
        </is>
      </c>
      <c r="B10698" s="1" t="n">
        <v>45685</v>
      </c>
      <c r="C10698" s="1" t="n">
        <v>45798</v>
      </c>
      <c r="D10698" t="inlineStr">
        <is>
          <t>NORRBOTTENS LÄN</t>
        </is>
      </c>
      <c r="E10698" t="inlineStr">
        <is>
          <t>HAPARANDA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4280-2025</t>
        </is>
      </c>
      <c r="B10699" s="1" t="n">
        <v>45685</v>
      </c>
      <c r="C10699" s="1" t="n">
        <v>45798</v>
      </c>
      <c r="D10699" t="inlineStr">
        <is>
          <t>NORRBOTTENS LÄN</t>
        </is>
      </c>
      <c r="E10699" t="inlineStr">
        <is>
          <t>ÖVERTORNEÅ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4276-2025</t>
        </is>
      </c>
      <c r="B10700" s="1" t="n">
        <v>45685</v>
      </c>
      <c r="C10700" s="1" t="n">
        <v>45798</v>
      </c>
      <c r="D10700" t="inlineStr">
        <is>
          <t>NORRBOTTENS LÄN</t>
        </is>
      </c>
      <c r="E10700" t="inlineStr">
        <is>
          <t>ÖVERTORNEÅ</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4250-2025</t>
        </is>
      </c>
      <c r="B10701" s="1" t="n">
        <v>45685</v>
      </c>
      <c r="C10701" s="1" t="n">
        <v>45798</v>
      </c>
      <c r="D10701" t="inlineStr">
        <is>
          <t>NORRBOTTENS LÄN</t>
        </is>
      </c>
      <c r="E10701" t="inlineStr">
        <is>
          <t>ÖVERTORNEÅ</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4274-2025</t>
        </is>
      </c>
      <c r="B10702" s="1" t="n">
        <v>45685</v>
      </c>
      <c r="C10702" s="1" t="n">
        <v>45798</v>
      </c>
      <c r="D10702" t="inlineStr">
        <is>
          <t>NORRBOTTENS LÄN</t>
        </is>
      </c>
      <c r="E10702" t="inlineStr">
        <is>
          <t>ÖVERTORNEÅ</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4199-2025</t>
        </is>
      </c>
      <c r="B10703" s="1" t="n">
        <v>45685</v>
      </c>
      <c r="C10703" s="1" t="n">
        <v>45798</v>
      </c>
      <c r="D10703" t="inlineStr">
        <is>
          <t>NORRBOTTENS LÄN</t>
        </is>
      </c>
      <c r="E10703" t="inlineStr">
        <is>
          <t>KALIX</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4347-2025</t>
        </is>
      </c>
      <c r="B10704" s="1" t="n">
        <v>45685</v>
      </c>
      <c r="C10704" s="1" t="n">
        <v>45798</v>
      </c>
      <c r="D10704" t="inlineStr">
        <is>
          <t>NORRBOTTENS LÄN</t>
        </is>
      </c>
      <c r="E10704" t="inlineStr">
        <is>
          <t>LULEÅ</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4329-2025</t>
        </is>
      </c>
      <c r="B10705" s="1" t="n">
        <v>45685</v>
      </c>
      <c r="C10705" s="1" t="n">
        <v>45798</v>
      </c>
      <c r="D10705" t="inlineStr">
        <is>
          <t>NORRBOTTENS LÄN</t>
        </is>
      </c>
      <c r="E10705" t="inlineStr">
        <is>
          <t>PITEÅ</t>
        </is>
      </c>
      <c r="G10705" t="n">
        <v>10.8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4172-2025</t>
        </is>
      </c>
      <c r="B10706" s="1" t="n">
        <v>45685</v>
      </c>
      <c r="C10706" s="1" t="n">
        <v>45798</v>
      </c>
      <c r="D10706" t="inlineStr">
        <is>
          <t>NORRBOTTENS LÄN</t>
        </is>
      </c>
      <c r="E10706" t="inlineStr">
        <is>
          <t>LULEÅ</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4176-2025</t>
        </is>
      </c>
      <c r="B10707" s="1" t="n">
        <v>45685</v>
      </c>
      <c r="C10707" s="1" t="n">
        <v>45798</v>
      </c>
      <c r="D10707" t="inlineStr">
        <is>
          <t>NORRBOTTENS LÄN</t>
        </is>
      </c>
      <c r="E10707" t="inlineStr">
        <is>
          <t>LULEÅ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4237-2025</t>
        </is>
      </c>
      <c r="B10708" s="1" t="n">
        <v>45685</v>
      </c>
      <c r="C10708" s="1" t="n">
        <v>45798</v>
      </c>
      <c r="D10708" t="inlineStr">
        <is>
          <t>NORRBOTTENS LÄN</t>
        </is>
      </c>
      <c r="E10708" t="inlineStr">
        <is>
          <t>LULEÅ</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4254-2025</t>
        </is>
      </c>
      <c r="B10709" s="1" t="n">
        <v>45685</v>
      </c>
      <c r="C10709" s="1" t="n">
        <v>45798</v>
      </c>
      <c r="D10709" t="inlineStr">
        <is>
          <t>NORRBOTTENS LÄN</t>
        </is>
      </c>
      <c r="E10709" t="inlineStr">
        <is>
          <t>BODEN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4263-2025</t>
        </is>
      </c>
      <c r="B10710" s="1" t="n">
        <v>45685</v>
      </c>
      <c r="C10710" s="1" t="n">
        <v>45798</v>
      </c>
      <c r="D10710" t="inlineStr">
        <is>
          <t>NORRBOTTENS LÄN</t>
        </is>
      </c>
      <c r="E10710" t="inlineStr">
        <is>
          <t>BODEN</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4283-2025</t>
        </is>
      </c>
      <c r="B10711" s="1" t="n">
        <v>45685</v>
      </c>
      <c r="C10711" s="1" t="n">
        <v>45798</v>
      </c>
      <c r="D10711" t="inlineStr">
        <is>
          <t>NORRBOTTENS LÄN</t>
        </is>
      </c>
      <c r="E10711" t="inlineStr">
        <is>
          <t>ÖVERTORNEÅ</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4323-2025</t>
        </is>
      </c>
      <c r="B10712" s="1" t="n">
        <v>45685</v>
      </c>
      <c r="C10712" s="1" t="n">
        <v>45798</v>
      </c>
      <c r="D10712" t="inlineStr">
        <is>
          <t>NORRBOTTENS LÄN</t>
        </is>
      </c>
      <c r="E10712" t="inlineStr">
        <is>
          <t>HAPARANDA</t>
        </is>
      </c>
      <c r="G10712" t="n">
        <v>11.1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4398-2025</t>
        </is>
      </c>
      <c r="B10713" s="1" t="n">
        <v>45686</v>
      </c>
      <c r="C10713" s="1" t="n">
        <v>45798</v>
      </c>
      <c r="D10713" t="inlineStr">
        <is>
          <t>NORRBOTTENS LÄN</t>
        </is>
      </c>
      <c r="E10713" t="inlineStr">
        <is>
          <t>ÖVERTORNEÅ</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4395-2025</t>
        </is>
      </c>
      <c r="B10714" s="1" t="n">
        <v>45686</v>
      </c>
      <c r="C10714" s="1" t="n">
        <v>45798</v>
      </c>
      <c r="D10714" t="inlineStr">
        <is>
          <t>NORRBOTTENS LÄN</t>
        </is>
      </c>
      <c r="E10714" t="inlineStr">
        <is>
          <t>BODEN</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4400-2025</t>
        </is>
      </c>
      <c r="B10715" s="1" t="n">
        <v>45686</v>
      </c>
      <c r="C10715" s="1" t="n">
        <v>45798</v>
      </c>
      <c r="D10715" t="inlineStr">
        <is>
          <t>NORRBOTTENS LÄN</t>
        </is>
      </c>
      <c r="E10715" t="inlineStr">
        <is>
          <t>ÖVERTORNEÅ</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4396-2025</t>
        </is>
      </c>
      <c r="B10716" s="1" t="n">
        <v>45686</v>
      </c>
      <c r="C10716" s="1" t="n">
        <v>45798</v>
      </c>
      <c r="D10716" t="inlineStr">
        <is>
          <t>NORRBOTTENS LÄN</t>
        </is>
      </c>
      <c r="E10716" t="inlineStr">
        <is>
          <t>BODEN</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4392-2025</t>
        </is>
      </c>
      <c r="B10717" s="1" t="n">
        <v>45686</v>
      </c>
      <c r="C10717" s="1" t="n">
        <v>45798</v>
      </c>
      <c r="D10717" t="inlineStr">
        <is>
          <t>NORRBOTTENS LÄN</t>
        </is>
      </c>
      <c r="E10717" t="inlineStr">
        <is>
          <t>GÄLLIVARE</t>
        </is>
      </c>
      <c r="F10717" t="inlineStr">
        <is>
          <t>Sveaskog</t>
        </is>
      </c>
      <c r="G10717" t="n">
        <v>20.2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4394-2025</t>
        </is>
      </c>
      <c r="B10718" s="1" t="n">
        <v>45686</v>
      </c>
      <c r="C10718" s="1" t="n">
        <v>45798</v>
      </c>
      <c r="D10718" t="inlineStr">
        <is>
          <t>NORRBOTTENS LÄN</t>
        </is>
      </c>
      <c r="E10718" t="inlineStr">
        <is>
          <t>BODEN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4390-2025</t>
        </is>
      </c>
      <c r="B10719" s="1" t="n">
        <v>45686</v>
      </c>
      <c r="C10719" s="1" t="n">
        <v>45798</v>
      </c>
      <c r="D10719" t="inlineStr">
        <is>
          <t>NORRBOTTENS LÄN</t>
        </is>
      </c>
      <c r="E10719" t="inlineStr">
        <is>
          <t>GÄLLIVARE</t>
        </is>
      </c>
      <c r="F10719" t="inlineStr">
        <is>
          <t>Sveaskog</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4547-2025</t>
        </is>
      </c>
      <c r="B10720" s="1" t="n">
        <v>45687</v>
      </c>
      <c r="C10720" s="1" t="n">
        <v>45798</v>
      </c>
      <c r="D10720" t="inlineStr">
        <is>
          <t>NORRBOTTENS LÄN</t>
        </is>
      </c>
      <c r="E10720" t="inlineStr">
        <is>
          <t>LULEÅ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4633-2025</t>
        </is>
      </c>
      <c r="B10721" s="1" t="n">
        <v>45687</v>
      </c>
      <c r="C10721" s="1" t="n">
        <v>45798</v>
      </c>
      <c r="D10721" t="inlineStr">
        <is>
          <t>NORRBOTTENS LÄN</t>
        </is>
      </c>
      <c r="E10721" t="inlineStr">
        <is>
          <t>GÄLLIVARE</t>
        </is>
      </c>
      <c r="G10721" t="n">
        <v>11.8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4639-2025</t>
        </is>
      </c>
      <c r="B10722" s="1" t="n">
        <v>45687</v>
      </c>
      <c r="C10722" s="1" t="n">
        <v>45798</v>
      </c>
      <c r="D10722" t="inlineStr">
        <is>
          <t>NORRBOTTENS LÄN</t>
        </is>
      </c>
      <c r="E10722" t="inlineStr">
        <is>
          <t>GÄLLIVARE</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4647-2025</t>
        </is>
      </c>
      <c r="B10723" s="1" t="n">
        <v>45687</v>
      </c>
      <c r="C10723" s="1" t="n">
        <v>45798</v>
      </c>
      <c r="D10723" t="inlineStr">
        <is>
          <t>NORRBOTTENS LÄN</t>
        </is>
      </c>
      <c r="E10723" t="inlineStr">
        <is>
          <t>GÄLLIVARE</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4630-2025</t>
        </is>
      </c>
      <c r="B10724" s="1" t="n">
        <v>45687</v>
      </c>
      <c r="C10724" s="1" t="n">
        <v>45798</v>
      </c>
      <c r="D10724" t="inlineStr">
        <is>
          <t>NORRBOTTENS LÄN</t>
        </is>
      </c>
      <c r="E10724" t="inlineStr">
        <is>
          <t>BODEN</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4678-2025</t>
        </is>
      </c>
      <c r="B10725" s="1" t="n">
        <v>45687</v>
      </c>
      <c r="C10725" s="1" t="n">
        <v>45798</v>
      </c>
      <c r="D10725" t="inlineStr">
        <is>
          <t>NORRBOTTENS LÄN</t>
        </is>
      </c>
      <c r="E10725" t="inlineStr">
        <is>
          <t>PITEÅ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4636-2025</t>
        </is>
      </c>
      <c r="B10726" s="1" t="n">
        <v>45687</v>
      </c>
      <c r="C10726" s="1" t="n">
        <v>45798</v>
      </c>
      <c r="D10726" t="inlineStr">
        <is>
          <t>NORRBOTTENS LÄN</t>
        </is>
      </c>
      <c r="E10726" t="inlineStr">
        <is>
          <t>GÄLLIVARE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4675-2025</t>
        </is>
      </c>
      <c r="B10727" s="1" t="n">
        <v>45687</v>
      </c>
      <c r="C10727" s="1" t="n">
        <v>45798</v>
      </c>
      <c r="D10727" t="inlineStr">
        <is>
          <t>NORRBOTTENS LÄN</t>
        </is>
      </c>
      <c r="E10727" t="inlineStr">
        <is>
          <t>PITEÅ</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4673-2025</t>
        </is>
      </c>
      <c r="B10728" s="1" t="n">
        <v>45687</v>
      </c>
      <c r="C10728" s="1" t="n">
        <v>45798</v>
      </c>
      <c r="D10728" t="inlineStr">
        <is>
          <t>NORRBOTTENS LÄN</t>
        </is>
      </c>
      <c r="E10728" t="inlineStr">
        <is>
          <t>PITEÅ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4653-2025</t>
        </is>
      </c>
      <c r="B10729" s="1" t="n">
        <v>45687</v>
      </c>
      <c r="C10729" s="1" t="n">
        <v>45798</v>
      </c>
      <c r="D10729" t="inlineStr">
        <is>
          <t>NORRBOTTENS LÄN</t>
        </is>
      </c>
      <c r="E10729" t="inlineStr">
        <is>
          <t>PAJALA</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4699-2025</t>
        </is>
      </c>
      <c r="B10730" s="1" t="n">
        <v>45688</v>
      </c>
      <c r="C10730" s="1" t="n">
        <v>45798</v>
      </c>
      <c r="D10730" t="inlineStr">
        <is>
          <t>NORRBOTTENS LÄN</t>
        </is>
      </c>
      <c r="E10730" t="inlineStr">
        <is>
          <t>PAJALA</t>
        </is>
      </c>
      <c r="F10730" t="inlineStr">
        <is>
          <t>Sveaskog</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4695-2025</t>
        </is>
      </c>
      <c r="B10731" s="1" t="n">
        <v>45688</v>
      </c>
      <c r="C10731" s="1" t="n">
        <v>45798</v>
      </c>
      <c r="D10731" t="inlineStr">
        <is>
          <t>NORRBOTTENS LÄN</t>
        </is>
      </c>
      <c r="E10731" t="inlineStr">
        <is>
          <t>PITEÅ</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4920-2025</t>
        </is>
      </c>
      <c r="B10732" s="1" t="n">
        <v>45688</v>
      </c>
      <c r="C10732" s="1" t="n">
        <v>45798</v>
      </c>
      <c r="D10732" t="inlineStr">
        <is>
          <t>NORRBOTTENS LÄN</t>
        </is>
      </c>
      <c r="E10732" t="inlineStr">
        <is>
          <t>LULEÅ</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4919-2025</t>
        </is>
      </c>
      <c r="B10733" s="1" t="n">
        <v>45688</v>
      </c>
      <c r="C10733" s="1" t="n">
        <v>45798</v>
      </c>
      <c r="D10733" t="inlineStr">
        <is>
          <t>NORRBOTTENS LÄN</t>
        </is>
      </c>
      <c r="E10733" t="inlineStr">
        <is>
          <t>LULEÅ</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4693-2025</t>
        </is>
      </c>
      <c r="B10734" s="1" t="n">
        <v>45688</v>
      </c>
      <c r="C10734" s="1" t="n">
        <v>45798</v>
      </c>
      <c r="D10734" t="inlineStr">
        <is>
          <t>NORRBOTTENS LÄN</t>
        </is>
      </c>
      <c r="E10734" t="inlineStr">
        <is>
          <t>PITEÅ</t>
        </is>
      </c>
      <c r="F10734" t="inlineStr">
        <is>
          <t>Övriga Aktiebolag</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4918-2025</t>
        </is>
      </c>
      <c r="B10735" s="1" t="n">
        <v>45688</v>
      </c>
      <c r="C10735" s="1" t="n">
        <v>45798</v>
      </c>
      <c r="D10735" t="inlineStr">
        <is>
          <t>NORRBOTTENS LÄN</t>
        </is>
      </c>
      <c r="E10735" t="inlineStr">
        <is>
          <t>GÄLLIVARE</t>
        </is>
      </c>
      <c r="F10735" t="inlineStr">
        <is>
          <t>SCA</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4692-2025</t>
        </is>
      </c>
      <c r="B10736" s="1" t="n">
        <v>45688</v>
      </c>
      <c r="C10736" s="1" t="n">
        <v>45798</v>
      </c>
      <c r="D10736" t="inlineStr">
        <is>
          <t>NORRBOTTENS LÄN</t>
        </is>
      </c>
      <c r="E10736" t="inlineStr">
        <is>
          <t>PITEÅ</t>
        </is>
      </c>
      <c r="F10736" t="inlineStr">
        <is>
          <t>Övriga Aktiebolag</t>
        </is>
      </c>
      <c r="G10736" t="n">
        <v>11.9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4903-2025</t>
        </is>
      </c>
      <c r="B10737" s="1" t="n">
        <v>45688</v>
      </c>
      <c r="C10737" s="1" t="n">
        <v>45798</v>
      </c>
      <c r="D10737" t="inlineStr">
        <is>
          <t>NORRBOTTENS LÄN</t>
        </is>
      </c>
      <c r="E10737" t="inlineStr">
        <is>
          <t>GÄLLIVARE</t>
        </is>
      </c>
      <c r="F10737" t="inlineStr">
        <is>
          <t>SCA</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4891-2025</t>
        </is>
      </c>
      <c r="B10738" s="1" t="n">
        <v>45688</v>
      </c>
      <c r="C10738" s="1" t="n">
        <v>45798</v>
      </c>
      <c r="D10738" t="inlineStr">
        <is>
          <t>NORRBOTTENS LÄN</t>
        </is>
      </c>
      <c r="E10738" t="inlineStr">
        <is>
          <t>GÄLLIVARE</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4921-2025</t>
        </is>
      </c>
      <c r="B10739" s="1" t="n">
        <v>45688</v>
      </c>
      <c r="C10739" s="1" t="n">
        <v>45798</v>
      </c>
      <c r="D10739" t="inlineStr">
        <is>
          <t>NORRBOTTENS LÄN</t>
        </is>
      </c>
      <c r="E10739" t="inlineStr">
        <is>
          <t>LULEÅ</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4929-2025</t>
        </is>
      </c>
      <c r="B10740" s="1" t="n">
        <v>45688</v>
      </c>
      <c r="C10740" s="1" t="n">
        <v>45798</v>
      </c>
      <c r="D10740" t="inlineStr">
        <is>
          <t>NORRBOTTENS LÄN</t>
        </is>
      </c>
      <c r="E10740" t="inlineStr">
        <is>
          <t>ÄLVSBYN</t>
        </is>
      </c>
      <c r="G10740" t="n">
        <v>11.2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4941-2025</t>
        </is>
      </c>
      <c r="B10741" s="1" t="n">
        <v>45688</v>
      </c>
      <c r="C10741" s="1" t="n">
        <v>45798</v>
      </c>
      <c r="D10741" t="inlineStr">
        <is>
          <t>NORRBOTTENS LÄN</t>
        </is>
      </c>
      <c r="E10741" t="inlineStr">
        <is>
          <t>LULEÅ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4924-2025</t>
        </is>
      </c>
      <c r="B10742" s="1" t="n">
        <v>45688</v>
      </c>
      <c r="C10742" s="1" t="n">
        <v>45798</v>
      </c>
      <c r="D10742" t="inlineStr">
        <is>
          <t>NORRBOTTENS LÄN</t>
        </is>
      </c>
      <c r="E10742" t="inlineStr">
        <is>
          <t>PITEÅ</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4928-2025</t>
        </is>
      </c>
      <c r="B10743" s="1" t="n">
        <v>45688</v>
      </c>
      <c r="C10743" s="1" t="n">
        <v>45798</v>
      </c>
      <c r="D10743" t="inlineStr">
        <is>
          <t>NORRBOTTENS LÄN</t>
        </is>
      </c>
      <c r="E10743" t="inlineStr">
        <is>
          <t>ÄLVSBYN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4940-2025</t>
        </is>
      </c>
      <c r="B10744" s="1" t="n">
        <v>45688</v>
      </c>
      <c r="C10744" s="1" t="n">
        <v>45798</v>
      </c>
      <c r="D10744" t="inlineStr">
        <is>
          <t>NORRBOTTENS LÄN</t>
        </is>
      </c>
      <c r="E10744" t="inlineStr">
        <is>
          <t>LULEÅ</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4868-2025</t>
        </is>
      </c>
      <c r="B10745" s="1" t="n">
        <v>45688</v>
      </c>
      <c r="C10745" s="1" t="n">
        <v>45798</v>
      </c>
      <c r="D10745" t="inlineStr">
        <is>
          <t>NORRBOTTENS LÄN</t>
        </is>
      </c>
      <c r="E10745" t="inlineStr">
        <is>
          <t>PITEÅ</t>
        </is>
      </c>
      <c r="F10745" t="inlineStr">
        <is>
          <t>SCA</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4840-2025</t>
        </is>
      </c>
      <c r="B10746" s="1" t="n">
        <v>45688</v>
      </c>
      <c r="C10746" s="1" t="n">
        <v>45798</v>
      </c>
      <c r="D10746" t="inlineStr">
        <is>
          <t>NORRBOTTENS LÄN</t>
        </is>
      </c>
      <c r="E10746" t="inlineStr">
        <is>
          <t>ÖVERKALIX</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4961-2025</t>
        </is>
      </c>
      <c r="B10747" s="1" t="n">
        <v>45689</v>
      </c>
      <c r="C10747" s="1" t="n">
        <v>45798</v>
      </c>
      <c r="D10747" t="inlineStr">
        <is>
          <t>NORRBOTTENS LÄN</t>
        </is>
      </c>
      <c r="E10747" t="inlineStr">
        <is>
          <t>ÖVERKALIX</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5069-2025</t>
        </is>
      </c>
      <c r="B10748" s="1" t="n">
        <v>45691</v>
      </c>
      <c r="C10748" s="1" t="n">
        <v>45798</v>
      </c>
      <c r="D10748" t="inlineStr">
        <is>
          <t>NORRBOTTENS LÄN</t>
        </is>
      </c>
      <c r="E10748" t="inlineStr">
        <is>
          <t>ÄLVSBYN</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5089-2025</t>
        </is>
      </c>
      <c r="B10749" s="1" t="n">
        <v>45691</v>
      </c>
      <c r="C10749" s="1" t="n">
        <v>45798</v>
      </c>
      <c r="D10749" t="inlineStr">
        <is>
          <t>NORRBOTTENS LÄN</t>
        </is>
      </c>
      <c r="E10749" t="inlineStr">
        <is>
          <t>ÖVERTORNEÅ</t>
        </is>
      </c>
      <c r="G10749" t="n">
        <v>8.4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5093-2025</t>
        </is>
      </c>
      <c r="B10750" s="1" t="n">
        <v>45691</v>
      </c>
      <c r="C10750" s="1" t="n">
        <v>45798</v>
      </c>
      <c r="D10750" t="inlineStr">
        <is>
          <t>NORRBOTTENS LÄN</t>
        </is>
      </c>
      <c r="E10750" t="inlineStr">
        <is>
          <t>ÖVERTORNEÅ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5129-2025</t>
        </is>
      </c>
      <c r="B10751" s="1" t="n">
        <v>45691</v>
      </c>
      <c r="C10751" s="1" t="n">
        <v>45798</v>
      </c>
      <c r="D10751" t="inlineStr">
        <is>
          <t>NORRBOTTENS LÄN</t>
        </is>
      </c>
      <c r="E10751" t="inlineStr">
        <is>
          <t>BODEN</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5132-2025</t>
        </is>
      </c>
      <c r="B10752" s="1" t="n">
        <v>45691</v>
      </c>
      <c r="C10752" s="1" t="n">
        <v>45798</v>
      </c>
      <c r="D10752" t="inlineStr">
        <is>
          <t>NORRBOTTENS LÄN</t>
        </is>
      </c>
      <c r="E10752" t="inlineStr">
        <is>
          <t>LULEÅ</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5051-2025</t>
        </is>
      </c>
      <c r="B10753" s="1" t="n">
        <v>45691</v>
      </c>
      <c r="C10753" s="1" t="n">
        <v>45798</v>
      </c>
      <c r="D10753" t="inlineStr">
        <is>
          <t>NORRBOTTENS LÄN</t>
        </is>
      </c>
      <c r="E10753" t="inlineStr">
        <is>
          <t>LULEÅ</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5030-2025</t>
        </is>
      </c>
      <c r="B10754" s="1" t="n">
        <v>45691</v>
      </c>
      <c r="C10754" s="1" t="n">
        <v>45798</v>
      </c>
      <c r="D10754" t="inlineStr">
        <is>
          <t>NORRBOTTENS LÄN</t>
        </is>
      </c>
      <c r="E10754" t="inlineStr">
        <is>
          <t>ÖVERTORNEÅ</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5038-2025</t>
        </is>
      </c>
      <c r="B10755" s="1" t="n">
        <v>45691</v>
      </c>
      <c r="C10755" s="1" t="n">
        <v>45798</v>
      </c>
      <c r="D10755" t="inlineStr">
        <is>
          <t>NORRBOTTENS LÄN</t>
        </is>
      </c>
      <c r="E10755" t="inlineStr">
        <is>
          <t>LULEÅ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5050-2025</t>
        </is>
      </c>
      <c r="B10756" s="1" t="n">
        <v>45691</v>
      </c>
      <c r="C10756" s="1" t="n">
        <v>45798</v>
      </c>
      <c r="D10756" t="inlineStr">
        <is>
          <t>NORRBOTTENS LÄN</t>
        </is>
      </c>
      <c r="E10756" t="inlineStr">
        <is>
          <t>LULEÅ</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5058-2025</t>
        </is>
      </c>
      <c r="B10757" s="1" t="n">
        <v>45691</v>
      </c>
      <c r="C10757" s="1" t="n">
        <v>45798</v>
      </c>
      <c r="D10757" t="inlineStr">
        <is>
          <t>NORRBOTTENS LÄN</t>
        </is>
      </c>
      <c r="E10757" t="inlineStr">
        <is>
          <t>LULEÅ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5062-2025</t>
        </is>
      </c>
      <c r="B10758" s="1" t="n">
        <v>45691</v>
      </c>
      <c r="C10758" s="1" t="n">
        <v>45798</v>
      </c>
      <c r="D10758" t="inlineStr">
        <is>
          <t>NORRBOTTENS LÄN</t>
        </is>
      </c>
      <c r="E10758" t="inlineStr">
        <is>
          <t>ÄLVSBYN</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5074-2025</t>
        </is>
      </c>
      <c r="B10759" s="1" t="n">
        <v>45691</v>
      </c>
      <c r="C10759" s="1" t="n">
        <v>45798</v>
      </c>
      <c r="D10759" t="inlineStr">
        <is>
          <t>NORRBOTTENS LÄN</t>
        </is>
      </c>
      <c r="E10759" t="inlineStr">
        <is>
          <t>KALIX</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5086-2025</t>
        </is>
      </c>
      <c r="B10760" s="1" t="n">
        <v>45691</v>
      </c>
      <c r="C10760" s="1" t="n">
        <v>45798</v>
      </c>
      <c r="D10760" t="inlineStr">
        <is>
          <t>NORRBOTTENS LÄN</t>
        </is>
      </c>
      <c r="E10760" t="inlineStr">
        <is>
          <t>GÄLLIVARE</t>
        </is>
      </c>
      <c r="F10760" t="inlineStr">
        <is>
          <t>SCA</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5161-2025</t>
        </is>
      </c>
      <c r="B10761" s="1" t="n">
        <v>45691</v>
      </c>
      <c r="C10761" s="1" t="n">
        <v>45798</v>
      </c>
      <c r="D10761" t="inlineStr">
        <is>
          <t>NORRBOTTENS LÄN</t>
        </is>
      </c>
      <c r="E10761" t="inlineStr">
        <is>
          <t>ÖVERTORNEÅ</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5071-2025</t>
        </is>
      </c>
      <c r="B10762" s="1" t="n">
        <v>45691</v>
      </c>
      <c r="C10762" s="1" t="n">
        <v>45798</v>
      </c>
      <c r="D10762" t="inlineStr">
        <is>
          <t>NORRBOTTENS LÄN</t>
        </is>
      </c>
      <c r="E10762" t="inlineStr">
        <is>
          <t>BODEN</t>
        </is>
      </c>
      <c r="F10762" t="inlineStr">
        <is>
          <t>SCA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5087-2025</t>
        </is>
      </c>
      <c r="B10763" s="1" t="n">
        <v>45691</v>
      </c>
      <c r="C10763" s="1" t="n">
        <v>45798</v>
      </c>
      <c r="D10763" t="inlineStr">
        <is>
          <t>NORRBOTTENS LÄN</t>
        </is>
      </c>
      <c r="E10763" t="inlineStr">
        <is>
          <t>ÖVERTORNEÅ</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5095-2025</t>
        </is>
      </c>
      <c r="B10764" s="1" t="n">
        <v>45691</v>
      </c>
      <c r="C10764" s="1" t="n">
        <v>45798</v>
      </c>
      <c r="D10764" t="inlineStr">
        <is>
          <t>NORRBOTTENS LÄN</t>
        </is>
      </c>
      <c r="E10764" t="inlineStr">
        <is>
          <t>ÖVERTORNEÅ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5111-2025</t>
        </is>
      </c>
      <c r="B10765" s="1" t="n">
        <v>45691</v>
      </c>
      <c r="C10765" s="1" t="n">
        <v>45798</v>
      </c>
      <c r="D10765" t="inlineStr">
        <is>
          <t>NORRBOTTENS LÄN</t>
        </is>
      </c>
      <c r="E10765" t="inlineStr">
        <is>
          <t>GÄLLIVARE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5142-2025</t>
        </is>
      </c>
      <c r="B10766" s="1" t="n">
        <v>45691</v>
      </c>
      <c r="C10766" s="1" t="n">
        <v>45798</v>
      </c>
      <c r="D10766" t="inlineStr">
        <is>
          <t>NORRBOTTENS LÄN</t>
        </is>
      </c>
      <c r="E10766" t="inlineStr">
        <is>
          <t>ÖVERTORNEÅ</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5131-2025</t>
        </is>
      </c>
      <c r="B10767" s="1" t="n">
        <v>45691</v>
      </c>
      <c r="C10767" s="1" t="n">
        <v>45798</v>
      </c>
      <c r="D10767" t="inlineStr">
        <is>
          <t>NORRBOTTENS LÄN</t>
        </is>
      </c>
      <c r="E10767" t="inlineStr">
        <is>
          <t>LULEÅ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5155-2025</t>
        </is>
      </c>
      <c r="B10768" s="1" t="n">
        <v>45691</v>
      </c>
      <c r="C10768" s="1" t="n">
        <v>45798</v>
      </c>
      <c r="D10768" t="inlineStr">
        <is>
          <t>NORRBOTTENS LÄN</t>
        </is>
      </c>
      <c r="E10768" t="inlineStr">
        <is>
          <t>ÖVERTORNEÅ</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5166-2025</t>
        </is>
      </c>
      <c r="B10769" s="1" t="n">
        <v>45691</v>
      </c>
      <c r="C10769" s="1" t="n">
        <v>45798</v>
      </c>
      <c r="D10769" t="inlineStr">
        <is>
          <t>NORRBOTTENS LÄN</t>
        </is>
      </c>
      <c r="E10769" t="inlineStr">
        <is>
          <t>GÄLLIVARE</t>
        </is>
      </c>
      <c r="F10769" t="inlineStr">
        <is>
          <t>SCA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5209-2025</t>
        </is>
      </c>
      <c r="B10770" s="1" t="n">
        <v>45691</v>
      </c>
      <c r="C10770" s="1" t="n">
        <v>45798</v>
      </c>
      <c r="D10770" t="inlineStr">
        <is>
          <t>NORRBOTTENS LÄN</t>
        </is>
      </c>
      <c r="E10770" t="inlineStr">
        <is>
          <t>ÖVERKALIX</t>
        </is>
      </c>
      <c r="F10770" t="inlineStr">
        <is>
          <t>SCA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5184-2025</t>
        </is>
      </c>
      <c r="B10771" s="1" t="n">
        <v>45691</v>
      </c>
      <c r="C10771" s="1" t="n">
        <v>45798</v>
      </c>
      <c r="D10771" t="inlineStr">
        <is>
          <t>NORRBOTTENS LÄN</t>
        </is>
      </c>
      <c r="E10771" t="inlineStr">
        <is>
          <t>PITEÅ</t>
        </is>
      </c>
      <c r="F10771" t="inlineStr">
        <is>
          <t>Övriga Aktiebolag</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5091-2025</t>
        </is>
      </c>
      <c r="B10772" s="1" t="n">
        <v>45691</v>
      </c>
      <c r="C10772" s="1" t="n">
        <v>45798</v>
      </c>
      <c r="D10772" t="inlineStr">
        <is>
          <t>NORRBOTTENS LÄN</t>
        </is>
      </c>
      <c r="E10772" t="inlineStr">
        <is>
          <t>ÖVERTORNEÅ</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5031-2025</t>
        </is>
      </c>
      <c r="B10773" s="1" t="n">
        <v>45691</v>
      </c>
      <c r="C10773" s="1" t="n">
        <v>45798</v>
      </c>
      <c r="D10773" t="inlineStr">
        <is>
          <t>NORRBOTTENS LÄN</t>
        </is>
      </c>
      <c r="E10773" t="inlineStr">
        <is>
          <t>PAJALA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5170-2025</t>
        </is>
      </c>
      <c r="B10774" s="1" t="n">
        <v>45691</v>
      </c>
      <c r="C10774" s="1" t="n">
        <v>45798</v>
      </c>
      <c r="D10774" t="inlineStr">
        <is>
          <t>NORRBOTTENS LÄN</t>
        </is>
      </c>
      <c r="E10774" t="inlineStr">
        <is>
          <t>ÖVERKALIX</t>
        </is>
      </c>
      <c r="F10774" t="inlineStr">
        <is>
          <t>SCA</t>
        </is>
      </c>
      <c r="G10774" t="n">
        <v>20.3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5385-2025</t>
        </is>
      </c>
      <c r="B10775" s="1" t="n">
        <v>45692</v>
      </c>
      <c r="C10775" s="1" t="n">
        <v>45798</v>
      </c>
      <c r="D10775" t="inlineStr">
        <is>
          <t>NORRBOTTENS LÄN</t>
        </is>
      </c>
      <c r="E10775" t="inlineStr">
        <is>
          <t>ÖVERKALIX</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5408-2025</t>
        </is>
      </c>
      <c r="B10776" s="1" t="n">
        <v>45692</v>
      </c>
      <c r="C10776" s="1" t="n">
        <v>45798</v>
      </c>
      <c r="D10776" t="inlineStr">
        <is>
          <t>NORRBOTTENS LÄN</t>
        </is>
      </c>
      <c r="E10776" t="inlineStr">
        <is>
          <t>ÖVERKALIX</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5342-2025</t>
        </is>
      </c>
      <c r="B10777" s="1" t="n">
        <v>45692</v>
      </c>
      <c r="C10777" s="1" t="n">
        <v>45798</v>
      </c>
      <c r="D10777" t="inlineStr">
        <is>
          <t>NORRBOTTENS LÄN</t>
        </is>
      </c>
      <c r="E10777" t="inlineStr">
        <is>
          <t>LULEÅ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5382-2025</t>
        </is>
      </c>
      <c r="B10778" s="1" t="n">
        <v>45692</v>
      </c>
      <c r="C10778" s="1" t="n">
        <v>45798</v>
      </c>
      <c r="D10778" t="inlineStr">
        <is>
          <t>NORRBOTTENS LÄN</t>
        </is>
      </c>
      <c r="E10778" t="inlineStr">
        <is>
          <t>ÖVERKALIX</t>
        </is>
      </c>
      <c r="F10778" t="inlineStr">
        <is>
          <t>SCA</t>
        </is>
      </c>
      <c r="G10778" t="n">
        <v>10.1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5398-2025</t>
        </is>
      </c>
      <c r="B10779" s="1" t="n">
        <v>45692</v>
      </c>
      <c r="C10779" s="1" t="n">
        <v>45798</v>
      </c>
      <c r="D10779" t="inlineStr">
        <is>
          <t>NORRBOTTENS LÄN</t>
        </is>
      </c>
      <c r="E10779" t="inlineStr">
        <is>
          <t>KALIX</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5451-2025</t>
        </is>
      </c>
      <c r="B10780" s="1" t="n">
        <v>45692</v>
      </c>
      <c r="C10780" s="1" t="n">
        <v>45798</v>
      </c>
      <c r="D10780" t="inlineStr">
        <is>
          <t>NORRBOTTENS LÄN</t>
        </is>
      </c>
      <c r="E10780" t="inlineStr">
        <is>
          <t>BODEN</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5452-2025</t>
        </is>
      </c>
      <c r="B10781" s="1" t="n">
        <v>45692</v>
      </c>
      <c r="C10781" s="1" t="n">
        <v>45798</v>
      </c>
      <c r="D10781" t="inlineStr">
        <is>
          <t>NORRBOTTENS LÄN</t>
        </is>
      </c>
      <c r="E10781" t="inlineStr">
        <is>
          <t>BODEN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5546-2025</t>
        </is>
      </c>
      <c r="B10782" s="1" t="n">
        <v>45693</v>
      </c>
      <c r="C10782" s="1" t="n">
        <v>45798</v>
      </c>
      <c r="D10782" t="inlineStr">
        <is>
          <t>NORRBOTTENS LÄN</t>
        </is>
      </c>
      <c r="E10782" t="inlineStr">
        <is>
          <t>PAJALA</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5570-2025</t>
        </is>
      </c>
      <c r="B10783" s="1" t="n">
        <v>45693</v>
      </c>
      <c r="C10783" s="1" t="n">
        <v>45798</v>
      </c>
      <c r="D10783" t="inlineStr">
        <is>
          <t>NORRBOTTENS LÄN</t>
        </is>
      </c>
      <c r="E10783" t="inlineStr">
        <is>
          <t>ÖVERKALIX</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5642-2025</t>
        </is>
      </c>
      <c r="B10784" s="1" t="n">
        <v>45693</v>
      </c>
      <c r="C10784" s="1" t="n">
        <v>45798</v>
      </c>
      <c r="D10784" t="inlineStr">
        <is>
          <t>NORRBOTTENS LÄN</t>
        </is>
      </c>
      <c r="E10784" t="inlineStr">
        <is>
          <t>PITEÅ</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5670-2025</t>
        </is>
      </c>
      <c r="B10785" s="1" t="n">
        <v>45693</v>
      </c>
      <c r="C10785" s="1" t="n">
        <v>45798</v>
      </c>
      <c r="D10785" t="inlineStr">
        <is>
          <t>NORRBOTTENS LÄN</t>
        </is>
      </c>
      <c r="E10785" t="inlineStr">
        <is>
          <t>JOKKMOKK</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5572-2025</t>
        </is>
      </c>
      <c r="B10786" s="1" t="n">
        <v>45693</v>
      </c>
      <c r="C10786" s="1" t="n">
        <v>45798</v>
      </c>
      <c r="D10786" t="inlineStr">
        <is>
          <t>NORRBOTTENS LÄN</t>
        </is>
      </c>
      <c r="E10786" t="inlineStr">
        <is>
          <t>ÖVERKALIX</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5547-2025</t>
        </is>
      </c>
      <c r="B10787" s="1" t="n">
        <v>45693</v>
      </c>
      <c r="C10787" s="1" t="n">
        <v>45798</v>
      </c>
      <c r="D10787" t="inlineStr">
        <is>
          <t>NORRBOTTENS LÄN</t>
        </is>
      </c>
      <c r="E10787" t="inlineStr">
        <is>
          <t>GÄLLIVARE</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5535-2025</t>
        </is>
      </c>
      <c r="B10788" s="1" t="n">
        <v>45693</v>
      </c>
      <c r="C10788" s="1" t="n">
        <v>45798</v>
      </c>
      <c r="D10788" t="inlineStr">
        <is>
          <t>NORRBOTTENS LÄN</t>
        </is>
      </c>
      <c r="E10788" t="inlineStr">
        <is>
          <t>PAJALA</t>
        </is>
      </c>
      <c r="F10788" t="inlineStr">
        <is>
          <t>SCA</t>
        </is>
      </c>
      <c r="G10788" t="n">
        <v>20.4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5526-2025</t>
        </is>
      </c>
      <c r="B10789" s="1" t="n">
        <v>45693</v>
      </c>
      <c r="C10789" s="1" t="n">
        <v>45798</v>
      </c>
      <c r="D10789" t="inlineStr">
        <is>
          <t>NORRBOTTENS LÄN</t>
        </is>
      </c>
      <c r="E10789" t="inlineStr">
        <is>
          <t>ÖVERKALIX</t>
        </is>
      </c>
      <c r="F10789" t="inlineStr">
        <is>
          <t>SCA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5523-2025</t>
        </is>
      </c>
      <c r="B10790" s="1" t="n">
        <v>45693</v>
      </c>
      <c r="C10790" s="1" t="n">
        <v>45798</v>
      </c>
      <c r="D10790" t="inlineStr">
        <is>
          <t>NORRBOTTENS LÄN</t>
        </is>
      </c>
      <c r="E10790" t="inlineStr">
        <is>
          <t>GÄLLIVARE</t>
        </is>
      </c>
      <c r="F10790" t="inlineStr">
        <is>
          <t>SCA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5481-2025</t>
        </is>
      </c>
      <c r="B10791" s="1" t="n">
        <v>45693</v>
      </c>
      <c r="C10791" s="1" t="n">
        <v>45798</v>
      </c>
      <c r="D10791" t="inlineStr">
        <is>
          <t>NORRBOTTENS LÄN</t>
        </is>
      </c>
      <c r="E10791" t="inlineStr">
        <is>
          <t>GÄLLIVARE</t>
        </is>
      </c>
      <c r="F10791" t="inlineStr">
        <is>
          <t>SCA</t>
        </is>
      </c>
      <c r="G10791" t="n">
        <v>13.1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5727-2025</t>
        </is>
      </c>
      <c r="B10792" s="1" t="n">
        <v>45694</v>
      </c>
      <c r="C10792" s="1" t="n">
        <v>45798</v>
      </c>
      <c r="D10792" t="inlineStr">
        <is>
          <t>NORRBOTTENS LÄN</t>
        </is>
      </c>
      <c r="E10792" t="inlineStr">
        <is>
          <t>LULEÅ</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5776-2025</t>
        </is>
      </c>
      <c r="B10793" s="1" t="n">
        <v>45694</v>
      </c>
      <c r="C10793" s="1" t="n">
        <v>45798</v>
      </c>
      <c r="D10793" t="inlineStr">
        <is>
          <t>NORRBOTTENS LÄN</t>
        </is>
      </c>
      <c r="E10793" t="inlineStr">
        <is>
          <t>GÄLLIVARE</t>
        </is>
      </c>
      <c r="F10793" t="inlineStr">
        <is>
          <t>SCA</t>
        </is>
      </c>
      <c r="G10793" t="n">
        <v>14.5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5822-2025</t>
        </is>
      </c>
      <c r="B10794" s="1" t="n">
        <v>45694</v>
      </c>
      <c r="C10794" s="1" t="n">
        <v>45798</v>
      </c>
      <c r="D10794" t="inlineStr">
        <is>
          <t>NORRBOTTENS LÄN</t>
        </is>
      </c>
      <c r="E10794" t="inlineStr">
        <is>
          <t>LULEÅ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5792-2025</t>
        </is>
      </c>
      <c r="B10795" s="1" t="n">
        <v>45694</v>
      </c>
      <c r="C10795" s="1" t="n">
        <v>45798</v>
      </c>
      <c r="D10795" t="inlineStr">
        <is>
          <t>NORRBOTTENS LÄN</t>
        </is>
      </c>
      <c r="E10795" t="inlineStr">
        <is>
          <t>BODEN</t>
        </is>
      </c>
      <c r="F10795" t="inlineStr">
        <is>
          <t>SCA</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5285-2025</t>
        </is>
      </c>
      <c r="B10796" s="1" t="n">
        <v>45694</v>
      </c>
      <c r="C10796" s="1" t="n">
        <v>45798</v>
      </c>
      <c r="D10796" t="inlineStr">
        <is>
          <t>NORRBOTTENS LÄN</t>
        </is>
      </c>
      <c r="E10796" t="inlineStr">
        <is>
          <t>BODEN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6026-2025</t>
        </is>
      </c>
      <c r="B10797" s="1" t="n">
        <v>45695</v>
      </c>
      <c r="C10797" s="1" t="n">
        <v>45798</v>
      </c>
      <c r="D10797" t="inlineStr">
        <is>
          <t>NORRBOTTENS LÄN</t>
        </is>
      </c>
      <c r="E10797" t="inlineStr">
        <is>
          <t>PITEÅ</t>
        </is>
      </c>
      <c r="F10797" t="inlineStr">
        <is>
          <t>Övriga Aktiebolag</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6084-2025</t>
        </is>
      </c>
      <c r="B10798" s="1" t="n">
        <v>45697</v>
      </c>
      <c r="C10798" s="1" t="n">
        <v>45798</v>
      </c>
      <c r="D10798" t="inlineStr">
        <is>
          <t>NORRBOTTENS LÄN</t>
        </is>
      </c>
      <c r="E10798" t="inlineStr">
        <is>
          <t>BODEN</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6187-2025</t>
        </is>
      </c>
      <c r="B10799" s="1" t="n">
        <v>45698</v>
      </c>
      <c r="C10799" s="1" t="n">
        <v>45798</v>
      </c>
      <c r="D10799" t="inlineStr">
        <is>
          <t>NORRBOTTENS LÄN</t>
        </is>
      </c>
      <c r="E10799" t="inlineStr">
        <is>
          <t>KALIX</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6329-2025</t>
        </is>
      </c>
      <c r="B10800" s="1" t="n">
        <v>45698</v>
      </c>
      <c r="C10800" s="1" t="n">
        <v>45798</v>
      </c>
      <c r="D10800" t="inlineStr">
        <is>
          <t>NORRBOTTENS LÄN</t>
        </is>
      </c>
      <c r="E10800" t="inlineStr">
        <is>
          <t>PAJALA</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6330-2025</t>
        </is>
      </c>
      <c r="B10801" s="1" t="n">
        <v>45698</v>
      </c>
      <c r="C10801" s="1" t="n">
        <v>45798</v>
      </c>
      <c r="D10801" t="inlineStr">
        <is>
          <t>NORRBOTTENS LÄN</t>
        </is>
      </c>
      <c r="E10801" t="inlineStr">
        <is>
          <t>PAJALA</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6328-2025</t>
        </is>
      </c>
      <c r="B10802" s="1" t="n">
        <v>45698</v>
      </c>
      <c r="C10802" s="1" t="n">
        <v>45798</v>
      </c>
      <c r="D10802" t="inlineStr">
        <is>
          <t>NORRBOTTENS LÄN</t>
        </is>
      </c>
      <c r="E10802" t="inlineStr">
        <is>
          <t>PAJALA</t>
        </is>
      </c>
      <c r="G10802" t="n">
        <v>13.5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6169-2025</t>
        </is>
      </c>
      <c r="B10803" s="1" t="n">
        <v>45698</v>
      </c>
      <c r="C10803" s="1" t="n">
        <v>45798</v>
      </c>
      <c r="D10803" t="inlineStr">
        <is>
          <t>NORRBOTTENS LÄN</t>
        </is>
      </c>
      <c r="E10803" t="inlineStr">
        <is>
          <t>KALIX</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6118-2025</t>
        </is>
      </c>
      <c r="B10804" s="1" t="n">
        <v>45698</v>
      </c>
      <c r="C10804" s="1" t="n">
        <v>45798</v>
      </c>
      <c r="D10804" t="inlineStr">
        <is>
          <t>NORRBOTTENS LÄN</t>
        </is>
      </c>
      <c r="E10804" t="inlineStr">
        <is>
          <t>BODEN</t>
        </is>
      </c>
      <c r="F10804" t="inlineStr">
        <is>
          <t>SCA</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6119-2025</t>
        </is>
      </c>
      <c r="B10805" s="1" t="n">
        <v>45698</v>
      </c>
      <c r="C10805" s="1" t="n">
        <v>45798</v>
      </c>
      <c r="D10805" t="inlineStr">
        <is>
          <t>NORRBOTTENS LÄN</t>
        </is>
      </c>
      <c r="E10805" t="inlineStr">
        <is>
          <t>BODEN</t>
        </is>
      </c>
      <c r="F10805" t="inlineStr">
        <is>
          <t>SCA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6574-2025</t>
        </is>
      </c>
      <c r="B10806" s="1" t="n">
        <v>45699</v>
      </c>
      <c r="C10806" s="1" t="n">
        <v>45798</v>
      </c>
      <c r="D10806" t="inlineStr">
        <is>
          <t>NORRBOTTENS LÄN</t>
        </is>
      </c>
      <c r="E10806" t="inlineStr">
        <is>
          <t>PITEÅ</t>
        </is>
      </c>
      <c r="G10806" t="n">
        <v>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6423-2025</t>
        </is>
      </c>
      <c r="B10807" s="1" t="n">
        <v>45699</v>
      </c>
      <c r="C10807" s="1" t="n">
        <v>45798</v>
      </c>
      <c r="D10807" t="inlineStr">
        <is>
          <t>NORRBOTTENS LÄN</t>
        </is>
      </c>
      <c r="E10807" t="inlineStr">
        <is>
          <t>ÖVERTORNEÅ</t>
        </is>
      </c>
      <c r="G10807" t="n">
        <v>16.5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6459-2025</t>
        </is>
      </c>
      <c r="B10808" s="1" t="n">
        <v>45699</v>
      </c>
      <c r="C10808" s="1" t="n">
        <v>45798</v>
      </c>
      <c r="D10808" t="inlineStr">
        <is>
          <t>NORRBOTTENS LÄN</t>
        </is>
      </c>
      <c r="E10808" t="inlineStr">
        <is>
          <t>LULEÅ</t>
        </is>
      </c>
      <c r="F10808" t="inlineStr">
        <is>
          <t>Övriga Aktiebolag</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6348-2025</t>
        </is>
      </c>
      <c r="B10809" s="1" t="n">
        <v>45699</v>
      </c>
      <c r="C10809" s="1" t="n">
        <v>45798</v>
      </c>
      <c r="D10809" t="inlineStr">
        <is>
          <t>NORRBOTTENS LÄN</t>
        </is>
      </c>
      <c r="E10809" t="inlineStr">
        <is>
          <t>KALIX</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6536-2025</t>
        </is>
      </c>
      <c r="B10810" s="1" t="n">
        <v>45699</v>
      </c>
      <c r="C10810" s="1" t="n">
        <v>45798</v>
      </c>
      <c r="D10810" t="inlineStr">
        <is>
          <t>NORRBOTTENS LÄN</t>
        </is>
      </c>
      <c r="E10810" t="inlineStr">
        <is>
          <t>LULEÅ</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6437-2025</t>
        </is>
      </c>
      <c r="B10811" s="1" t="n">
        <v>45699</v>
      </c>
      <c r="C10811" s="1" t="n">
        <v>45798</v>
      </c>
      <c r="D10811" t="inlineStr">
        <is>
          <t>NORRBOTTENS LÄN</t>
        </is>
      </c>
      <c r="E10811" t="inlineStr">
        <is>
          <t>JOKKMOKK</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6531-2025</t>
        </is>
      </c>
      <c r="B10812" s="1" t="n">
        <v>45699</v>
      </c>
      <c r="C10812" s="1" t="n">
        <v>45798</v>
      </c>
      <c r="D10812" t="inlineStr">
        <is>
          <t>NORRBOTTENS LÄN</t>
        </is>
      </c>
      <c r="E10812" t="inlineStr">
        <is>
          <t>LULEÅ</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6454-2025</t>
        </is>
      </c>
      <c r="B10813" s="1" t="n">
        <v>45699</v>
      </c>
      <c r="C10813" s="1" t="n">
        <v>45798</v>
      </c>
      <c r="D10813" t="inlineStr">
        <is>
          <t>NORRBOTTENS LÄN</t>
        </is>
      </c>
      <c r="E10813" t="inlineStr">
        <is>
          <t>ÖVERKALIX</t>
        </is>
      </c>
      <c r="F10813" t="inlineStr">
        <is>
          <t>SCA</t>
        </is>
      </c>
      <c r="G10813" t="n">
        <v>28.8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6453-2025</t>
        </is>
      </c>
      <c r="B10814" s="1" t="n">
        <v>45699</v>
      </c>
      <c r="C10814" s="1" t="n">
        <v>45798</v>
      </c>
      <c r="D10814" t="inlineStr">
        <is>
          <t>NORRBOTTENS LÄN</t>
        </is>
      </c>
      <c r="E10814" t="inlineStr">
        <is>
          <t>ÖVERKALIX</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6457-2025</t>
        </is>
      </c>
      <c r="B10815" s="1" t="n">
        <v>45699</v>
      </c>
      <c r="C10815" s="1" t="n">
        <v>45798</v>
      </c>
      <c r="D10815" t="inlineStr">
        <is>
          <t>NORRBOTTENS LÄN</t>
        </is>
      </c>
      <c r="E10815" t="inlineStr">
        <is>
          <t>PITEÅ</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6485-2025</t>
        </is>
      </c>
      <c r="B10816" s="1" t="n">
        <v>45699</v>
      </c>
      <c r="C10816" s="1" t="n">
        <v>45798</v>
      </c>
      <c r="D10816" t="inlineStr">
        <is>
          <t>NORRBOTTENS LÄN</t>
        </is>
      </c>
      <c r="E10816" t="inlineStr">
        <is>
          <t>PITEÅ</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6744-2025</t>
        </is>
      </c>
      <c r="B10817" s="1" t="n">
        <v>45700</v>
      </c>
      <c r="C10817" s="1" t="n">
        <v>45798</v>
      </c>
      <c r="D10817" t="inlineStr">
        <is>
          <t>NORRBOTTENS LÄN</t>
        </is>
      </c>
      <c r="E10817" t="inlineStr">
        <is>
          <t>PITEÅ</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6748-2025</t>
        </is>
      </c>
      <c r="B10818" s="1" t="n">
        <v>45700</v>
      </c>
      <c r="C10818" s="1" t="n">
        <v>45798</v>
      </c>
      <c r="D10818" t="inlineStr">
        <is>
          <t>NORRBOTTENS LÄN</t>
        </is>
      </c>
      <c r="E10818" t="inlineStr">
        <is>
          <t>LULEÅ</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6624-2025</t>
        </is>
      </c>
      <c r="B10819" s="1" t="n">
        <v>45700</v>
      </c>
      <c r="C10819" s="1" t="n">
        <v>45798</v>
      </c>
      <c r="D10819" t="inlineStr">
        <is>
          <t>NORRBOTTENS LÄN</t>
        </is>
      </c>
      <c r="E10819" t="inlineStr">
        <is>
          <t>KALIX</t>
        </is>
      </c>
      <c r="F10819" t="inlineStr">
        <is>
          <t>SCA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6806-2025</t>
        </is>
      </c>
      <c r="B10820" s="1" t="n">
        <v>45700</v>
      </c>
      <c r="C10820" s="1" t="n">
        <v>45798</v>
      </c>
      <c r="D10820" t="inlineStr">
        <is>
          <t>NORRBOTTENS LÄN</t>
        </is>
      </c>
      <c r="E10820" t="inlineStr">
        <is>
          <t>HAPARANDA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6810-2025</t>
        </is>
      </c>
      <c r="B10821" s="1" t="n">
        <v>45700</v>
      </c>
      <c r="C10821" s="1" t="n">
        <v>45798</v>
      </c>
      <c r="D10821" t="inlineStr">
        <is>
          <t>NORRBOTTENS LÄN</t>
        </is>
      </c>
      <c r="E10821" t="inlineStr">
        <is>
          <t>ÖVERKALIX</t>
        </is>
      </c>
      <c r="G10821" t="n">
        <v>10.7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6790-2025</t>
        </is>
      </c>
      <c r="B10822" s="1" t="n">
        <v>45700</v>
      </c>
      <c r="C10822" s="1" t="n">
        <v>45798</v>
      </c>
      <c r="D10822" t="inlineStr">
        <is>
          <t>NORRBOTTENS LÄN</t>
        </is>
      </c>
      <c r="E10822" t="inlineStr">
        <is>
          <t>ÖVERTORNEÅ</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6754-2025</t>
        </is>
      </c>
      <c r="B10823" s="1" t="n">
        <v>45700</v>
      </c>
      <c r="C10823" s="1" t="n">
        <v>45798</v>
      </c>
      <c r="D10823" t="inlineStr">
        <is>
          <t>NORRBOTTENS LÄN</t>
        </is>
      </c>
      <c r="E10823" t="inlineStr">
        <is>
          <t>PITEÅ</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6822-2025</t>
        </is>
      </c>
      <c r="B10824" s="1" t="n">
        <v>45700</v>
      </c>
      <c r="C10824" s="1" t="n">
        <v>45798</v>
      </c>
      <c r="D10824" t="inlineStr">
        <is>
          <t>NORRBOTTENS LÄN</t>
        </is>
      </c>
      <c r="E10824" t="inlineStr">
        <is>
          <t>KALIX</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6781-2025</t>
        </is>
      </c>
      <c r="B10825" s="1" t="n">
        <v>45700</v>
      </c>
      <c r="C10825" s="1" t="n">
        <v>45798</v>
      </c>
      <c r="D10825" t="inlineStr">
        <is>
          <t>NORRBOTTENS LÄN</t>
        </is>
      </c>
      <c r="E10825" t="inlineStr">
        <is>
          <t>PAJALA</t>
        </is>
      </c>
      <c r="G10825" t="n">
        <v>9.699999999999999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6625-2025</t>
        </is>
      </c>
      <c r="B10826" s="1" t="n">
        <v>45700</v>
      </c>
      <c r="C10826" s="1" t="n">
        <v>45798</v>
      </c>
      <c r="D10826" t="inlineStr">
        <is>
          <t>NORRBOTTENS LÄN</t>
        </is>
      </c>
      <c r="E10826" t="inlineStr">
        <is>
          <t>JOKKMOKK</t>
        </is>
      </c>
      <c r="F10826" t="inlineStr">
        <is>
          <t>SCA</t>
        </is>
      </c>
      <c r="G10826" t="n">
        <v>11.7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6743-2025</t>
        </is>
      </c>
      <c r="B10827" s="1" t="n">
        <v>45700</v>
      </c>
      <c r="C10827" s="1" t="n">
        <v>45798</v>
      </c>
      <c r="D10827" t="inlineStr">
        <is>
          <t>NORRBOTTENS LÄN</t>
        </is>
      </c>
      <c r="E10827" t="inlineStr">
        <is>
          <t>LULEÅ</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6731-2025</t>
        </is>
      </c>
      <c r="B10828" s="1" t="n">
        <v>45700</v>
      </c>
      <c r="C10828" s="1" t="n">
        <v>45798</v>
      </c>
      <c r="D10828" t="inlineStr">
        <is>
          <t>NORRBOTTENS LÄN</t>
        </is>
      </c>
      <c r="E10828" t="inlineStr">
        <is>
          <t>LULEÅ</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6953-2025</t>
        </is>
      </c>
      <c r="B10829" s="1" t="n">
        <v>45701</v>
      </c>
      <c r="C10829" s="1" t="n">
        <v>45798</v>
      </c>
      <c r="D10829" t="inlineStr">
        <is>
          <t>NORRBOTTENS LÄN</t>
        </is>
      </c>
      <c r="E10829" t="inlineStr">
        <is>
          <t>GÄLLIVARE</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6957-2025</t>
        </is>
      </c>
      <c r="B10830" s="1" t="n">
        <v>45701</v>
      </c>
      <c r="C10830" s="1" t="n">
        <v>45798</v>
      </c>
      <c r="D10830" t="inlineStr">
        <is>
          <t>NORRBOTTENS LÄN</t>
        </is>
      </c>
      <c r="E10830" t="inlineStr">
        <is>
          <t>LULEÅ</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7083-2025</t>
        </is>
      </c>
      <c r="B10831" s="1" t="n">
        <v>45701</v>
      </c>
      <c r="C10831" s="1" t="n">
        <v>45798</v>
      </c>
      <c r="D10831" t="inlineStr">
        <is>
          <t>NORRBOTTENS LÄN</t>
        </is>
      </c>
      <c r="E10831" t="inlineStr">
        <is>
          <t>PITEÅ</t>
        </is>
      </c>
      <c r="G10831" t="n">
        <v>10.5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7084-2025</t>
        </is>
      </c>
      <c r="B10832" s="1" t="n">
        <v>45701</v>
      </c>
      <c r="C10832" s="1" t="n">
        <v>45798</v>
      </c>
      <c r="D10832" t="inlineStr">
        <is>
          <t>NORRBOTTENS LÄN</t>
        </is>
      </c>
      <c r="E10832" t="inlineStr">
        <is>
          <t>ARVIDSJAUR</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7017-2025</t>
        </is>
      </c>
      <c r="B10833" s="1" t="n">
        <v>45701</v>
      </c>
      <c r="C10833" s="1" t="n">
        <v>45798</v>
      </c>
      <c r="D10833" t="inlineStr">
        <is>
          <t>NORRBOTTENS LÄN</t>
        </is>
      </c>
      <c r="E10833" t="inlineStr">
        <is>
          <t>ÖVERTORNEÅ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6963-2025</t>
        </is>
      </c>
      <c r="B10834" s="1" t="n">
        <v>45701</v>
      </c>
      <c r="C10834" s="1" t="n">
        <v>45798</v>
      </c>
      <c r="D10834" t="inlineStr">
        <is>
          <t>NORRBOTTENS LÄN</t>
        </is>
      </c>
      <c r="E10834" t="inlineStr">
        <is>
          <t>PITEÅ</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7037-2025</t>
        </is>
      </c>
      <c r="B10835" s="1" t="n">
        <v>45701</v>
      </c>
      <c r="C10835" s="1" t="n">
        <v>45798</v>
      </c>
      <c r="D10835" t="inlineStr">
        <is>
          <t>NORRBOTTENS LÄN</t>
        </is>
      </c>
      <c r="E10835" t="inlineStr">
        <is>
          <t>LULEÅ</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6986-2025</t>
        </is>
      </c>
      <c r="B10836" s="1" t="n">
        <v>45701</v>
      </c>
      <c r="C10836" s="1" t="n">
        <v>45798</v>
      </c>
      <c r="D10836" t="inlineStr">
        <is>
          <t>NORRBOTTENS LÄN</t>
        </is>
      </c>
      <c r="E10836" t="inlineStr">
        <is>
          <t>LULEÅ</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6958-2025</t>
        </is>
      </c>
      <c r="B10837" s="1" t="n">
        <v>45701</v>
      </c>
      <c r="C10837" s="1" t="n">
        <v>45798</v>
      </c>
      <c r="D10837" t="inlineStr">
        <is>
          <t>NORRBOTTENS LÄN</t>
        </is>
      </c>
      <c r="E10837" t="inlineStr">
        <is>
          <t>LULEÅ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7283-2025</t>
        </is>
      </c>
      <c r="B10838" s="1" t="n">
        <v>45702</v>
      </c>
      <c r="C10838" s="1" t="n">
        <v>45798</v>
      </c>
      <c r="D10838" t="inlineStr">
        <is>
          <t>NORRBOTTENS LÄN</t>
        </is>
      </c>
      <c r="E10838" t="inlineStr">
        <is>
          <t>BODEN</t>
        </is>
      </c>
      <c r="F10838" t="inlineStr">
        <is>
          <t>SCA</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7327-2025</t>
        </is>
      </c>
      <c r="B10839" s="1" t="n">
        <v>45702</v>
      </c>
      <c r="C10839" s="1" t="n">
        <v>45798</v>
      </c>
      <c r="D10839" t="inlineStr">
        <is>
          <t>NORRBOTTENS LÄN</t>
        </is>
      </c>
      <c r="E10839" t="inlineStr">
        <is>
          <t>ARVIDSJAUR</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7231-2025</t>
        </is>
      </c>
      <c r="B10840" s="1" t="n">
        <v>45702</v>
      </c>
      <c r="C10840" s="1" t="n">
        <v>45798</v>
      </c>
      <c r="D10840" t="inlineStr">
        <is>
          <t>NORRBOTTENS LÄN</t>
        </is>
      </c>
      <c r="E10840" t="inlineStr">
        <is>
          <t>ÖVERKALIX</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7168-2025</t>
        </is>
      </c>
      <c r="B10841" s="1" t="n">
        <v>45702</v>
      </c>
      <c r="C10841" s="1" t="n">
        <v>45798</v>
      </c>
      <c r="D10841" t="inlineStr">
        <is>
          <t>NORRBOTTENS LÄN</t>
        </is>
      </c>
      <c r="E10841" t="inlineStr">
        <is>
          <t>LULEÅ</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7525-2025</t>
        </is>
      </c>
      <c r="B10842" s="1" t="n">
        <v>45704</v>
      </c>
      <c r="C10842" s="1" t="n">
        <v>45798</v>
      </c>
      <c r="D10842" t="inlineStr">
        <is>
          <t>NORRBOTTENS LÄN</t>
        </is>
      </c>
      <c r="E10842" t="inlineStr">
        <is>
          <t>BODEN</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7649-2025</t>
        </is>
      </c>
      <c r="B10843" s="1" t="n">
        <v>45705</v>
      </c>
      <c r="C10843" s="1" t="n">
        <v>45798</v>
      </c>
      <c r="D10843" t="inlineStr">
        <is>
          <t>NORRBOTTENS LÄN</t>
        </is>
      </c>
      <c r="E10843" t="inlineStr">
        <is>
          <t>GÄLLIVARE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7651-2025</t>
        </is>
      </c>
      <c r="B10844" s="1" t="n">
        <v>45705</v>
      </c>
      <c r="C10844" s="1" t="n">
        <v>45798</v>
      </c>
      <c r="D10844" t="inlineStr">
        <is>
          <t>NORRBOTTENS LÄN</t>
        </is>
      </c>
      <c r="E10844" t="inlineStr">
        <is>
          <t>GÄLLIVARE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7650-2025</t>
        </is>
      </c>
      <c r="B10845" s="1" t="n">
        <v>45705</v>
      </c>
      <c r="C10845" s="1" t="n">
        <v>45798</v>
      </c>
      <c r="D10845" t="inlineStr">
        <is>
          <t>NORRBOTTENS LÄN</t>
        </is>
      </c>
      <c r="E10845" t="inlineStr">
        <is>
          <t>GÄLLIVARE</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7567-2025</t>
        </is>
      </c>
      <c r="B10846" s="1" t="n">
        <v>45705</v>
      </c>
      <c r="C10846" s="1" t="n">
        <v>45798</v>
      </c>
      <c r="D10846" t="inlineStr">
        <is>
          <t>NORRBOTTENS LÄN</t>
        </is>
      </c>
      <c r="E10846" t="inlineStr">
        <is>
          <t>PITEÅ</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7530-2025</t>
        </is>
      </c>
      <c r="B10847" s="1" t="n">
        <v>45705</v>
      </c>
      <c r="C10847" s="1" t="n">
        <v>45798</v>
      </c>
      <c r="D10847" t="inlineStr">
        <is>
          <t>NORRBOTTENS LÄN</t>
        </is>
      </c>
      <c r="E10847" t="inlineStr">
        <is>
          <t>PITEÅ</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7523-2025</t>
        </is>
      </c>
      <c r="B10848" s="1" t="n">
        <v>45705</v>
      </c>
      <c r="C10848" s="1" t="n">
        <v>45798</v>
      </c>
      <c r="D10848" t="inlineStr">
        <is>
          <t>NORRBOTTENS LÄN</t>
        </is>
      </c>
      <c r="E10848" t="inlineStr">
        <is>
          <t>PITEÅ</t>
        </is>
      </c>
      <c r="G10848" t="n">
        <v>12.8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7711-2025</t>
        </is>
      </c>
      <c r="B10849" s="1" t="n">
        <v>45706</v>
      </c>
      <c r="C10849" s="1" t="n">
        <v>45798</v>
      </c>
      <c r="D10849" t="inlineStr">
        <is>
          <t>NORRBOTTENS LÄN</t>
        </is>
      </c>
      <c r="E10849" t="inlineStr">
        <is>
          <t>KALIX</t>
        </is>
      </c>
      <c r="F10849" t="inlineStr">
        <is>
          <t>SCA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7769-2025</t>
        </is>
      </c>
      <c r="B10850" s="1" t="n">
        <v>45706</v>
      </c>
      <c r="C10850" s="1" t="n">
        <v>45798</v>
      </c>
      <c r="D10850" t="inlineStr">
        <is>
          <t>NORRBOTTENS LÄN</t>
        </is>
      </c>
      <c r="E10850" t="inlineStr">
        <is>
          <t>PITEÅ</t>
        </is>
      </c>
      <c r="F10850" t="inlineStr">
        <is>
          <t>Övriga Aktiebolag</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7823-2025</t>
        </is>
      </c>
      <c r="B10851" s="1" t="n">
        <v>45706</v>
      </c>
      <c r="C10851" s="1" t="n">
        <v>45798</v>
      </c>
      <c r="D10851" t="inlineStr">
        <is>
          <t>NORRBOTTENS LÄN</t>
        </is>
      </c>
      <c r="E10851" t="inlineStr">
        <is>
          <t>PAJALA</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7713-2025</t>
        </is>
      </c>
      <c r="B10852" s="1" t="n">
        <v>45706</v>
      </c>
      <c r="C10852" s="1" t="n">
        <v>45798</v>
      </c>
      <c r="D10852" t="inlineStr">
        <is>
          <t>NORRBOTTENS LÄN</t>
        </is>
      </c>
      <c r="E10852" t="inlineStr">
        <is>
          <t>KALIX</t>
        </is>
      </c>
      <c r="F10852" t="inlineStr">
        <is>
          <t>SCA</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7712-2025</t>
        </is>
      </c>
      <c r="B10853" s="1" t="n">
        <v>45706</v>
      </c>
      <c r="C10853" s="1" t="n">
        <v>45798</v>
      </c>
      <c r="D10853" t="inlineStr">
        <is>
          <t>NORRBOTTENS LÄN</t>
        </is>
      </c>
      <c r="E10853" t="inlineStr">
        <is>
          <t>KALIX</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7689-2025</t>
        </is>
      </c>
      <c r="B10854" s="1" t="n">
        <v>45706</v>
      </c>
      <c r="C10854" s="1" t="n">
        <v>45798</v>
      </c>
      <c r="D10854" t="inlineStr">
        <is>
          <t>NORRBOTTENS LÄN</t>
        </is>
      </c>
      <c r="E10854" t="inlineStr">
        <is>
          <t>LULEÅ</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7880-2025</t>
        </is>
      </c>
      <c r="B10855" s="1" t="n">
        <v>45706</v>
      </c>
      <c r="C10855" s="1" t="n">
        <v>45798</v>
      </c>
      <c r="D10855" t="inlineStr">
        <is>
          <t>NORRBOTTENS LÄN</t>
        </is>
      </c>
      <c r="E10855" t="inlineStr">
        <is>
          <t>LULEÅ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7912-2025</t>
        </is>
      </c>
      <c r="B10856" s="1" t="n">
        <v>45707</v>
      </c>
      <c r="C10856" s="1" t="n">
        <v>45798</v>
      </c>
      <c r="D10856" t="inlineStr">
        <is>
          <t>NORRBOTTENS LÄN</t>
        </is>
      </c>
      <c r="E10856" t="inlineStr">
        <is>
          <t>JOKKMOKK</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7929-2025</t>
        </is>
      </c>
      <c r="B10857" s="1" t="n">
        <v>45707</v>
      </c>
      <c r="C10857" s="1" t="n">
        <v>45798</v>
      </c>
      <c r="D10857" t="inlineStr">
        <is>
          <t>NORRBOTTENS LÄN</t>
        </is>
      </c>
      <c r="E10857" t="inlineStr">
        <is>
          <t>PAJALA</t>
        </is>
      </c>
      <c r="G10857" t="n">
        <v>8.699999999999999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8075-2025</t>
        </is>
      </c>
      <c r="B10858" s="1" t="n">
        <v>45707</v>
      </c>
      <c r="C10858" s="1" t="n">
        <v>45798</v>
      </c>
      <c r="D10858" t="inlineStr">
        <is>
          <t>NORRBOTTENS LÄN</t>
        </is>
      </c>
      <c r="E10858" t="inlineStr">
        <is>
          <t>GÄLLIVARE</t>
        </is>
      </c>
      <c r="F10858" t="inlineStr">
        <is>
          <t>Sveaskog</t>
        </is>
      </c>
      <c r="G10858" t="n">
        <v>43.4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8125-2025</t>
        </is>
      </c>
      <c r="B10859" s="1" t="n">
        <v>45707</v>
      </c>
      <c r="C10859" s="1" t="n">
        <v>45798</v>
      </c>
      <c r="D10859" t="inlineStr">
        <is>
          <t>NORRBOTTENS LÄN</t>
        </is>
      </c>
      <c r="E10859" t="inlineStr">
        <is>
          <t>ÖVERTORNEÅ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8033-2025</t>
        </is>
      </c>
      <c r="B10860" s="1" t="n">
        <v>45707</v>
      </c>
      <c r="C10860" s="1" t="n">
        <v>45798</v>
      </c>
      <c r="D10860" t="inlineStr">
        <is>
          <t>NORRBOTTENS LÄN</t>
        </is>
      </c>
      <c r="E10860" t="inlineStr">
        <is>
          <t>GÄLLIVARE</t>
        </is>
      </c>
      <c r="F10860" t="inlineStr">
        <is>
          <t>Sveaskog</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8007-2025</t>
        </is>
      </c>
      <c r="B10861" s="1" t="n">
        <v>45707</v>
      </c>
      <c r="C10861" s="1" t="n">
        <v>45798</v>
      </c>
      <c r="D10861" t="inlineStr">
        <is>
          <t>NORRBOTTENS LÄN</t>
        </is>
      </c>
      <c r="E10861" t="inlineStr">
        <is>
          <t>PITEÅ</t>
        </is>
      </c>
      <c r="F10861" t="inlineStr">
        <is>
          <t>Sveaskog</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8016-2025</t>
        </is>
      </c>
      <c r="B10862" s="1" t="n">
        <v>45707</v>
      </c>
      <c r="C10862" s="1" t="n">
        <v>45798</v>
      </c>
      <c r="D10862" t="inlineStr">
        <is>
          <t>NORRBOTTENS LÄN</t>
        </is>
      </c>
      <c r="E10862" t="inlineStr">
        <is>
          <t>BODEN</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8008-2025</t>
        </is>
      </c>
      <c r="B10863" s="1" t="n">
        <v>45707</v>
      </c>
      <c r="C10863" s="1" t="n">
        <v>45798</v>
      </c>
      <c r="D10863" t="inlineStr">
        <is>
          <t>NORRBOTTENS LÄN</t>
        </is>
      </c>
      <c r="E10863" t="inlineStr">
        <is>
          <t>BODEN</t>
        </is>
      </c>
      <c r="G10863" t="n">
        <v>11.3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7988-2025</t>
        </is>
      </c>
      <c r="B10864" s="1" t="n">
        <v>45707</v>
      </c>
      <c r="C10864" s="1" t="n">
        <v>45798</v>
      </c>
      <c r="D10864" t="inlineStr">
        <is>
          <t>NORRBOTTENS LÄN</t>
        </is>
      </c>
      <c r="E10864" t="inlineStr">
        <is>
          <t>PITEÅ</t>
        </is>
      </c>
      <c r="F10864" t="inlineStr">
        <is>
          <t>Sveaskog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8198-2025</t>
        </is>
      </c>
      <c r="B10865" s="1" t="n">
        <v>45708</v>
      </c>
      <c r="C10865" s="1" t="n">
        <v>45798</v>
      </c>
      <c r="D10865" t="inlineStr">
        <is>
          <t>NORRBOTTENS LÄN</t>
        </is>
      </c>
      <c r="E10865" t="inlineStr">
        <is>
          <t>PITEÅ</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8190-2025</t>
        </is>
      </c>
      <c r="B10866" s="1" t="n">
        <v>45708</v>
      </c>
      <c r="C10866" s="1" t="n">
        <v>45798</v>
      </c>
      <c r="D10866" t="inlineStr">
        <is>
          <t>NORRBOTTENS LÄN</t>
        </is>
      </c>
      <c r="E10866" t="inlineStr">
        <is>
          <t>GÄLLIVARE</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8177-2025</t>
        </is>
      </c>
      <c r="B10867" s="1" t="n">
        <v>45708</v>
      </c>
      <c r="C10867" s="1" t="n">
        <v>45798</v>
      </c>
      <c r="D10867" t="inlineStr">
        <is>
          <t>NORRBOTTENS LÄN</t>
        </is>
      </c>
      <c r="E10867" t="inlineStr">
        <is>
          <t>GÄLLIVARE</t>
        </is>
      </c>
      <c r="F10867" t="inlineStr">
        <is>
          <t>Sveaskog</t>
        </is>
      </c>
      <c r="G10867" t="n">
        <v>44.2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8292-2025</t>
        </is>
      </c>
      <c r="B10868" s="1" t="n">
        <v>45708</v>
      </c>
      <c r="C10868" s="1" t="n">
        <v>45798</v>
      </c>
      <c r="D10868" t="inlineStr">
        <is>
          <t>NORRBOTTENS LÄN</t>
        </is>
      </c>
      <c r="E10868" t="inlineStr">
        <is>
          <t>KALIX</t>
        </is>
      </c>
      <c r="G10868" t="n">
        <v>11.9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8350-2025</t>
        </is>
      </c>
      <c r="B10869" s="1" t="n">
        <v>45708</v>
      </c>
      <c r="C10869" s="1" t="n">
        <v>45798</v>
      </c>
      <c r="D10869" t="inlineStr">
        <is>
          <t>NORRBOTTENS LÄN</t>
        </is>
      </c>
      <c r="E10869" t="inlineStr">
        <is>
          <t>KIRUNA</t>
        </is>
      </c>
      <c r="F10869" t="inlineStr">
        <is>
          <t>Övriga statliga verk och myndigheter</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8170-2025</t>
        </is>
      </c>
      <c r="B10870" s="1" t="n">
        <v>45708</v>
      </c>
      <c r="C10870" s="1" t="n">
        <v>45798</v>
      </c>
      <c r="D10870" t="inlineStr">
        <is>
          <t>NORRBOTTENS LÄN</t>
        </is>
      </c>
      <c r="E10870" t="inlineStr">
        <is>
          <t>BODEN</t>
        </is>
      </c>
      <c r="F10870" t="inlineStr">
        <is>
          <t>Övriga Aktiebolag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8297-2025</t>
        </is>
      </c>
      <c r="B10871" s="1" t="n">
        <v>45708</v>
      </c>
      <c r="C10871" s="1" t="n">
        <v>45798</v>
      </c>
      <c r="D10871" t="inlineStr">
        <is>
          <t>NORRBOTTENS LÄN</t>
        </is>
      </c>
      <c r="E10871" t="inlineStr">
        <is>
          <t>KALIX</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8329-2025</t>
        </is>
      </c>
      <c r="B10872" s="1" t="n">
        <v>45708</v>
      </c>
      <c r="C10872" s="1" t="n">
        <v>45798</v>
      </c>
      <c r="D10872" t="inlineStr">
        <is>
          <t>NORRBOTTENS LÄN</t>
        </is>
      </c>
      <c r="E10872" t="inlineStr">
        <is>
          <t>PITEÅ</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8334-2025</t>
        </is>
      </c>
      <c r="B10873" s="1" t="n">
        <v>45708</v>
      </c>
      <c r="C10873" s="1" t="n">
        <v>45798</v>
      </c>
      <c r="D10873" t="inlineStr">
        <is>
          <t>NORRBOTTENS LÄN</t>
        </is>
      </c>
      <c r="E10873" t="inlineStr">
        <is>
          <t>ÄLVSBYN</t>
        </is>
      </c>
      <c r="F10873" t="inlineStr">
        <is>
          <t>SCA</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8150-2025</t>
        </is>
      </c>
      <c r="B10874" s="1" t="n">
        <v>45708</v>
      </c>
      <c r="C10874" s="1" t="n">
        <v>45798</v>
      </c>
      <c r="D10874" t="inlineStr">
        <is>
          <t>NORRBOTTENS LÄN</t>
        </is>
      </c>
      <c r="E10874" t="inlineStr">
        <is>
          <t>BODEN</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8149-2025</t>
        </is>
      </c>
      <c r="B10875" s="1" t="n">
        <v>45708</v>
      </c>
      <c r="C10875" s="1" t="n">
        <v>45798</v>
      </c>
      <c r="D10875" t="inlineStr">
        <is>
          <t>NORRBOTTENS LÄN</t>
        </is>
      </c>
      <c r="E10875" t="inlineStr">
        <is>
          <t>GÄLLIVARE</t>
        </is>
      </c>
      <c r="F10875" t="inlineStr">
        <is>
          <t>Sveaskog</t>
        </is>
      </c>
      <c r="G10875" t="n">
        <v>33.3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8331-2025</t>
        </is>
      </c>
      <c r="B10876" s="1" t="n">
        <v>45708</v>
      </c>
      <c r="C10876" s="1" t="n">
        <v>45798</v>
      </c>
      <c r="D10876" t="inlineStr">
        <is>
          <t>NORRBOTTENS LÄN</t>
        </is>
      </c>
      <c r="E10876" t="inlineStr">
        <is>
          <t>PITEÅ</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8271-2025</t>
        </is>
      </c>
      <c r="B10877" s="1" t="n">
        <v>45708</v>
      </c>
      <c r="C10877" s="1" t="n">
        <v>45798</v>
      </c>
      <c r="D10877" t="inlineStr">
        <is>
          <t>NORRBOTTENS LÄN</t>
        </is>
      </c>
      <c r="E10877" t="inlineStr">
        <is>
          <t>LULEÅ</t>
        </is>
      </c>
      <c r="G10877" t="n">
        <v>11.4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8226-2025</t>
        </is>
      </c>
      <c r="B10878" s="1" t="n">
        <v>45708</v>
      </c>
      <c r="C10878" s="1" t="n">
        <v>45798</v>
      </c>
      <c r="D10878" t="inlineStr">
        <is>
          <t>NORRBOTTENS LÄN</t>
        </is>
      </c>
      <c r="E10878" t="inlineStr">
        <is>
          <t>PITEÅ</t>
        </is>
      </c>
      <c r="G10878" t="n">
        <v>11.9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8299-2025</t>
        </is>
      </c>
      <c r="B10879" s="1" t="n">
        <v>45708</v>
      </c>
      <c r="C10879" s="1" t="n">
        <v>45798</v>
      </c>
      <c r="D10879" t="inlineStr">
        <is>
          <t>NORRBOTTENS LÄN</t>
        </is>
      </c>
      <c r="E10879" t="inlineStr">
        <is>
          <t>KALIX</t>
        </is>
      </c>
      <c r="G10879" t="n">
        <v>16.2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8287-2025</t>
        </is>
      </c>
      <c r="B10880" s="1" t="n">
        <v>45708</v>
      </c>
      <c r="C10880" s="1" t="n">
        <v>45798</v>
      </c>
      <c r="D10880" t="inlineStr">
        <is>
          <t>NORRBOTTENS LÄN</t>
        </is>
      </c>
      <c r="E10880" t="inlineStr">
        <is>
          <t>KALIX</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8283-2025</t>
        </is>
      </c>
      <c r="B10881" s="1" t="n">
        <v>45708</v>
      </c>
      <c r="C10881" s="1" t="n">
        <v>45798</v>
      </c>
      <c r="D10881" t="inlineStr">
        <is>
          <t>NORRBOTTENS LÄN</t>
        </is>
      </c>
      <c r="E10881" t="inlineStr">
        <is>
          <t>KALIX</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8152-2025</t>
        </is>
      </c>
      <c r="B10882" s="1" t="n">
        <v>45708</v>
      </c>
      <c r="C10882" s="1" t="n">
        <v>45798</v>
      </c>
      <c r="D10882" t="inlineStr">
        <is>
          <t>NORRBOTTENS LÄN</t>
        </is>
      </c>
      <c r="E10882" t="inlineStr">
        <is>
          <t>GÄLLIVARE</t>
        </is>
      </c>
      <c r="F10882" t="inlineStr">
        <is>
          <t>Sveaskog</t>
        </is>
      </c>
      <c r="G10882" t="n">
        <v>42.1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8382-2025</t>
        </is>
      </c>
      <c r="B10883" s="1" t="n">
        <v>45709</v>
      </c>
      <c r="C10883" s="1" t="n">
        <v>45798</v>
      </c>
      <c r="D10883" t="inlineStr">
        <is>
          <t>NORRBOTTENS LÄN</t>
        </is>
      </c>
      <c r="E10883" t="inlineStr">
        <is>
          <t>ÄLVSBYN</t>
        </is>
      </c>
      <c r="F10883" t="inlineStr">
        <is>
          <t>SCA</t>
        </is>
      </c>
      <c r="G10883" t="n">
        <v>13.6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8407-2025</t>
        </is>
      </c>
      <c r="B10884" s="1" t="n">
        <v>45709</v>
      </c>
      <c r="C10884" s="1" t="n">
        <v>45798</v>
      </c>
      <c r="D10884" t="inlineStr">
        <is>
          <t>NORRBOTTENS LÄN</t>
        </is>
      </c>
      <c r="E10884" t="inlineStr">
        <is>
          <t>ÖVERKALIX</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8550-2025</t>
        </is>
      </c>
      <c r="B10885" s="1" t="n">
        <v>45709</v>
      </c>
      <c r="C10885" s="1" t="n">
        <v>45798</v>
      </c>
      <c r="D10885" t="inlineStr">
        <is>
          <t>NORRBOTTENS LÄN</t>
        </is>
      </c>
      <c r="E10885" t="inlineStr">
        <is>
          <t>ÄLVSBYN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8554-2025</t>
        </is>
      </c>
      <c r="B10886" s="1" t="n">
        <v>45709</v>
      </c>
      <c r="C10886" s="1" t="n">
        <v>45798</v>
      </c>
      <c r="D10886" t="inlineStr">
        <is>
          <t>NORRBOTTENS LÄN</t>
        </is>
      </c>
      <c r="E10886" t="inlineStr">
        <is>
          <t>ÄLVSBYN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8571-2025</t>
        </is>
      </c>
      <c r="B10887" s="1" t="n">
        <v>45709</v>
      </c>
      <c r="C10887" s="1" t="n">
        <v>45798</v>
      </c>
      <c r="D10887" t="inlineStr">
        <is>
          <t>NORRBOTTENS LÄN</t>
        </is>
      </c>
      <c r="E10887" t="inlineStr">
        <is>
          <t>BODEN</t>
        </is>
      </c>
      <c r="F10887" t="inlineStr">
        <is>
          <t>Övriga Aktiebolag</t>
        </is>
      </c>
      <c r="G10887" t="n">
        <v>14.3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8549-2025</t>
        </is>
      </c>
      <c r="B10888" s="1" t="n">
        <v>45709</v>
      </c>
      <c r="C10888" s="1" t="n">
        <v>45798</v>
      </c>
      <c r="D10888" t="inlineStr">
        <is>
          <t>NORRBOTTENS LÄN</t>
        </is>
      </c>
      <c r="E10888" t="inlineStr">
        <is>
          <t>ÄLVSBYN</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8553-2025</t>
        </is>
      </c>
      <c r="B10889" s="1" t="n">
        <v>45709</v>
      </c>
      <c r="C10889" s="1" t="n">
        <v>45798</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8552-2025</t>
        </is>
      </c>
      <c r="B10890" s="1" t="n">
        <v>45709</v>
      </c>
      <c r="C10890" s="1" t="n">
        <v>45798</v>
      </c>
      <c r="D10890" t="inlineStr">
        <is>
          <t>NORRBOTTENS LÄN</t>
        </is>
      </c>
      <c r="E10890" t="inlineStr">
        <is>
          <t>ÄLVSBYN</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8551-2025</t>
        </is>
      </c>
      <c r="B10891" s="1" t="n">
        <v>45709</v>
      </c>
      <c r="C10891" s="1" t="n">
        <v>45798</v>
      </c>
      <c r="D10891" t="inlineStr">
        <is>
          <t>NORRBOTTENS LÄN</t>
        </is>
      </c>
      <c r="E10891" t="inlineStr">
        <is>
          <t>ÄLVSBYN</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8422-2025</t>
        </is>
      </c>
      <c r="B10892" s="1" t="n">
        <v>45709</v>
      </c>
      <c r="C10892" s="1" t="n">
        <v>45798</v>
      </c>
      <c r="D10892" t="inlineStr">
        <is>
          <t>NORRBOTTENS LÄN</t>
        </is>
      </c>
      <c r="E10892" t="inlineStr">
        <is>
          <t>ÖVERKALIX</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8400-2025</t>
        </is>
      </c>
      <c r="B10893" s="1" t="n">
        <v>45709</v>
      </c>
      <c r="C10893" s="1" t="n">
        <v>45798</v>
      </c>
      <c r="D10893" t="inlineStr">
        <is>
          <t>NORRBOTTENS LÄN</t>
        </is>
      </c>
      <c r="E10893" t="inlineStr">
        <is>
          <t>ÖVERKALIX</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8516-2025</t>
        </is>
      </c>
      <c r="B10894" s="1" t="n">
        <v>45709</v>
      </c>
      <c r="C10894" s="1" t="n">
        <v>45798</v>
      </c>
      <c r="D10894" t="inlineStr">
        <is>
          <t>NORRBOTTENS LÄN</t>
        </is>
      </c>
      <c r="E10894" t="inlineStr">
        <is>
          <t>GÄLLIVARE</t>
        </is>
      </c>
      <c r="F10894" t="inlineStr">
        <is>
          <t>SCA</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8383-2025</t>
        </is>
      </c>
      <c r="B10895" s="1" t="n">
        <v>45709</v>
      </c>
      <c r="C10895" s="1" t="n">
        <v>45798</v>
      </c>
      <c r="D10895" t="inlineStr">
        <is>
          <t>NORRBOTTENS LÄN</t>
        </is>
      </c>
      <c r="E10895" t="inlineStr">
        <is>
          <t>BODEN</t>
        </is>
      </c>
      <c r="F10895" t="inlineStr">
        <is>
          <t>SCA</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8417-2025</t>
        </is>
      </c>
      <c r="B10896" s="1" t="n">
        <v>45709</v>
      </c>
      <c r="C10896" s="1" t="n">
        <v>45798</v>
      </c>
      <c r="D10896" t="inlineStr">
        <is>
          <t>NORRBOTTENS LÄN</t>
        </is>
      </c>
      <c r="E10896" t="inlineStr">
        <is>
          <t>ÖVERKALIX</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8384-2025</t>
        </is>
      </c>
      <c r="B10897" s="1" t="n">
        <v>45709</v>
      </c>
      <c r="C10897" s="1" t="n">
        <v>45798</v>
      </c>
      <c r="D10897" t="inlineStr">
        <is>
          <t>NORRBOTTENS LÄN</t>
        </is>
      </c>
      <c r="E10897" t="inlineStr">
        <is>
          <t>BODEN</t>
        </is>
      </c>
      <c r="F10897" t="inlineStr">
        <is>
          <t>SCA</t>
        </is>
      </c>
      <c r="G10897" t="n">
        <v>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8651-2025</t>
        </is>
      </c>
      <c r="B10898" s="1" t="n">
        <v>45712</v>
      </c>
      <c r="C10898" s="1" t="n">
        <v>45798</v>
      </c>
      <c r="D10898" t="inlineStr">
        <is>
          <t>NORRBOTTENS LÄN</t>
        </is>
      </c>
      <c r="E10898" t="inlineStr">
        <is>
          <t>HAPARANDA</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8672-2025</t>
        </is>
      </c>
      <c r="B10899" s="1" t="n">
        <v>45712</v>
      </c>
      <c r="C10899" s="1" t="n">
        <v>45798</v>
      </c>
      <c r="D10899" t="inlineStr">
        <is>
          <t>NORRBOTTENS LÄN</t>
        </is>
      </c>
      <c r="E10899" t="inlineStr">
        <is>
          <t>ÖVERKALIX</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8799-2025</t>
        </is>
      </c>
      <c r="B10900" s="1" t="n">
        <v>45712</v>
      </c>
      <c r="C10900" s="1" t="n">
        <v>45798</v>
      </c>
      <c r="D10900" t="inlineStr">
        <is>
          <t>NORRBOTTENS LÄN</t>
        </is>
      </c>
      <c r="E10900" t="inlineStr">
        <is>
          <t>KALIX</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8741-2025</t>
        </is>
      </c>
      <c r="B10901" s="1" t="n">
        <v>45712</v>
      </c>
      <c r="C10901" s="1" t="n">
        <v>45798</v>
      </c>
      <c r="D10901" t="inlineStr">
        <is>
          <t>NORRBOTTENS LÄN</t>
        </is>
      </c>
      <c r="E10901" t="inlineStr">
        <is>
          <t>ÄLVSBYN</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8721-2025</t>
        </is>
      </c>
      <c r="B10902" s="1" t="n">
        <v>45712</v>
      </c>
      <c r="C10902" s="1" t="n">
        <v>45798</v>
      </c>
      <c r="D10902" t="inlineStr">
        <is>
          <t>NORRBOTTENS LÄN</t>
        </is>
      </c>
      <c r="E10902" t="inlineStr">
        <is>
          <t>GÄLLIVARE</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8903-2025</t>
        </is>
      </c>
      <c r="B10903" s="1" t="n">
        <v>45712</v>
      </c>
      <c r="C10903" s="1" t="n">
        <v>45798</v>
      </c>
      <c r="D10903" t="inlineStr">
        <is>
          <t>NORRBOTTENS LÄN</t>
        </is>
      </c>
      <c r="E10903" t="inlineStr">
        <is>
          <t>LULEÅ</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8767-2025</t>
        </is>
      </c>
      <c r="B10904" s="1" t="n">
        <v>45712</v>
      </c>
      <c r="C10904" s="1" t="n">
        <v>45798</v>
      </c>
      <c r="D10904" t="inlineStr">
        <is>
          <t>NORRBOTTENS LÄN</t>
        </is>
      </c>
      <c r="E10904" t="inlineStr">
        <is>
          <t>LULEÅ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8928-2025</t>
        </is>
      </c>
      <c r="B10905" s="1" t="n">
        <v>45712</v>
      </c>
      <c r="C10905" s="1" t="n">
        <v>45798</v>
      </c>
      <c r="D10905" t="inlineStr">
        <is>
          <t>NORRBOTTENS LÄN</t>
        </is>
      </c>
      <c r="E10905" t="inlineStr">
        <is>
          <t>LULEÅ</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8750-2025</t>
        </is>
      </c>
      <c r="B10906" s="1" t="n">
        <v>45712</v>
      </c>
      <c r="C10906" s="1" t="n">
        <v>45798</v>
      </c>
      <c r="D10906" t="inlineStr">
        <is>
          <t>NORRBOTTENS LÄN</t>
        </is>
      </c>
      <c r="E10906" t="inlineStr">
        <is>
          <t>LULEÅ</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8742-2025</t>
        </is>
      </c>
      <c r="B10907" s="1" t="n">
        <v>45712</v>
      </c>
      <c r="C10907" s="1" t="n">
        <v>45798</v>
      </c>
      <c r="D10907" t="inlineStr">
        <is>
          <t>NORRBOTTENS LÄN</t>
        </is>
      </c>
      <c r="E10907" t="inlineStr">
        <is>
          <t>ÄLVSBYN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8806-2025</t>
        </is>
      </c>
      <c r="B10908" s="1" t="n">
        <v>45712</v>
      </c>
      <c r="C10908" s="1" t="n">
        <v>45798</v>
      </c>
      <c r="D10908" t="inlineStr">
        <is>
          <t>NORRBOTTENS LÄN</t>
        </is>
      </c>
      <c r="E10908" t="inlineStr">
        <is>
          <t>PAJALA</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8932-2025</t>
        </is>
      </c>
      <c r="B10909" s="1" t="n">
        <v>45712</v>
      </c>
      <c r="C10909" s="1" t="n">
        <v>45798</v>
      </c>
      <c r="D10909" t="inlineStr">
        <is>
          <t>NORRBOTTENS LÄN</t>
        </is>
      </c>
      <c r="E10909" t="inlineStr">
        <is>
          <t>BODEN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8802-2025</t>
        </is>
      </c>
      <c r="B10910" s="1" t="n">
        <v>45712</v>
      </c>
      <c r="C10910" s="1" t="n">
        <v>45798</v>
      </c>
      <c r="D10910" t="inlineStr">
        <is>
          <t>NORRBOTTENS LÄN</t>
        </is>
      </c>
      <c r="E10910" t="inlineStr">
        <is>
          <t>KALIX</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8764-2025</t>
        </is>
      </c>
      <c r="B10911" s="1" t="n">
        <v>45712</v>
      </c>
      <c r="C10911" s="1" t="n">
        <v>45798</v>
      </c>
      <c r="D10911" t="inlineStr">
        <is>
          <t>NORRBOTTENS LÄN</t>
        </is>
      </c>
      <c r="E10911" t="inlineStr">
        <is>
          <t>LULEÅ</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8740-2025</t>
        </is>
      </c>
      <c r="B10912" s="1" t="n">
        <v>45712</v>
      </c>
      <c r="C10912" s="1" t="n">
        <v>45798</v>
      </c>
      <c r="D10912" t="inlineStr">
        <is>
          <t>NORRBOTTENS LÄN</t>
        </is>
      </c>
      <c r="E10912" t="inlineStr">
        <is>
          <t>ÄLVSBYN</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9104-2025</t>
        </is>
      </c>
      <c r="B10913" s="1" t="n">
        <v>45713</v>
      </c>
      <c r="C10913" s="1" t="n">
        <v>45798</v>
      </c>
      <c r="D10913" t="inlineStr">
        <is>
          <t>NORRBOTTENS LÄN</t>
        </is>
      </c>
      <c r="E10913" t="inlineStr">
        <is>
          <t>JOKKMOKK</t>
        </is>
      </c>
      <c r="F10913" t="inlineStr">
        <is>
          <t>SCA</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9152-2025</t>
        </is>
      </c>
      <c r="B10914" s="1" t="n">
        <v>45714</v>
      </c>
      <c r="C10914" s="1" t="n">
        <v>45798</v>
      </c>
      <c r="D10914" t="inlineStr">
        <is>
          <t>NORRBOTTENS LÄN</t>
        </is>
      </c>
      <c r="E10914" t="inlineStr">
        <is>
          <t>PITEÅ</t>
        </is>
      </c>
      <c r="G10914" t="n">
        <v>14.9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9143-2025</t>
        </is>
      </c>
      <c r="B10915" s="1" t="n">
        <v>45714</v>
      </c>
      <c r="C10915" s="1" t="n">
        <v>45798</v>
      </c>
      <c r="D10915" t="inlineStr">
        <is>
          <t>NORRBOTTENS LÄN</t>
        </is>
      </c>
      <c r="E10915" t="inlineStr">
        <is>
          <t>PITEÅ</t>
        </is>
      </c>
      <c r="F10915" t="inlineStr">
        <is>
          <t>Sveaskog</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9225-2025</t>
        </is>
      </c>
      <c r="B10916" s="1" t="n">
        <v>45714</v>
      </c>
      <c r="C10916" s="1" t="n">
        <v>45798</v>
      </c>
      <c r="D10916" t="inlineStr">
        <is>
          <t>NORRBOTTENS LÄN</t>
        </is>
      </c>
      <c r="E10916" t="inlineStr">
        <is>
          <t>KALIX</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9250-2025</t>
        </is>
      </c>
      <c r="B10917" s="1" t="n">
        <v>45714</v>
      </c>
      <c r="C10917" s="1" t="n">
        <v>45798</v>
      </c>
      <c r="D10917" t="inlineStr">
        <is>
          <t>NORRBOTTENS LÄN</t>
        </is>
      </c>
      <c r="E10917" t="inlineStr">
        <is>
          <t>LULEÅ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9206-2025</t>
        </is>
      </c>
      <c r="B10918" s="1" t="n">
        <v>45714</v>
      </c>
      <c r="C10918" s="1" t="n">
        <v>45798</v>
      </c>
      <c r="D10918" t="inlineStr">
        <is>
          <t>NORRBOTTENS LÄN</t>
        </is>
      </c>
      <c r="E10918" t="inlineStr">
        <is>
          <t>KALIX</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9314-2025</t>
        </is>
      </c>
      <c r="B10919" s="1" t="n">
        <v>45714</v>
      </c>
      <c r="C10919" s="1" t="n">
        <v>45798</v>
      </c>
      <c r="D10919" t="inlineStr">
        <is>
          <t>NORRBOTTENS LÄN</t>
        </is>
      </c>
      <c r="E10919" t="inlineStr">
        <is>
          <t>BODEN</t>
        </is>
      </c>
      <c r="F10919" t="inlineStr">
        <is>
          <t>SCA</t>
        </is>
      </c>
      <c r="G10919" t="n">
        <v>30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9207-2025</t>
        </is>
      </c>
      <c r="B10920" s="1" t="n">
        <v>45714</v>
      </c>
      <c r="C10920" s="1" t="n">
        <v>45798</v>
      </c>
      <c r="D10920" t="inlineStr">
        <is>
          <t>NORRBOTTENS LÄN</t>
        </is>
      </c>
      <c r="E10920" t="inlineStr">
        <is>
          <t>KALIX</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9219-2025</t>
        </is>
      </c>
      <c r="B10921" s="1" t="n">
        <v>45714</v>
      </c>
      <c r="C10921" s="1" t="n">
        <v>45798</v>
      </c>
      <c r="D10921" t="inlineStr">
        <is>
          <t>NORRBOTTENS LÄN</t>
        </is>
      </c>
      <c r="E10921" t="inlineStr">
        <is>
          <t>KALIX</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9502-2025</t>
        </is>
      </c>
      <c r="B10922" s="1" t="n">
        <v>45714</v>
      </c>
      <c r="C10922" s="1" t="n">
        <v>45798</v>
      </c>
      <c r="D10922" t="inlineStr">
        <is>
          <t>NORRBOTTENS LÄN</t>
        </is>
      </c>
      <c r="E10922" t="inlineStr">
        <is>
          <t>LULEÅ</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9458-2025</t>
        </is>
      </c>
      <c r="B10923" s="1" t="n">
        <v>45715</v>
      </c>
      <c r="C10923" s="1" t="n">
        <v>45798</v>
      </c>
      <c r="D10923" t="inlineStr">
        <is>
          <t>NORRBOTTENS LÄN</t>
        </is>
      </c>
      <c r="E10923" t="inlineStr">
        <is>
          <t>ÖVERKALIX</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9384-2025</t>
        </is>
      </c>
      <c r="B10924" s="1" t="n">
        <v>45715</v>
      </c>
      <c r="C10924" s="1" t="n">
        <v>45798</v>
      </c>
      <c r="D10924" t="inlineStr">
        <is>
          <t>NORRBOTTENS LÄN</t>
        </is>
      </c>
      <c r="E10924" t="inlineStr">
        <is>
          <t>BODEN</t>
        </is>
      </c>
      <c r="F10924" t="inlineStr">
        <is>
          <t>SCA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9648-2025</t>
        </is>
      </c>
      <c r="B10925" s="1" t="n">
        <v>45715</v>
      </c>
      <c r="C10925" s="1" t="n">
        <v>45798</v>
      </c>
      <c r="D10925" t="inlineStr">
        <is>
          <t>NORRBOTTENS LÄN</t>
        </is>
      </c>
      <c r="E10925" t="inlineStr">
        <is>
          <t>JOKKMOKK</t>
        </is>
      </c>
      <c r="G10925" t="n">
        <v>12.6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9897-2025</t>
        </is>
      </c>
      <c r="B10926" s="1" t="n">
        <v>45716</v>
      </c>
      <c r="C10926" s="1" t="n">
        <v>45798</v>
      </c>
      <c r="D10926" t="inlineStr">
        <is>
          <t>NORRBOTTENS LÄN</t>
        </is>
      </c>
      <c r="E10926" t="inlineStr">
        <is>
          <t>BODEN</t>
        </is>
      </c>
      <c r="G10926" t="n">
        <v>37.3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9745-2025</t>
        </is>
      </c>
      <c r="B10927" s="1" t="n">
        <v>45716</v>
      </c>
      <c r="C10927" s="1" t="n">
        <v>45798</v>
      </c>
      <c r="D10927" t="inlineStr">
        <is>
          <t>NORRBOTTENS LÄN</t>
        </is>
      </c>
      <c r="E10927" t="inlineStr">
        <is>
          <t>HAPARANDA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9738-2025</t>
        </is>
      </c>
      <c r="B10928" s="1" t="n">
        <v>45716</v>
      </c>
      <c r="C10928" s="1" t="n">
        <v>45798</v>
      </c>
      <c r="D10928" t="inlineStr">
        <is>
          <t>NORRBOTTENS LÄN</t>
        </is>
      </c>
      <c r="E10928" t="inlineStr">
        <is>
          <t>HAPARANDA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9748-2025</t>
        </is>
      </c>
      <c r="B10929" s="1" t="n">
        <v>45716</v>
      </c>
      <c r="C10929" s="1" t="n">
        <v>45798</v>
      </c>
      <c r="D10929" t="inlineStr">
        <is>
          <t>NORRBOTTENS LÄN</t>
        </is>
      </c>
      <c r="E10929" t="inlineStr">
        <is>
          <t>HAPARANDA</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9856-2025</t>
        </is>
      </c>
      <c r="B10930" s="1" t="n">
        <v>45716</v>
      </c>
      <c r="C10930" s="1" t="n">
        <v>45798</v>
      </c>
      <c r="D10930" t="inlineStr">
        <is>
          <t>NORRBOTTENS LÄN</t>
        </is>
      </c>
      <c r="E10930" t="inlineStr">
        <is>
          <t>ARVIDSJAUR</t>
        </is>
      </c>
      <c r="F10930" t="inlineStr">
        <is>
          <t>Sveaskog</t>
        </is>
      </c>
      <c r="G10930" t="n">
        <v>43.8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9739-2025</t>
        </is>
      </c>
      <c r="B10931" s="1" t="n">
        <v>45716</v>
      </c>
      <c r="C10931" s="1" t="n">
        <v>45798</v>
      </c>
      <c r="D10931" t="inlineStr">
        <is>
          <t>NORRBOTTENS LÄN</t>
        </is>
      </c>
      <c r="E10931" t="inlineStr">
        <is>
          <t>HAPARANDA</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9886-2025</t>
        </is>
      </c>
      <c r="B10932" s="1" t="n">
        <v>45716</v>
      </c>
      <c r="C10932" s="1" t="n">
        <v>45798</v>
      </c>
      <c r="D10932" t="inlineStr">
        <is>
          <t>NORRBOTTENS LÄN</t>
        </is>
      </c>
      <c r="E10932" t="inlineStr">
        <is>
          <t>ÄLVSBYN</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9940-2025</t>
        </is>
      </c>
      <c r="B10933" s="1" t="n">
        <v>45718</v>
      </c>
      <c r="C10933" s="1" t="n">
        <v>45798</v>
      </c>
      <c r="D10933" t="inlineStr">
        <is>
          <t>NORRBOTTENS LÄN</t>
        </is>
      </c>
      <c r="E10933" t="inlineStr">
        <is>
          <t>BODEN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9974-2025</t>
        </is>
      </c>
      <c r="B10934" s="1" t="n">
        <v>45719</v>
      </c>
      <c r="C10934" s="1" t="n">
        <v>45798</v>
      </c>
      <c r="D10934" t="inlineStr">
        <is>
          <t>NORRBOTTENS LÄN</t>
        </is>
      </c>
      <c r="E10934" t="inlineStr">
        <is>
          <t>KALIX</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9960-2025</t>
        </is>
      </c>
      <c r="B10935" s="1" t="n">
        <v>45719</v>
      </c>
      <c r="C10935" s="1" t="n">
        <v>45798</v>
      </c>
      <c r="D10935" t="inlineStr">
        <is>
          <t>NORRBOTTENS LÄN</t>
        </is>
      </c>
      <c r="E10935" t="inlineStr">
        <is>
          <t>PITEÅ</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10065-2025</t>
        </is>
      </c>
      <c r="B10936" s="1" t="n">
        <v>45719</v>
      </c>
      <c r="C10936" s="1" t="n">
        <v>45798</v>
      </c>
      <c r="D10936" t="inlineStr">
        <is>
          <t>NORRBOTTENS LÄN</t>
        </is>
      </c>
      <c r="E10936" t="inlineStr">
        <is>
          <t>KALIX</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10073-2025</t>
        </is>
      </c>
      <c r="B10937" s="1" t="n">
        <v>45719</v>
      </c>
      <c r="C10937" s="1" t="n">
        <v>45798</v>
      </c>
      <c r="D10937" t="inlineStr">
        <is>
          <t>NORRBOTTENS LÄN</t>
        </is>
      </c>
      <c r="E10937" t="inlineStr">
        <is>
          <t>KALIX</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10049-2025</t>
        </is>
      </c>
      <c r="B10938" s="1" t="n">
        <v>45719</v>
      </c>
      <c r="C10938" s="1" t="n">
        <v>45798</v>
      </c>
      <c r="D10938" t="inlineStr">
        <is>
          <t>NORRBOTTENS LÄN</t>
        </is>
      </c>
      <c r="E10938" t="inlineStr">
        <is>
          <t>KALIX</t>
        </is>
      </c>
      <c r="G10938" t="n">
        <v>7.5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10015-2025</t>
        </is>
      </c>
      <c r="B10939" s="1" t="n">
        <v>45719</v>
      </c>
      <c r="C10939" s="1" t="n">
        <v>45798</v>
      </c>
      <c r="D10939" t="inlineStr">
        <is>
          <t>NORRBOTTENS LÄN</t>
        </is>
      </c>
      <c r="E10939" t="inlineStr">
        <is>
          <t>PITEÅ</t>
        </is>
      </c>
      <c r="F10939" t="inlineStr">
        <is>
          <t>SCA</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10183-2025</t>
        </is>
      </c>
      <c r="B10940" s="1" t="n">
        <v>45719</v>
      </c>
      <c r="C10940" s="1" t="n">
        <v>45798</v>
      </c>
      <c r="D10940" t="inlineStr">
        <is>
          <t>NORRBOTTENS LÄN</t>
        </is>
      </c>
      <c r="E10940" t="inlineStr">
        <is>
          <t>LULEÅ</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10054-2025</t>
        </is>
      </c>
      <c r="B10941" s="1" t="n">
        <v>45719</v>
      </c>
      <c r="C10941" s="1" t="n">
        <v>45798</v>
      </c>
      <c r="D10941" t="inlineStr">
        <is>
          <t>NORRBOTTENS LÄN</t>
        </is>
      </c>
      <c r="E10941" t="inlineStr">
        <is>
          <t>KALIX</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10060-2025</t>
        </is>
      </c>
      <c r="B10942" s="1" t="n">
        <v>45719</v>
      </c>
      <c r="C10942" s="1" t="n">
        <v>45798</v>
      </c>
      <c r="D10942" t="inlineStr">
        <is>
          <t>NORRBOTTENS LÄN</t>
        </is>
      </c>
      <c r="E10942" t="inlineStr">
        <is>
          <t>KALIX</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10269-2025</t>
        </is>
      </c>
      <c r="B10943" s="1" t="n">
        <v>45720</v>
      </c>
      <c r="C10943" s="1" t="n">
        <v>45798</v>
      </c>
      <c r="D10943" t="inlineStr">
        <is>
          <t>NORRBOTTENS LÄN</t>
        </is>
      </c>
      <c r="E10943" t="inlineStr">
        <is>
          <t>ÄLVSBYN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10377-2025</t>
        </is>
      </c>
      <c r="B10944" s="1" t="n">
        <v>45720</v>
      </c>
      <c r="C10944" s="1" t="n">
        <v>45798</v>
      </c>
      <c r="D10944" t="inlineStr">
        <is>
          <t>NORRBOTTENS LÄN</t>
        </is>
      </c>
      <c r="E10944" t="inlineStr">
        <is>
          <t>LULEÅ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10465-2025</t>
        </is>
      </c>
      <c r="B10945" s="1" t="n">
        <v>45720</v>
      </c>
      <c r="C10945" s="1" t="n">
        <v>45798</v>
      </c>
      <c r="D10945" t="inlineStr">
        <is>
          <t>NORRBOTTENS LÄN</t>
        </is>
      </c>
      <c r="E10945" t="inlineStr">
        <is>
          <t>HAPARANDA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10417-2025</t>
        </is>
      </c>
      <c r="B10946" s="1" t="n">
        <v>45720</v>
      </c>
      <c r="C10946" s="1" t="n">
        <v>45798</v>
      </c>
      <c r="D10946" t="inlineStr">
        <is>
          <t>NORRBOTTENS LÄN</t>
        </is>
      </c>
      <c r="E10946" t="inlineStr">
        <is>
          <t>PITEÅ</t>
        </is>
      </c>
      <c r="G10946" t="n">
        <v>21.9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10235-2025</t>
        </is>
      </c>
      <c r="B10947" s="1" t="n">
        <v>45720</v>
      </c>
      <c r="C10947" s="1" t="n">
        <v>45798</v>
      </c>
      <c r="D10947" t="inlineStr">
        <is>
          <t>NORRBOTTENS LÄN</t>
        </is>
      </c>
      <c r="E10947" t="inlineStr">
        <is>
          <t>GÄLLIVARE</t>
        </is>
      </c>
      <c r="F10947" t="inlineStr">
        <is>
          <t>SCA</t>
        </is>
      </c>
      <c r="G10947" t="n">
        <v>22.8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10238-2025</t>
        </is>
      </c>
      <c r="B10948" s="1" t="n">
        <v>45720</v>
      </c>
      <c r="C10948" s="1" t="n">
        <v>45798</v>
      </c>
      <c r="D10948" t="inlineStr">
        <is>
          <t>NORRBOTTENS LÄN</t>
        </is>
      </c>
      <c r="E10948" t="inlineStr">
        <is>
          <t>GÄLLIVARE</t>
        </is>
      </c>
      <c r="F10948" t="inlineStr">
        <is>
          <t>SCA</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10239-2025</t>
        </is>
      </c>
      <c r="B10949" s="1" t="n">
        <v>45720</v>
      </c>
      <c r="C10949" s="1" t="n">
        <v>45798</v>
      </c>
      <c r="D10949" t="inlineStr">
        <is>
          <t>NORRBOTTENS LÄN</t>
        </is>
      </c>
      <c r="E10949" t="inlineStr">
        <is>
          <t>GÄLLIVARE</t>
        </is>
      </c>
      <c r="F10949" t="inlineStr">
        <is>
          <t>SCA</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10564-2025</t>
        </is>
      </c>
      <c r="B10950" s="1" t="n">
        <v>45721</v>
      </c>
      <c r="C10950" s="1" t="n">
        <v>45798</v>
      </c>
      <c r="D10950" t="inlineStr">
        <is>
          <t>NORRBOTTENS LÄN</t>
        </is>
      </c>
      <c r="E10950" t="inlineStr">
        <is>
          <t>JOKKMOKK</t>
        </is>
      </c>
      <c r="G10950" t="n">
        <v>12.5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10630-2025</t>
        </is>
      </c>
      <c r="B10951" s="1" t="n">
        <v>45721</v>
      </c>
      <c r="C10951" s="1" t="n">
        <v>45798</v>
      </c>
      <c r="D10951" t="inlineStr">
        <is>
          <t>NORRBOTTENS LÄN</t>
        </is>
      </c>
      <c r="E10951" t="inlineStr">
        <is>
          <t>JOKKMOKK</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10608-2025</t>
        </is>
      </c>
      <c r="B10952" s="1" t="n">
        <v>45721</v>
      </c>
      <c r="C10952" s="1" t="n">
        <v>45798</v>
      </c>
      <c r="D10952" t="inlineStr">
        <is>
          <t>NORRBOTTENS LÄN</t>
        </is>
      </c>
      <c r="E10952" t="inlineStr">
        <is>
          <t>LULEÅ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10568-2025</t>
        </is>
      </c>
      <c r="B10953" s="1" t="n">
        <v>45721</v>
      </c>
      <c r="C10953" s="1" t="n">
        <v>45798</v>
      </c>
      <c r="D10953" t="inlineStr">
        <is>
          <t>NORRBOTTENS LÄN</t>
        </is>
      </c>
      <c r="E10953" t="inlineStr">
        <is>
          <t>JOKKMOKK</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10611-2025</t>
        </is>
      </c>
      <c r="B10954" s="1" t="n">
        <v>45721</v>
      </c>
      <c r="C10954" s="1" t="n">
        <v>45798</v>
      </c>
      <c r="D10954" t="inlineStr">
        <is>
          <t>NORRBOTTENS LÄN</t>
        </is>
      </c>
      <c r="E10954" t="inlineStr">
        <is>
          <t>LULEÅ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10600-2025</t>
        </is>
      </c>
      <c r="B10955" s="1" t="n">
        <v>45721</v>
      </c>
      <c r="C10955" s="1" t="n">
        <v>45798</v>
      </c>
      <c r="D10955" t="inlineStr">
        <is>
          <t>NORRBOTTENS LÄN</t>
        </is>
      </c>
      <c r="E10955" t="inlineStr">
        <is>
          <t>KALIX</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10545-2025</t>
        </is>
      </c>
      <c r="B10956" s="1" t="n">
        <v>45721</v>
      </c>
      <c r="C10956" s="1" t="n">
        <v>45798</v>
      </c>
      <c r="D10956" t="inlineStr">
        <is>
          <t>NORRBOTTENS LÄN</t>
        </is>
      </c>
      <c r="E10956" t="inlineStr">
        <is>
          <t>GÄLLIVARE</t>
        </is>
      </c>
      <c r="F10956" t="inlineStr">
        <is>
          <t>SCA</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10596-2025</t>
        </is>
      </c>
      <c r="B10957" s="1" t="n">
        <v>45721</v>
      </c>
      <c r="C10957" s="1" t="n">
        <v>45798</v>
      </c>
      <c r="D10957" t="inlineStr">
        <is>
          <t>NORRBOTTENS LÄN</t>
        </is>
      </c>
      <c r="E10957" t="inlineStr">
        <is>
          <t>JOKKMOKK</t>
        </is>
      </c>
      <c r="G10957" t="n">
        <v>17.7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10550-2025</t>
        </is>
      </c>
      <c r="B10958" s="1" t="n">
        <v>45721</v>
      </c>
      <c r="C10958" s="1" t="n">
        <v>45798</v>
      </c>
      <c r="D10958" t="inlineStr">
        <is>
          <t>NORRBOTTENS LÄN</t>
        </is>
      </c>
      <c r="E10958" t="inlineStr">
        <is>
          <t>GÄLLIVARE</t>
        </is>
      </c>
      <c r="F10958" t="inlineStr">
        <is>
          <t>Sveaskog</t>
        </is>
      </c>
      <c r="G10958" t="n">
        <v>47.8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10551-2025</t>
        </is>
      </c>
      <c r="B10959" s="1" t="n">
        <v>45721</v>
      </c>
      <c r="C10959" s="1" t="n">
        <v>45798</v>
      </c>
      <c r="D10959" t="inlineStr">
        <is>
          <t>NORRBOTTENS LÄN</t>
        </is>
      </c>
      <c r="E10959" t="inlineStr">
        <is>
          <t>GÄLLIVARE</t>
        </is>
      </c>
      <c r="F10959" t="inlineStr">
        <is>
          <t>Sveaskog</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10852-2025</t>
        </is>
      </c>
      <c r="B10960" s="1" t="n">
        <v>45722</v>
      </c>
      <c r="C10960" s="1" t="n">
        <v>45798</v>
      </c>
      <c r="D10960" t="inlineStr">
        <is>
          <t>NORRBOTTENS LÄN</t>
        </is>
      </c>
      <c r="E10960" t="inlineStr">
        <is>
          <t>ARVIDSJAUR</t>
        </is>
      </c>
      <c r="F10960" t="inlineStr">
        <is>
          <t>Sveaskog</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10845-2025</t>
        </is>
      </c>
      <c r="B10961" s="1" t="n">
        <v>45722</v>
      </c>
      <c r="C10961" s="1" t="n">
        <v>45798</v>
      </c>
      <c r="D10961" t="inlineStr">
        <is>
          <t>NORRBOTTENS LÄN</t>
        </is>
      </c>
      <c r="E10961" t="inlineStr">
        <is>
          <t>ARVIDSJAUR</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10727-2025</t>
        </is>
      </c>
      <c r="B10962" s="1" t="n">
        <v>45722</v>
      </c>
      <c r="C10962" s="1" t="n">
        <v>45798</v>
      </c>
      <c r="D10962" t="inlineStr">
        <is>
          <t>NORRBOTTENS LÄN</t>
        </is>
      </c>
      <c r="E10962" t="inlineStr">
        <is>
          <t>BODEN</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10825-2025</t>
        </is>
      </c>
      <c r="B10963" s="1" t="n">
        <v>45722</v>
      </c>
      <c r="C10963" s="1" t="n">
        <v>45798</v>
      </c>
      <c r="D10963" t="inlineStr">
        <is>
          <t>NORRBOTTENS LÄN</t>
        </is>
      </c>
      <c r="E10963" t="inlineStr">
        <is>
          <t>ARJEPLOG</t>
        </is>
      </c>
      <c r="G10963" t="n">
        <v>14.1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10838-2025</t>
        </is>
      </c>
      <c r="B10964" s="1" t="n">
        <v>45722</v>
      </c>
      <c r="C10964" s="1" t="n">
        <v>45798</v>
      </c>
      <c r="D10964" t="inlineStr">
        <is>
          <t>NORRBOTTENS LÄN</t>
        </is>
      </c>
      <c r="E10964" t="inlineStr">
        <is>
          <t>ARVIDSJAUR</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10908-2025</t>
        </is>
      </c>
      <c r="B10965" s="1" t="n">
        <v>45722</v>
      </c>
      <c r="C10965" s="1" t="n">
        <v>45798</v>
      </c>
      <c r="D10965" t="inlineStr">
        <is>
          <t>NORRBOTTENS LÄN</t>
        </is>
      </c>
      <c r="E10965" t="inlineStr">
        <is>
          <t>PAJALA</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10832-2025</t>
        </is>
      </c>
      <c r="B10966" s="1" t="n">
        <v>45722</v>
      </c>
      <c r="C10966" s="1" t="n">
        <v>45798</v>
      </c>
      <c r="D10966" t="inlineStr">
        <is>
          <t>NORRBOTTENS LÄN</t>
        </is>
      </c>
      <c r="E10966" t="inlineStr">
        <is>
          <t>ARVIDSJAUR</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10851-2025</t>
        </is>
      </c>
      <c r="B10967" s="1" t="n">
        <v>45722</v>
      </c>
      <c r="C10967" s="1" t="n">
        <v>45798</v>
      </c>
      <c r="D10967" t="inlineStr">
        <is>
          <t>NORRBOTTENS LÄN</t>
        </is>
      </c>
      <c r="E10967" t="inlineStr">
        <is>
          <t>ARVIDSJAUR</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11158-2025</t>
        </is>
      </c>
      <c r="B10968" s="1" t="n">
        <v>45723</v>
      </c>
      <c r="C10968" s="1" t="n">
        <v>45798</v>
      </c>
      <c r="D10968" t="inlineStr">
        <is>
          <t>NORRBOTTENS LÄN</t>
        </is>
      </c>
      <c r="E10968" t="inlineStr">
        <is>
          <t>BODEN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11030-2025</t>
        </is>
      </c>
      <c r="B10969" s="1" t="n">
        <v>45723</v>
      </c>
      <c r="C10969" s="1" t="n">
        <v>45798</v>
      </c>
      <c r="D10969" t="inlineStr">
        <is>
          <t>NORRBOTTENS LÄN</t>
        </is>
      </c>
      <c r="E10969" t="inlineStr">
        <is>
          <t>ARVIDSJAUR</t>
        </is>
      </c>
      <c r="F10969" t="inlineStr">
        <is>
          <t>Sveaskog</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10959-2025</t>
        </is>
      </c>
      <c r="B10970" s="1" t="n">
        <v>45723</v>
      </c>
      <c r="C10970" s="1" t="n">
        <v>45798</v>
      </c>
      <c r="D10970" t="inlineStr">
        <is>
          <t>NORRBOTTENS LÄN</t>
        </is>
      </c>
      <c r="E10970" t="inlineStr">
        <is>
          <t>KALIX</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10948-2025</t>
        </is>
      </c>
      <c r="B10971" s="1" t="n">
        <v>45723</v>
      </c>
      <c r="C10971" s="1" t="n">
        <v>45798</v>
      </c>
      <c r="D10971" t="inlineStr">
        <is>
          <t>NORRBOTTENS LÄN</t>
        </is>
      </c>
      <c r="E10971" t="inlineStr">
        <is>
          <t>GÄLLIVARE</t>
        </is>
      </c>
      <c r="F10971" t="inlineStr">
        <is>
          <t>SCA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11159-2025</t>
        </is>
      </c>
      <c r="B10972" s="1" t="n">
        <v>45723</v>
      </c>
      <c r="C10972" s="1" t="n">
        <v>45798</v>
      </c>
      <c r="D10972" t="inlineStr">
        <is>
          <t>NORRBOTTENS LÄN</t>
        </is>
      </c>
      <c r="E10972" t="inlineStr">
        <is>
          <t>BODEN</t>
        </is>
      </c>
      <c r="G10972" t="n">
        <v>8.199999999999999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11008-2025</t>
        </is>
      </c>
      <c r="B10973" s="1" t="n">
        <v>45723</v>
      </c>
      <c r="C10973" s="1" t="n">
        <v>45798</v>
      </c>
      <c r="D10973" t="inlineStr">
        <is>
          <t>NORRBOTTENS LÄN</t>
        </is>
      </c>
      <c r="E10973" t="inlineStr">
        <is>
          <t>GÄLLIVARE</t>
        </is>
      </c>
      <c r="G10973" t="n">
        <v>20.6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11135-2025</t>
        </is>
      </c>
      <c r="B10974" s="1" t="n">
        <v>45723</v>
      </c>
      <c r="C10974" s="1" t="n">
        <v>45798</v>
      </c>
      <c r="D10974" t="inlineStr">
        <is>
          <t>NORRBOTTENS LÄN</t>
        </is>
      </c>
      <c r="E10974" t="inlineStr">
        <is>
          <t>LULEÅ</t>
        </is>
      </c>
      <c r="G10974" t="n">
        <v>16.7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11626-2025</t>
        </is>
      </c>
      <c r="B10975" s="1" t="n">
        <v>45726</v>
      </c>
      <c r="C10975" s="1" t="n">
        <v>45798</v>
      </c>
      <c r="D10975" t="inlineStr">
        <is>
          <t>NORRBOTTENS LÄN</t>
        </is>
      </c>
      <c r="E10975" t="inlineStr">
        <is>
          <t>ARVIDSJAUR</t>
        </is>
      </c>
      <c r="F10975" t="inlineStr">
        <is>
          <t>Allmännings- och besparingsskogar</t>
        </is>
      </c>
      <c r="G10975" t="n">
        <v>11.3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11469-2025</t>
        </is>
      </c>
      <c r="B10976" s="1" t="n">
        <v>45726</v>
      </c>
      <c r="C10976" s="1" t="n">
        <v>45798</v>
      </c>
      <c r="D10976" t="inlineStr">
        <is>
          <t>NORRBOTTENS LÄN</t>
        </is>
      </c>
      <c r="E10976" t="inlineStr">
        <is>
          <t>PITEÅ</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11623-2025</t>
        </is>
      </c>
      <c r="B10977" s="1" t="n">
        <v>45726</v>
      </c>
      <c r="C10977" s="1" t="n">
        <v>45798</v>
      </c>
      <c r="D10977" t="inlineStr">
        <is>
          <t>NORRBOTTENS LÄN</t>
        </is>
      </c>
      <c r="E10977" t="inlineStr">
        <is>
          <t>ARVIDSJAUR</t>
        </is>
      </c>
      <c r="F10977" t="inlineStr">
        <is>
          <t>Allmännings- och besparingsskogar</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11492-2025</t>
        </is>
      </c>
      <c r="B10978" s="1" t="n">
        <v>45726</v>
      </c>
      <c r="C10978" s="1" t="n">
        <v>45798</v>
      </c>
      <c r="D10978" t="inlineStr">
        <is>
          <t>NORRBOTTENS LÄN</t>
        </is>
      </c>
      <c r="E10978" t="inlineStr">
        <is>
          <t>ARVIDSJAUR</t>
        </is>
      </c>
      <c r="F10978" t="inlineStr">
        <is>
          <t>Allmännings- och besparingsskogar</t>
        </is>
      </c>
      <c r="G10978" t="n">
        <v>14.2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11511-2025</t>
        </is>
      </c>
      <c r="B10979" s="1" t="n">
        <v>45726</v>
      </c>
      <c r="C10979" s="1" t="n">
        <v>45798</v>
      </c>
      <c r="D10979" t="inlineStr">
        <is>
          <t>NORRBOTTENS LÄN</t>
        </is>
      </c>
      <c r="E10979" t="inlineStr">
        <is>
          <t>PITEÅ</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11538-2025</t>
        </is>
      </c>
      <c r="B10980" s="1" t="n">
        <v>45726</v>
      </c>
      <c r="C10980" s="1" t="n">
        <v>45798</v>
      </c>
      <c r="D10980" t="inlineStr">
        <is>
          <t>NORRBOTTENS LÄN</t>
        </is>
      </c>
      <c r="E10980" t="inlineStr">
        <is>
          <t>ARVIDSJAUR</t>
        </is>
      </c>
      <c r="F10980" t="inlineStr">
        <is>
          <t>Allmännings- och besparingsskogar</t>
        </is>
      </c>
      <c r="G10980" t="n">
        <v>15.3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11540-2025</t>
        </is>
      </c>
      <c r="B10981" s="1" t="n">
        <v>45726</v>
      </c>
      <c r="C10981" s="1" t="n">
        <v>45798</v>
      </c>
      <c r="D10981" t="inlineStr">
        <is>
          <t>NORRBOTTENS LÄN</t>
        </is>
      </c>
      <c r="E10981" t="inlineStr">
        <is>
          <t>ARVIDSJAUR</t>
        </is>
      </c>
      <c r="F10981" t="inlineStr">
        <is>
          <t>Allmännings- och besparingsskogar</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11582-2025</t>
        </is>
      </c>
      <c r="B10982" s="1" t="n">
        <v>45726</v>
      </c>
      <c r="C10982" s="1" t="n">
        <v>45798</v>
      </c>
      <c r="D10982" t="inlineStr">
        <is>
          <t>NORRBOTTENS LÄN</t>
        </is>
      </c>
      <c r="E10982" t="inlineStr">
        <is>
          <t>ARVIDSJAUR</t>
        </is>
      </c>
      <c r="F10982" t="inlineStr">
        <is>
          <t>Allmännings- och besparingsskogar</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11542-2025</t>
        </is>
      </c>
      <c r="B10983" s="1" t="n">
        <v>45726</v>
      </c>
      <c r="C10983" s="1" t="n">
        <v>45798</v>
      </c>
      <c r="D10983" t="inlineStr">
        <is>
          <t>NORRBOTTENS LÄN</t>
        </is>
      </c>
      <c r="E10983" t="inlineStr">
        <is>
          <t>ARVIDSJAUR</t>
        </is>
      </c>
      <c r="F10983" t="inlineStr">
        <is>
          <t>Allmännings- och besparingsskogar</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11620-2025</t>
        </is>
      </c>
      <c r="B10984" s="1" t="n">
        <v>45726</v>
      </c>
      <c r="C10984" s="1" t="n">
        <v>45798</v>
      </c>
      <c r="D10984" t="inlineStr">
        <is>
          <t>NORRBOTTENS LÄN</t>
        </is>
      </c>
      <c r="E10984" t="inlineStr">
        <is>
          <t>ARVIDSJAUR</t>
        </is>
      </c>
      <c r="F10984" t="inlineStr">
        <is>
          <t>Allmännings- och besparingsskogar</t>
        </is>
      </c>
      <c r="G10984" t="n">
        <v>14.1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11571-2025</t>
        </is>
      </c>
      <c r="B10985" s="1" t="n">
        <v>45726</v>
      </c>
      <c r="C10985" s="1" t="n">
        <v>45798</v>
      </c>
      <c r="D10985" t="inlineStr">
        <is>
          <t>NORRBOTTENS LÄN</t>
        </is>
      </c>
      <c r="E10985" t="inlineStr">
        <is>
          <t>ARVIDSJAUR</t>
        </is>
      </c>
      <c r="F10985" t="inlineStr">
        <is>
          <t>Allmännings- och besparingsskogar</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11615-2025</t>
        </is>
      </c>
      <c r="B10986" s="1" t="n">
        <v>45726</v>
      </c>
      <c r="C10986" s="1" t="n">
        <v>45798</v>
      </c>
      <c r="D10986" t="inlineStr">
        <is>
          <t>NORRBOTTENS LÄN</t>
        </is>
      </c>
      <c r="E10986" t="inlineStr">
        <is>
          <t>ARVIDSJAUR</t>
        </is>
      </c>
      <c r="F10986" t="inlineStr">
        <is>
          <t>Allmännings- och besparingsskogar</t>
        </is>
      </c>
      <c r="G10986" t="n">
        <v>9.699999999999999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11413-2025</t>
        </is>
      </c>
      <c r="B10987" s="1" t="n">
        <v>45726</v>
      </c>
      <c r="C10987" s="1" t="n">
        <v>45798</v>
      </c>
      <c r="D10987" t="inlineStr">
        <is>
          <t>NORRBOTTENS LÄN</t>
        </is>
      </c>
      <c r="E10987" t="inlineStr">
        <is>
          <t>PITEÅ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11494-2025</t>
        </is>
      </c>
      <c r="B10988" s="1" t="n">
        <v>45726</v>
      </c>
      <c r="C10988" s="1" t="n">
        <v>45798</v>
      </c>
      <c r="D10988" t="inlineStr">
        <is>
          <t>NORRBOTTENS LÄN</t>
        </is>
      </c>
      <c r="E10988" t="inlineStr">
        <is>
          <t>ARVIDSJAUR</t>
        </is>
      </c>
      <c r="F10988" t="inlineStr">
        <is>
          <t>Allmännings- och besparingsskogar</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11536-2025</t>
        </is>
      </c>
      <c r="B10989" s="1" t="n">
        <v>45726</v>
      </c>
      <c r="C10989" s="1" t="n">
        <v>45798</v>
      </c>
      <c r="D10989" t="inlineStr">
        <is>
          <t>NORRBOTTENS LÄN</t>
        </is>
      </c>
      <c r="E10989" t="inlineStr">
        <is>
          <t>ARVIDSJAUR</t>
        </is>
      </c>
      <c r="F10989" t="inlineStr">
        <is>
          <t>Allmännings- och besparingsskogar</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11591-2025</t>
        </is>
      </c>
      <c r="B10990" s="1" t="n">
        <v>45726</v>
      </c>
      <c r="C10990" s="1" t="n">
        <v>45798</v>
      </c>
      <c r="D10990" t="inlineStr">
        <is>
          <t>NORRBOTTENS LÄN</t>
        </is>
      </c>
      <c r="E10990" t="inlineStr">
        <is>
          <t>ARVIDSJAUR</t>
        </is>
      </c>
      <c r="F10990" t="inlineStr">
        <is>
          <t>Allmännings- och besparingsskogar</t>
        </is>
      </c>
      <c r="G10990" t="n">
        <v>10.9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11510-2025</t>
        </is>
      </c>
      <c r="B10991" s="1" t="n">
        <v>45726</v>
      </c>
      <c r="C10991" s="1" t="n">
        <v>45798</v>
      </c>
      <c r="D10991" t="inlineStr">
        <is>
          <t>NORRBOTTENS LÄN</t>
        </is>
      </c>
      <c r="E10991" t="inlineStr">
        <is>
          <t>PITEÅ</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11535-2025</t>
        </is>
      </c>
      <c r="B10992" s="1" t="n">
        <v>45726</v>
      </c>
      <c r="C10992" s="1" t="n">
        <v>45798</v>
      </c>
      <c r="D10992" t="inlineStr">
        <is>
          <t>NORRBOTTENS LÄN</t>
        </is>
      </c>
      <c r="E10992" t="inlineStr">
        <is>
          <t>ARVIDSJAUR</t>
        </is>
      </c>
      <c r="F10992" t="inlineStr">
        <is>
          <t>Allmännings- och besparingsskogar</t>
        </is>
      </c>
      <c r="G10992" t="n">
        <v>10.3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11539-2025</t>
        </is>
      </c>
      <c r="B10993" s="1" t="n">
        <v>45726</v>
      </c>
      <c r="C10993" s="1" t="n">
        <v>45798</v>
      </c>
      <c r="D10993" t="inlineStr">
        <is>
          <t>NORRBOTTENS LÄN</t>
        </is>
      </c>
      <c r="E10993" t="inlineStr">
        <is>
          <t>ARVIDSJAUR</t>
        </is>
      </c>
      <c r="F10993" t="inlineStr">
        <is>
          <t>Allmännings- och besparingsskogar</t>
        </is>
      </c>
      <c r="G10993" t="n">
        <v>14.3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11574-2025</t>
        </is>
      </c>
      <c r="B10994" s="1" t="n">
        <v>45726</v>
      </c>
      <c r="C10994" s="1" t="n">
        <v>45798</v>
      </c>
      <c r="D10994" t="inlineStr">
        <is>
          <t>NORRBOTTENS LÄN</t>
        </is>
      </c>
      <c r="E10994" t="inlineStr">
        <is>
          <t>ARVIDSJAUR</t>
        </is>
      </c>
      <c r="F10994" t="inlineStr">
        <is>
          <t>Allmännings- och besparingsskogar</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11537-2025</t>
        </is>
      </c>
      <c r="B10995" s="1" t="n">
        <v>45726</v>
      </c>
      <c r="C10995" s="1" t="n">
        <v>45798</v>
      </c>
      <c r="D10995" t="inlineStr">
        <is>
          <t>NORRBOTTENS LÄN</t>
        </is>
      </c>
      <c r="E10995" t="inlineStr">
        <is>
          <t>ARVIDSJAUR</t>
        </is>
      </c>
      <c r="F10995" t="inlineStr">
        <is>
          <t>Allmännings- och besparingsskogar</t>
        </is>
      </c>
      <c r="G10995" t="n">
        <v>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11845-2025</t>
        </is>
      </c>
      <c r="B10996" s="1" t="n">
        <v>45727</v>
      </c>
      <c r="C10996" s="1" t="n">
        <v>45798</v>
      </c>
      <c r="D10996" t="inlineStr">
        <is>
          <t>NORRBOTTENS LÄN</t>
        </is>
      </c>
      <c r="E10996" t="inlineStr">
        <is>
          <t>LULEÅ</t>
        </is>
      </c>
      <c r="G10996" t="n">
        <v>9.6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11901-2025</t>
        </is>
      </c>
      <c r="B10997" s="1" t="n">
        <v>45727</v>
      </c>
      <c r="C10997" s="1" t="n">
        <v>45798</v>
      </c>
      <c r="D10997" t="inlineStr">
        <is>
          <t>NORRBOTTENS LÄN</t>
        </is>
      </c>
      <c r="E10997" t="inlineStr">
        <is>
          <t>LULEÅ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11714-2025</t>
        </is>
      </c>
      <c r="B10998" s="1" t="n">
        <v>45727</v>
      </c>
      <c r="C10998" s="1" t="n">
        <v>45798</v>
      </c>
      <c r="D10998" t="inlineStr">
        <is>
          <t>NORRBOTTENS LÄN</t>
        </is>
      </c>
      <c r="E10998" t="inlineStr">
        <is>
          <t>PITEÅ</t>
        </is>
      </c>
      <c r="G10998" t="n">
        <v>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11782-2025</t>
        </is>
      </c>
      <c r="B10999" s="1" t="n">
        <v>45727</v>
      </c>
      <c r="C10999" s="1" t="n">
        <v>45798</v>
      </c>
      <c r="D10999" t="inlineStr">
        <is>
          <t>NORRBOTTENS LÄN</t>
        </is>
      </c>
      <c r="E10999" t="inlineStr">
        <is>
          <t>GÄLLIVARE</t>
        </is>
      </c>
      <c r="F10999" t="inlineStr">
        <is>
          <t>SCA</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11617-2025</t>
        </is>
      </c>
      <c r="B11000" s="1" t="n">
        <v>45727</v>
      </c>
      <c r="C11000" s="1" t="n">
        <v>45798</v>
      </c>
      <c r="D11000" t="inlineStr">
        <is>
          <t>NORRBOTTENS LÄN</t>
        </is>
      </c>
      <c r="E11000" t="inlineStr">
        <is>
          <t>ÖVERTORNEÅ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11741-2025</t>
        </is>
      </c>
      <c r="B11001" s="1" t="n">
        <v>45727</v>
      </c>
      <c r="C11001" s="1" t="n">
        <v>45798</v>
      </c>
      <c r="D11001" t="inlineStr">
        <is>
          <t>NORRBOTTENS LÄN</t>
        </is>
      </c>
      <c r="E11001" t="inlineStr">
        <is>
          <t>ARVIDSJAUR</t>
        </is>
      </c>
      <c r="F11001" t="inlineStr">
        <is>
          <t>Sveaskog</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11783-2025</t>
        </is>
      </c>
      <c r="B11002" s="1" t="n">
        <v>45727</v>
      </c>
      <c r="C11002" s="1" t="n">
        <v>45798</v>
      </c>
      <c r="D11002" t="inlineStr">
        <is>
          <t>NORRBOTTENS LÄN</t>
        </is>
      </c>
      <c r="E11002" t="inlineStr">
        <is>
          <t>GÄLLIVARE</t>
        </is>
      </c>
      <c r="F11002" t="inlineStr">
        <is>
          <t>SCA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11853-2025</t>
        </is>
      </c>
      <c r="B11003" s="1" t="n">
        <v>45727</v>
      </c>
      <c r="C11003" s="1" t="n">
        <v>45798</v>
      </c>
      <c r="D11003" t="inlineStr">
        <is>
          <t>NORRBOTTENS LÄN</t>
        </is>
      </c>
      <c r="E11003" t="inlineStr">
        <is>
          <t>LULEÅ</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11855-2025</t>
        </is>
      </c>
      <c r="B11004" s="1" t="n">
        <v>45727</v>
      </c>
      <c r="C11004" s="1" t="n">
        <v>45798</v>
      </c>
      <c r="D11004" t="inlineStr">
        <is>
          <t>NORRBOTTENS LÄN</t>
        </is>
      </c>
      <c r="E11004" t="inlineStr">
        <is>
          <t>LULEÅ</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11622-2025</t>
        </is>
      </c>
      <c r="B11005" s="1" t="n">
        <v>45727</v>
      </c>
      <c r="C11005" s="1" t="n">
        <v>45798</v>
      </c>
      <c r="D11005" t="inlineStr">
        <is>
          <t>NORRBOTTENS LÄN</t>
        </is>
      </c>
      <c r="E11005" t="inlineStr">
        <is>
          <t>ÖVERTORNEÅ</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11834-2025</t>
        </is>
      </c>
      <c r="B11006" s="1" t="n">
        <v>45727</v>
      </c>
      <c r="C11006" s="1" t="n">
        <v>45798</v>
      </c>
      <c r="D11006" t="inlineStr">
        <is>
          <t>NORRBOTTENS LÄN</t>
        </is>
      </c>
      <c r="E11006" t="inlineStr">
        <is>
          <t>LULEÅ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11865-2025</t>
        </is>
      </c>
      <c r="B11007" s="1" t="n">
        <v>45728</v>
      </c>
      <c r="C11007" s="1" t="n">
        <v>45798</v>
      </c>
      <c r="D11007" t="inlineStr">
        <is>
          <t>NORRBOTTENS LÄN</t>
        </is>
      </c>
      <c r="E11007" t="inlineStr">
        <is>
          <t>BODEN</t>
        </is>
      </c>
      <c r="F11007" t="inlineStr">
        <is>
          <t>Övriga Aktiebolag</t>
        </is>
      </c>
      <c r="G11007" t="n">
        <v>10.6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12041-2025</t>
        </is>
      </c>
      <c r="B11008" s="1" t="n">
        <v>45728</v>
      </c>
      <c r="C11008" s="1" t="n">
        <v>45798</v>
      </c>
      <c r="D11008" t="inlineStr">
        <is>
          <t>NORRBOTTENS LÄN</t>
        </is>
      </c>
      <c r="E11008" t="inlineStr">
        <is>
          <t>KALIX</t>
        </is>
      </c>
      <c r="F11008" t="inlineStr">
        <is>
          <t>SCA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11937-2025</t>
        </is>
      </c>
      <c r="B11009" s="1" t="n">
        <v>45728</v>
      </c>
      <c r="C11009" s="1" t="n">
        <v>45798</v>
      </c>
      <c r="D11009" t="inlineStr">
        <is>
          <t>NORRBOTTENS LÄN</t>
        </is>
      </c>
      <c r="E11009" t="inlineStr">
        <is>
          <t>PITEÅ</t>
        </is>
      </c>
      <c r="F11009" t="inlineStr">
        <is>
          <t>Kommuner</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11960-2025</t>
        </is>
      </c>
      <c r="B11010" s="1" t="n">
        <v>45728</v>
      </c>
      <c r="C11010" s="1" t="n">
        <v>45798</v>
      </c>
      <c r="D11010" t="inlineStr">
        <is>
          <t>NORRBOTTENS LÄN</t>
        </is>
      </c>
      <c r="E11010" t="inlineStr">
        <is>
          <t>JOKKMOKK</t>
        </is>
      </c>
      <c r="F11010" t="inlineStr">
        <is>
          <t>SCA</t>
        </is>
      </c>
      <c r="G11010" t="n">
        <v>8.9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11949-2025</t>
        </is>
      </c>
      <c r="B11011" s="1" t="n">
        <v>45728</v>
      </c>
      <c r="C11011" s="1" t="n">
        <v>45798</v>
      </c>
      <c r="D11011" t="inlineStr">
        <is>
          <t>NORRBOTTENS LÄN</t>
        </is>
      </c>
      <c r="E11011" t="inlineStr">
        <is>
          <t>PITEÅ</t>
        </is>
      </c>
      <c r="F11011" t="inlineStr">
        <is>
          <t>Kommuner</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12023-2025</t>
        </is>
      </c>
      <c r="B11012" s="1" t="n">
        <v>45728</v>
      </c>
      <c r="C11012" s="1" t="n">
        <v>45798</v>
      </c>
      <c r="D11012" t="inlineStr">
        <is>
          <t>NORRBOTTENS LÄN</t>
        </is>
      </c>
      <c r="E11012" t="inlineStr">
        <is>
          <t>ARVIDSJAUR</t>
        </is>
      </c>
      <c r="F11012" t="inlineStr">
        <is>
          <t>Allmännings- och besparingsskogar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11998-2025</t>
        </is>
      </c>
      <c r="B11013" s="1" t="n">
        <v>45728</v>
      </c>
      <c r="C11013" s="1" t="n">
        <v>45798</v>
      </c>
      <c r="D11013" t="inlineStr">
        <is>
          <t>NORRBOTTENS LÄN</t>
        </is>
      </c>
      <c r="E11013" t="inlineStr">
        <is>
          <t>ARVIDSJAUR</t>
        </is>
      </c>
      <c r="F11013" t="inlineStr">
        <is>
          <t>Allmännings- och besparingsskogar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12116-2025</t>
        </is>
      </c>
      <c r="B11014" s="1" t="n">
        <v>45729</v>
      </c>
      <c r="C11014" s="1" t="n">
        <v>45798</v>
      </c>
      <c r="D11014" t="inlineStr">
        <is>
          <t>NORRBOTTENS LÄN</t>
        </is>
      </c>
      <c r="E11014" t="inlineStr">
        <is>
          <t>LULEÅ</t>
        </is>
      </c>
      <c r="F11014" t="inlineStr">
        <is>
          <t>SCA</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12117-2025</t>
        </is>
      </c>
      <c r="B11015" s="1" t="n">
        <v>45729</v>
      </c>
      <c r="C11015" s="1" t="n">
        <v>45798</v>
      </c>
      <c r="D11015" t="inlineStr">
        <is>
          <t>NORRBOTTENS LÄN</t>
        </is>
      </c>
      <c r="E11015" t="inlineStr">
        <is>
          <t>LULEÅ</t>
        </is>
      </c>
      <c r="F11015" t="inlineStr">
        <is>
          <t>SCA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12202-2025</t>
        </is>
      </c>
      <c r="B11016" s="1" t="n">
        <v>45729</v>
      </c>
      <c r="C11016" s="1" t="n">
        <v>45798</v>
      </c>
      <c r="D11016" t="inlineStr">
        <is>
          <t>NORRBOTTENS LÄN</t>
        </is>
      </c>
      <c r="E11016" t="inlineStr">
        <is>
          <t>ÖVERTORNEÅ</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12115-2025</t>
        </is>
      </c>
      <c r="B11017" s="1" t="n">
        <v>45729</v>
      </c>
      <c r="C11017" s="1" t="n">
        <v>45798</v>
      </c>
      <c r="D11017" t="inlineStr">
        <is>
          <t>NORRBOTTENS LÄN</t>
        </is>
      </c>
      <c r="E11017" t="inlineStr">
        <is>
          <t>LULEÅ</t>
        </is>
      </c>
      <c r="F11017" t="inlineStr">
        <is>
          <t>SCA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12261-2025</t>
        </is>
      </c>
      <c r="B11018" s="1" t="n">
        <v>45729</v>
      </c>
      <c r="C11018" s="1" t="n">
        <v>45798</v>
      </c>
      <c r="D11018" t="inlineStr">
        <is>
          <t>NORRBOTTENS LÄN</t>
        </is>
      </c>
      <c r="E11018" t="inlineStr">
        <is>
          <t>PITEÅ</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12342-2025</t>
        </is>
      </c>
      <c r="B11019" s="1" t="n">
        <v>45730</v>
      </c>
      <c r="C11019" s="1" t="n">
        <v>45798</v>
      </c>
      <c r="D11019" t="inlineStr">
        <is>
          <t>NORRBOTTENS LÄN</t>
        </is>
      </c>
      <c r="E11019" t="inlineStr">
        <is>
          <t>KALIX</t>
        </is>
      </c>
      <c r="F11019" t="inlineStr">
        <is>
          <t>SCA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12345-2025</t>
        </is>
      </c>
      <c r="B11020" s="1" t="n">
        <v>45730</v>
      </c>
      <c r="C11020" s="1" t="n">
        <v>45798</v>
      </c>
      <c r="D11020" t="inlineStr">
        <is>
          <t>NORRBOTTENS LÄN</t>
        </is>
      </c>
      <c r="E11020" t="inlineStr">
        <is>
          <t>KALIX</t>
        </is>
      </c>
      <c r="F11020" t="inlineStr">
        <is>
          <t>SCA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12462-2025</t>
        </is>
      </c>
      <c r="B11021" s="1" t="n">
        <v>45730</v>
      </c>
      <c r="C11021" s="1" t="n">
        <v>45798</v>
      </c>
      <c r="D11021" t="inlineStr">
        <is>
          <t>NORRBOTTENS LÄN</t>
        </is>
      </c>
      <c r="E11021" t="inlineStr">
        <is>
          <t>KALIX</t>
        </is>
      </c>
      <c r="F11021" t="inlineStr">
        <is>
          <t>SCA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12498-2025</t>
        </is>
      </c>
      <c r="B11022" s="1" t="n">
        <v>45730</v>
      </c>
      <c r="C11022" s="1" t="n">
        <v>45798</v>
      </c>
      <c r="D11022" t="inlineStr">
        <is>
          <t>NORRBOTTENS LÄN</t>
        </is>
      </c>
      <c r="E11022" t="inlineStr">
        <is>
          <t>BODEN</t>
        </is>
      </c>
      <c r="G11022" t="n">
        <v>33.3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12347-2025</t>
        </is>
      </c>
      <c r="B11023" s="1" t="n">
        <v>45730</v>
      </c>
      <c r="C11023" s="1" t="n">
        <v>45798</v>
      </c>
      <c r="D11023" t="inlineStr">
        <is>
          <t>NORRBOTTENS LÄN</t>
        </is>
      </c>
      <c r="E11023" t="inlineStr">
        <is>
          <t>KALIX</t>
        </is>
      </c>
      <c r="F11023" t="inlineStr">
        <is>
          <t>SCA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12343-2025</t>
        </is>
      </c>
      <c r="B11024" s="1" t="n">
        <v>45730</v>
      </c>
      <c r="C11024" s="1" t="n">
        <v>45798</v>
      </c>
      <c r="D11024" t="inlineStr">
        <is>
          <t>NORRBOTTENS LÄN</t>
        </is>
      </c>
      <c r="E11024" t="inlineStr">
        <is>
          <t>KALIX</t>
        </is>
      </c>
      <c r="F11024" t="inlineStr">
        <is>
          <t>SCA</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12465-2025</t>
        </is>
      </c>
      <c r="B11025" s="1" t="n">
        <v>45730</v>
      </c>
      <c r="C11025" s="1" t="n">
        <v>45798</v>
      </c>
      <c r="D11025" t="inlineStr">
        <is>
          <t>NORRBOTTENS LÄN</t>
        </is>
      </c>
      <c r="E11025" t="inlineStr">
        <is>
          <t>KALIX</t>
        </is>
      </c>
      <c r="F11025" t="inlineStr">
        <is>
          <t>SCA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12447-2025</t>
        </is>
      </c>
      <c r="B11026" s="1" t="n">
        <v>45730</v>
      </c>
      <c r="C11026" s="1" t="n">
        <v>45798</v>
      </c>
      <c r="D11026" t="inlineStr">
        <is>
          <t>NORRBOTTENS LÄN</t>
        </is>
      </c>
      <c r="E11026" t="inlineStr">
        <is>
          <t>ARJEPLOG</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12398-2025</t>
        </is>
      </c>
      <c r="B11027" s="1" t="n">
        <v>45730</v>
      </c>
      <c r="C11027" s="1" t="n">
        <v>45798</v>
      </c>
      <c r="D11027" t="inlineStr">
        <is>
          <t>NORRBOTTENS LÄN</t>
        </is>
      </c>
      <c r="E11027" t="inlineStr">
        <is>
          <t>KALIX</t>
        </is>
      </c>
      <c r="F11027" t="inlineStr">
        <is>
          <t>SCA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12346-2025</t>
        </is>
      </c>
      <c r="B11028" s="1" t="n">
        <v>45730</v>
      </c>
      <c r="C11028" s="1" t="n">
        <v>45798</v>
      </c>
      <c r="D11028" t="inlineStr">
        <is>
          <t>NORRBOTTENS LÄN</t>
        </is>
      </c>
      <c r="E11028" t="inlineStr">
        <is>
          <t>KALIX</t>
        </is>
      </c>
      <c r="F11028" t="inlineStr">
        <is>
          <t>SCA</t>
        </is>
      </c>
      <c r="G11028" t="n">
        <v>28.4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12396-2025</t>
        </is>
      </c>
      <c r="B11029" s="1" t="n">
        <v>45730</v>
      </c>
      <c r="C11029" s="1" t="n">
        <v>45798</v>
      </c>
      <c r="D11029" t="inlineStr">
        <is>
          <t>NORRBOTTENS LÄN</t>
        </is>
      </c>
      <c r="E11029" t="inlineStr">
        <is>
          <t>KALIX</t>
        </is>
      </c>
      <c r="F11029" t="inlineStr">
        <is>
          <t>SCA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12409-2025</t>
        </is>
      </c>
      <c r="B11030" s="1" t="n">
        <v>45730</v>
      </c>
      <c r="C11030" s="1" t="n">
        <v>45798</v>
      </c>
      <c r="D11030" t="inlineStr">
        <is>
          <t>NORRBOTTENS LÄN</t>
        </is>
      </c>
      <c r="E11030" t="inlineStr">
        <is>
          <t>ARJEPLOG</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12463-2025</t>
        </is>
      </c>
      <c r="B11031" s="1" t="n">
        <v>45730</v>
      </c>
      <c r="C11031" s="1" t="n">
        <v>45798</v>
      </c>
      <c r="D11031" t="inlineStr">
        <is>
          <t>NORRBOTTENS LÄN</t>
        </is>
      </c>
      <c r="E11031" t="inlineStr">
        <is>
          <t>KALIX</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12562-2025</t>
        </is>
      </c>
      <c r="B11032" s="1" t="n">
        <v>45731</v>
      </c>
      <c r="C11032" s="1" t="n">
        <v>45798</v>
      </c>
      <c r="D11032" t="inlineStr">
        <is>
          <t>NORRBOTTENS LÄN</t>
        </is>
      </c>
      <c r="E11032" t="inlineStr">
        <is>
          <t>PITEÅ</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12612-2025</t>
        </is>
      </c>
      <c r="B11033" s="1" t="n">
        <v>45732</v>
      </c>
      <c r="C11033" s="1" t="n">
        <v>45798</v>
      </c>
      <c r="D11033" t="inlineStr">
        <is>
          <t>NORRBOTTENS LÄN</t>
        </is>
      </c>
      <c r="E11033" t="inlineStr">
        <is>
          <t>BODEN</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12613-2025</t>
        </is>
      </c>
      <c r="B11034" s="1" t="n">
        <v>45733</v>
      </c>
      <c r="C11034" s="1" t="n">
        <v>45798</v>
      </c>
      <c r="D11034" t="inlineStr">
        <is>
          <t>NORRBOTTENS LÄN</t>
        </is>
      </c>
      <c r="E11034" t="inlineStr">
        <is>
          <t>ÄLVSBYN</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12653-2025</t>
        </is>
      </c>
      <c r="B11035" s="1" t="n">
        <v>45733</v>
      </c>
      <c r="C11035" s="1" t="n">
        <v>45798</v>
      </c>
      <c r="D11035" t="inlineStr">
        <is>
          <t>NORRBOTTENS LÄN</t>
        </is>
      </c>
      <c r="E11035" t="inlineStr">
        <is>
          <t>ÖVERTORNEÅ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12849-2025</t>
        </is>
      </c>
      <c r="B11036" s="1" t="n">
        <v>45733</v>
      </c>
      <c r="C11036" s="1" t="n">
        <v>45798</v>
      </c>
      <c r="D11036" t="inlineStr">
        <is>
          <t>NORRBOTTENS LÄN</t>
        </is>
      </c>
      <c r="E11036" t="inlineStr">
        <is>
          <t>PITEÅ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13119-2025</t>
        </is>
      </c>
      <c r="B11037" s="1" t="n">
        <v>45734</v>
      </c>
      <c r="C11037" s="1" t="n">
        <v>45798</v>
      </c>
      <c r="D11037" t="inlineStr">
        <is>
          <t>NORRBOTTENS LÄN</t>
        </is>
      </c>
      <c r="E11037" t="inlineStr">
        <is>
          <t>ARJEPLOG</t>
        </is>
      </c>
      <c r="G11037" t="n">
        <v>14.7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13234-2025</t>
        </is>
      </c>
      <c r="B11038" s="1" t="n">
        <v>45735</v>
      </c>
      <c r="C11038" s="1" t="n">
        <v>45798</v>
      </c>
      <c r="D11038" t="inlineStr">
        <is>
          <t>NORRBOTTENS LÄN</t>
        </is>
      </c>
      <c r="E11038" t="inlineStr">
        <is>
          <t>KALIX</t>
        </is>
      </c>
      <c r="G11038" t="n">
        <v>12.4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13368-2025</t>
        </is>
      </c>
      <c r="B11039" s="1" t="n">
        <v>45735</v>
      </c>
      <c r="C11039" s="1" t="n">
        <v>45798</v>
      </c>
      <c r="D11039" t="inlineStr">
        <is>
          <t>NORRBOTTENS LÄN</t>
        </is>
      </c>
      <c r="E11039" t="inlineStr">
        <is>
          <t>ÄLVSBYN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13387-2025</t>
        </is>
      </c>
      <c r="B11040" s="1" t="n">
        <v>45735</v>
      </c>
      <c r="C11040" s="1" t="n">
        <v>45798</v>
      </c>
      <c r="D11040" t="inlineStr">
        <is>
          <t>NORRBOTTENS LÄN</t>
        </is>
      </c>
      <c r="E11040" t="inlineStr">
        <is>
          <t>PITEÅ</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13231-2025</t>
        </is>
      </c>
      <c r="B11041" s="1" t="n">
        <v>45735</v>
      </c>
      <c r="C11041" s="1" t="n">
        <v>45798</v>
      </c>
      <c r="D11041" t="inlineStr">
        <is>
          <t>NORRBOTTENS LÄN</t>
        </is>
      </c>
      <c r="E11041" t="inlineStr">
        <is>
          <t>KALIX</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13329-2025</t>
        </is>
      </c>
      <c r="B11042" s="1" t="n">
        <v>45735</v>
      </c>
      <c r="C11042" s="1" t="n">
        <v>45798</v>
      </c>
      <c r="D11042" t="inlineStr">
        <is>
          <t>NORRBOTTENS LÄN</t>
        </is>
      </c>
      <c r="E11042" t="inlineStr">
        <is>
          <t>ÄLVSBYN</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13464-2025</t>
        </is>
      </c>
      <c r="B11043" s="1" t="n">
        <v>45736</v>
      </c>
      <c r="C11043" s="1" t="n">
        <v>45798</v>
      </c>
      <c r="D11043" t="inlineStr">
        <is>
          <t>NORRBOTTENS LÄN</t>
        </is>
      </c>
      <c r="E11043" t="inlineStr">
        <is>
          <t>PAJALA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13466-2025</t>
        </is>
      </c>
      <c r="B11044" s="1" t="n">
        <v>45736</v>
      </c>
      <c r="C11044" s="1" t="n">
        <v>45798</v>
      </c>
      <c r="D11044" t="inlineStr">
        <is>
          <t>NORRBOTTENS LÄN</t>
        </is>
      </c>
      <c r="E11044" t="inlineStr">
        <is>
          <t>PAJALA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13474-2025</t>
        </is>
      </c>
      <c r="B11045" s="1" t="n">
        <v>45736</v>
      </c>
      <c r="C11045" s="1" t="n">
        <v>45798</v>
      </c>
      <c r="D11045" t="inlineStr">
        <is>
          <t>NORRBOTTENS LÄN</t>
        </is>
      </c>
      <c r="E11045" t="inlineStr">
        <is>
          <t>PITEÅ</t>
        </is>
      </c>
      <c r="G11045" t="n">
        <v>9.800000000000001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13480-2025</t>
        </is>
      </c>
      <c r="B11046" s="1" t="n">
        <v>45736</v>
      </c>
      <c r="C11046" s="1" t="n">
        <v>45798</v>
      </c>
      <c r="D11046" t="inlineStr">
        <is>
          <t>NORRBOTTENS LÄN</t>
        </is>
      </c>
      <c r="E11046" t="inlineStr">
        <is>
          <t>PAJALA</t>
        </is>
      </c>
      <c r="G11046" t="n">
        <v>11.4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13624-2025</t>
        </is>
      </c>
      <c r="B11047" s="1" t="n">
        <v>45736</v>
      </c>
      <c r="C11047" s="1" t="n">
        <v>45798</v>
      </c>
      <c r="D11047" t="inlineStr">
        <is>
          <t>NORRBOTTENS LÄN</t>
        </is>
      </c>
      <c r="E11047" t="inlineStr">
        <is>
          <t>PITEÅ</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13739-2025</t>
        </is>
      </c>
      <c r="B11048" s="1" t="n">
        <v>45737</v>
      </c>
      <c r="C11048" s="1" t="n">
        <v>45798</v>
      </c>
      <c r="D11048" t="inlineStr">
        <is>
          <t>NORRBOTTENS LÄN</t>
        </is>
      </c>
      <c r="E11048" t="inlineStr">
        <is>
          <t>ÖVERKALIX</t>
        </is>
      </c>
      <c r="G11048" t="n">
        <v>20.1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13819-2025</t>
        </is>
      </c>
      <c r="B11049" s="1" t="n">
        <v>45737</v>
      </c>
      <c r="C11049" s="1" t="n">
        <v>45798</v>
      </c>
      <c r="D11049" t="inlineStr">
        <is>
          <t>NORRBOTTENS LÄN</t>
        </is>
      </c>
      <c r="E11049" t="inlineStr">
        <is>
          <t>KALIX</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13864-2025</t>
        </is>
      </c>
      <c r="B11050" s="1" t="n">
        <v>45737</v>
      </c>
      <c r="C11050" s="1" t="n">
        <v>45798</v>
      </c>
      <c r="D11050" t="inlineStr">
        <is>
          <t>NORRBOTTENS LÄN</t>
        </is>
      </c>
      <c r="E11050" t="inlineStr">
        <is>
          <t>JOKKMOKK</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13863-2025</t>
        </is>
      </c>
      <c r="B11051" s="1" t="n">
        <v>45737</v>
      </c>
      <c r="C11051" s="1" t="n">
        <v>45798</v>
      </c>
      <c r="D11051" t="inlineStr">
        <is>
          <t>NORRBOTTENS LÄN</t>
        </is>
      </c>
      <c r="E11051" t="inlineStr">
        <is>
          <t>JOKKMOKK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13817-2025</t>
        </is>
      </c>
      <c r="B11052" s="1" t="n">
        <v>45737</v>
      </c>
      <c r="C11052" s="1" t="n">
        <v>45798</v>
      </c>
      <c r="D11052" t="inlineStr">
        <is>
          <t>NORRBOTTENS LÄN</t>
        </is>
      </c>
      <c r="E11052" t="inlineStr">
        <is>
          <t>KALIX</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13818-2025</t>
        </is>
      </c>
      <c r="B11053" s="1" t="n">
        <v>45737</v>
      </c>
      <c r="C11053" s="1" t="n">
        <v>45798</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14216-2025</t>
        </is>
      </c>
      <c r="B11054" s="1" t="n">
        <v>45740</v>
      </c>
      <c r="C11054" s="1" t="n">
        <v>45798</v>
      </c>
      <c r="D11054" t="inlineStr">
        <is>
          <t>NORRBOTTENS LÄN</t>
        </is>
      </c>
      <c r="E11054" t="inlineStr">
        <is>
          <t>LULEÅ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14246-2025</t>
        </is>
      </c>
      <c r="B11055" s="1" t="n">
        <v>45740</v>
      </c>
      <c r="C11055" s="1" t="n">
        <v>45798</v>
      </c>
      <c r="D11055" t="inlineStr">
        <is>
          <t>NORRBOTTENS LÄN</t>
        </is>
      </c>
      <c r="E11055" t="inlineStr">
        <is>
          <t>PAJALA</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14193-2025</t>
        </is>
      </c>
      <c r="B11056" s="1" t="n">
        <v>45740</v>
      </c>
      <c r="C11056" s="1" t="n">
        <v>45798</v>
      </c>
      <c r="D11056" t="inlineStr">
        <is>
          <t>NORRBOTTENS LÄN</t>
        </is>
      </c>
      <c r="E11056" t="inlineStr">
        <is>
          <t>LULEÅ</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14195-2025</t>
        </is>
      </c>
      <c r="B11057" s="1" t="n">
        <v>45740</v>
      </c>
      <c r="C11057" s="1" t="n">
        <v>45798</v>
      </c>
      <c r="D11057" t="inlineStr">
        <is>
          <t>NORRBOTTENS LÄN</t>
        </is>
      </c>
      <c r="E11057" t="inlineStr">
        <is>
          <t>LULEÅ</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14336-2025</t>
        </is>
      </c>
      <c r="B11058" s="1" t="n">
        <v>45740</v>
      </c>
      <c r="C11058" s="1" t="n">
        <v>45798</v>
      </c>
      <c r="D11058" t="inlineStr">
        <is>
          <t>NORRBOTTENS LÄN</t>
        </is>
      </c>
      <c r="E11058" t="inlineStr">
        <is>
          <t>PAJALA</t>
        </is>
      </c>
      <c r="G11058" t="n">
        <v>17.5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14337-2025</t>
        </is>
      </c>
      <c r="B11059" s="1" t="n">
        <v>45740</v>
      </c>
      <c r="C11059" s="1" t="n">
        <v>45798</v>
      </c>
      <c r="D11059" t="inlineStr">
        <is>
          <t>NORRBOTTENS LÄN</t>
        </is>
      </c>
      <c r="E11059" t="inlineStr">
        <is>
          <t>PAJALA</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14187-2025</t>
        </is>
      </c>
      <c r="B11060" s="1" t="n">
        <v>45740</v>
      </c>
      <c r="C11060" s="1" t="n">
        <v>45798</v>
      </c>
      <c r="D11060" t="inlineStr">
        <is>
          <t>NORRBOTTENS LÄN</t>
        </is>
      </c>
      <c r="E11060" t="inlineStr">
        <is>
          <t>LULEÅ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14196-2025</t>
        </is>
      </c>
      <c r="B11061" s="1" t="n">
        <v>45740</v>
      </c>
      <c r="C11061" s="1" t="n">
        <v>45798</v>
      </c>
      <c r="D11061" t="inlineStr">
        <is>
          <t>NORRBOTTENS LÄN</t>
        </is>
      </c>
      <c r="E11061" t="inlineStr">
        <is>
          <t>LULEÅ</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14215-2025</t>
        </is>
      </c>
      <c r="B11062" s="1" t="n">
        <v>45740</v>
      </c>
      <c r="C11062" s="1" t="n">
        <v>45798</v>
      </c>
      <c r="D11062" t="inlineStr">
        <is>
          <t>NORRBOTTENS LÄN</t>
        </is>
      </c>
      <c r="E11062" t="inlineStr">
        <is>
          <t>HAPARANDA</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14100-2025</t>
        </is>
      </c>
      <c r="B11063" s="1" t="n">
        <v>45740</v>
      </c>
      <c r="C11063" s="1" t="n">
        <v>45798</v>
      </c>
      <c r="D11063" t="inlineStr">
        <is>
          <t>NORRBOTTENS LÄN</t>
        </is>
      </c>
      <c r="E11063" t="inlineStr">
        <is>
          <t>KALIX</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14345-2025</t>
        </is>
      </c>
      <c r="B11064" s="1" t="n">
        <v>45741</v>
      </c>
      <c r="C11064" s="1" t="n">
        <v>45798</v>
      </c>
      <c r="D11064" t="inlineStr">
        <is>
          <t>NORRBOTTENS LÄN</t>
        </is>
      </c>
      <c r="E11064" t="inlineStr">
        <is>
          <t>ARVIDSJAUR</t>
        </is>
      </c>
      <c r="F11064" t="inlineStr">
        <is>
          <t>SCA</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14559-2025</t>
        </is>
      </c>
      <c r="B11065" s="1" t="n">
        <v>45741</v>
      </c>
      <c r="C11065" s="1" t="n">
        <v>45798</v>
      </c>
      <c r="D11065" t="inlineStr">
        <is>
          <t>NORRBOTTENS LÄN</t>
        </is>
      </c>
      <c r="E11065" t="inlineStr">
        <is>
          <t>PITEÅ</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14558-2025</t>
        </is>
      </c>
      <c r="B11066" s="1" t="n">
        <v>45741</v>
      </c>
      <c r="C11066" s="1" t="n">
        <v>45798</v>
      </c>
      <c r="D11066" t="inlineStr">
        <is>
          <t>NORRBOTTENS LÄN</t>
        </is>
      </c>
      <c r="E11066" t="inlineStr">
        <is>
          <t>PITEÅ</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14560-2025</t>
        </is>
      </c>
      <c r="B11067" s="1" t="n">
        <v>45741</v>
      </c>
      <c r="C11067" s="1" t="n">
        <v>45798</v>
      </c>
      <c r="D11067" t="inlineStr">
        <is>
          <t>NORRBOTTENS LÄN</t>
        </is>
      </c>
      <c r="E11067" t="inlineStr">
        <is>
          <t>PITEÅ</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14556-2025</t>
        </is>
      </c>
      <c r="B11068" s="1" t="n">
        <v>45741</v>
      </c>
      <c r="C11068" s="1" t="n">
        <v>45798</v>
      </c>
      <c r="D11068" t="inlineStr">
        <is>
          <t>NORRBOTTENS LÄN</t>
        </is>
      </c>
      <c r="E11068" t="inlineStr">
        <is>
          <t>PITEÅ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14449-2025</t>
        </is>
      </c>
      <c r="B11069" s="1" t="n">
        <v>45741</v>
      </c>
      <c r="C11069" s="1" t="n">
        <v>45798</v>
      </c>
      <c r="D11069" t="inlineStr">
        <is>
          <t>NORRBOTTENS LÄN</t>
        </is>
      </c>
      <c r="E11069" t="inlineStr">
        <is>
          <t>ÄLVSBYN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14664-2025</t>
        </is>
      </c>
      <c r="B11070" s="1" t="n">
        <v>45742</v>
      </c>
      <c r="C11070" s="1" t="n">
        <v>45798</v>
      </c>
      <c r="D11070" t="inlineStr">
        <is>
          <t>NORRBOTTENS LÄN</t>
        </is>
      </c>
      <c r="E11070" t="inlineStr">
        <is>
          <t>GÄLLIVARE</t>
        </is>
      </c>
      <c r="G11070" t="n">
        <v>20.8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14778-2025</t>
        </is>
      </c>
      <c r="B11071" s="1" t="n">
        <v>45742</v>
      </c>
      <c r="C11071" s="1" t="n">
        <v>45798</v>
      </c>
      <c r="D11071" t="inlineStr">
        <is>
          <t>NORRBOTTENS LÄN</t>
        </is>
      </c>
      <c r="E11071" t="inlineStr">
        <is>
          <t>PITEÅ</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14660-2025</t>
        </is>
      </c>
      <c r="B11072" s="1" t="n">
        <v>45742</v>
      </c>
      <c r="C11072" s="1" t="n">
        <v>45798</v>
      </c>
      <c r="D11072" t="inlineStr">
        <is>
          <t>NORRBOTTENS LÄN</t>
        </is>
      </c>
      <c r="E11072" t="inlineStr">
        <is>
          <t>GÄLLIVARE</t>
        </is>
      </c>
      <c r="G11072" t="n">
        <v>10.3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14666-2025</t>
        </is>
      </c>
      <c r="B11073" s="1" t="n">
        <v>45742</v>
      </c>
      <c r="C11073" s="1" t="n">
        <v>45798</v>
      </c>
      <c r="D11073" t="inlineStr">
        <is>
          <t>NORRBOTTENS LÄN</t>
        </is>
      </c>
      <c r="E11073" t="inlineStr">
        <is>
          <t>GÄLLIVARE</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14604-2025</t>
        </is>
      </c>
      <c r="B11074" s="1" t="n">
        <v>45742</v>
      </c>
      <c r="C11074" s="1" t="n">
        <v>45798</v>
      </c>
      <c r="D11074" t="inlineStr">
        <is>
          <t>NORRBOTTENS LÄN</t>
        </is>
      </c>
      <c r="E11074" t="inlineStr">
        <is>
          <t>GÄLLIVARE</t>
        </is>
      </c>
      <c r="G11074" t="n">
        <v>8.1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15291-2025</t>
        </is>
      </c>
      <c r="B11075" s="1" t="n">
        <v>45743</v>
      </c>
      <c r="C11075" s="1" t="n">
        <v>45798</v>
      </c>
      <c r="D11075" t="inlineStr">
        <is>
          <t>NORRBOTTENS LÄN</t>
        </is>
      </c>
      <c r="E11075" t="inlineStr">
        <is>
          <t>ÖVERTORNEÅ</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14975-2025</t>
        </is>
      </c>
      <c r="B11076" s="1" t="n">
        <v>45743</v>
      </c>
      <c r="C11076" s="1" t="n">
        <v>45798</v>
      </c>
      <c r="D11076" t="inlineStr">
        <is>
          <t>NORRBOTTENS LÄN</t>
        </is>
      </c>
      <c r="E11076" t="inlineStr">
        <is>
          <t>GÄLLIVARE</t>
        </is>
      </c>
      <c r="F11076" t="inlineStr">
        <is>
          <t>SCA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15043-2025</t>
        </is>
      </c>
      <c r="B11077" s="1" t="n">
        <v>45743</v>
      </c>
      <c r="C11077" s="1" t="n">
        <v>45798</v>
      </c>
      <c r="D11077" t="inlineStr">
        <is>
          <t>NORRBOTTENS LÄN</t>
        </is>
      </c>
      <c r="E11077" t="inlineStr">
        <is>
          <t>ÖVERTORNEÅ</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14869-2025</t>
        </is>
      </c>
      <c r="B11078" s="1" t="n">
        <v>45743</v>
      </c>
      <c r="C11078" s="1" t="n">
        <v>45798</v>
      </c>
      <c r="D11078" t="inlineStr">
        <is>
          <t>NORRBOTTENS LÄN</t>
        </is>
      </c>
      <c r="E11078" t="inlineStr">
        <is>
          <t>JOKKMOKK</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14998-2025</t>
        </is>
      </c>
      <c r="B11079" s="1" t="n">
        <v>45743</v>
      </c>
      <c r="C11079" s="1" t="n">
        <v>45798</v>
      </c>
      <c r="D11079" t="inlineStr">
        <is>
          <t>NORRBOTTENS LÄN</t>
        </is>
      </c>
      <c r="E11079" t="inlineStr">
        <is>
          <t>PITEÅ</t>
        </is>
      </c>
      <c r="F11079" t="inlineStr">
        <is>
          <t>SCA</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14974-2025</t>
        </is>
      </c>
      <c r="B11080" s="1" t="n">
        <v>45743</v>
      </c>
      <c r="C11080" s="1" t="n">
        <v>45798</v>
      </c>
      <c r="D11080" t="inlineStr">
        <is>
          <t>NORRBOTTENS LÄN</t>
        </is>
      </c>
      <c r="E11080" t="inlineStr">
        <is>
          <t>GÄLLIVARE</t>
        </is>
      </c>
      <c r="F11080" t="inlineStr">
        <is>
          <t>SCA</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15045-2025</t>
        </is>
      </c>
      <c r="B11081" s="1" t="n">
        <v>45743</v>
      </c>
      <c r="C11081" s="1" t="n">
        <v>45798</v>
      </c>
      <c r="D11081" t="inlineStr">
        <is>
          <t>NORRBOTTENS LÄN</t>
        </is>
      </c>
      <c r="E11081" t="inlineStr">
        <is>
          <t>ÖVERTORNEÅ</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15153-2025</t>
        </is>
      </c>
      <c r="B11082" s="1" t="n">
        <v>45744</v>
      </c>
      <c r="C11082" s="1" t="n">
        <v>45798</v>
      </c>
      <c r="D11082" t="inlineStr">
        <is>
          <t>NORRBOTTENS LÄN</t>
        </is>
      </c>
      <c r="E11082" t="inlineStr">
        <is>
          <t>ÖVERKALIX</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15157-2025</t>
        </is>
      </c>
      <c r="B11083" s="1" t="n">
        <v>45744</v>
      </c>
      <c r="C11083" s="1" t="n">
        <v>45798</v>
      </c>
      <c r="D11083" t="inlineStr">
        <is>
          <t>NORRBOTTENS LÄN</t>
        </is>
      </c>
      <c r="E11083" t="inlineStr">
        <is>
          <t>BODEN</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15180-2025</t>
        </is>
      </c>
      <c r="B11084" s="1" t="n">
        <v>45744</v>
      </c>
      <c r="C11084" s="1" t="n">
        <v>45798</v>
      </c>
      <c r="D11084" t="inlineStr">
        <is>
          <t>NORRBOTTENS LÄN</t>
        </is>
      </c>
      <c r="E11084" t="inlineStr">
        <is>
          <t>ÄLVSBYN</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15151-2025</t>
        </is>
      </c>
      <c r="B11085" s="1" t="n">
        <v>45744</v>
      </c>
      <c r="C11085" s="1" t="n">
        <v>45798</v>
      </c>
      <c r="D11085" t="inlineStr">
        <is>
          <t>NORRBOTTENS LÄN</t>
        </is>
      </c>
      <c r="E11085" t="inlineStr">
        <is>
          <t>GÄLLIVARE</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15529-2025</t>
        </is>
      </c>
      <c r="B11086" s="1" t="n">
        <v>45747</v>
      </c>
      <c r="C11086" s="1" t="n">
        <v>45798</v>
      </c>
      <c r="D11086" t="inlineStr">
        <is>
          <t>NORRBOTTENS LÄN</t>
        </is>
      </c>
      <c r="E11086" t="inlineStr">
        <is>
          <t>PITEÅ</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15483-2025</t>
        </is>
      </c>
      <c r="B11087" s="1" t="n">
        <v>45747</v>
      </c>
      <c r="C11087" s="1" t="n">
        <v>45798</v>
      </c>
      <c r="D11087" t="inlineStr">
        <is>
          <t>NORRBOTTENS LÄN</t>
        </is>
      </c>
      <c r="E11087" t="inlineStr">
        <is>
          <t>BODEN</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15485-2025</t>
        </is>
      </c>
      <c r="B11088" s="1" t="n">
        <v>45747</v>
      </c>
      <c r="C11088" s="1" t="n">
        <v>45798</v>
      </c>
      <c r="D11088" t="inlineStr">
        <is>
          <t>NORRBOTTENS LÄN</t>
        </is>
      </c>
      <c r="E11088" t="inlineStr">
        <is>
          <t>BODEN</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15530-2025</t>
        </is>
      </c>
      <c r="B11089" s="1" t="n">
        <v>45747</v>
      </c>
      <c r="C11089" s="1" t="n">
        <v>45798</v>
      </c>
      <c r="D11089" t="inlineStr">
        <is>
          <t>NORRBOTTENS LÄN</t>
        </is>
      </c>
      <c r="E11089" t="inlineStr">
        <is>
          <t>PITEÅ</t>
        </is>
      </c>
      <c r="G11089" t="n">
        <v>5.5</v>
      </c>
      <c r="H11089" t="n">
        <v>0</v>
      </c>
      <c r="I11089" t="n">
        <v>0</v>
      </c>
      <c r="J11089" t="n">
        <v>0</v>
      </c>
      <c r="K11089" t="n">
        <v>0</v>
      </c>
      <c r="L11089" t="n">
        <v>0</v>
      </c>
      <c r="M11089" t="n">
        <v>0</v>
      </c>
      <c r="N11089" t="n">
        <v>0</v>
      </c>
      <c r="O11089" t="n">
        <v>0</v>
      </c>
      <c r="P11089" t="n">
        <v>0</v>
      </c>
      <c r="Q11089" t="n">
        <v>0</v>
      </c>
      <c r="R11089" s="2" t="inlineStr"/>
      <c r="U11089">
        <f>HYPERLINK("https://klasma.github.io/Logging_252581/knärot/A 15530-2025 karta knärot.png", "A 15530-2025")</f>
        <v/>
      </c>
      <c r="V11089">
        <f>HYPERLINK("https://klasma.github.io/Logging_252581/klagomål/A 15530-2025 FSC-klagomål.docx", "A 15530-2025")</f>
        <v/>
      </c>
      <c r="W11089">
        <f>HYPERLINK("https://klasma.github.io/Logging_252581/klagomålsmail/A 15530-2025 FSC-klagomål mail.docx", "A 15530-2025")</f>
        <v/>
      </c>
      <c r="X11089">
        <f>HYPERLINK("https://klasma.github.io/Logging_252581/tillsyn/A 15530-2025 tillsynsbegäran.docx", "A 15530-2025")</f>
        <v/>
      </c>
      <c r="Y11089">
        <f>HYPERLINK("https://klasma.github.io/Logging_252581/tillsynsmail/A 15530-2025 tillsynsbegäran mail.docx", "A 15530-2025")</f>
        <v/>
      </c>
    </row>
    <row r="11090" ht="15" customHeight="1">
      <c r="A11090" t="inlineStr">
        <is>
          <t>A 15493-2025</t>
        </is>
      </c>
      <c r="B11090" s="1" t="n">
        <v>45747</v>
      </c>
      <c r="C11090" s="1" t="n">
        <v>45798</v>
      </c>
      <c r="D11090" t="inlineStr">
        <is>
          <t>NORRBOTTENS LÄN</t>
        </is>
      </c>
      <c r="E11090" t="inlineStr">
        <is>
          <t>ÖVERKALIX</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15494-2025</t>
        </is>
      </c>
      <c r="B11091" s="1" t="n">
        <v>45747</v>
      </c>
      <c r="C11091" s="1" t="n">
        <v>45798</v>
      </c>
      <c r="D11091" t="inlineStr">
        <is>
          <t>NORRBOTTENS LÄN</t>
        </is>
      </c>
      <c r="E11091" t="inlineStr">
        <is>
          <t>KALIX</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15532-2025</t>
        </is>
      </c>
      <c r="B11092" s="1" t="n">
        <v>45747</v>
      </c>
      <c r="C11092" s="1" t="n">
        <v>45798</v>
      </c>
      <c r="D11092" t="inlineStr">
        <is>
          <t>NORRBOTTENS LÄN</t>
        </is>
      </c>
      <c r="E11092" t="inlineStr">
        <is>
          <t>PITEÅ</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15486-2025</t>
        </is>
      </c>
      <c r="B11093" s="1" t="n">
        <v>45747</v>
      </c>
      <c r="C11093" s="1" t="n">
        <v>45798</v>
      </c>
      <c r="D11093" t="inlineStr">
        <is>
          <t>NORRBOTTENS LÄN</t>
        </is>
      </c>
      <c r="E11093" t="inlineStr">
        <is>
          <t>BODEN</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15365-2025</t>
        </is>
      </c>
      <c r="B11094" s="1" t="n">
        <v>45747</v>
      </c>
      <c r="C11094" s="1" t="n">
        <v>45798</v>
      </c>
      <c r="D11094" t="inlineStr">
        <is>
          <t>NORRBOTTENS LÄN</t>
        </is>
      </c>
      <c r="E11094" t="inlineStr">
        <is>
          <t>ÖVERKALIX</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15491-2025</t>
        </is>
      </c>
      <c r="B11095" s="1" t="n">
        <v>45747</v>
      </c>
      <c r="C11095" s="1" t="n">
        <v>45798</v>
      </c>
      <c r="D11095" t="inlineStr">
        <is>
          <t>NORRBOTTENS LÄN</t>
        </is>
      </c>
      <c r="E11095" t="inlineStr">
        <is>
          <t>ÖVERKALIX</t>
        </is>
      </c>
      <c r="G11095" t="n">
        <v>10.4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15389-2025</t>
        </is>
      </c>
      <c r="B11096" s="1" t="n">
        <v>45747</v>
      </c>
      <c r="C11096" s="1" t="n">
        <v>45798</v>
      </c>
      <c r="D11096" t="inlineStr">
        <is>
          <t>NORRBOTTENS LÄN</t>
        </is>
      </c>
      <c r="E11096" t="inlineStr">
        <is>
          <t>ÄLVSBYN</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15469-2025</t>
        </is>
      </c>
      <c r="B11097" s="1" t="n">
        <v>45747</v>
      </c>
      <c r="C11097" s="1" t="n">
        <v>45798</v>
      </c>
      <c r="D11097" t="inlineStr">
        <is>
          <t>NORRBOTTENS LÄN</t>
        </is>
      </c>
      <c r="E11097" t="inlineStr">
        <is>
          <t>PITEÅ</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15818-2025</t>
        </is>
      </c>
      <c r="B11098" s="1" t="n">
        <v>45748</v>
      </c>
      <c r="C11098" s="1" t="n">
        <v>45798</v>
      </c>
      <c r="D11098" t="inlineStr">
        <is>
          <t>NORRBOTTENS LÄN</t>
        </is>
      </c>
      <c r="E11098" t="inlineStr">
        <is>
          <t>KALIX</t>
        </is>
      </c>
      <c r="F11098" t="inlineStr">
        <is>
          <t>SCA</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15796-2025</t>
        </is>
      </c>
      <c r="B11099" s="1" t="n">
        <v>45748</v>
      </c>
      <c r="C11099" s="1" t="n">
        <v>45798</v>
      </c>
      <c r="D11099" t="inlineStr">
        <is>
          <t>NORRBOTTENS LÄN</t>
        </is>
      </c>
      <c r="E11099" t="inlineStr">
        <is>
          <t>KALIX</t>
        </is>
      </c>
      <c r="F11099" t="inlineStr">
        <is>
          <t>SCA</t>
        </is>
      </c>
      <c r="G11099" t="n">
        <v>14.1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15760-2025</t>
        </is>
      </c>
      <c r="B11100" s="1" t="n">
        <v>45748</v>
      </c>
      <c r="C11100" s="1" t="n">
        <v>45798</v>
      </c>
      <c r="D11100" t="inlineStr">
        <is>
          <t>NORRBOTTENS LÄN</t>
        </is>
      </c>
      <c r="E11100" t="inlineStr">
        <is>
          <t>PITEÅ</t>
        </is>
      </c>
      <c r="G11100" t="n">
        <v>7.8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15618-2025</t>
        </is>
      </c>
      <c r="B11101" s="1" t="n">
        <v>45748</v>
      </c>
      <c r="C11101" s="1" t="n">
        <v>45798</v>
      </c>
      <c r="D11101" t="inlineStr">
        <is>
          <t>NORRBOTTENS LÄN</t>
        </is>
      </c>
      <c r="E11101" t="inlineStr">
        <is>
          <t>PAJALA</t>
        </is>
      </c>
      <c r="F11101" t="inlineStr">
        <is>
          <t>Sveaskog</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15819-2025</t>
        </is>
      </c>
      <c r="B11102" s="1" t="n">
        <v>45748</v>
      </c>
      <c r="C11102" s="1" t="n">
        <v>45798</v>
      </c>
      <c r="D11102" t="inlineStr">
        <is>
          <t>NORRBOTTENS LÄN</t>
        </is>
      </c>
      <c r="E11102" t="inlineStr">
        <is>
          <t>KALIX</t>
        </is>
      </c>
      <c r="F11102" t="inlineStr">
        <is>
          <t>SCA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15823-2025</t>
        </is>
      </c>
      <c r="B11103" s="1" t="n">
        <v>45748</v>
      </c>
      <c r="C11103" s="1" t="n">
        <v>45798</v>
      </c>
      <c r="D11103" t="inlineStr">
        <is>
          <t>NORRBOTTENS LÄN</t>
        </is>
      </c>
      <c r="E11103" t="inlineStr">
        <is>
          <t>KALIX</t>
        </is>
      </c>
      <c r="F11103" t="inlineStr">
        <is>
          <t>SCA</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15718-2025</t>
        </is>
      </c>
      <c r="B11104" s="1" t="n">
        <v>45748</v>
      </c>
      <c r="C11104" s="1" t="n">
        <v>45798</v>
      </c>
      <c r="D11104" t="inlineStr">
        <is>
          <t>NORRBOTTENS LÄN</t>
        </is>
      </c>
      <c r="E11104" t="inlineStr">
        <is>
          <t>ÖVERKALIX</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16020-2025</t>
        </is>
      </c>
      <c r="B11105" s="1" t="n">
        <v>45748</v>
      </c>
      <c r="C11105" s="1" t="n">
        <v>45798</v>
      </c>
      <c r="D11105" t="inlineStr">
        <is>
          <t>NORRBOTTENS LÄN</t>
        </is>
      </c>
      <c r="E11105" t="inlineStr">
        <is>
          <t>BODEN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15628-2025</t>
        </is>
      </c>
      <c r="B11106" s="1" t="n">
        <v>45748</v>
      </c>
      <c r="C11106" s="1" t="n">
        <v>45798</v>
      </c>
      <c r="D11106" t="inlineStr">
        <is>
          <t>NORRBOTTENS LÄN</t>
        </is>
      </c>
      <c r="E11106" t="inlineStr">
        <is>
          <t>ÄLVSBYN</t>
        </is>
      </c>
      <c r="G11106" t="n">
        <v>13.5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16028-2025</t>
        </is>
      </c>
      <c r="B11107" s="1" t="n">
        <v>45748</v>
      </c>
      <c r="C11107" s="1" t="n">
        <v>45798</v>
      </c>
      <c r="D11107" t="inlineStr">
        <is>
          <t>NORRBOTTENS LÄN</t>
        </is>
      </c>
      <c r="E11107" t="inlineStr">
        <is>
          <t>BODEN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15742-2025</t>
        </is>
      </c>
      <c r="B11108" s="1" t="n">
        <v>45748</v>
      </c>
      <c r="C11108" s="1" t="n">
        <v>45798</v>
      </c>
      <c r="D11108" t="inlineStr">
        <is>
          <t>NORRBOTTENS LÄN</t>
        </is>
      </c>
      <c r="E11108" t="inlineStr">
        <is>
          <t>PITEÅ</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15747-2025</t>
        </is>
      </c>
      <c r="B11109" s="1" t="n">
        <v>45748</v>
      </c>
      <c r="C11109" s="1" t="n">
        <v>45798</v>
      </c>
      <c r="D11109" t="inlineStr">
        <is>
          <t>NORRBOTTENS LÄN</t>
        </is>
      </c>
      <c r="E11109" t="inlineStr">
        <is>
          <t>PITEÅ</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15815-2025</t>
        </is>
      </c>
      <c r="B11110" s="1" t="n">
        <v>45748</v>
      </c>
      <c r="C11110" s="1" t="n">
        <v>45798</v>
      </c>
      <c r="D11110" t="inlineStr">
        <is>
          <t>NORRBOTTENS LÄN</t>
        </is>
      </c>
      <c r="E11110" t="inlineStr">
        <is>
          <t>PITEÅ</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16189-2025</t>
        </is>
      </c>
      <c r="B11111" s="1" t="n">
        <v>45749</v>
      </c>
      <c r="C11111" s="1" t="n">
        <v>45798</v>
      </c>
      <c r="D11111" t="inlineStr">
        <is>
          <t>NORRBOTTENS LÄN</t>
        </is>
      </c>
      <c r="E11111" t="inlineStr">
        <is>
          <t>BODEN</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16059-2025</t>
        </is>
      </c>
      <c r="B11112" s="1" t="n">
        <v>45749</v>
      </c>
      <c r="C11112" s="1" t="n">
        <v>45798</v>
      </c>
      <c r="D11112" t="inlineStr">
        <is>
          <t>NORRBOTTENS LÄN</t>
        </is>
      </c>
      <c r="E11112" t="inlineStr">
        <is>
          <t>LULEÅ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16052-2025</t>
        </is>
      </c>
      <c r="B11113" s="1" t="n">
        <v>45749</v>
      </c>
      <c r="C11113" s="1" t="n">
        <v>45798</v>
      </c>
      <c r="D11113" t="inlineStr">
        <is>
          <t>NORRBOTTENS LÄN</t>
        </is>
      </c>
      <c r="E11113" t="inlineStr">
        <is>
          <t>LULEÅ</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15867-2025</t>
        </is>
      </c>
      <c r="B11114" s="1" t="n">
        <v>45749</v>
      </c>
      <c r="C11114" s="1" t="n">
        <v>45798</v>
      </c>
      <c r="D11114" t="inlineStr">
        <is>
          <t>NORRBOTTENS LÄN</t>
        </is>
      </c>
      <c r="E11114" t="inlineStr">
        <is>
          <t>KALIX</t>
        </is>
      </c>
      <c r="F11114" t="inlineStr">
        <is>
          <t>SCA</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15906-2025</t>
        </is>
      </c>
      <c r="B11115" s="1" t="n">
        <v>45749</v>
      </c>
      <c r="C11115" s="1" t="n">
        <v>45798</v>
      </c>
      <c r="D11115" t="inlineStr">
        <is>
          <t>NORRBOTTENS LÄN</t>
        </is>
      </c>
      <c r="E11115" t="inlineStr">
        <is>
          <t>PITEÅ</t>
        </is>
      </c>
      <c r="G11115" t="n">
        <v>11.1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16180-2025</t>
        </is>
      </c>
      <c r="B11116" s="1" t="n">
        <v>45750</v>
      </c>
      <c r="C11116" s="1" t="n">
        <v>45798</v>
      </c>
      <c r="D11116" t="inlineStr">
        <is>
          <t>NORRBOTTENS LÄN</t>
        </is>
      </c>
      <c r="E11116" t="inlineStr">
        <is>
          <t>BODEN</t>
        </is>
      </c>
      <c r="F11116" t="inlineStr">
        <is>
          <t>Övriga Aktiebolag</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16170-2025</t>
        </is>
      </c>
      <c r="B11117" s="1" t="n">
        <v>45750</v>
      </c>
      <c r="C11117" s="1" t="n">
        <v>45798</v>
      </c>
      <c r="D11117" t="inlineStr">
        <is>
          <t>NORRBOTTENS LÄN</t>
        </is>
      </c>
      <c r="E11117" t="inlineStr">
        <is>
          <t>PITEÅ</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16356-2025</t>
        </is>
      </c>
      <c r="B11118" s="1" t="n">
        <v>45750</v>
      </c>
      <c r="C11118" s="1" t="n">
        <v>45798</v>
      </c>
      <c r="D11118" t="inlineStr">
        <is>
          <t>NORRBOTTENS LÄN</t>
        </is>
      </c>
      <c r="E11118" t="inlineStr">
        <is>
          <t>ÖVERTORNEÅ</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16631-2025</t>
        </is>
      </c>
      <c r="B11119" s="1" t="n">
        <v>45751</v>
      </c>
      <c r="C11119" s="1" t="n">
        <v>45798</v>
      </c>
      <c r="D11119" t="inlineStr">
        <is>
          <t>NORRBOTTENS LÄN</t>
        </is>
      </c>
      <c r="E11119" t="inlineStr">
        <is>
          <t>HAPARANDA</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16439-2025</t>
        </is>
      </c>
      <c r="B11120" s="1" t="n">
        <v>45751</v>
      </c>
      <c r="C11120" s="1" t="n">
        <v>45798</v>
      </c>
      <c r="D11120" t="inlineStr">
        <is>
          <t>NORRBOTTENS LÄN</t>
        </is>
      </c>
      <c r="E11120" t="inlineStr">
        <is>
          <t>HAPARANDA</t>
        </is>
      </c>
      <c r="G11120" t="n">
        <v>9.199999999999999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16473-2025</t>
        </is>
      </c>
      <c r="B11121" s="1" t="n">
        <v>45751</v>
      </c>
      <c r="C11121" s="1" t="n">
        <v>45798</v>
      </c>
      <c r="D11121" t="inlineStr">
        <is>
          <t>NORRBOTTENS LÄN</t>
        </is>
      </c>
      <c r="E11121" t="inlineStr">
        <is>
          <t>ÄLVSBYN</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16324-2025</t>
        </is>
      </c>
      <c r="B11122" s="1" t="n">
        <v>45751</v>
      </c>
      <c r="C11122" s="1" t="n">
        <v>45798</v>
      </c>
      <c r="D11122" t="inlineStr">
        <is>
          <t>NORRBOTTENS LÄN</t>
        </is>
      </c>
      <c r="E11122" t="inlineStr">
        <is>
          <t>PITEÅ</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16857-2025</t>
        </is>
      </c>
      <c r="B11123" s="1" t="n">
        <v>45751</v>
      </c>
      <c r="C11123" s="1" t="n">
        <v>45798</v>
      </c>
      <c r="D11123" t="inlineStr">
        <is>
          <t>NORRBOTTENS LÄN</t>
        </is>
      </c>
      <c r="E11123" t="inlineStr">
        <is>
          <t>GÄLLIVARE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16296-2025</t>
        </is>
      </c>
      <c r="B11124" s="1" t="n">
        <v>45751</v>
      </c>
      <c r="C11124" s="1" t="n">
        <v>45798</v>
      </c>
      <c r="D11124" t="inlineStr">
        <is>
          <t>NORRBOTTENS LÄN</t>
        </is>
      </c>
      <c r="E11124" t="inlineStr">
        <is>
          <t>LULEÅ</t>
        </is>
      </c>
      <c r="F11124" t="inlineStr">
        <is>
          <t>SCA</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16581-2025</t>
        </is>
      </c>
      <c r="B11125" s="1" t="n">
        <v>45752</v>
      </c>
      <c r="C11125" s="1" t="n">
        <v>45798</v>
      </c>
      <c r="D11125" t="inlineStr">
        <is>
          <t>NORRBOTTENS LÄN</t>
        </is>
      </c>
      <c r="E11125" t="inlineStr">
        <is>
          <t>BODEN</t>
        </is>
      </c>
      <c r="G11125" t="n">
        <v>10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16732-2025</t>
        </is>
      </c>
      <c r="B11126" s="1" t="n">
        <v>45754</v>
      </c>
      <c r="C11126" s="1" t="n">
        <v>45798</v>
      </c>
      <c r="D11126" t="inlineStr">
        <is>
          <t>NORRBOTTENS LÄN</t>
        </is>
      </c>
      <c r="E11126" t="inlineStr">
        <is>
          <t>KALIX</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16702-2025</t>
        </is>
      </c>
      <c r="B11127" s="1" t="n">
        <v>45754</v>
      </c>
      <c r="C11127" s="1" t="n">
        <v>45798</v>
      </c>
      <c r="D11127" t="inlineStr">
        <is>
          <t>NORRBOTTENS LÄN</t>
        </is>
      </c>
      <c r="E11127" t="inlineStr">
        <is>
          <t>PITEÅ</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16999-2025</t>
        </is>
      </c>
      <c r="B11128" s="1" t="n">
        <v>45755</v>
      </c>
      <c r="C11128" s="1" t="n">
        <v>45798</v>
      </c>
      <c r="D11128" t="inlineStr">
        <is>
          <t>NORRBOTTENS LÄN</t>
        </is>
      </c>
      <c r="E11128" t="inlineStr">
        <is>
          <t>ÖVERTORNEÅ</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17105-2025</t>
        </is>
      </c>
      <c r="B11129" s="1" t="n">
        <v>45755</v>
      </c>
      <c r="C11129" s="1" t="n">
        <v>45798</v>
      </c>
      <c r="D11129" t="inlineStr">
        <is>
          <t>NORRBOTTENS LÄN</t>
        </is>
      </c>
      <c r="E11129" t="inlineStr">
        <is>
          <t>PAJALA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16897-2025</t>
        </is>
      </c>
      <c r="B11130" s="1" t="n">
        <v>45755</v>
      </c>
      <c r="C11130" s="1" t="n">
        <v>45798</v>
      </c>
      <c r="D11130" t="inlineStr">
        <is>
          <t>NORRBOTTENS LÄN</t>
        </is>
      </c>
      <c r="E11130" t="inlineStr">
        <is>
          <t>KALIX</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16906-2025</t>
        </is>
      </c>
      <c r="B11131" s="1" t="n">
        <v>45755</v>
      </c>
      <c r="C11131" s="1" t="n">
        <v>45798</v>
      </c>
      <c r="D11131" t="inlineStr">
        <is>
          <t>NORRBOTTENS LÄN</t>
        </is>
      </c>
      <c r="E11131" t="inlineStr">
        <is>
          <t>PITEÅ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17087-2025</t>
        </is>
      </c>
      <c r="B11132" s="1" t="n">
        <v>45755</v>
      </c>
      <c r="C11132" s="1" t="n">
        <v>45798</v>
      </c>
      <c r="D11132" t="inlineStr">
        <is>
          <t>NORRBOTTENS LÄN</t>
        </is>
      </c>
      <c r="E11132" t="inlineStr">
        <is>
          <t>ÖVERKALIX</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16972-2025</t>
        </is>
      </c>
      <c r="B11133" s="1" t="n">
        <v>45755</v>
      </c>
      <c r="C11133" s="1" t="n">
        <v>45798</v>
      </c>
      <c r="D11133" t="inlineStr">
        <is>
          <t>NORRBOTTENS LÄN</t>
        </is>
      </c>
      <c r="E11133" t="inlineStr">
        <is>
          <t>JOKKMOKK</t>
        </is>
      </c>
      <c r="F11133" t="inlineStr">
        <is>
          <t>SCA</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17290-2025</t>
        </is>
      </c>
      <c r="B11134" s="1" t="n">
        <v>45756</v>
      </c>
      <c r="C11134" s="1" t="n">
        <v>45798</v>
      </c>
      <c r="D11134" t="inlineStr">
        <is>
          <t>NORRBOTTENS LÄN</t>
        </is>
      </c>
      <c r="E11134" t="inlineStr">
        <is>
          <t>LULEÅ</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17161-2025</t>
        </is>
      </c>
      <c r="B11135" s="1" t="n">
        <v>45756</v>
      </c>
      <c r="C11135" s="1" t="n">
        <v>45798</v>
      </c>
      <c r="D11135" t="inlineStr">
        <is>
          <t>NORRBOTTENS LÄN</t>
        </is>
      </c>
      <c r="E11135" t="inlineStr">
        <is>
          <t>ÖVERKALIX</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17306-2025</t>
        </is>
      </c>
      <c r="B11136" s="1" t="n">
        <v>45756</v>
      </c>
      <c r="C11136" s="1" t="n">
        <v>45798</v>
      </c>
      <c r="D11136" t="inlineStr">
        <is>
          <t>NORRBOTTENS LÄN</t>
        </is>
      </c>
      <c r="E11136" t="inlineStr">
        <is>
          <t>LULEÅ</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17183-2025</t>
        </is>
      </c>
      <c r="B11137" s="1" t="n">
        <v>45756</v>
      </c>
      <c r="C11137" s="1" t="n">
        <v>45798</v>
      </c>
      <c r="D11137" t="inlineStr">
        <is>
          <t>NORRBOTTENS LÄN</t>
        </is>
      </c>
      <c r="E11137" t="inlineStr">
        <is>
          <t>JOKKMOKK</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17304-2025</t>
        </is>
      </c>
      <c r="B11138" s="1" t="n">
        <v>45756</v>
      </c>
      <c r="C11138" s="1" t="n">
        <v>45798</v>
      </c>
      <c r="D11138" t="inlineStr">
        <is>
          <t>NORRBOTTENS LÄN</t>
        </is>
      </c>
      <c r="E11138" t="inlineStr">
        <is>
          <t>LULEÅ</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17425-2025</t>
        </is>
      </c>
      <c r="B11139" s="1" t="n">
        <v>45757</v>
      </c>
      <c r="C11139" s="1" t="n">
        <v>45798</v>
      </c>
      <c r="D11139" t="inlineStr">
        <is>
          <t>NORRBOTTENS LÄN</t>
        </is>
      </c>
      <c r="E11139" t="inlineStr">
        <is>
          <t>GÄLLIVARE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17566-2025</t>
        </is>
      </c>
      <c r="B11140" s="1" t="n">
        <v>45757</v>
      </c>
      <c r="C11140" s="1" t="n">
        <v>45798</v>
      </c>
      <c r="D11140" t="inlineStr">
        <is>
          <t>NORRBOTTENS LÄN</t>
        </is>
      </c>
      <c r="E11140" t="inlineStr">
        <is>
          <t>BODEN</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17624-2025</t>
        </is>
      </c>
      <c r="B11141" s="1" t="n">
        <v>45758</v>
      </c>
      <c r="C11141" s="1" t="n">
        <v>45798</v>
      </c>
      <c r="D11141" t="inlineStr">
        <is>
          <t>NORRBOTTENS LÄN</t>
        </is>
      </c>
      <c r="E11141" t="inlineStr">
        <is>
          <t>ÖVERTORNEÅ</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17531-2025</t>
        </is>
      </c>
      <c r="B11142" s="1" t="n">
        <v>45757</v>
      </c>
      <c r="C11142" s="1" t="n">
        <v>45798</v>
      </c>
      <c r="D11142" t="inlineStr">
        <is>
          <t>NORRBOTTENS LÄN</t>
        </is>
      </c>
      <c r="E11142" t="inlineStr">
        <is>
          <t>ÖVERKALIX</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17468-2025</t>
        </is>
      </c>
      <c r="B11143" s="1" t="n">
        <v>45757</v>
      </c>
      <c r="C11143" s="1" t="n">
        <v>45798</v>
      </c>
      <c r="D11143" t="inlineStr">
        <is>
          <t>NORRBOTTENS LÄN</t>
        </is>
      </c>
      <c r="E11143" t="inlineStr">
        <is>
          <t>KALIX</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17900-2025</t>
        </is>
      </c>
      <c r="B11144" s="1" t="n">
        <v>45758</v>
      </c>
      <c r="C11144" s="1" t="n">
        <v>45798</v>
      </c>
      <c r="D11144" t="inlineStr">
        <is>
          <t>NORRBOTTENS LÄN</t>
        </is>
      </c>
      <c r="E11144" t="inlineStr">
        <is>
          <t>LULEÅ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17898-2025</t>
        </is>
      </c>
      <c r="B11145" s="1" t="n">
        <v>45758</v>
      </c>
      <c r="C11145" s="1" t="n">
        <v>45798</v>
      </c>
      <c r="D11145" t="inlineStr">
        <is>
          <t>NORRBOTTENS LÄN</t>
        </is>
      </c>
      <c r="E11145" t="inlineStr">
        <is>
          <t>LULEÅ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17897-2025</t>
        </is>
      </c>
      <c r="B11146" s="1" t="n">
        <v>45758</v>
      </c>
      <c r="C11146" s="1" t="n">
        <v>45798</v>
      </c>
      <c r="D11146" t="inlineStr">
        <is>
          <t>NORRBOTTENS LÄN</t>
        </is>
      </c>
      <c r="E11146" t="inlineStr">
        <is>
          <t>LULEÅ</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17800-2025</t>
        </is>
      </c>
      <c r="B11147" s="1" t="n">
        <v>45758</v>
      </c>
      <c r="C11147" s="1" t="n">
        <v>45798</v>
      </c>
      <c r="D11147" t="inlineStr">
        <is>
          <t>NORRBOTTENS LÄN</t>
        </is>
      </c>
      <c r="E11147" t="inlineStr">
        <is>
          <t>ÖVERKALIX</t>
        </is>
      </c>
      <c r="F11147" t="inlineStr">
        <is>
          <t>Sveaskog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17899-2025</t>
        </is>
      </c>
      <c r="B11148" s="1" t="n">
        <v>45758</v>
      </c>
      <c r="C11148" s="1" t="n">
        <v>45798</v>
      </c>
      <c r="D11148" t="inlineStr">
        <is>
          <t>NORRBOTTENS LÄN</t>
        </is>
      </c>
      <c r="E11148" t="inlineStr">
        <is>
          <t>LULEÅ</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17839-2025</t>
        </is>
      </c>
      <c r="B11149" s="1" t="n">
        <v>45758</v>
      </c>
      <c r="C11149" s="1" t="n">
        <v>45798</v>
      </c>
      <c r="D11149" t="inlineStr">
        <is>
          <t>NORRBOTTENS LÄN</t>
        </is>
      </c>
      <c r="E11149" t="inlineStr">
        <is>
          <t>BODEN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17918-2025</t>
        </is>
      </c>
      <c r="B11150" s="1" t="n">
        <v>45758</v>
      </c>
      <c r="C11150" s="1" t="n">
        <v>45798</v>
      </c>
      <c r="D11150" t="inlineStr">
        <is>
          <t>NORRBOTTENS LÄN</t>
        </is>
      </c>
      <c r="E11150" t="inlineStr">
        <is>
          <t>PITEÅ</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17784-2025</t>
        </is>
      </c>
      <c r="B11151" s="1" t="n">
        <v>45758</v>
      </c>
      <c r="C11151" s="1" t="n">
        <v>45798</v>
      </c>
      <c r="D11151" t="inlineStr">
        <is>
          <t>NORRBOTTENS LÄN</t>
        </is>
      </c>
      <c r="E11151" t="inlineStr">
        <is>
          <t>JOKKMOKK</t>
        </is>
      </c>
      <c r="F11151" t="inlineStr">
        <is>
          <t>SCA</t>
        </is>
      </c>
      <c r="G11151" t="n">
        <v>11.2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17944-2025</t>
        </is>
      </c>
      <c r="B11152" s="1" t="n">
        <v>45760</v>
      </c>
      <c r="C11152" s="1" t="n">
        <v>45798</v>
      </c>
      <c r="D11152" t="inlineStr">
        <is>
          <t>NORRBOTTENS LÄN</t>
        </is>
      </c>
      <c r="E11152" t="inlineStr">
        <is>
          <t>PITEÅ</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18002-2025</t>
        </is>
      </c>
      <c r="B11153" s="1" t="n">
        <v>45761</v>
      </c>
      <c r="C11153" s="1" t="n">
        <v>45798</v>
      </c>
      <c r="D11153" t="inlineStr">
        <is>
          <t>NORRBOTTENS LÄN</t>
        </is>
      </c>
      <c r="E11153" t="inlineStr">
        <is>
          <t>BODEN</t>
        </is>
      </c>
      <c r="F11153" t="inlineStr">
        <is>
          <t>Övriga statliga verk och myndigheter</t>
        </is>
      </c>
      <c r="G11153" t="n">
        <v>11.5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18093-2025</t>
        </is>
      </c>
      <c r="B11154" s="1" t="n">
        <v>45761</v>
      </c>
      <c r="C11154" s="1" t="n">
        <v>45798</v>
      </c>
      <c r="D11154" t="inlineStr">
        <is>
          <t>NORRBOTTENS LÄN</t>
        </is>
      </c>
      <c r="E11154" t="inlineStr">
        <is>
          <t>ÄLVSBYN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18147-2025</t>
        </is>
      </c>
      <c r="B11155" s="1" t="n">
        <v>45761</v>
      </c>
      <c r="C11155" s="1" t="n">
        <v>45798</v>
      </c>
      <c r="D11155" t="inlineStr">
        <is>
          <t>NORRBOTTENS LÄN</t>
        </is>
      </c>
      <c r="E11155" t="inlineStr">
        <is>
          <t>BODEN</t>
        </is>
      </c>
      <c r="F11155" t="inlineStr">
        <is>
          <t>SCA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18145-2025</t>
        </is>
      </c>
      <c r="B11156" s="1" t="n">
        <v>45761</v>
      </c>
      <c r="C11156" s="1" t="n">
        <v>45798</v>
      </c>
      <c r="D11156" t="inlineStr">
        <is>
          <t>NORRBOTTENS LÄN</t>
        </is>
      </c>
      <c r="E11156" t="inlineStr">
        <is>
          <t>BODEN</t>
        </is>
      </c>
      <c r="F11156" t="inlineStr">
        <is>
          <t>SCA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18061-2025</t>
        </is>
      </c>
      <c r="B11157" s="1" t="n">
        <v>45761</v>
      </c>
      <c r="C11157" s="1" t="n">
        <v>45798</v>
      </c>
      <c r="D11157" t="inlineStr">
        <is>
          <t>NORRBOTTENS LÄN</t>
        </is>
      </c>
      <c r="E11157" t="inlineStr">
        <is>
          <t>KALIX</t>
        </is>
      </c>
      <c r="G11157" t="n">
        <v>9.1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18005-2025</t>
        </is>
      </c>
      <c r="B11158" s="1" t="n">
        <v>45761</v>
      </c>
      <c r="C11158" s="1" t="n">
        <v>45798</v>
      </c>
      <c r="D11158" t="inlineStr">
        <is>
          <t>NORRBOTTENS LÄN</t>
        </is>
      </c>
      <c r="E11158" t="inlineStr">
        <is>
          <t>KALIX</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18090-2025</t>
        </is>
      </c>
      <c r="B11159" s="1" t="n">
        <v>45761</v>
      </c>
      <c r="C11159" s="1" t="n">
        <v>45798</v>
      </c>
      <c r="D11159" t="inlineStr">
        <is>
          <t>NORRBOTTENS LÄN</t>
        </is>
      </c>
      <c r="E11159" t="inlineStr">
        <is>
          <t>ÄLVSBYN</t>
        </is>
      </c>
      <c r="G11159" t="n">
        <v>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18173-2025</t>
        </is>
      </c>
      <c r="B11160" s="1" t="n">
        <v>45761</v>
      </c>
      <c r="C11160" s="1" t="n">
        <v>45798</v>
      </c>
      <c r="D11160" t="inlineStr">
        <is>
          <t>NORRBOTTENS LÄN</t>
        </is>
      </c>
      <c r="E11160" t="inlineStr">
        <is>
          <t>BODEN</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18436-2025</t>
        </is>
      </c>
      <c r="B11161" s="1" t="n">
        <v>45762</v>
      </c>
      <c r="C11161" s="1" t="n">
        <v>45798</v>
      </c>
      <c r="D11161" t="inlineStr">
        <is>
          <t>NORRBOTTENS LÄN</t>
        </is>
      </c>
      <c r="E11161" t="inlineStr">
        <is>
          <t>BODEN</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18257-2025</t>
        </is>
      </c>
      <c r="B11162" s="1" t="n">
        <v>45762</v>
      </c>
      <c r="C11162" s="1" t="n">
        <v>45798</v>
      </c>
      <c r="D11162" t="inlineStr">
        <is>
          <t>NORRBOTTENS LÄN</t>
        </is>
      </c>
      <c r="E11162" t="inlineStr">
        <is>
          <t>GÄLLIVARE</t>
        </is>
      </c>
      <c r="G11162" t="n">
        <v>20.8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18428-2025</t>
        </is>
      </c>
      <c r="B11163" s="1" t="n">
        <v>45762</v>
      </c>
      <c r="C11163" s="1" t="n">
        <v>45798</v>
      </c>
      <c r="D11163" t="inlineStr">
        <is>
          <t>NORRBOTTENS LÄN</t>
        </is>
      </c>
      <c r="E11163" t="inlineStr">
        <is>
          <t>BODEN</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18382-2025</t>
        </is>
      </c>
      <c r="B11164" s="1" t="n">
        <v>45762</v>
      </c>
      <c r="C11164" s="1" t="n">
        <v>45798</v>
      </c>
      <c r="D11164" t="inlineStr">
        <is>
          <t>NORRBOTTENS LÄN</t>
        </is>
      </c>
      <c r="E11164" t="inlineStr">
        <is>
          <t>LULEÅ</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18672-2025</t>
        </is>
      </c>
      <c r="B11165" s="1" t="n">
        <v>45763</v>
      </c>
      <c r="C11165" s="1" t="n">
        <v>45798</v>
      </c>
      <c r="D11165" t="inlineStr">
        <is>
          <t>NORRBOTTENS LÄN</t>
        </is>
      </c>
      <c r="E11165" t="inlineStr">
        <is>
          <t>BODEN</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18673-2025</t>
        </is>
      </c>
      <c r="B11166" s="1" t="n">
        <v>45763</v>
      </c>
      <c r="C11166" s="1" t="n">
        <v>45798</v>
      </c>
      <c r="D11166" t="inlineStr">
        <is>
          <t>NORRBOTTENS LÄN</t>
        </is>
      </c>
      <c r="E11166" t="inlineStr">
        <is>
          <t>BODEN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18679-2025</t>
        </is>
      </c>
      <c r="B11167" s="1" t="n">
        <v>45763</v>
      </c>
      <c r="C11167" s="1" t="n">
        <v>45798</v>
      </c>
      <c r="D11167" t="inlineStr">
        <is>
          <t>NORRBOTTENS LÄN</t>
        </is>
      </c>
      <c r="E11167" t="inlineStr">
        <is>
          <t>BODEN</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18671-2025</t>
        </is>
      </c>
      <c r="B11168" s="1" t="n">
        <v>45763</v>
      </c>
      <c r="C11168" s="1" t="n">
        <v>45798</v>
      </c>
      <c r="D11168" t="inlineStr">
        <is>
          <t>NORRBOTTENS LÄN</t>
        </is>
      </c>
      <c r="E11168" t="inlineStr">
        <is>
          <t>BODEN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18492-2025</t>
        </is>
      </c>
      <c r="B11169" s="1" t="n">
        <v>45763</v>
      </c>
      <c r="C11169" s="1" t="n">
        <v>45798</v>
      </c>
      <c r="D11169" t="inlineStr">
        <is>
          <t>NORRBOTTENS LÄN</t>
        </is>
      </c>
      <c r="E11169" t="inlineStr">
        <is>
          <t>JOKKMOKK</t>
        </is>
      </c>
      <c r="F11169" t="inlineStr">
        <is>
          <t>SCA</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18708-2025</t>
        </is>
      </c>
      <c r="B11170" s="1" t="n">
        <v>45763</v>
      </c>
      <c r="C11170" s="1" t="n">
        <v>45798</v>
      </c>
      <c r="D11170" t="inlineStr">
        <is>
          <t>NORRBOTTENS LÄN</t>
        </is>
      </c>
      <c r="E11170" t="inlineStr">
        <is>
          <t>JOKKMOKK</t>
        </is>
      </c>
      <c r="F11170" t="inlineStr">
        <is>
          <t>SCA</t>
        </is>
      </c>
      <c r="G11170" t="n">
        <v>9.300000000000001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18493-2025</t>
        </is>
      </c>
      <c r="B11171" s="1" t="n">
        <v>45763</v>
      </c>
      <c r="C11171" s="1" t="n">
        <v>45798</v>
      </c>
      <c r="D11171" t="inlineStr">
        <is>
          <t>NORRBOTTENS LÄN</t>
        </is>
      </c>
      <c r="E11171" t="inlineStr">
        <is>
          <t>JOKKMOKK</t>
        </is>
      </c>
      <c r="F11171" t="inlineStr">
        <is>
          <t>SCA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18698-2025</t>
        </is>
      </c>
      <c r="B11172" s="1" t="n">
        <v>45763</v>
      </c>
      <c r="C11172" s="1" t="n">
        <v>45798</v>
      </c>
      <c r="D11172" t="inlineStr">
        <is>
          <t>NORRBOTTENS LÄN</t>
        </is>
      </c>
      <c r="E11172" t="inlineStr">
        <is>
          <t>KIRUNA</t>
        </is>
      </c>
      <c r="G11172" t="n">
        <v>30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18712-2025</t>
        </is>
      </c>
      <c r="B11173" s="1" t="n">
        <v>45763</v>
      </c>
      <c r="C11173" s="1" t="n">
        <v>45798</v>
      </c>
      <c r="D11173" t="inlineStr">
        <is>
          <t>NORRBOTTENS LÄN</t>
        </is>
      </c>
      <c r="E11173" t="inlineStr">
        <is>
          <t>KIRUNA</t>
        </is>
      </c>
      <c r="G11173" t="n">
        <v>66.5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18900-2025</t>
        </is>
      </c>
      <c r="B11174" s="1" t="n">
        <v>45764</v>
      </c>
      <c r="C11174" s="1" t="n">
        <v>45798</v>
      </c>
      <c r="D11174" t="inlineStr">
        <is>
          <t>NORRBOTTENS LÄN</t>
        </is>
      </c>
      <c r="E11174" t="inlineStr">
        <is>
          <t>BODEN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18958-2025</t>
        </is>
      </c>
      <c r="B11175" s="1" t="n">
        <v>45764</v>
      </c>
      <c r="C11175" s="1" t="n">
        <v>45798</v>
      </c>
      <c r="D11175" t="inlineStr">
        <is>
          <t>NORRBOTTENS LÄN</t>
        </is>
      </c>
      <c r="E11175" t="inlineStr">
        <is>
          <t>ÄLVSBYN</t>
        </is>
      </c>
      <c r="G11175" t="n">
        <v>16.1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18871-2025</t>
        </is>
      </c>
      <c r="B11176" s="1" t="n">
        <v>45764</v>
      </c>
      <c r="C11176" s="1" t="n">
        <v>45798</v>
      </c>
      <c r="D11176" t="inlineStr">
        <is>
          <t>NORRBOTTENS LÄN</t>
        </is>
      </c>
      <c r="E11176" t="inlineStr">
        <is>
          <t>BODEN</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18866-2025</t>
        </is>
      </c>
      <c r="B11177" s="1" t="n">
        <v>45764</v>
      </c>
      <c r="C11177" s="1" t="n">
        <v>45798</v>
      </c>
      <c r="D11177" t="inlineStr">
        <is>
          <t>NORRBOTTENS LÄN</t>
        </is>
      </c>
      <c r="E11177" t="inlineStr">
        <is>
          <t>BODEN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18923-2025</t>
        </is>
      </c>
      <c r="B11178" s="1" t="n">
        <v>45764</v>
      </c>
      <c r="C11178" s="1" t="n">
        <v>45798</v>
      </c>
      <c r="D11178" t="inlineStr">
        <is>
          <t>NORRBOTTENS LÄN</t>
        </is>
      </c>
      <c r="E11178" t="inlineStr">
        <is>
          <t>ARJEPLOG</t>
        </is>
      </c>
      <c r="F11178" t="inlineStr">
        <is>
          <t>Sveaskog</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18903-2025</t>
        </is>
      </c>
      <c r="B11179" s="1" t="n">
        <v>45764</v>
      </c>
      <c r="C11179" s="1" t="n">
        <v>45798</v>
      </c>
      <c r="D11179" t="inlineStr">
        <is>
          <t>NORRBOTTENS LÄN</t>
        </is>
      </c>
      <c r="E11179" t="inlineStr">
        <is>
          <t>JOKKMOKK</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18890-2025</t>
        </is>
      </c>
      <c r="B11180" s="1" t="n">
        <v>45764</v>
      </c>
      <c r="C11180" s="1" t="n">
        <v>45798</v>
      </c>
      <c r="D11180" t="inlineStr">
        <is>
          <t>NORRBOTTENS LÄN</t>
        </is>
      </c>
      <c r="E11180" t="inlineStr">
        <is>
          <t>BODEN</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18850-2025</t>
        </is>
      </c>
      <c r="B11181" s="1" t="n">
        <v>45764</v>
      </c>
      <c r="C11181" s="1" t="n">
        <v>45798</v>
      </c>
      <c r="D11181" t="inlineStr">
        <is>
          <t>NORRBOTTENS LÄN</t>
        </is>
      </c>
      <c r="E11181" t="inlineStr">
        <is>
          <t>PITEÅ</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18887-2025</t>
        </is>
      </c>
      <c r="B11182" s="1" t="n">
        <v>45764</v>
      </c>
      <c r="C11182" s="1" t="n">
        <v>45798</v>
      </c>
      <c r="D11182" t="inlineStr">
        <is>
          <t>NORRBOTTENS LÄN</t>
        </is>
      </c>
      <c r="E11182" t="inlineStr">
        <is>
          <t>JOKKMOKK</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18901-2025</t>
        </is>
      </c>
      <c r="B11183" s="1" t="n">
        <v>45764</v>
      </c>
      <c r="C11183" s="1" t="n">
        <v>45798</v>
      </c>
      <c r="D11183" t="inlineStr">
        <is>
          <t>NORRBOTTENS LÄN</t>
        </is>
      </c>
      <c r="E11183" t="inlineStr">
        <is>
          <t>BODEN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18910-2025</t>
        </is>
      </c>
      <c r="B11184" s="1" t="n">
        <v>45764</v>
      </c>
      <c r="C11184" s="1" t="n">
        <v>45798</v>
      </c>
      <c r="D11184" t="inlineStr">
        <is>
          <t>NORRBOTTENS LÄN</t>
        </is>
      </c>
      <c r="E11184" t="inlineStr">
        <is>
          <t>BODEN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18784-2025</t>
        </is>
      </c>
      <c r="B11185" s="1" t="n">
        <v>45764</v>
      </c>
      <c r="C11185" s="1" t="n">
        <v>45798</v>
      </c>
      <c r="D11185" t="inlineStr">
        <is>
          <t>NORRBOTTENS LÄN</t>
        </is>
      </c>
      <c r="E11185" t="inlineStr">
        <is>
          <t>PAJALA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19051-2025</t>
        </is>
      </c>
      <c r="B11186" s="1" t="n">
        <v>45764</v>
      </c>
      <c r="C11186" s="1" t="n">
        <v>45798</v>
      </c>
      <c r="D11186" t="inlineStr">
        <is>
          <t>NORRBOTTENS LÄN</t>
        </is>
      </c>
      <c r="E11186" t="inlineStr">
        <is>
          <t>BODEN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19048-2025</t>
        </is>
      </c>
      <c r="B11187" s="1" t="n">
        <v>45764</v>
      </c>
      <c r="C11187" s="1" t="n">
        <v>45798</v>
      </c>
      <c r="D11187" t="inlineStr">
        <is>
          <t>NORRBOTTENS LÄN</t>
        </is>
      </c>
      <c r="E11187" t="inlineStr">
        <is>
          <t>BODEN</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19050-2025</t>
        </is>
      </c>
      <c r="B11188" s="1" t="n">
        <v>45764</v>
      </c>
      <c r="C11188" s="1" t="n">
        <v>45798</v>
      </c>
      <c r="D11188" t="inlineStr">
        <is>
          <t>NORRBOTTENS LÄN</t>
        </is>
      </c>
      <c r="E11188" t="inlineStr">
        <is>
          <t>BODEN</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18804-2025</t>
        </is>
      </c>
      <c r="B11189" s="1" t="n">
        <v>45764</v>
      </c>
      <c r="C11189" s="1" t="n">
        <v>45798</v>
      </c>
      <c r="D11189" t="inlineStr">
        <is>
          <t>NORRBOTTENS LÄN</t>
        </is>
      </c>
      <c r="E11189" t="inlineStr">
        <is>
          <t>GÄLLIVARE</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18809-2025</t>
        </is>
      </c>
      <c r="B11190" s="1" t="n">
        <v>45764</v>
      </c>
      <c r="C11190" s="1" t="n">
        <v>45798</v>
      </c>
      <c r="D11190" t="inlineStr">
        <is>
          <t>NORRBOTTENS LÄN</t>
        </is>
      </c>
      <c r="E11190" t="inlineStr">
        <is>
          <t>GÄLLIVARE</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18815-2025</t>
        </is>
      </c>
      <c r="B11191" s="1" t="n">
        <v>45764</v>
      </c>
      <c r="C11191" s="1" t="n">
        <v>45798</v>
      </c>
      <c r="D11191" t="inlineStr">
        <is>
          <t>NORRBOTTENS LÄN</t>
        </is>
      </c>
      <c r="E11191" t="inlineStr">
        <is>
          <t>GÄLLIVARE</t>
        </is>
      </c>
      <c r="G11191" t="n">
        <v>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18915-2025</t>
        </is>
      </c>
      <c r="B11192" s="1" t="n">
        <v>45764</v>
      </c>
      <c r="C11192" s="1" t="n">
        <v>45798</v>
      </c>
      <c r="D11192" t="inlineStr">
        <is>
          <t>NORRBOTTENS LÄN</t>
        </is>
      </c>
      <c r="E11192" t="inlineStr">
        <is>
          <t>BODEN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19080-2025</t>
        </is>
      </c>
      <c r="B11193" s="1" t="n">
        <v>45766</v>
      </c>
      <c r="C11193" s="1" t="n">
        <v>45798</v>
      </c>
      <c r="D11193" t="inlineStr">
        <is>
          <t>NORRBOTTENS LÄN</t>
        </is>
      </c>
      <c r="E11193" t="inlineStr">
        <is>
          <t>BODEN</t>
        </is>
      </c>
      <c r="F11193" t="inlineStr">
        <is>
          <t>SCA</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19081-2025</t>
        </is>
      </c>
      <c r="B11194" s="1" t="n">
        <v>45766</v>
      </c>
      <c r="C11194" s="1" t="n">
        <v>45798</v>
      </c>
      <c r="D11194" t="inlineStr">
        <is>
          <t>NORRBOTTENS LÄN</t>
        </is>
      </c>
      <c r="E11194" t="inlineStr">
        <is>
          <t>BODEN</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19082-2025</t>
        </is>
      </c>
      <c r="B11195" s="1" t="n">
        <v>45766</v>
      </c>
      <c r="C11195" s="1" t="n">
        <v>45798</v>
      </c>
      <c r="D11195" t="inlineStr">
        <is>
          <t>NORRBOTTENS LÄN</t>
        </is>
      </c>
      <c r="E11195" t="inlineStr">
        <is>
          <t>BODEN</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19376-2025</t>
        </is>
      </c>
      <c r="B11196" s="1" t="n">
        <v>45769</v>
      </c>
      <c r="C11196" s="1" t="n">
        <v>45798</v>
      </c>
      <c r="D11196" t="inlineStr">
        <is>
          <t>NORRBOTTENS LÄN</t>
        </is>
      </c>
      <c r="E11196" t="inlineStr">
        <is>
          <t>PITEÅ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19232-2025</t>
        </is>
      </c>
      <c r="B11197" s="1" t="n">
        <v>45769</v>
      </c>
      <c r="C11197" s="1" t="n">
        <v>45798</v>
      </c>
      <c r="D11197" t="inlineStr">
        <is>
          <t>NORRBOTTENS LÄN</t>
        </is>
      </c>
      <c r="E11197" t="inlineStr">
        <is>
          <t>ARVIDSJAUR</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19257-2025</t>
        </is>
      </c>
      <c r="B11198" s="1" t="n">
        <v>45769</v>
      </c>
      <c r="C11198" s="1" t="n">
        <v>45798</v>
      </c>
      <c r="D11198" t="inlineStr">
        <is>
          <t>NORRBOTTENS LÄN</t>
        </is>
      </c>
      <c r="E11198" t="inlineStr">
        <is>
          <t>BODEN</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19237-2025</t>
        </is>
      </c>
      <c r="B11199" s="1" t="n">
        <v>45769</v>
      </c>
      <c r="C11199" s="1" t="n">
        <v>45798</v>
      </c>
      <c r="D11199" t="inlineStr">
        <is>
          <t>NORRBOTTENS LÄN</t>
        </is>
      </c>
      <c r="E11199" t="inlineStr">
        <is>
          <t>ARVIDSJAUR</t>
        </is>
      </c>
      <c r="F11199" t="inlineStr">
        <is>
          <t>Sveaskog</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19291-2025</t>
        </is>
      </c>
      <c r="B11200" s="1" t="n">
        <v>45769</v>
      </c>
      <c r="C11200" s="1" t="n">
        <v>45798</v>
      </c>
      <c r="D11200" t="inlineStr">
        <is>
          <t>NORRBOTTENS LÄN</t>
        </is>
      </c>
      <c r="E11200" t="inlineStr">
        <is>
          <t>BODEN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19284-2025</t>
        </is>
      </c>
      <c r="B11201" s="1" t="n">
        <v>45769</v>
      </c>
      <c r="C11201" s="1" t="n">
        <v>45798</v>
      </c>
      <c r="D11201" t="inlineStr">
        <is>
          <t>NORRBOTTENS LÄN</t>
        </is>
      </c>
      <c r="E11201" t="inlineStr">
        <is>
          <t>BODEN</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19317-2025</t>
        </is>
      </c>
      <c r="B11202" s="1" t="n">
        <v>45769</v>
      </c>
      <c r="C11202" s="1" t="n">
        <v>45798</v>
      </c>
      <c r="D11202" t="inlineStr">
        <is>
          <t>NORRBOTTENS LÄN</t>
        </is>
      </c>
      <c r="E11202" t="inlineStr">
        <is>
          <t>PAJALA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19433-2025</t>
        </is>
      </c>
      <c r="B11203" s="1" t="n">
        <v>45769</v>
      </c>
      <c r="C11203" s="1" t="n">
        <v>45798</v>
      </c>
      <c r="D11203" t="inlineStr">
        <is>
          <t>NORRBOTTENS LÄN</t>
        </is>
      </c>
      <c r="E11203" t="inlineStr">
        <is>
          <t>PITEÅ</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19238-2025</t>
        </is>
      </c>
      <c r="B11204" s="1" t="n">
        <v>45769</v>
      </c>
      <c r="C11204" s="1" t="n">
        <v>45798</v>
      </c>
      <c r="D11204" t="inlineStr">
        <is>
          <t>NORRBOTTENS LÄN</t>
        </is>
      </c>
      <c r="E11204" t="inlineStr">
        <is>
          <t>LULEÅ</t>
        </is>
      </c>
      <c r="G11204" t="n">
        <v>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19329-2025</t>
        </is>
      </c>
      <c r="B11205" s="1" t="n">
        <v>45769</v>
      </c>
      <c r="C11205" s="1" t="n">
        <v>45798</v>
      </c>
      <c r="D11205" t="inlineStr">
        <is>
          <t>NORRBOTTENS LÄN</t>
        </is>
      </c>
      <c r="E11205" t="inlineStr">
        <is>
          <t>PITEÅ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19623-2025</t>
        </is>
      </c>
      <c r="B11206" s="1" t="n">
        <v>45770</v>
      </c>
      <c r="C11206" s="1" t="n">
        <v>45798</v>
      </c>
      <c r="D11206" t="inlineStr">
        <is>
          <t>NORRBOTTENS LÄN</t>
        </is>
      </c>
      <c r="E11206" t="inlineStr">
        <is>
          <t>BODEN</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19562-2025</t>
        </is>
      </c>
      <c r="B11207" s="1" t="n">
        <v>45770</v>
      </c>
      <c r="C11207" s="1" t="n">
        <v>45798</v>
      </c>
      <c r="D11207" t="inlineStr">
        <is>
          <t>NORRBOTTENS LÄN</t>
        </is>
      </c>
      <c r="E11207" t="inlineStr">
        <is>
          <t>ÄLVSBYN</t>
        </is>
      </c>
      <c r="F11207" t="inlineStr">
        <is>
          <t>Sveaskog</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19563-2025</t>
        </is>
      </c>
      <c r="B11208" s="1" t="n">
        <v>45770</v>
      </c>
      <c r="C11208" s="1" t="n">
        <v>45798</v>
      </c>
      <c r="D11208" t="inlineStr">
        <is>
          <t>NORRBOTTENS LÄN</t>
        </is>
      </c>
      <c r="E11208" t="inlineStr">
        <is>
          <t>ÄLVSBYN</t>
        </is>
      </c>
      <c r="F11208" t="inlineStr">
        <is>
          <t>Sveaskog</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19493-2025</t>
        </is>
      </c>
      <c r="B11209" s="1" t="n">
        <v>45770</v>
      </c>
      <c r="C11209" s="1" t="n">
        <v>45798</v>
      </c>
      <c r="D11209" t="inlineStr">
        <is>
          <t>NORRBOTTENS LÄN</t>
        </is>
      </c>
      <c r="E11209" t="inlineStr">
        <is>
          <t>JOKKMOKK</t>
        </is>
      </c>
      <c r="F11209" t="inlineStr">
        <is>
          <t>SCA</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19526-2025</t>
        </is>
      </c>
      <c r="B11210" s="1" t="n">
        <v>45770</v>
      </c>
      <c r="C11210" s="1" t="n">
        <v>45798</v>
      </c>
      <c r="D11210" t="inlineStr">
        <is>
          <t>NORRBOTTENS LÄN</t>
        </is>
      </c>
      <c r="E11210" t="inlineStr">
        <is>
          <t>LULEÅ</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45798</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19627-2025</t>
        </is>
      </c>
      <c r="B11212" s="1" t="n">
        <v>45770</v>
      </c>
      <c r="C11212" s="1" t="n">
        <v>45798</v>
      </c>
      <c r="D11212" t="inlineStr">
        <is>
          <t>NORRBOTTENS LÄN</t>
        </is>
      </c>
      <c r="E11212" t="inlineStr">
        <is>
          <t>KALIX</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45798</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45798</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19594-2025</t>
        </is>
      </c>
      <c r="B11215" s="1" t="n">
        <v>45770</v>
      </c>
      <c r="C11215" s="1" t="n">
        <v>45798</v>
      </c>
      <c r="D11215" t="inlineStr">
        <is>
          <t>NORRBOTTENS LÄN</t>
        </is>
      </c>
      <c r="E11215" t="inlineStr">
        <is>
          <t>LULEÅ</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20547-2025</t>
        </is>
      </c>
      <c r="B11216" s="1" t="n">
        <v>45770</v>
      </c>
      <c r="C11216" s="1" t="n">
        <v>45798</v>
      </c>
      <c r="D11216" t="inlineStr">
        <is>
          <t>NORRBOTTENS LÄN</t>
        </is>
      </c>
      <c r="E11216" t="inlineStr">
        <is>
          <t>ÖVERTORNEÅ</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19571-2025</t>
        </is>
      </c>
      <c r="B11217" s="1" t="n">
        <v>45770</v>
      </c>
      <c r="C11217" s="1" t="n">
        <v>45798</v>
      </c>
      <c r="D11217" t="inlineStr">
        <is>
          <t>NORRBOTTENS LÄN</t>
        </is>
      </c>
      <c r="E11217" t="inlineStr">
        <is>
          <t>BODEN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19582-2025</t>
        </is>
      </c>
      <c r="B11218" s="1" t="n">
        <v>45770</v>
      </c>
      <c r="C11218" s="1" t="n">
        <v>45798</v>
      </c>
      <c r="D11218" t="inlineStr">
        <is>
          <t>NORRBOTTENS LÄN</t>
        </is>
      </c>
      <c r="E11218" t="inlineStr">
        <is>
          <t>BODEN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19624-2025</t>
        </is>
      </c>
      <c r="B11219" s="1" t="n">
        <v>45770</v>
      </c>
      <c r="C11219" s="1" t="n">
        <v>45798</v>
      </c>
      <c r="D11219" t="inlineStr">
        <is>
          <t>NORRBOTTENS LÄN</t>
        </is>
      </c>
      <c r="E11219" t="inlineStr">
        <is>
          <t>BODEN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19641-2025</t>
        </is>
      </c>
      <c r="B11220" s="1" t="n">
        <v>45770</v>
      </c>
      <c r="C11220" s="1" t="n">
        <v>45798</v>
      </c>
      <c r="D11220" t="inlineStr">
        <is>
          <t>NORRBOTTENS LÄN</t>
        </is>
      </c>
      <c r="E11220" t="inlineStr">
        <is>
          <t>BODEN</t>
        </is>
      </c>
      <c r="F11220" t="inlineStr">
        <is>
          <t>Sveaskog</t>
        </is>
      </c>
      <c r="G11220" t="n">
        <v>8.4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19642-2025</t>
        </is>
      </c>
      <c r="B11221" s="1" t="n">
        <v>45770</v>
      </c>
      <c r="C11221" s="1" t="n">
        <v>45798</v>
      </c>
      <c r="D11221" t="inlineStr">
        <is>
          <t>NORRBOTTENS LÄN</t>
        </is>
      </c>
      <c r="E11221" t="inlineStr">
        <is>
          <t>KALIX</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19510-2025</t>
        </is>
      </c>
      <c r="B11222" s="1" t="n">
        <v>45770</v>
      </c>
      <c r="C11222" s="1" t="n">
        <v>45798</v>
      </c>
      <c r="D11222" t="inlineStr">
        <is>
          <t>NORRBOTTENS LÄN</t>
        </is>
      </c>
      <c r="E11222" t="inlineStr">
        <is>
          <t>LULEÅ</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19647-2025</t>
        </is>
      </c>
      <c r="B11223" s="1" t="n">
        <v>45770</v>
      </c>
      <c r="C11223" s="1" t="n">
        <v>45798</v>
      </c>
      <c r="D11223" t="inlineStr">
        <is>
          <t>NORRBOTTENS LÄN</t>
        </is>
      </c>
      <c r="E11223" t="inlineStr">
        <is>
          <t>BODEN</t>
        </is>
      </c>
      <c r="F11223" t="inlineStr">
        <is>
          <t>Sveaskog</t>
        </is>
      </c>
      <c r="G11223" t="n">
        <v>8.4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19698-2025</t>
        </is>
      </c>
      <c r="B11224" s="1" t="n">
        <v>45770</v>
      </c>
      <c r="C11224" s="1" t="n">
        <v>45798</v>
      </c>
      <c r="D11224" t="inlineStr">
        <is>
          <t>NORRBOTTENS LÄN</t>
        </is>
      </c>
      <c r="E11224" t="inlineStr">
        <is>
          <t>BODEN</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19757-2025</t>
        </is>
      </c>
      <c r="B11225" s="1" t="n">
        <v>45770</v>
      </c>
      <c r="C11225" s="1" t="n">
        <v>45798</v>
      </c>
      <c r="D11225" t="inlineStr">
        <is>
          <t>NORRBOTTENS LÄN</t>
        </is>
      </c>
      <c r="E11225" t="inlineStr">
        <is>
          <t>BODEN</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19590-2025</t>
        </is>
      </c>
      <c r="B11226" s="1" t="n">
        <v>45770</v>
      </c>
      <c r="C11226" s="1" t="n">
        <v>45798</v>
      </c>
      <c r="D11226" t="inlineStr">
        <is>
          <t>NORRBOTTENS LÄN</t>
        </is>
      </c>
      <c r="E11226" t="inlineStr">
        <is>
          <t>BODEN</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19714-2025</t>
        </is>
      </c>
      <c r="B11227" s="1" t="n">
        <v>45771</v>
      </c>
      <c r="C11227" s="1" t="n">
        <v>45798</v>
      </c>
      <c r="D11227" t="inlineStr">
        <is>
          <t>NORRBOTTENS LÄN</t>
        </is>
      </c>
      <c r="E11227" t="inlineStr">
        <is>
          <t>KALIX</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19952-2025</t>
        </is>
      </c>
      <c r="B11228" s="1" t="n">
        <v>45771</v>
      </c>
      <c r="C11228" s="1" t="n">
        <v>45798</v>
      </c>
      <c r="D11228" t="inlineStr">
        <is>
          <t>NORRBOTTENS LÄN</t>
        </is>
      </c>
      <c r="E11228" t="inlineStr">
        <is>
          <t>BODEN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19983-2025</t>
        </is>
      </c>
      <c r="B11229" s="1" t="n">
        <v>45771</v>
      </c>
      <c r="C11229" s="1" t="n">
        <v>45798</v>
      </c>
      <c r="D11229" t="inlineStr">
        <is>
          <t>NORRBOTTENS LÄN</t>
        </is>
      </c>
      <c r="E11229" t="inlineStr">
        <is>
          <t>LULEÅ</t>
        </is>
      </c>
      <c r="F11229" t="inlineStr">
        <is>
          <t>SCA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19986-2025</t>
        </is>
      </c>
      <c r="B11230" s="1" t="n">
        <v>45771</v>
      </c>
      <c r="C11230" s="1" t="n">
        <v>45798</v>
      </c>
      <c r="D11230" t="inlineStr">
        <is>
          <t>NORRBOTTENS LÄN</t>
        </is>
      </c>
      <c r="E11230" t="inlineStr">
        <is>
          <t>LULEÅ</t>
        </is>
      </c>
      <c r="F11230" t="inlineStr">
        <is>
          <t>Naturvårdsverket</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19985-2025</t>
        </is>
      </c>
      <c r="B11231" s="1" t="n">
        <v>45771</v>
      </c>
      <c r="C11231" s="1" t="n">
        <v>45798</v>
      </c>
      <c r="D11231" t="inlineStr">
        <is>
          <t>NORRBOTTENS LÄN</t>
        </is>
      </c>
      <c r="E11231" t="inlineStr">
        <is>
          <t>ÖVERKALIX</t>
        </is>
      </c>
      <c r="F11231" t="inlineStr">
        <is>
          <t>SCA</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19808-2025</t>
        </is>
      </c>
      <c r="B11232" s="1" t="n">
        <v>45771</v>
      </c>
      <c r="C11232" s="1" t="n">
        <v>45798</v>
      </c>
      <c r="D11232" t="inlineStr">
        <is>
          <t>NORRBOTTENS LÄN</t>
        </is>
      </c>
      <c r="E11232" t="inlineStr">
        <is>
          <t>PITEÅ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19975-2025</t>
        </is>
      </c>
      <c r="B11233" s="1" t="n">
        <v>45771</v>
      </c>
      <c r="C11233" s="1" t="n">
        <v>45798</v>
      </c>
      <c r="D11233" t="inlineStr">
        <is>
          <t>NORRBOTTENS LÄN</t>
        </is>
      </c>
      <c r="E11233" t="inlineStr">
        <is>
          <t>KALIX</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19976-2025</t>
        </is>
      </c>
      <c r="B11234" s="1" t="n">
        <v>45771</v>
      </c>
      <c r="C11234" s="1" t="n">
        <v>45798</v>
      </c>
      <c r="D11234" t="inlineStr">
        <is>
          <t>NORRBOTTENS LÄN</t>
        </is>
      </c>
      <c r="E11234" t="inlineStr">
        <is>
          <t>KALIX</t>
        </is>
      </c>
      <c r="F11234" t="inlineStr">
        <is>
          <t>SCA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19968-2025</t>
        </is>
      </c>
      <c r="B11235" s="1" t="n">
        <v>45771</v>
      </c>
      <c r="C11235" s="1" t="n">
        <v>45798</v>
      </c>
      <c r="D11235" t="inlineStr">
        <is>
          <t>NORRBOTTENS LÄN</t>
        </is>
      </c>
      <c r="E11235" t="inlineStr">
        <is>
          <t>BODEN</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19984-2025</t>
        </is>
      </c>
      <c r="B11236" s="1" t="n">
        <v>45771</v>
      </c>
      <c r="C11236" s="1" t="n">
        <v>45798</v>
      </c>
      <c r="D11236" t="inlineStr">
        <is>
          <t>NORRBOTTENS LÄN</t>
        </is>
      </c>
      <c r="E11236" t="inlineStr">
        <is>
          <t>ÖVERKALIX</t>
        </is>
      </c>
      <c r="F11236" t="inlineStr">
        <is>
          <t>SCA</t>
        </is>
      </c>
      <c r="G11236" t="n">
        <v>10.5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20120-2025</t>
        </is>
      </c>
      <c r="B11237" s="1" t="n">
        <v>45772</v>
      </c>
      <c r="C11237" s="1" t="n">
        <v>45798</v>
      </c>
      <c r="D11237" t="inlineStr">
        <is>
          <t>NORRBOTTENS LÄN</t>
        </is>
      </c>
      <c r="E11237" t="inlineStr">
        <is>
          <t>KALIX</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20030-2025</t>
        </is>
      </c>
      <c r="B11238" s="1" t="n">
        <v>45772</v>
      </c>
      <c r="C11238" s="1" t="n">
        <v>45798</v>
      </c>
      <c r="D11238" t="inlineStr">
        <is>
          <t>NORRBOTTENS LÄN</t>
        </is>
      </c>
      <c r="E11238" t="inlineStr">
        <is>
          <t>BODEN</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20038-2025</t>
        </is>
      </c>
      <c r="B11239" s="1" t="n">
        <v>45772</v>
      </c>
      <c r="C11239" s="1" t="n">
        <v>45798</v>
      </c>
      <c r="D11239" t="inlineStr">
        <is>
          <t>NORRBOTTENS LÄN</t>
        </is>
      </c>
      <c r="E11239" t="inlineStr">
        <is>
          <t>BODEN</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20125-2025</t>
        </is>
      </c>
      <c r="B11240" s="1" t="n">
        <v>45772</v>
      </c>
      <c r="C11240" s="1" t="n">
        <v>45798</v>
      </c>
      <c r="D11240" t="inlineStr">
        <is>
          <t>NORRBOTTENS LÄN</t>
        </is>
      </c>
      <c r="E11240" t="inlineStr">
        <is>
          <t>KALIX</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20128-2025</t>
        </is>
      </c>
      <c r="B11241" s="1" t="n">
        <v>45772</v>
      </c>
      <c r="C11241" s="1" t="n">
        <v>45798</v>
      </c>
      <c r="D11241" t="inlineStr">
        <is>
          <t>NORRBOTTENS LÄN</t>
        </is>
      </c>
      <c r="E11241" t="inlineStr">
        <is>
          <t>KALIX</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20116-2025</t>
        </is>
      </c>
      <c r="B11242" s="1" t="n">
        <v>45772</v>
      </c>
      <c r="C11242" s="1" t="n">
        <v>45798</v>
      </c>
      <c r="D11242" t="inlineStr">
        <is>
          <t>NORRBOTTENS LÄN</t>
        </is>
      </c>
      <c r="E11242" t="inlineStr">
        <is>
          <t>KALIX</t>
        </is>
      </c>
      <c r="G11242" t="n">
        <v>15.6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20029-2025</t>
        </is>
      </c>
      <c r="B11243" s="1" t="n">
        <v>45772</v>
      </c>
      <c r="C11243" s="1" t="n">
        <v>45798</v>
      </c>
      <c r="D11243" t="inlineStr">
        <is>
          <t>NORRBOTTENS LÄN</t>
        </is>
      </c>
      <c r="E11243" t="inlineStr">
        <is>
          <t>BODEN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20114-2025</t>
        </is>
      </c>
      <c r="B11244" s="1" t="n">
        <v>45772</v>
      </c>
      <c r="C11244" s="1" t="n">
        <v>45798</v>
      </c>
      <c r="D11244" t="inlineStr">
        <is>
          <t>NORRBOTTENS LÄN</t>
        </is>
      </c>
      <c r="E11244" t="inlineStr">
        <is>
          <t>KALIX</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20175-2025</t>
        </is>
      </c>
      <c r="B11245" s="1" t="n">
        <v>45772</v>
      </c>
      <c r="C11245" s="1" t="n">
        <v>45798</v>
      </c>
      <c r="D11245" t="inlineStr">
        <is>
          <t>NORRBOTTENS LÄN</t>
        </is>
      </c>
      <c r="E11245" t="inlineStr">
        <is>
          <t>ÖVERTORNEÅ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20201-2025</t>
        </is>
      </c>
      <c r="B11246" s="1" t="n">
        <v>45772</v>
      </c>
      <c r="C11246" s="1" t="n">
        <v>45798</v>
      </c>
      <c r="D11246" t="inlineStr">
        <is>
          <t>NORRBOTTENS LÄN</t>
        </is>
      </c>
      <c r="E11246" t="inlineStr">
        <is>
          <t>PITEÅ</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20200-2025</t>
        </is>
      </c>
      <c r="B11247" s="1" t="n">
        <v>45772</v>
      </c>
      <c r="C11247" s="1" t="n">
        <v>45798</v>
      </c>
      <c r="D11247" t="inlineStr">
        <is>
          <t>NORRBOTTENS LÄN</t>
        </is>
      </c>
      <c r="E11247" t="inlineStr">
        <is>
          <t>PAJALA</t>
        </is>
      </c>
      <c r="F11247" t="inlineStr">
        <is>
          <t>Sveaskog</t>
        </is>
      </c>
      <c r="G11247" t="n">
        <v>12.7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20041-2025</t>
        </is>
      </c>
      <c r="B11248" s="1" t="n">
        <v>45772</v>
      </c>
      <c r="C11248" s="1" t="n">
        <v>45798</v>
      </c>
      <c r="D11248" t="inlineStr">
        <is>
          <t>NORRBOTTENS LÄN</t>
        </is>
      </c>
      <c r="E11248" t="inlineStr">
        <is>
          <t>BODEN</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20232-2025</t>
        </is>
      </c>
      <c r="B11249" s="1" t="n">
        <v>45772</v>
      </c>
      <c r="C11249" s="1" t="n">
        <v>45798</v>
      </c>
      <c r="D11249" t="inlineStr">
        <is>
          <t>NORRBOTTENS LÄN</t>
        </is>
      </c>
      <c r="E11249" t="inlineStr">
        <is>
          <t>KALIX</t>
        </is>
      </c>
      <c r="F11249" t="inlineStr">
        <is>
          <t>Sveaskog</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20173-2025</t>
        </is>
      </c>
      <c r="B11250" s="1" t="n">
        <v>45772</v>
      </c>
      <c r="C11250" s="1" t="n">
        <v>45798</v>
      </c>
      <c r="D11250" t="inlineStr">
        <is>
          <t>NORRBOTTENS LÄN</t>
        </is>
      </c>
      <c r="E11250" t="inlineStr">
        <is>
          <t>ÖVERTORNEÅ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20237-2025</t>
        </is>
      </c>
      <c r="B11251" s="1" t="n">
        <v>45772</v>
      </c>
      <c r="C11251" s="1" t="n">
        <v>45798</v>
      </c>
      <c r="D11251" t="inlineStr">
        <is>
          <t>NORRBOTTENS LÄN</t>
        </is>
      </c>
      <c r="E11251" t="inlineStr">
        <is>
          <t>ÄLVSBYN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20166-2025</t>
        </is>
      </c>
      <c r="B11252" s="1" t="n">
        <v>45772</v>
      </c>
      <c r="C11252" s="1" t="n">
        <v>45798</v>
      </c>
      <c r="D11252" t="inlineStr">
        <is>
          <t>NORRBOTTENS LÄN</t>
        </is>
      </c>
      <c r="E11252" t="inlineStr">
        <is>
          <t>ÄLVSBYN</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20046-2025</t>
        </is>
      </c>
      <c r="B11253" s="1" t="n">
        <v>45772</v>
      </c>
      <c r="C11253" s="1" t="n">
        <v>45798</v>
      </c>
      <c r="D11253" t="inlineStr">
        <is>
          <t>NORRBOTTENS LÄN</t>
        </is>
      </c>
      <c r="E11253" t="inlineStr">
        <is>
          <t>BODEN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20179-2025</t>
        </is>
      </c>
      <c r="B11254" s="1" t="n">
        <v>45772</v>
      </c>
      <c r="C11254" s="1" t="n">
        <v>45798</v>
      </c>
      <c r="D11254" t="inlineStr">
        <is>
          <t>NORRBOTTENS LÄN</t>
        </is>
      </c>
      <c r="E11254" t="inlineStr">
        <is>
          <t>ÄLVSBYN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20243-2025</t>
        </is>
      </c>
      <c r="B11255" s="1" t="n">
        <v>45772</v>
      </c>
      <c r="C11255" s="1" t="n">
        <v>45798</v>
      </c>
      <c r="D11255" t="inlineStr">
        <is>
          <t>NORRBOTTENS LÄN</t>
        </is>
      </c>
      <c r="E11255" t="inlineStr">
        <is>
          <t>ÄLVSBYN</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20028-2025</t>
        </is>
      </c>
      <c r="B11256" s="1" t="n">
        <v>45772</v>
      </c>
      <c r="C11256" s="1" t="n">
        <v>45798</v>
      </c>
      <c r="D11256" t="inlineStr">
        <is>
          <t>NORRBOTTENS LÄN</t>
        </is>
      </c>
      <c r="E11256" t="inlineStr">
        <is>
          <t>BODEN</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20187-2025</t>
        </is>
      </c>
      <c r="B11257" s="1" t="n">
        <v>45772</v>
      </c>
      <c r="C11257" s="1" t="n">
        <v>45798</v>
      </c>
      <c r="D11257" t="inlineStr">
        <is>
          <t>NORRBOTTENS LÄN</t>
        </is>
      </c>
      <c r="E11257" t="inlineStr">
        <is>
          <t>ÄLVSBYN</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20158-2025</t>
        </is>
      </c>
      <c r="B11258" s="1" t="n">
        <v>45772</v>
      </c>
      <c r="C11258" s="1" t="n">
        <v>45798</v>
      </c>
      <c r="D11258" t="inlineStr">
        <is>
          <t>NORRBOTTENS LÄN</t>
        </is>
      </c>
      <c r="E11258" t="inlineStr">
        <is>
          <t>ÄLVSBYN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20039-2025</t>
        </is>
      </c>
      <c r="B11259" s="1" t="n">
        <v>45772</v>
      </c>
      <c r="C11259" s="1" t="n">
        <v>45798</v>
      </c>
      <c r="D11259" t="inlineStr">
        <is>
          <t>NORRBOTTENS LÄN</t>
        </is>
      </c>
      <c r="E11259" t="inlineStr">
        <is>
          <t>BODEN</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20259-2025</t>
        </is>
      </c>
      <c r="B11260" s="1" t="n">
        <v>45773</v>
      </c>
      <c r="C11260" s="1" t="n">
        <v>45798</v>
      </c>
      <c r="D11260" t="inlineStr">
        <is>
          <t>NORRBOTTENS LÄN</t>
        </is>
      </c>
      <c r="E11260" t="inlineStr">
        <is>
          <t>GÄLLIVARE</t>
        </is>
      </c>
      <c r="F11260" t="inlineStr">
        <is>
          <t>SCA</t>
        </is>
      </c>
      <c r="G11260" t="n">
        <v>25.2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20270-2025</t>
        </is>
      </c>
      <c r="B11261" s="1" t="n">
        <v>45773</v>
      </c>
      <c r="C11261" s="1" t="n">
        <v>45798</v>
      </c>
      <c r="D11261" t="inlineStr">
        <is>
          <t>NORRBOTTENS LÄN</t>
        </is>
      </c>
      <c r="E11261" t="inlineStr">
        <is>
          <t>JOKKMOKK</t>
        </is>
      </c>
      <c r="G11261" t="n">
        <v>90.09999999999999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20258-2025</t>
        </is>
      </c>
      <c r="B11262" s="1" t="n">
        <v>45773</v>
      </c>
      <c r="C11262" s="1" t="n">
        <v>45798</v>
      </c>
      <c r="D11262" t="inlineStr">
        <is>
          <t>NORRBOTTENS LÄN</t>
        </is>
      </c>
      <c r="E11262" t="inlineStr">
        <is>
          <t>GÄLLIVARE</t>
        </is>
      </c>
      <c r="F11262" t="inlineStr">
        <is>
          <t>SCA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20286-2025</t>
        </is>
      </c>
      <c r="B11263" s="1" t="n">
        <v>45774</v>
      </c>
      <c r="C11263" s="1" t="n">
        <v>45798</v>
      </c>
      <c r="D11263" t="inlineStr">
        <is>
          <t>NORRBOTTENS LÄN</t>
        </is>
      </c>
      <c r="E11263" t="inlineStr">
        <is>
          <t>GÄLLIVARE</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20289-2025</t>
        </is>
      </c>
      <c r="B11264" s="1" t="n">
        <v>45774</v>
      </c>
      <c r="C11264" s="1" t="n">
        <v>45798</v>
      </c>
      <c r="D11264" t="inlineStr">
        <is>
          <t>NORRBOTTENS LÄN</t>
        </is>
      </c>
      <c r="E11264" t="inlineStr">
        <is>
          <t>BODEN</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20392-2025</t>
        </is>
      </c>
      <c r="B11265" s="1" t="n">
        <v>45775</v>
      </c>
      <c r="C11265" s="1" t="n">
        <v>45798</v>
      </c>
      <c r="D11265" t="inlineStr">
        <is>
          <t>NORRBOTTENS LÄN</t>
        </is>
      </c>
      <c r="E11265" t="inlineStr">
        <is>
          <t>ÖVERKALIX</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20393-2025</t>
        </is>
      </c>
      <c r="B11266" s="1" t="n">
        <v>45775</v>
      </c>
      <c r="C11266" s="1" t="n">
        <v>45798</v>
      </c>
      <c r="D11266" t="inlineStr">
        <is>
          <t>NORRBOTTENS LÄN</t>
        </is>
      </c>
      <c r="E11266" t="inlineStr">
        <is>
          <t>ARVIDSJAUR</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20421-2025</t>
        </is>
      </c>
      <c r="B11267" s="1" t="n">
        <v>45775</v>
      </c>
      <c r="C11267" s="1" t="n">
        <v>45798</v>
      </c>
      <c r="D11267" t="inlineStr">
        <is>
          <t>NORRBOTTENS LÄN</t>
        </is>
      </c>
      <c r="E11267" t="inlineStr">
        <is>
          <t>JOKKMOKK</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20564-2025</t>
        </is>
      </c>
      <c r="B11268" s="1" t="n">
        <v>45775</v>
      </c>
      <c r="C11268" s="1" t="n">
        <v>45798</v>
      </c>
      <c r="D11268" t="inlineStr">
        <is>
          <t>NORRBOTTENS LÄN</t>
        </is>
      </c>
      <c r="E11268" t="inlineStr">
        <is>
          <t>ÖVERTORNEÅ</t>
        </is>
      </c>
      <c r="F11268" t="inlineStr">
        <is>
          <t>Sveaskog</t>
        </is>
      </c>
      <c r="G11268" t="n">
        <v>39.6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20497-2025</t>
        </is>
      </c>
      <c r="B11269" s="1" t="n">
        <v>45775</v>
      </c>
      <c r="C11269" s="1" t="n">
        <v>45798</v>
      </c>
      <c r="D11269" t="inlineStr">
        <is>
          <t>NORRBOTTENS LÄN</t>
        </is>
      </c>
      <c r="E11269" t="inlineStr">
        <is>
          <t>PITEÅ</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20439-2025</t>
        </is>
      </c>
      <c r="B11270" s="1" t="n">
        <v>45775</v>
      </c>
      <c r="C11270" s="1" t="n">
        <v>45798</v>
      </c>
      <c r="D11270" t="inlineStr">
        <is>
          <t>NORRBOTTENS LÄN</t>
        </is>
      </c>
      <c r="E11270" t="inlineStr">
        <is>
          <t>ÖVERTORNEÅ</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20391-2025</t>
        </is>
      </c>
      <c r="B11271" s="1" t="n">
        <v>45775</v>
      </c>
      <c r="C11271" s="1" t="n">
        <v>45798</v>
      </c>
      <c r="D11271" t="inlineStr">
        <is>
          <t>NORRBOTTENS LÄN</t>
        </is>
      </c>
      <c r="E11271" t="inlineStr">
        <is>
          <t>PITEÅ</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20558-2025</t>
        </is>
      </c>
      <c r="B11272" s="1" t="n">
        <v>45775</v>
      </c>
      <c r="C11272" s="1" t="n">
        <v>45798</v>
      </c>
      <c r="D11272" t="inlineStr">
        <is>
          <t>NORRBOTTENS LÄN</t>
        </is>
      </c>
      <c r="E11272" t="inlineStr">
        <is>
          <t>KIRUNA</t>
        </is>
      </c>
      <c r="G11272" t="n">
        <v>23.3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20578-2025</t>
        </is>
      </c>
      <c r="B11273" s="1" t="n">
        <v>45775</v>
      </c>
      <c r="C11273" s="1" t="n">
        <v>45798</v>
      </c>
      <c r="D11273" t="inlineStr">
        <is>
          <t>NORRBOTTENS LÄN</t>
        </is>
      </c>
      <c r="E11273" t="inlineStr">
        <is>
          <t>KIRUNA</t>
        </is>
      </c>
      <c r="F11273" t="inlineStr">
        <is>
          <t>Sveaskog</t>
        </is>
      </c>
      <c r="G11273" t="n">
        <v>12.5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20445-2025</t>
        </is>
      </c>
      <c r="B11274" s="1" t="n">
        <v>45775</v>
      </c>
      <c r="C11274" s="1" t="n">
        <v>45798</v>
      </c>
      <c r="D11274" t="inlineStr">
        <is>
          <t>NORRBOTTENS LÄN</t>
        </is>
      </c>
      <c r="E11274" t="inlineStr">
        <is>
          <t>PITEÅ</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20567-2025</t>
        </is>
      </c>
      <c r="B11275" s="1" t="n">
        <v>45775</v>
      </c>
      <c r="C11275" s="1" t="n">
        <v>45798</v>
      </c>
      <c r="D11275" t="inlineStr">
        <is>
          <t>NORRBOTTENS LÄN</t>
        </is>
      </c>
      <c r="E11275" t="inlineStr">
        <is>
          <t>KIRUNA</t>
        </is>
      </c>
      <c r="F11275" t="inlineStr">
        <is>
          <t>Sveaskog</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20581-2025</t>
        </is>
      </c>
      <c r="B11276" s="1" t="n">
        <v>45775</v>
      </c>
      <c r="C11276" s="1" t="n">
        <v>45798</v>
      </c>
      <c r="D11276" t="inlineStr">
        <is>
          <t>NORRBOTTENS LÄN</t>
        </is>
      </c>
      <c r="E11276" t="inlineStr">
        <is>
          <t>KIRUNA</t>
        </is>
      </c>
      <c r="F11276" t="inlineStr">
        <is>
          <t>Sveaskog</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20753-2025</t>
        </is>
      </c>
      <c r="B11277" s="1" t="n">
        <v>45776</v>
      </c>
      <c r="C11277" s="1" t="n">
        <v>45798</v>
      </c>
      <c r="D11277" t="inlineStr">
        <is>
          <t>NORRBOTTENS LÄN</t>
        </is>
      </c>
      <c r="E11277" t="inlineStr">
        <is>
          <t>ÄLVSBYN</t>
        </is>
      </c>
      <c r="F11277" t="inlineStr">
        <is>
          <t>Övriga Aktiebolag</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20764-2025</t>
        </is>
      </c>
      <c r="B11278" s="1" t="n">
        <v>45776</v>
      </c>
      <c r="C11278" s="1" t="n">
        <v>45798</v>
      </c>
      <c r="D11278" t="inlineStr">
        <is>
          <t>NORRBOTTENS LÄN</t>
        </is>
      </c>
      <c r="E11278" t="inlineStr">
        <is>
          <t>KIRUNA</t>
        </is>
      </c>
      <c r="F11278" t="inlineStr">
        <is>
          <t>Sveaskog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20770-2025</t>
        </is>
      </c>
      <c r="B11279" s="1" t="n">
        <v>45776</v>
      </c>
      <c r="C11279" s="1" t="n">
        <v>45798</v>
      </c>
      <c r="D11279" t="inlineStr">
        <is>
          <t>NORRBOTTENS LÄN</t>
        </is>
      </c>
      <c r="E11279" t="inlineStr">
        <is>
          <t>KIRUNA</t>
        </is>
      </c>
      <c r="F11279" t="inlineStr">
        <is>
          <t>Sveaskog</t>
        </is>
      </c>
      <c r="G11279" t="n">
        <v>5.5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20632-2025</t>
        </is>
      </c>
      <c r="B11280" s="1" t="n">
        <v>45776</v>
      </c>
      <c r="C11280" s="1" t="n">
        <v>45798</v>
      </c>
      <c r="D11280" t="inlineStr">
        <is>
          <t>NORRBOTTENS LÄN</t>
        </is>
      </c>
      <c r="E11280" t="inlineStr">
        <is>
          <t>PITEÅ</t>
        </is>
      </c>
      <c r="F11280" t="inlineStr">
        <is>
          <t>SCA</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20893-2025</t>
        </is>
      </c>
      <c r="B11281" s="1" t="n">
        <v>45776</v>
      </c>
      <c r="C11281" s="1" t="n">
        <v>45798</v>
      </c>
      <c r="D11281" t="inlineStr">
        <is>
          <t>NORRBOTTENS LÄN</t>
        </is>
      </c>
      <c r="E11281" t="inlineStr">
        <is>
          <t>KIRUNA</t>
        </is>
      </c>
      <c r="G11281" t="n">
        <v>27.3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20727-2025</t>
        </is>
      </c>
      <c r="B11282" s="1" t="n">
        <v>45776</v>
      </c>
      <c r="C11282" s="1" t="n">
        <v>45798</v>
      </c>
      <c r="D11282" t="inlineStr">
        <is>
          <t>NORRBOTTENS LÄN</t>
        </is>
      </c>
      <c r="E11282" t="inlineStr">
        <is>
          <t>HAPARANDA</t>
        </is>
      </c>
      <c r="G11282" t="n">
        <v>8.4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20649-2025</t>
        </is>
      </c>
      <c r="B11283" s="1" t="n">
        <v>45776</v>
      </c>
      <c r="C11283" s="1" t="n">
        <v>45798</v>
      </c>
      <c r="D11283" t="inlineStr">
        <is>
          <t>NORRBOTTENS LÄN</t>
        </is>
      </c>
      <c r="E11283" t="inlineStr">
        <is>
          <t>PITEÅ</t>
        </is>
      </c>
      <c r="G11283" t="n">
        <v>10.3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20668-2025</t>
        </is>
      </c>
      <c r="B11284" s="1" t="n">
        <v>45776</v>
      </c>
      <c r="C11284" s="1" t="n">
        <v>45798</v>
      </c>
      <c r="D11284" t="inlineStr">
        <is>
          <t>NORRBOTTENS LÄN</t>
        </is>
      </c>
      <c r="E11284" t="inlineStr">
        <is>
          <t>PITEÅ</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20769-2025</t>
        </is>
      </c>
      <c r="B11285" s="1" t="n">
        <v>45776</v>
      </c>
      <c r="C11285" s="1" t="n">
        <v>45798</v>
      </c>
      <c r="D11285" t="inlineStr">
        <is>
          <t>NORRBOTTENS LÄN</t>
        </is>
      </c>
      <c r="E11285" t="inlineStr">
        <is>
          <t>PAJALA</t>
        </is>
      </c>
      <c r="F11285" t="inlineStr">
        <is>
          <t>Sveaskog</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20801-2025</t>
        </is>
      </c>
      <c r="B11286" s="1" t="n">
        <v>45776</v>
      </c>
      <c r="C11286" s="1" t="n">
        <v>45798</v>
      </c>
      <c r="D11286" t="inlineStr">
        <is>
          <t>NORRBOTTENS LÄN</t>
        </is>
      </c>
      <c r="E11286" t="inlineStr">
        <is>
          <t>KALIX</t>
        </is>
      </c>
      <c r="F11286" t="inlineStr">
        <is>
          <t>Sveaskog</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20646-2025</t>
        </is>
      </c>
      <c r="B11287" s="1" t="n">
        <v>45776</v>
      </c>
      <c r="C11287" s="1" t="n">
        <v>45798</v>
      </c>
      <c r="D11287" t="inlineStr">
        <is>
          <t>NORRBOTTENS LÄN</t>
        </is>
      </c>
      <c r="E11287" t="inlineStr">
        <is>
          <t>PITEÅ</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20905-2025</t>
        </is>
      </c>
      <c r="B11288" s="1" t="n">
        <v>45777</v>
      </c>
      <c r="C11288" s="1" t="n">
        <v>45798</v>
      </c>
      <c r="D11288" t="inlineStr">
        <is>
          <t>NORRBOTTENS LÄN</t>
        </is>
      </c>
      <c r="E11288" t="inlineStr">
        <is>
          <t>ARJEPLOG</t>
        </is>
      </c>
      <c r="G11288" t="n">
        <v>10.6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21112-2025</t>
        </is>
      </c>
      <c r="B11289" s="1" t="n">
        <v>45777</v>
      </c>
      <c r="C11289" s="1" t="n">
        <v>45798</v>
      </c>
      <c r="D11289" t="inlineStr">
        <is>
          <t>NORRBOTTENS LÄN</t>
        </is>
      </c>
      <c r="E11289" t="inlineStr">
        <is>
          <t>KIRUNA</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21058-2025</t>
        </is>
      </c>
      <c r="B11290" s="1" t="n">
        <v>45777</v>
      </c>
      <c r="C11290" s="1" t="n">
        <v>45798</v>
      </c>
      <c r="D11290" t="inlineStr">
        <is>
          <t>NORRBOTTENS LÄN</t>
        </is>
      </c>
      <c r="E11290" t="inlineStr">
        <is>
          <t>PAJALA</t>
        </is>
      </c>
      <c r="F11290" t="inlineStr">
        <is>
          <t>Sveaskog</t>
        </is>
      </c>
      <c r="G11290" t="n">
        <v>44.2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21141-2025</t>
        </is>
      </c>
      <c r="B11291" s="1" t="n">
        <v>45777</v>
      </c>
      <c r="C11291" s="1" t="n">
        <v>45798</v>
      </c>
      <c r="D11291" t="inlineStr">
        <is>
          <t>NORRBOTTENS LÄN</t>
        </is>
      </c>
      <c r="E11291" t="inlineStr">
        <is>
          <t>KALIX</t>
        </is>
      </c>
      <c r="G11291" t="n">
        <v>16.1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21101-2025</t>
        </is>
      </c>
      <c r="B11292" s="1" t="n">
        <v>45777</v>
      </c>
      <c r="C11292" s="1" t="n">
        <v>45798</v>
      </c>
      <c r="D11292" t="inlineStr">
        <is>
          <t>NORRBOTTENS LÄN</t>
        </is>
      </c>
      <c r="E11292" t="inlineStr">
        <is>
          <t>PAJALA</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21100-2025</t>
        </is>
      </c>
      <c r="B11293" s="1" t="n">
        <v>45777</v>
      </c>
      <c r="C11293" s="1" t="n">
        <v>45798</v>
      </c>
      <c r="D11293" t="inlineStr">
        <is>
          <t>NORRBOTTENS LÄN</t>
        </is>
      </c>
      <c r="E11293" t="inlineStr">
        <is>
          <t>PAJALA</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20996-2025</t>
        </is>
      </c>
      <c r="B11294" s="1" t="n">
        <v>45777</v>
      </c>
      <c r="C11294" s="1" t="n">
        <v>45798</v>
      </c>
      <c r="D11294" t="inlineStr">
        <is>
          <t>NORRBOTTENS LÄN</t>
        </is>
      </c>
      <c r="E11294" t="inlineStr">
        <is>
          <t>ARVIDSJAUR</t>
        </is>
      </c>
      <c r="F11294" t="inlineStr">
        <is>
          <t>Allmännings- och besparingsskogar</t>
        </is>
      </c>
      <c r="G11294" t="n">
        <v>28.2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20879-2025</t>
        </is>
      </c>
      <c r="B11295" s="1" t="n">
        <v>45777</v>
      </c>
      <c r="C11295" s="1" t="n">
        <v>45798</v>
      </c>
      <c r="D11295" t="inlineStr">
        <is>
          <t>NORRBOTTENS LÄN</t>
        </is>
      </c>
      <c r="E11295" t="inlineStr">
        <is>
          <t>ÄLVSBYN</t>
        </is>
      </c>
      <c r="G11295" t="n">
        <v>8.300000000000001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21184-2025</t>
        </is>
      </c>
      <c r="B11296" s="1" t="n">
        <v>45777</v>
      </c>
      <c r="C11296" s="1" t="n">
        <v>45798</v>
      </c>
      <c r="D11296" t="inlineStr">
        <is>
          <t>NORRBOTTENS LÄN</t>
        </is>
      </c>
      <c r="E11296" t="inlineStr">
        <is>
          <t>KIRUNA</t>
        </is>
      </c>
      <c r="G11296" t="n">
        <v>20.1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20916-2025</t>
        </is>
      </c>
      <c r="B11297" s="1" t="n">
        <v>45777</v>
      </c>
      <c r="C11297" s="1" t="n">
        <v>45798</v>
      </c>
      <c r="D11297" t="inlineStr">
        <is>
          <t>NORRBOTTENS LÄN</t>
        </is>
      </c>
      <c r="E11297" t="inlineStr">
        <is>
          <t>ARJEPLOG</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21055-2025</t>
        </is>
      </c>
      <c r="B11298" s="1" t="n">
        <v>45777</v>
      </c>
      <c r="C11298" s="1" t="n">
        <v>45798</v>
      </c>
      <c r="D11298" t="inlineStr">
        <is>
          <t>NORRBOTTENS LÄN</t>
        </is>
      </c>
      <c r="E11298" t="inlineStr">
        <is>
          <t>LULEÅ</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21103-2025</t>
        </is>
      </c>
      <c r="B11299" s="1" t="n">
        <v>45777</v>
      </c>
      <c r="C11299" s="1" t="n">
        <v>45798</v>
      </c>
      <c r="D11299" t="inlineStr">
        <is>
          <t>NORRBOTTENS LÄN</t>
        </is>
      </c>
      <c r="E11299" t="inlineStr">
        <is>
          <t>PAJALA</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20919-2025</t>
        </is>
      </c>
      <c r="B11300" s="1" t="n">
        <v>45777</v>
      </c>
      <c r="C11300" s="1" t="n">
        <v>45798</v>
      </c>
      <c r="D11300" t="inlineStr">
        <is>
          <t>NORRBOTTENS LÄN</t>
        </is>
      </c>
      <c r="E11300" t="inlineStr">
        <is>
          <t>ARJEPLOG</t>
        </is>
      </c>
      <c r="G11300" t="n">
        <v>78.40000000000001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20884-2025</t>
        </is>
      </c>
      <c r="B11301" s="1" t="n">
        <v>45777</v>
      </c>
      <c r="C11301" s="1" t="n">
        <v>45798</v>
      </c>
      <c r="D11301" t="inlineStr">
        <is>
          <t>NORRBOTTENS LÄN</t>
        </is>
      </c>
      <c r="E11301" t="inlineStr">
        <is>
          <t>GÄLLIVARE</t>
        </is>
      </c>
      <c r="F11301" t="inlineStr">
        <is>
          <t>Sveaskog</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20895-2025</t>
        </is>
      </c>
      <c r="B11302" s="1" t="n">
        <v>45777</v>
      </c>
      <c r="C11302" s="1" t="n">
        <v>45798</v>
      </c>
      <c r="D11302" t="inlineStr">
        <is>
          <t>NORRBOTTENS LÄN</t>
        </is>
      </c>
      <c r="E11302" t="inlineStr">
        <is>
          <t>KALIX</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20896-2025</t>
        </is>
      </c>
      <c r="B11303" s="1" t="n">
        <v>45777</v>
      </c>
      <c r="C11303" s="1" t="n">
        <v>45798</v>
      </c>
      <c r="D11303" t="inlineStr">
        <is>
          <t>NORRBOTTENS LÄN</t>
        </is>
      </c>
      <c r="E11303" t="inlineStr">
        <is>
          <t>ARJEPLOG</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21057-2025</t>
        </is>
      </c>
      <c r="B11304" s="1" t="n">
        <v>45777</v>
      </c>
      <c r="C11304" s="1" t="n">
        <v>45798</v>
      </c>
      <c r="D11304" t="inlineStr">
        <is>
          <t>NORRBOTTENS LÄN</t>
        </is>
      </c>
      <c r="E11304" t="inlineStr">
        <is>
          <t>LULEÅ</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21053-2025</t>
        </is>
      </c>
      <c r="B11305" s="1" t="n">
        <v>45777</v>
      </c>
      <c r="C11305" s="1" t="n">
        <v>45798</v>
      </c>
      <c r="D11305" t="inlineStr">
        <is>
          <t>NORRBOTTENS LÄN</t>
        </is>
      </c>
      <c r="E11305" t="inlineStr">
        <is>
          <t>ÖVERKALIX</t>
        </is>
      </c>
      <c r="F11305" t="inlineStr">
        <is>
          <t>Sveaskog</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21128-2025</t>
        </is>
      </c>
      <c r="B11306" s="1" t="n">
        <v>45778</v>
      </c>
      <c r="C11306" s="1" t="n">
        <v>45798</v>
      </c>
      <c r="D11306" t="inlineStr">
        <is>
          <t>NORRBOTTENS LÄN</t>
        </is>
      </c>
      <c r="E11306" t="inlineStr">
        <is>
          <t>BODEN</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21246-2025</t>
        </is>
      </c>
      <c r="B11307" s="1" t="n">
        <v>45779</v>
      </c>
      <c r="C11307" s="1" t="n">
        <v>45798</v>
      </c>
      <c r="D11307" t="inlineStr">
        <is>
          <t>NORRBOTTENS LÄN</t>
        </is>
      </c>
      <c r="E11307" t="inlineStr">
        <is>
          <t>GÄLLIVARE</t>
        </is>
      </c>
      <c r="F11307" t="inlineStr">
        <is>
          <t>SCA</t>
        </is>
      </c>
      <c r="G11307" t="n">
        <v>16.6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21209-2025</t>
        </is>
      </c>
      <c r="B11308" s="1" t="n">
        <v>45779</v>
      </c>
      <c r="C11308" s="1" t="n">
        <v>45798</v>
      </c>
      <c r="D11308" t="inlineStr">
        <is>
          <t>NORRBOTTENS LÄN</t>
        </is>
      </c>
      <c r="E11308" t="inlineStr">
        <is>
          <t>ÖVERKALIX</t>
        </is>
      </c>
      <c r="F11308" t="inlineStr">
        <is>
          <t>Sveaskog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21187-2025</t>
        </is>
      </c>
      <c r="B11309" s="1" t="n">
        <v>45779</v>
      </c>
      <c r="C11309" s="1" t="n">
        <v>45798</v>
      </c>
      <c r="D11309" t="inlineStr">
        <is>
          <t>NORRBOTTENS LÄN</t>
        </is>
      </c>
      <c r="E11309" t="inlineStr">
        <is>
          <t>ÖVERKALIX</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21275-2025</t>
        </is>
      </c>
      <c r="B11310" s="1" t="n">
        <v>45779</v>
      </c>
      <c r="C11310" s="1" t="n">
        <v>45798</v>
      </c>
      <c r="D11310" t="inlineStr">
        <is>
          <t>NORRBOTTENS LÄN</t>
        </is>
      </c>
      <c r="E11310" t="inlineStr">
        <is>
          <t>GÄLLIVARE</t>
        </is>
      </c>
      <c r="F11310" t="inlineStr">
        <is>
          <t>SCA</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21295-2025</t>
        </is>
      </c>
      <c r="B11311" s="1" t="n">
        <v>45780</v>
      </c>
      <c r="C11311" s="1" t="n">
        <v>45798</v>
      </c>
      <c r="D11311" t="inlineStr">
        <is>
          <t>NORRBOTTENS LÄN</t>
        </is>
      </c>
      <c r="E11311" t="inlineStr">
        <is>
          <t>PAJALA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21516-2025</t>
        </is>
      </c>
      <c r="B11312" s="1" t="n">
        <v>45782</v>
      </c>
      <c r="C11312" s="1" t="n">
        <v>45798</v>
      </c>
      <c r="D11312" t="inlineStr">
        <is>
          <t>NORRBOTTENS LÄN</t>
        </is>
      </c>
      <c r="E11312" t="inlineStr">
        <is>
          <t>ÖVERKALIX</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21520-2025</t>
        </is>
      </c>
      <c r="B11313" s="1" t="n">
        <v>45782</v>
      </c>
      <c r="C11313" s="1" t="n">
        <v>45798</v>
      </c>
      <c r="D11313" t="inlineStr">
        <is>
          <t>NORRBOTTENS LÄN</t>
        </is>
      </c>
      <c r="E11313" t="inlineStr">
        <is>
          <t>ÖVERKALIX</t>
        </is>
      </c>
      <c r="F11313" t="inlineStr">
        <is>
          <t>SCA</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21380-2025</t>
        </is>
      </c>
      <c r="B11314" s="1" t="n">
        <v>45782</v>
      </c>
      <c r="C11314" s="1" t="n">
        <v>45798</v>
      </c>
      <c r="D11314" t="inlineStr">
        <is>
          <t>NORRBOTTENS LÄN</t>
        </is>
      </c>
      <c r="E11314" t="inlineStr">
        <is>
          <t>PAJALA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21534-2025</t>
        </is>
      </c>
      <c r="B11315" s="1" t="n">
        <v>45782</v>
      </c>
      <c r="C11315" s="1" t="n">
        <v>45798</v>
      </c>
      <c r="D11315" t="inlineStr">
        <is>
          <t>NORRBOTTENS LÄN</t>
        </is>
      </c>
      <c r="E11315" t="inlineStr">
        <is>
          <t>HAPARANDA</t>
        </is>
      </c>
      <c r="F11315" t="inlineStr">
        <is>
          <t>Kommuner</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21444-2025</t>
        </is>
      </c>
      <c r="B11316" s="1" t="n">
        <v>45782</v>
      </c>
      <c r="C11316" s="1" t="n">
        <v>45798</v>
      </c>
      <c r="D11316" t="inlineStr">
        <is>
          <t>NORRBOTTENS LÄN</t>
        </is>
      </c>
      <c r="E11316" t="inlineStr">
        <is>
          <t>PITEÅ</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21498-2025</t>
        </is>
      </c>
      <c r="B11317" s="1" t="n">
        <v>45782</v>
      </c>
      <c r="C11317" s="1" t="n">
        <v>45798</v>
      </c>
      <c r="D11317" t="inlineStr">
        <is>
          <t>NORRBOTTENS LÄN</t>
        </is>
      </c>
      <c r="E11317" t="inlineStr">
        <is>
          <t>PITEÅ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21494-2025</t>
        </is>
      </c>
      <c r="B11318" s="1" t="n">
        <v>45782</v>
      </c>
      <c r="C11318" s="1" t="n">
        <v>45798</v>
      </c>
      <c r="D11318" t="inlineStr">
        <is>
          <t>NORRBOTTENS LÄN</t>
        </is>
      </c>
      <c r="E11318" t="inlineStr">
        <is>
          <t>PITEÅ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21547-2025</t>
        </is>
      </c>
      <c r="B11319" s="1" t="n">
        <v>45782</v>
      </c>
      <c r="C11319" s="1" t="n">
        <v>45798</v>
      </c>
      <c r="D11319" t="inlineStr">
        <is>
          <t>NORRBOTTENS LÄN</t>
        </is>
      </c>
      <c r="E11319" t="inlineStr">
        <is>
          <t>HAPARANDA</t>
        </is>
      </c>
      <c r="F11319" t="inlineStr">
        <is>
          <t>Kommuner</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21540-2025</t>
        </is>
      </c>
      <c r="B11320" s="1" t="n">
        <v>45782</v>
      </c>
      <c r="C11320" s="1" t="n">
        <v>45798</v>
      </c>
      <c r="D11320" t="inlineStr">
        <is>
          <t>NORRBOTTENS LÄN</t>
        </is>
      </c>
      <c r="E11320" t="inlineStr">
        <is>
          <t>PITEÅ</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21522-2025</t>
        </is>
      </c>
      <c r="B11321" s="1" t="n">
        <v>45782</v>
      </c>
      <c r="C11321" s="1" t="n">
        <v>45798</v>
      </c>
      <c r="D11321" t="inlineStr">
        <is>
          <t>NORRBOTTENS LÄN</t>
        </is>
      </c>
      <c r="E11321" t="inlineStr">
        <is>
          <t>HAPARANDA</t>
        </is>
      </c>
      <c r="F11321" t="inlineStr">
        <is>
          <t>Kommuner</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21577-2025</t>
        </is>
      </c>
      <c r="B11322" s="1" t="n">
        <v>45782</v>
      </c>
      <c r="C11322" s="1" t="n">
        <v>45798</v>
      </c>
      <c r="D11322" t="inlineStr">
        <is>
          <t>NORRBOTTENS LÄN</t>
        </is>
      </c>
      <c r="E11322" t="inlineStr">
        <is>
          <t>HAPARANDA</t>
        </is>
      </c>
      <c r="F11322" t="inlineStr">
        <is>
          <t>Kommuner</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21349-2025</t>
        </is>
      </c>
      <c r="B11323" s="1" t="n">
        <v>45782</v>
      </c>
      <c r="C11323" s="1" t="n">
        <v>45798</v>
      </c>
      <c r="D11323" t="inlineStr">
        <is>
          <t>NORRBOTTENS LÄN</t>
        </is>
      </c>
      <c r="E11323" t="inlineStr">
        <is>
          <t>BODEN</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21423-2025</t>
        </is>
      </c>
      <c r="B11324" s="1" t="n">
        <v>45782</v>
      </c>
      <c r="C11324" s="1" t="n">
        <v>45798</v>
      </c>
      <c r="D11324" t="inlineStr">
        <is>
          <t>NORRBOTTENS LÄN</t>
        </is>
      </c>
      <c r="E11324" t="inlineStr">
        <is>
          <t>ÖVERKALIX</t>
        </is>
      </c>
      <c r="F11324" t="inlineStr">
        <is>
          <t>Sveaskog</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21386-2025</t>
        </is>
      </c>
      <c r="B11325" s="1" t="n">
        <v>45782</v>
      </c>
      <c r="C11325" s="1" t="n">
        <v>45798</v>
      </c>
      <c r="D11325" t="inlineStr">
        <is>
          <t>NORRBOTTENS LÄN</t>
        </is>
      </c>
      <c r="E11325" t="inlineStr">
        <is>
          <t>ÖVERTORNEÅ</t>
        </is>
      </c>
      <c r="G11325" t="n">
        <v>30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21825-2025</t>
        </is>
      </c>
      <c r="B11326" s="1" t="n">
        <v>45783</v>
      </c>
      <c r="C11326" s="1" t="n">
        <v>45798</v>
      </c>
      <c r="D11326" t="inlineStr">
        <is>
          <t>NORRBOTTENS LÄN</t>
        </is>
      </c>
      <c r="E11326" t="inlineStr">
        <is>
          <t>ÖVERKALIX</t>
        </is>
      </c>
      <c r="G11326" t="n">
        <v>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21593-2025</t>
        </is>
      </c>
      <c r="B11327" s="1" t="n">
        <v>45783</v>
      </c>
      <c r="C11327" s="1" t="n">
        <v>45798</v>
      </c>
      <c r="D11327" t="inlineStr">
        <is>
          <t>NORRBOTTENS LÄN</t>
        </is>
      </c>
      <c r="E11327" t="inlineStr">
        <is>
          <t>PITEÅ</t>
        </is>
      </c>
      <c r="F11327" t="inlineStr">
        <is>
          <t>SCA</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21826-2025</t>
        </is>
      </c>
      <c r="B11328" s="1" t="n">
        <v>45783</v>
      </c>
      <c r="C11328" s="1" t="n">
        <v>45798</v>
      </c>
      <c r="D11328" t="inlineStr">
        <is>
          <t>NORRBOTTENS LÄN</t>
        </is>
      </c>
      <c r="E11328" t="inlineStr">
        <is>
          <t>ÖVERKALIX</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21824-2025</t>
        </is>
      </c>
      <c r="B11329" s="1" t="n">
        <v>45783</v>
      </c>
      <c r="C11329" s="1" t="n">
        <v>45798</v>
      </c>
      <c r="D11329" t="inlineStr">
        <is>
          <t>NORRBOTTENS LÄN</t>
        </is>
      </c>
      <c r="E11329" t="inlineStr">
        <is>
          <t>ÖVERKALIX</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21829-2025</t>
        </is>
      </c>
      <c r="B11330" s="1" t="n">
        <v>45784</v>
      </c>
      <c r="C11330" s="1" t="n">
        <v>45798</v>
      </c>
      <c r="D11330" t="inlineStr">
        <is>
          <t>NORRBOTTENS LÄN</t>
        </is>
      </c>
      <c r="E11330" t="inlineStr">
        <is>
          <t>JOKKMOKK</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21710-2025</t>
        </is>
      </c>
      <c r="B11331" s="1" t="n">
        <v>45783</v>
      </c>
      <c r="C11331" s="1" t="n">
        <v>45798</v>
      </c>
      <c r="D11331" t="inlineStr">
        <is>
          <t>NORRBOTTENS LÄN</t>
        </is>
      </c>
      <c r="E11331" t="inlineStr">
        <is>
          <t>JOKKMOKK</t>
        </is>
      </c>
      <c r="F11331" t="inlineStr">
        <is>
          <t>SCA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21705-2025</t>
        </is>
      </c>
      <c r="B11332" s="1" t="n">
        <v>45783</v>
      </c>
      <c r="C11332" s="1" t="n">
        <v>45798</v>
      </c>
      <c r="D11332" t="inlineStr">
        <is>
          <t>NORRBOTTENS LÄN</t>
        </is>
      </c>
      <c r="E11332" t="inlineStr">
        <is>
          <t>PITEÅ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21584-2025</t>
        </is>
      </c>
      <c r="B11333" s="1" t="n">
        <v>45783</v>
      </c>
      <c r="C11333" s="1" t="n">
        <v>45798</v>
      </c>
      <c r="D11333" t="inlineStr">
        <is>
          <t>NORRBOTTENS LÄN</t>
        </is>
      </c>
      <c r="E11333" t="inlineStr">
        <is>
          <t>BODEN</t>
        </is>
      </c>
      <c r="G11333" t="n">
        <v>9.1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21990-2025</t>
        </is>
      </c>
      <c r="B11334" s="1" t="n">
        <v>45784</v>
      </c>
      <c r="C11334" s="1" t="n">
        <v>45798</v>
      </c>
      <c r="D11334" t="inlineStr">
        <is>
          <t>NORRBOTTENS LÄN</t>
        </is>
      </c>
      <c r="E11334" t="inlineStr">
        <is>
          <t>ÄLVSBYN</t>
        </is>
      </c>
      <c r="F11334" t="inlineStr">
        <is>
          <t>Övriga Aktiebolag</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21875-2025</t>
        </is>
      </c>
      <c r="B11335" s="1" t="n">
        <v>45784</v>
      </c>
      <c r="C11335" s="1" t="n">
        <v>45798</v>
      </c>
      <c r="D11335" t="inlineStr">
        <is>
          <t>NORRBOTTENS LÄN</t>
        </is>
      </c>
      <c r="E11335" t="inlineStr">
        <is>
          <t>KALIX</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21993-2025</t>
        </is>
      </c>
      <c r="B11336" s="1" t="n">
        <v>45784</v>
      </c>
      <c r="C11336" s="1" t="n">
        <v>45798</v>
      </c>
      <c r="D11336" t="inlineStr">
        <is>
          <t>NORRBOTTENS LÄN</t>
        </is>
      </c>
      <c r="E11336" t="inlineStr">
        <is>
          <t>ÖVERTORNEÅ</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21874-2025</t>
        </is>
      </c>
      <c r="B11337" s="1" t="n">
        <v>45784</v>
      </c>
      <c r="C11337" s="1" t="n">
        <v>45798</v>
      </c>
      <c r="D11337" t="inlineStr">
        <is>
          <t>NORRBOTTENS LÄN</t>
        </is>
      </c>
      <c r="E11337" t="inlineStr">
        <is>
          <t>HAPARANDA</t>
        </is>
      </c>
      <c r="F11337" t="inlineStr">
        <is>
          <t>Kommuner</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21919-2025</t>
        </is>
      </c>
      <c r="B11338" s="1" t="n">
        <v>45784</v>
      </c>
      <c r="C11338" s="1" t="n">
        <v>45798</v>
      </c>
      <c r="D11338" t="inlineStr">
        <is>
          <t>NORRBOTTENS LÄN</t>
        </is>
      </c>
      <c r="E11338" t="inlineStr">
        <is>
          <t>KALIX</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22216-2025</t>
        </is>
      </c>
      <c r="B11339" s="1" t="n">
        <v>45785</v>
      </c>
      <c r="C11339" s="1" t="n">
        <v>45798</v>
      </c>
      <c r="D11339" t="inlineStr">
        <is>
          <t>NORRBOTTENS LÄN</t>
        </is>
      </c>
      <c r="E11339" t="inlineStr">
        <is>
          <t>KALIX</t>
        </is>
      </c>
      <c r="F11339" t="inlineStr">
        <is>
          <t>SCA</t>
        </is>
      </c>
      <c r="G11339" t="n">
        <v>20.9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22108-2025</t>
        </is>
      </c>
      <c r="B11340" s="1" t="n">
        <v>45785</v>
      </c>
      <c r="C11340" s="1" t="n">
        <v>45798</v>
      </c>
      <c r="D11340" t="inlineStr">
        <is>
          <t>NORRBOTTENS LÄN</t>
        </is>
      </c>
      <c r="E11340" t="inlineStr">
        <is>
          <t>ÖVERKALIX</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22372-2025</t>
        </is>
      </c>
      <c r="B11341" s="1" t="n">
        <v>45786</v>
      </c>
      <c r="C11341" s="1" t="n">
        <v>45798</v>
      </c>
      <c r="D11341" t="inlineStr">
        <is>
          <t>NORRBOTTENS LÄN</t>
        </is>
      </c>
      <c r="E11341" t="inlineStr">
        <is>
          <t>BODEN</t>
        </is>
      </c>
      <c r="F11341" t="inlineStr">
        <is>
          <t>Kommuner</t>
        </is>
      </c>
      <c r="G11341" t="n">
        <v>16.3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22522-2025</t>
        </is>
      </c>
      <c r="B11342" s="1" t="n">
        <v>45786</v>
      </c>
      <c r="C11342" s="1" t="n">
        <v>45798</v>
      </c>
      <c r="D11342" t="inlineStr">
        <is>
          <t>NORRBOTTENS LÄN</t>
        </is>
      </c>
      <c r="E11342" t="inlineStr">
        <is>
          <t>PAJALA</t>
        </is>
      </c>
      <c r="F11342" t="inlineStr">
        <is>
          <t>SCA</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22318-2025</t>
        </is>
      </c>
      <c r="B11343" s="1" t="n">
        <v>45786</v>
      </c>
      <c r="C11343" s="1" t="n">
        <v>45798</v>
      </c>
      <c r="D11343" t="inlineStr">
        <is>
          <t>NORRBOTTENS LÄN</t>
        </is>
      </c>
      <c r="E11343" t="inlineStr">
        <is>
          <t>ÖVERKALIX</t>
        </is>
      </c>
      <c r="G11343" t="n">
        <v>9.199999999999999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22481-2025</t>
        </is>
      </c>
      <c r="B11344" s="1" t="n">
        <v>45786</v>
      </c>
      <c r="C11344" s="1" t="n">
        <v>45798</v>
      </c>
      <c r="D11344" t="inlineStr">
        <is>
          <t>NORRBOTTENS LÄN</t>
        </is>
      </c>
      <c r="E11344" t="inlineStr">
        <is>
          <t>ÖVERTORNEÅ</t>
        </is>
      </c>
      <c r="F11344" t="inlineStr">
        <is>
          <t>Sveaskog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22314-2025</t>
        </is>
      </c>
      <c r="B11345" s="1" t="n">
        <v>45786</v>
      </c>
      <c r="C11345" s="1" t="n">
        <v>45798</v>
      </c>
      <c r="D11345" t="inlineStr">
        <is>
          <t>NORRBOTTENS LÄN</t>
        </is>
      </c>
      <c r="E11345" t="inlineStr">
        <is>
          <t>PAJALA</t>
        </is>
      </c>
      <c r="F11345" t="inlineStr">
        <is>
          <t>SCA</t>
        </is>
      </c>
      <c r="G11345" t="n">
        <v>21.3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22618-2025</t>
        </is>
      </c>
      <c r="B11346" s="1" t="n">
        <v>45789</v>
      </c>
      <c r="C11346" s="1" t="n">
        <v>45798</v>
      </c>
      <c r="D11346" t="inlineStr">
        <is>
          <t>NORRBOTTENS LÄN</t>
        </is>
      </c>
      <c r="E11346" t="inlineStr">
        <is>
          <t>KALIX</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22726-2025</t>
        </is>
      </c>
      <c r="B11347" s="1" t="n">
        <v>45789</v>
      </c>
      <c r="C11347" s="1" t="n">
        <v>45798</v>
      </c>
      <c r="D11347" t="inlineStr">
        <is>
          <t>NORRBOTTENS LÄN</t>
        </is>
      </c>
      <c r="E11347" t="inlineStr">
        <is>
          <t>ÖVERTORNEÅ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22710-2025</t>
        </is>
      </c>
      <c r="B11348" s="1" t="n">
        <v>45789</v>
      </c>
      <c r="C11348" s="1" t="n">
        <v>45798</v>
      </c>
      <c r="D11348" t="inlineStr">
        <is>
          <t>NORRBOTTENS LÄN</t>
        </is>
      </c>
      <c r="E11348" t="inlineStr">
        <is>
          <t>ÖVERKALIX</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22703-2025</t>
        </is>
      </c>
      <c r="B11349" s="1" t="n">
        <v>45789</v>
      </c>
      <c r="C11349" s="1" t="n">
        <v>45798</v>
      </c>
      <c r="D11349" t="inlineStr">
        <is>
          <t>NORRBOTTENS LÄN</t>
        </is>
      </c>
      <c r="E11349" t="inlineStr">
        <is>
          <t>HAPARANDA</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22956-2025</t>
        </is>
      </c>
      <c r="B11350" s="1" t="n">
        <v>45789</v>
      </c>
      <c r="C11350" s="1" t="n">
        <v>45798</v>
      </c>
      <c r="D11350" t="inlineStr">
        <is>
          <t>NORRBOTTENS LÄN</t>
        </is>
      </c>
      <c r="E11350" t="inlineStr">
        <is>
          <t>PITEÅ</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22702-2025</t>
        </is>
      </c>
      <c r="B11351" s="1" t="n">
        <v>45789</v>
      </c>
      <c r="C11351" s="1" t="n">
        <v>45798</v>
      </c>
      <c r="D11351" t="inlineStr">
        <is>
          <t>NORRBOTTENS LÄN</t>
        </is>
      </c>
      <c r="E11351" t="inlineStr">
        <is>
          <t>ÖVERKALIX</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22697-2025</t>
        </is>
      </c>
      <c r="B11352" s="1" t="n">
        <v>45789</v>
      </c>
      <c r="C11352" s="1" t="n">
        <v>45798</v>
      </c>
      <c r="D11352" t="inlineStr">
        <is>
          <t>NORRBOTTENS LÄN</t>
        </is>
      </c>
      <c r="E11352" t="inlineStr">
        <is>
          <t>HAPARANDA</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23028-2025</t>
        </is>
      </c>
      <c r="B11353" s="1" t="n">
        <v>45790</v>
      </c>
      <c r="C11353" s="1" t="n">
        <v>45798</v>
      </c>
      <c r="D11353" t="inlineStr">
        <is>
          <t>NORRBOTTENS LÄN</t>
        </is>
      </c>
      <c r="E11353" t="inlineStr">
        <is>
          <t>KALIX</t>
        </is>
      </c>
      <c r="F11353" t="inlineStr">
        <is>
          <t>SCA</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23027-2025</t>
        </is>
      </c>
      <c r="B11354" s="1" t="n">
        <v>45790</v>
      </c>
      <c r="C11354" s="1" t="n">
        <v>45798</v>
      </c>
      <c r="D11354" t="inlineStr">
        <is>
          <t>NORRBOTTENS LÄN</t>
        </is>
      </c>
      <c r="E11354" t="inlineStr">
        <is>
          <t>KALIX</t>
        </is>
      </c>
      <c r="F11354" t="inlineStr">
        <is>
          <t>SCA</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23032-2025</t>
        </is>
      </c>
      <c r="B11355" s="1" t="n">
        <v>45790</v>
      </c>
      <c r="C11355" s="1" t="n">
        <v>45798</v>
      </c>
      <c r="D11355" t="inlineStr">
        <is>
          <t>NORRBOTTENS LÄN</t>
        </is>
      </c>
      <c r="E11355" t="inlineStr">
        <is>
          <t>PITEÅ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23040-2025</t>
        </is>
      </c>
      <c r="B11356" s="1" t="n">
        <v>45790</v>
      </c>
      <c r="C11356" s="1" t="n">
        <v>45798</v>
      </c>
      <c r="D11356" t="inlineStr">
        <is>
          <t>NORRBOTTENS LÄN</t>
        </is>
      </c>
      <c r="E11356" t="inlineStr">
        <is>
          <t>HAPARANDA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22978-2025</t>
        </is>
      </c>
      <c r="B11357" s="1" t="n">
        <v>45790</v>
      </c>
      <c r="C11357" s="1" t="n">
        <v>45798</v>
      </c>
      <c r="D11357" t="inlineStr">
        <is>
          <t>NORRBOTTENS LÄN</t>
        </is>
      </c>
      <c r="E11357" t="inlineStr">
        <is>
          <t>PITEÅ</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22990-2025</t>
        </is>
      </c>
      <c r="B11358" s="1" t="n">
        <v>45790</v>
      </c>
      <c r="C11358" s="1" t="n">
        <v>45798</v>
      </c>
      <c r="D11358" t="inlineStr">
        <is>
          <t>NORRBOTTENS LÄN</t>
        </is>
      </c>
      <c r="E11358" t="inlineStr">
        <is>
          <t>PITEÅ</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23044-2025</t>
        </is>
      </c>
      <c r="B11359" s="1" t="n">
        <v>45790</v>
      </c>
      <c r="C11359" s="1" t="n">
        <v>45798</v>
      </c>
      <c r="D11359" t="inlineStr">
        <is>
          <t>NORRBOTTENS LÄN</t>
        </is>
      </c>
      <c r="E11359" t="inlineStr">
        <is>
          <t>BODEN</t>
        </is>
      </c>
      <c r="F11359" t="inlineStr">
        <is>
          <t>SCA</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23129-2025</t>
        </is>
      </c>
      <c r="B11360" s="1" t="n">
        <v>45791</v>
      </c>
      <c r="C11360" s="1" t="n">
        <v>45798</v>
      </c>
      <c r="D11360" t="inlineStr">
        <is>
          <t>NORRBOTTENS LÄN</t>
        </is>
      </c>
      <c r="E11360" t="inlineStr">
        <is>
          <t>PITEÅ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23297-2025</t>
        </is>
      </c>
      <c r="B11361" s="1" t="n">
        <v>45791</v>
      </c>
      <c r="C11361" s="1" t="n">
        <v>45798</v>
      </c>
      <c r="D11361" t="inlineStr">
        <is>
          <t>NORRBOTTENS LÄN</t>
        </is>
      </c>
      <c r="E11361" t="inlineStr">
        <is>
          <t>KALIX</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23302-2025</t>
        </is>
      </c>
      <c r="B11362" s="1" t="n">
        <v>45791</v>
      </c>
      <c r="C11362" s="1" t="n">
        <v>45798</v>
      </c>
      <c r="D11362" t="inlineStr">
        <is>
          <t>NORRBOTTENS LÄN</t>
        </is>
      </c>
      <c r="E11362" t="inlineStr">
        <is>
          <t>BODEN</t>
        </is>
      </c>
      <c r="F11362" t="inlineStr">
        <is>
          <t>Sveaskog</t>
        </is>
      </c>
      <c r="G11362" t="n">
        <v>14.5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23172-2025</t>
        </is>
      </c>
      <c r="B11363" s="1" t="n">
        <v>45791</v>
      </c>
      <c r="C11363" s="1" t="n">
        <v>45798</v>
      </c>
      <c r="D11363" t="inlineStr">
        <is>
          <t>NORRBOTTENS LÄN</t>
        </is>
      </c>
      <c r="E11363" t="inlineStr">
        <is>
          <t>ÄLVSBYN</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23092-2025</t>
        </is>
      </c>
      <c r="B11364" s="1" t="n">
        <v>45791</v>
      </c>
      <c r="C11364" s="1" t="n">
        <v>45798</v>
      </c>
      <c r="D11364" t="inlineStr">
        <is>
          <t>NORRBOTTENS LÄN</t>
        </is>
      </c>
      <c r="E11364" t="inlineStr">
        <is>
          <t>BODEN</t>
        </is>
      </c>
      <c r="F11364" t="inlineStr">
        <is>
          <t>SCA</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23109-2025</t>
        </is>
      </c>
      <c r="B11365" s="1" t="n">
        <v>45791</v>
      </c>
      <c r="C11365" s="1" t="n">
        <v>45798</v>
      </c>
      <c r="D11365" t="inlineStr">
        <is>
          <t>NORRBOTTENS LÄN</t>
        </is>
      </c>
      <c r="E11365" t="inlineStr">
        <is>
          <t>PAJALA</t>
        </is>
      </c>
      <c r="F11365" t="inlineStr">
        <is>
          <t>SCA</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23150-2025</t>
        </is>
      </c>
      <c r="B11366" s="1" t="n">
        <v>45791</v>
      </c>
      <c r="C11366" s="1" t="n">
        <v>45798</v>
      </c>
      <c r="D11366" t="inlineStr">
        <is>
          <t>NORRBOTTENS LÄN</t>
        </is>
      </c>
      <c r="E11366" t="inlineStr">
        <is>
          <t>ÄLVSBYN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23161-2025</t>
        </is>
      </c>
      <c r="B11367" s="1" t="n">
        <v>45791</v>
      </c>
      <c r="C11367" s="1" t="n">
        <v>45798</v>
      </c>
      <c r="D11367" t="inlineStr">
        <is>
          <t>NORRBOTTENS LÄN</t>
        </is>
      </c>
      <c r="E11367" t="inlineStr">
        <is>
          <t>PITEÅ</t>
        </is>
      </c>
      <c r="G11367" t="n">
        <v>16.7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23317-2025</t>
        </is>
      </c>
      <c r="B11368" s="1" t="n">
        <v>45791</v>
      </c>
      <c r="C11368" s="1" t="n">
        <v>45798</v>
      </c>
      <c r="D11368" t="inlineStr">
        <is>
          <t>NORRBOTTENS LÄN</t>
        </is>
      </c>
      <c r="E11368" t="inlineStr">
        <is>
          <t>JOKKMOKK</t>
        </is>
      </c>
      <c r="F11368" t="inlineStr">
        <is>
          <t>Sveaskog</t>
        </is>
      </c>
      <c r="G11368" t="n">
        <v>22.4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23323-2025</t>
        </is>
      </c>
      <c r="B11369" s="1" t="n">
        <v>45791</v>
      </c>
      <c r="C11369" s="1" t="n">
        <v>45798</v>
      </c>
      <c r="D11369" t="inlineStr">
        <is>
          <t>NORRBOTTENS LÄN</t>
        </is>
      </c>
      <c r="E11369" t="inlineStr">
        <is>
          <t>BODEN</t>
        </is>
      </c>
      <c r="F11369" t="inlineStr">
        <is>
          <t>Sveaskog</t>
        </is>
      </c>
      <c r="G11369" t="n">
        <v>21.8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23089-2025</t>
        </is>
      </c>
      <c r="B11370" s="1" t="n">
        <v>45791</v>
      </c>
      <c r="C11370" s="1" t="n">
        <v>45798</v>
      </c>
      <c r="D11370" t="inlineStr">
        <is>
          <t>NORRBOTTENS LÄN</t>
        </is>
      </c>
      <c r="E11370" t="inlineStr">
        <is>
          <t>KALIX</t>
        </is>
      </c>
      <c r="G11370" t="n">
        <v>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23128-2025</t>
        </is>
      </c>
      <c r="B11371" s="1" t="n">
        <v>45791</v>
      </c>
      <c r="C11371" s="1" t="n">
        <v>45798</v>
      </c>
      <c r="D11371" t="inlineStr">
        <is>
          <t>NORRBOTTENS LÄN</t>
        </is>
      </c>
      <c r="E11371" t="inlineStr">
        <is>
          <t>PITEÅ</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23112-2025</t>
        </is>
      </c>
      <c r="B11372" s="1" t="n">
        <v>45791</v>
      </c>
      <c r="C11372" s="1" t="n">
        <v>45798</v>
      </c>
      <c r="D11372" t="inlineStr">
        <is>
          <t>NORRBOTTENS LÄN</t>
        </is>
      </c>
      <c r="E11372" t="inlineStr">
        <is>
          <t>PITEÅ</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23336-2025</t>
        </is>
      </c>
      <c r="B11373" s="1" t="n">
        <v>45791</v>
      </c>
      <c r="C11373" s="1" t="n">
        <v>45798</v>
      </c>
      <c r="D11373" t="inlineStr">
        <is>
          <t>NORRBOTTENS LÄN</t>
        </is>
      </c>
      <c r="E11373" t="inlineStr">
        <is>
          <t>ÄLVSBYN</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23342-2025</t>
        </is>
      </c>
      <c r="B11374" s="1" t="n">
        <v>45791</v>
      </c>
      <c r="C11374" s="1" t="n">
        <v>45798</v>
      </c>
      <c r="D11374" t="inlineStr">
        <is>
          <t>NORRBOTTENS LÄN</t>
        </is>
      </c>
      <c r="E11374" t="inlineStr">
        <is>
          <t>KALIX</t>
        </is>
      </c>
      <c r="F11374" t="inlineStr">
        <is>
          <t>SCA</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23354-2025</t>
        </is>
      </c>
      <c r="B11375" s="1" t="n">
        <v>45791</v>
      </c>
      <c r="C11375" s="1" t="n">
        <v>45798</v>
      </c>
      <c r="D11375" t="inlineStr">
        <is>
          <t>NORRBOTTENS LÄN</t>
        </is>
      </c>
      <c r="E11375" t="inlineStr">
        <is>
          <t>ÄLVSBYN</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23361-2025</t>
        </is>
      </c>
      <c r="B11376" s="1" t="n">
        <v>45791</v>
      </c>
      <c r="C11376" s="1" t="n">
        <v>45798</v>
      </c>
      <c r="D11376" t="inlineStr">
        <is>
          <t>NORRBOTTENS LÄN</t>
        </is>
      </c>
      <c r="E11376" t="inlineStr">
        <is>
          <t>BODEN</t>
        </is>
      </c>
      <c r="F11376" t="inlineStr">
        <is>
          <t>Sveaskog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23315-2025</t>
        </is>
      </c>
      <c r="B11377" s="1" t="n">
        <v>45791</v>
      </c>
      <c r="C11377" s="1" t="n">
        <v>45798</v>
      </c>
      <c r="D11377" t="inlineStr">
        <is>
          <t>NORRBOTTENS LÄN</t>
        </is>
      </c>
      <c r="E11377" t="inlineStr">
        <is>
          <t>BODEN</t>
        </is>
      </c>
      <c r="F11377" t="inlineStr">
        <is>
          <t>Sveaskog</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23321-2025</t>
        </is>
      </c>
      <c r="B11378" s="1" t="n">
        <v>45791</v>
      </c>
      <c r="C11378" s="1" t="n">
        <v>45798</v>
      </c>
      <c r="D11378" t="inlineStr">
        <is>
          <t>NORRBOTTENS LÄN</t>
        </is>
      </c>
      <c r="E11378" t="inlineStr">
        <is>
          <t>BODEN</t>
        </is>
      </c>
      <c r="F11378" t="inlineStr">
        <is>
          <t>Sveaskog</t>
        </is>
      </c>
      <c r="G11378" t="n">
        <v>10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23096-2025</t>
        </is>
      </c>
      <c r="B11379" s="1" t="n">
        <v>45791</v>
      </c>
      <c r="C11379" s="1" t="n">
        <v>45798</v>
      </c>
      <c r="D11379" t="inlineStr">
        <is>
          <t>NORRBOTTENS LÄN</t>
        </is>
      </c>
      <c r="E11379" t="inlineStr">
        <is>
          <t>BODEN</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23108-2025</t>
        </is>
      </c>
      <c r="B11380" s="1" t="n">
        <v>45791</v>
      </c>
      <c r="C11380" s="1" t="n">
        <v>45798</v>
      </c>
      <c r="D11380" t="inlineStr">
        <is>
          <t>NORRBOTTENS LÄN</t>
        </is>
      </c>
      <c r="E11380" t="inlineStr">
        <is>
          <t>PAJALA</t>
        </is>
      </c>
      <c r="F11380" t="inlineStr">
        <is>
          <t>SCA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23414-2025</t>
        </is>
      </c>
      <c r="B11381" s="1" t="n">
        <v>45792</v>
      </c>
      <c r="C11381" s="1" t="n">
        <v>45798</v>
      </c>
      <c r="D11381" t="inlineStr">
        <is>
          <t>NORRBOTTENS LÄN</t>
        </is>
      </c>
      <c r="E11381" t="inlineStr">
        <is>
          <t>BODEN</t>
        </is>
      </c>
      <c r="F11381" t="inlineStr">
        <is>
          <t>SCA</t>
        </is>
      </c>
      <c r="G11381" t="n">
        <v>12.7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23423-2025</t>
        </is>
      </c>
      <c r="B11382" s="1" t="n">
        <v>45792</v>
      </c>
      <c r="C11382" s="1" t="n">
        <v>45798</v>
      </c>
      <c r="D11382" t="inlineStr">
        <is>
          <t>NORRBOTTENS LÄN</t>
        </is>
      </c>
      <c r="E11382" t="inlineStr">
        <is>
          <t>ÖVERTORNEÅ</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23559-2025</t>
        </is>
      </c>
      <c r="B11383" s="1" t="n">
        <v>45792</v>
      </c>
      <c r="C11383" s="1" t="n">
        <v>45798</v>
      </c>
      <c r="D11383" t="inlineStr">
        <is>
          <t>NORRBOTTENS LÄN</t>
        </is>
      </c>
      <c r="E11383" t="inlineStr">
        <is>
          <t>BODEN</t>
        </is>
      </c>
      <c r="F11383" t="inlineStr">
        <is>
          <t>Sveaskog</t>
        </is>
      </c>
      <c r="G11383" t="n">
        <v>6.9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23647-2025</t>
        </is>
      </c>
      <c r="B11384" s="1" t="n">
        <v>45792</v>
      </c>
      <c r="C11384" s="1" t="n">
        <v>45798</v>
      </c>
      <c r="D11384" t="inlineStr">
        <is>
          <t>NORRBOTTENS LÄN</t>
        </is>
      </c>
      <c r="E11384" t="inlineStr">
        <is>
          <t>KALIX</t>
        </is>
      </c>
      <c r="F11384" t="inlineStr">
        <is>
          <t>SCA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23648-2025</t>
        </is>
      </c>
      <c r="B11385" s="1" t="n">
        <v>45792</v>
      </c>
      <c r="C11385" s="1" t="n">
        <v>45798</v>
      </c>
      <c r="D11385" t="inlineStr">
        <is>
          <t>NORRBOTTENS LÄN</t>
        </is>
      </c>
      <c r="E11385" t="inlineStr">
        <is>
          <t>BODEN</t>
        </is>
      </c>
      <c r="F11385" t="inlineStr">
        <is>
          <t>SCA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23534-2025</t>
        </is>
      </c>
      <c r="B11386" s="1" t="n">
        <v>45792</v>
      </c>
      <c r="C11386" s="1" t="n">
        <v>45798</v>
      </c>
      <c r="D11386" t="inlineStr">
        <is>
          <t>NORRBOTTENS LÄN</t>
        </is>
      </c>
      <c r="E11386" t="inlineStr">
        <is>
          <t>LULEÅ</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23613-2025</t>
        </is>
      </c>
      <c r="B11387" s="1" t="n">
        <v>45792</v>
      </c>
      <c r="C11387" s="1" t="n">
        <v>45798</v>
      </c>
      <c r="D11387" t="inlineStr">
        <is>
          <t>NORRBOTTENS LÄN</t>
        </is>
      </c>
      <c r="E11387" t="inlineStr">
        <is>
          <t>ÖVERTORNEÅ</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23519-2025</t>
        </is>
      </c>
      <c r="B11388" s="1" t="n">
        <v>45792</v>
      </c>
      <c r="C11388" s="1" t="n">
        <v>45798</v>
      </c>
      <c r="D11388" t="inlineStr">
        <is>
          <t>NORRBOTTENS LÄN</t>
        </is>
      </c>
      <c r="E11388" t="inlineStr">
        <is>
          <t>LULEÅ</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23449-2025</t>
        </is>
      </c>
      <c r="B11389" s="1" t="n">
        <v>45792</v>
      </c>
      <c r="C11389" s="1" t="n">
        <v>45798</v>
      </c>
      <c r="D11389" t="inlineStr">
        <is>
          <t>NORRBOTTENS LÄN</t>
        </is>
      </c>
      <c r="E11389" t="inlineStr">
        <is>
          <t>LULEÅ</t>
        </is>
      </c>
      <c r="F11389" t="inlineStr">
        <is>
          <t>SCA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23531-2025</t>
        </is>
      </c>
      <c r="B11390" s="1" t="n">
        <v>45792</v>
      </c>
      <c r="C11390" s="1" t="n">
        <v>45798</v>
      </c>
      <c r="D11390" t="inlineStr">
        <is>
          <t>NORRBOTTENS LÄN</t>
        </is>
      </c>
      <c r="E11390" t="inlineStr">
        <is>
          <t>LULEÅ</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23608-2025</t>
        </is>
      </c>
      <c r="B11391" s="1" t="n">
        <v>45792</v>
      </c>
      <c r="C11391" s="1" t="n">
        <v>45798</v>
      </c>
      <c r="D11391" t="inlineStr">
        <is>
          <t>NORRBOTTENS LÄN</t>
        </is>
      </c>
      <c r="E11391" t="inlineStr">
        <is>
          <t>ÖVERTORNEÅ</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23638-2025</t>
        </is>
      </c>
      <c r="B11392" s="1" t="n">
        <v>45792</v>
      </c>
      <c r="C11392" s="1" t="n">
        <v>45798</v>
      </c>
      <c r="D11392" t="inlineStr">
        <is>
          <t>NORRBOTTENS LÄN</t>
        </is>
      </c>
      <c r="E11392" t="inlineStr">
        <is>
          <t>GÄLLIVARE</t>
        </is>
      </c>
      <c r="F11392" t="inlineStr">
        <is>
          <t>Allmännings- och besparingsskogar</t>
        </is>
      </c>
      <c r="G11392" t="n">
        <v>19.3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23516-2025</t>
        </is>
      </c>
      <c r="B11393" s="1" t="n">
        <v>45792</v>
      </c>
      <c r="C11393" s="1" t="n">
        <v>45798</v>
      </c>
      <c r="D11393" t="inlineStr">
        <is>
          <t>NORRBOTTENS LÄN</t>
        </is>
      </c>
      <c r="E11393" t="inlineStr">
        <is>
          <t>LULEÅ</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23520-2025</t>
        </is>
      </c>
      <c r="B11394" s="1" t="n">
        <v>45792</v>
      </c>
      <c r="C11394" s="1" t="n">
        <v>45798</v>
      </c>
      <c r="D11394" t="inlineStr">
        <is>
          <t>NORRBOTTENS LÄN</t>
        </is>
      </c>
      <c r="E11394" t="inlineStr">
        <is>
          <t>LULEÅ</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23558-2025</t>
        </is>
      </c>
      <c r="B11395" s="1" t="n">
        <v>45792</v>
      </c>
      <c r="C11395" s="1" t="n">
        <v>45798</v>
      </c>
      <c r="D11395" t="inlineStr">
        <is>
          <t>NORRBOTTENS LÄN</t>
        </is>
      </c>
      <c r="E11395" t="inlineStr">
        <is>
          <t>PAJALA</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23404-2025</t>
        </is>
      </c>
      <c r="B11396" s="1" t="n">
        <v>45792</v>
      </c>
      <c r="C11396" s="1" t="n">
        <v>45798</v>
      </c>
      <c r="D11396" t="inlineStr">
        <is>
          <t>NORRBOTTENS LÄN</t>
        </is>
      </c>
      <c r="E11396" t="inlineStr">
        <is>
          <t>ÄLVSBYN</t>
        </is>
      </c>
      <c r="F11396" t="inlineStr">
        <is>
          <t>SCA</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23607-2025</t>
        </is>
      </c>
      <c r="B11397" s="1" t="n">
        <v>45792</v>
      </c>
      <c r="C11397" s="1" t="n">
        <v>45798</v>
      </c>
      <c r="D11397" t="inlineStr">
        <is>
          <t>NORRBOTTENS LÄN</t>
        </is>
      </c>
      <c r="E11397" t="inlineStr">
        <is>
          <t>GÄLLIVARE</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23411-2025</t>
        </is>
      </c>
      <c r="B11398" s="1" t="n">
        <v>45792</v>
      </c>
      <c r="C11398" s="1" t="n">
        <v>45798</v>
      </c>
      <c r="D11398" t="inlineStr">
        <is>
          <t>NORRBOTTENS LÄN</t>
        </is>
      </c>
      <c r="E11398" t="inlineStr">
        <is>
          <t>ÄLVSBYN</t>
        </is>
      </c>
      <c r="F11398" t="inlineStr">
        <is>
          <t>SCA</t>
        </is>
      </c>
      <c r="G11398" t="n">
        <v>10.6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23763-2025</t>
        </is>
      </c>
      <c r="B11399" s="1" t="n">
        <v>45793</v>
      </c>
      <c r="C11399" s="1" t="n">
        <v>45798</v>
      </c>
      <c r="D11399" t="inlineStr">
        <is>
          <t>NORRBOTTENS LÄN</t>
        </is>
      </c>
      <c r="E11399" t="inlineStr">
        <is>
          <t>BODEN</t>
        </is>
      </c>
      <c r="F11399" t="inlineStr">
        <is>
          <t>SCA</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23726-2025</t>
        </is>
      </c>
      <c r="B11400" s="1" t="n">
        <v>45793</v>
      </c>
      <c r="C11400" s="1" t="n">
        <v>45798</v>
      </c>
      <c r="D11400" t="inlineStr">
        <is>
          <t>NORRBOTTENS LÄN</t>
        </is>
      </c>
      <c r="E11400" t="inlineStr">
        <is>
          <t>LULEÅ</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23858-2025</t>
        </is>
      </c>
      <c r="B11401" s="1" t="n">
        <v>45793</v>
      </c>
      <c r="C11401" s="1" t="n">
        <v>45798</v>
      </c>
      <c r="D11401" t="inlineStr">
        <is>
          <t>NORRBOTTENS LÄN</t>
        </is>
      </c>
      <c r="E11401" t="inlineStr">
        <is>
          <t>ÖVERKALIX</t>
        </is>
      </c>
      <c r="F11401" t="inlineStr">
        <is>
          <t>Sveaskog</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23870-2025</t>
        </is>
      </c>
      <c r="B11402" s="1" t="n">
        <v>45793</v>
      </c>
      <c r="C11402" s="1" t="n">
        <v>45798</v>
      </c>
      <c r="D11402" t="inlineStr">
        <is>
          <t>NORRBOTTENS LÄN</t>
        </is>
      </c>
      <c r="E11402" t="inlineStr">
        <is>
          <t>ÖVERKALIX</t>
        </is>
      </c>
      <c r="F11402" t="inlineStr">
        <is>
          <t>Sveaskog</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23761-2025</t>
        </is>
      </c>
      <c r="B11403" s="1" t="n">
        <v>45793</v>
      </c>
      <c r="C11403" s="1" t="n">
        <v>45798</v>
      </c>
      <c r="D11403" t="inlineStr">
        <is>
          <t>NORRBOTTENS LÄN</t>
        </is>
      </c>
      <c r="E11403" t="inlineStr">
        <is>
          <t>BODEN</t>
        </is>
      </c>
      <c r="F11403" t="inlineStr">
        <is>
          <t>SCA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23724-2025</t>
        </is>
      </c>
      <c r="B11404" s="1" t="n">
        <v>45793</v>
      </c>
      <c r="C11404" s="1" t="n">
        <v>45798</v>
      </c>
      <c r="D11404" t="inlineStr">
        <is>
          <t>NORRBOTTENS LÄN</t>
        </is>
      </c>
      <c r="E11404" t="inlineStr">
        <is>
          <t>BODEN</t>
        </is>
      </c>
      <c r="F11404" t="inlineStr">
        <is>
          <t>SCA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23879-2025</t>
        </is>
      </c>
      <c r="B11405" s="1" t="n">
        <v>45793</v>
      </c>
      <c r="C11405" s="1" t="n">
        <v>45798</v>
      </c>
      <c r="D11405" t="inlineStr">
        <is>
          <t>NORRBOTTENS LÄN</t>
        </is>
      </c>
      <c r="E11405" t="inlineStr">
        <is>
          <t>KALIX</t>
        </is>
      </c>
      <c r="F11405" t="inlineStr">
        <is>
          <t>Sveaskog</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23885-2025</t>
        </is>
      </c>
      <c r="B11406" s="1" t="n">
        <v>45793</v>
      </c>
      <c r="C11406" s="1" t="n">
        <v>45798</v>
      </c>
      <c r="D11406" t="inlineStr">
        <is>
          <t>NORRBOTTENS LÄN</t>
        </is>
      </c>
      <c r="E11406" t="inlineStr">
        <is>
          <t>GÄLLIVARE</t>
        </is>
      </c>
      <c r="G11406" t="n">
        <v>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23774-2025</t>
        </is>
      </c>
      <c r="B11407" s="1" t="n">
        <v>45793</v>
      </c>
      <c r="C11407" s="1" t="n">
        <v>45798</v>
      </c>
      <c r="D11407" t="inlineStr">
        <is>
          <t>NORRBOTTENS LÄN</t>
        </is>
      </c>
      <c r="E11407" t="inlineStr">
        <is>
          <t>KALIX</t>
        </is>
      </c>
      <c r="F11407" t="inlineStr">
        <is>
          <t>Sveaskog</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23861-2025</t>
        </is>
      </c>
      <c r="B11408" s="1" t="n">
        <v>45793</v>
      </c>
      <c r="C11408" s="1" t="n">
        <v>45798</v>
      </c>
      <c r="D11408" t="inlineStr">
        <is>
          <t>NORRBOTTENS LÄN</t>
        </is>
      </c>
      <c r="E11408" t="inlineStr">
        <is>
          <t>ÖVERKALIX</t>
        </is>
      </c>
      <c r="F11408" t="inlineStr">
        <is>
          <t>Sveaskog</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23866-2025</t>
        </is>
      </c>
      <c r="B11409" s="1" t="n">
        <v>45793</v>
      </c>
      <c r="C11409" s="1" t="n">
        <v>45798</v>
      </c>
      <c r="D11409" t="inlineStr">
        <is>
          <t>NORRBOTTENS LÄN</t>
        </is>
      </c>
      <c r="E11409" t="inlineStr">
        <is>
          <t>ÖVERKALIX</t>
        </is>
      </c>
      <c r="F11409" t="inlineStr">
        <is>
          <t>Sveaskog</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23867-2025</t>
        </is>
      </c>
      <c r="B11410" s="1" t="n">
        <v>45793</v>
      </c>
      <c r="C11410" s="1" t="n">
        <v>45798</v>
      </c>
      <c r="D11410" t="inlineStr">
        <is>
          <t>NORRBOTTENS LÄN</t>
        </is>
      </c>
      <c r="E11410" t="inlineStr">
        <is>
          <t>ÖVERKALIX</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23873-2025</t>
        </is>
      </c>
      <c r="B11411" s="1" t="n">
        <v>45793</v>
      </c>
      <c r="C11411" s="1" t="n">
        <v>45798</v>
      </c>
      <c r="D11411" t="inlineStr">
        <is>
          <t>NORRBOTTENS LÄN</t>
        </is>
      </c>
      <c r="E11411" t="inlineStr">
        <is>
          <t>ÖVERKALIX</t>
        </is>
      </c>
      <c r="F11411" t="inlineStr">
        <is>
          <t>Sveaskog</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23719-2025</t>
        </is>
      </c>
      <c r="B11412" s="1" t="n">
        <v>45793</v>
      </c>
      <c r="C11412" s="1" t="n">
        <v>45798</v>
      </c>
      <c r="D11412" t="inlineStr">
        <is>
          <t>NORRBOTTENS LÄN</t>
        </is>
      </c>
      <c r="E11412" t="inlineStr">
        <is>
          <t>LULEÅ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23722-2025</t>
        </is>
      </c>
      <c r="B11413" s="1" t="n">
        <v>45793</v>
      </c>
      <c r="C11413" s="1" t="n">
        <v>45798</v>
      </c>
      <c r="D11413" t="inlineStr">
        <is>
          <t>NORRBOTTENS LÄN</t>
        </is>
      </c>
      <c r="E11413" t="inlineStr">
        <is>
          <t>LULEÅ</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23692-2025</t>
        </is>
      </c>
      <c r="B11414" s="1" t="n">
        <v>45793</v>
      </c>
      <c r="C11414" s="1" t="n">
        <v>45798</v>
      </c>
      <c r="D11414" t="inlineStr">
        <is>
          <t>NORRBOTTENS LÄN</t>
        </is>
      </c>
      <c r="E11414" t="inlineStr">
        <is>
          <t>PITEÅ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23863-2025</t>
        </is>
      </c>
      <c r="B11415" s="1" t="n">
        <v>45793</v>
      </c>
      <c r="C11415" s="1" t="n">
        <v>45798</v>
      </c>
      <c r="D11415" t="inlineStr">
        <is>
          <t>NORRBOTTENS LÄN</t>
        </is>
      </c>
      <c r="E11415" t="inlineStr">
        <is>
          <t>ÖVERKALIX</t>
        </is>
      </c>
      <c r="F11415" t="inlineStr">
        <is>
          <t>Sveaskog</t>
        </is>
      </c>
      <c r="G11415" t="n">
        <v>10.1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23895-2025</t>
        </is>
      </c>
      <c r="B11416" s="1" t="n">
        <v>45794</v>
      </c>
      <c r="C11416" s="1" t="n">
        <v>45798</v>
      </c>
      <c r="D11416" t="inlineStr">
        <is>
          <t>NORRBOTTENS LÄN</t>
        </is>
      </c>
      <c r="E11416" t="inlineStr">
        <is>
          <t>PAJALA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24134-2025</t>
        </is>
      </c>
      <c r="B11417" s="1" t="n">
        <v>45796</v>
      </c>
      <c r="C11417" s="1" t="n">
        <v>45798</v>
      </c>
      <c r="D11417" t="inlineStr">
        <is>
          <t>NORRBOTTENS LÄN</t>
        </is>
      </c>
      <c r="E11417" t="inlineStr">
        <is>
          <t>BODEN</t>
        </is>
      </c>
      <c r="F11417" t="inlineStr">
        <is>
          <t>SCA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24155-2025</t>
        </is>
      </c>
      <c r="B11418" s="1" t="n">
        <v>45796</v>
      </c>
      <c r="C11418" s="1" t="n">
        <v>45798</v>
      </c>
      <c r="D11418" t="inlineStr">
        <is>
          <t>NORRBOTTENS LÄN</t>
        </is>
      </c>
      <c r="E11418" t="inlineStr">
        <is>
          <t>PAJALA</t>
        </is>
      </c>
      <c r="F11418" t="inlineStr">
        <is>
          <t>SCA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24136-2025</t>
        </is>
      </c>
      <c r="B11419" s="1" t="n">
        <v>45796</v>
      </c>
      <c r="C11419" s="1" t="n">
        <v>45798</v>
      </c>
      <c r="D11419" t="inlineStr">
        <is>
          <t>NORRBOTTENS LÄN</t>
        </is>
      </c>
      <c r="E11419" t="inlineStr">
        <is>
          <t>ÖVERKALIX</t>
        </is>
      </c>
      <c r="F11419" t="inlineStr">
        <is>
          <t>Sveaskog</t>
        </is>
      </c>
      <c r="G11419" t="n">
        <v>33.5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23972-2025</t>
        </is>
      </c>
      <c r="B11420" s="1" t="n">
        <v>45796</v>
      </c>
      <c r="C11420" s="1" t="n">
        <v>45798</v>
      </c>
      <c r="D11420" t="inlineStr">
        <is>
          <t>NORRBOTTENS LÄN</t>
        </is>
      </c>
      <c r="E11420" t="inlineStr">
        <is>
          <t>KALIX</t>
        </is>
      </c>
      <c r="F11420" t="inlineStr">
        <is>
          <t>SCA</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23949-2025</t>
        </is>
      </c>
      <c r="B11421" s="1" t="n">
        <v>45796</v>
      </c>
      <c r="C11421" s="1" t="n">
        <v>45798</v>
      </c>
      <c r="D11421" t="inlineStr">
        <is>
          <t>NORRBOTTENS LÄN</t>
        </is>
      </c>
      <c r="E11421" t="inlineStr">
        <is>
          <t>PITEÅ</t>
        </is>
      </c>
      <c r="G11421" t="n">
        <v>13.4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23978-2025</t>
        </is>
      </c>
      <c r="B11422" s="1" t="n">
        <v>45796</v>
      </c>
      <c r="C11422" s="1" t="n">
        <v>45798</v>
      </c>
      <c r="D11422" t="inlineStr">
        <is>
          <t>NORRBOTTENS LÄN</t>
        </is>
      </c>
      <c r="E11422" t="inlineStr">
        <is>
          <t>PAJALA</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24132-2025</t>
        </is>
      </c>
      <c r="B11423" s="1" t="n">
        <v>45796</v>
      </c>
      <c r="C11423" s="1" t="n">
        <v>45798</v>
      </c>
      <c r="D11423" t="inlineStr">
        <is>
          <t>NORRBOTTENS LÄN</t>
        </is>
      </c>
      <c r="E11423" t="inlineStr">
        <is>
          <t>PAJALA</t>
        </is>
      </c>
      <c r="F11423" t="inlineStr">
        <is>
          <t>SCA</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24139-2025</t>
        </is>
      </c>
      <c r="B11424" s="1" t="n">
        <v>45796</v>
      </c>
      <c r="C11424" s="1" t="n">
        <v>45798</v>
      </c>
      <c r="D11424" t="inlineStr">
        <is>
          <t>NORRBOTTENS LÄN</t>
        </is>
      </c>
      <c r="E11424" t="inlineStr">
        <is>
          <t>GÄLLIVARE</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24144-2025</t>
        </is>
      </c>
      <c r="B11425" s="1" t="n">
        <v>45796</v>
      </c>
      <c r="C11425" s="1" t="n">
        <v>45798</v>
      </c>
      <c r="D11425" t="inlineStr">
        <is>
          <t>NORRBOTTENS LÄN</t>
        </is>
      </c>
      <c r="E11425" t="inlineStr">
        <is>
          <t>ÖVERKALIX</t>
        </is>
      </c>
      <c r="F11425" t="inlineStr">
        <is>
          <t>Sveaskog</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24190-2025</t>
        </is>
      </c>
      <c r="B11426" s="1" t="n">
        <v>45796</v>
      </c>
      <c r="C11426" s="1" t="n">
        <v>45798</v>
      </c>
      <c r="D11426" t="inlineStr">
        <is>
          <t>NORRBOTTENS LÄN</t>
        </is>
      </c>
      <c r="E11426" t="inlineStr">
        <is>
          <t>PITEÅ</t>
        </is>
      </c>
      <c r="G11426" t="n">
        <v>8.300000000000001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24058-2025</t>
        </is>
      </c>
      <c r="B11427" s="1" t="n">
        <v>45796</v>
      </c>
      <c r="C11427" s="1" t="n">
        <v>45798</v>
      </c>
      <c r="D11427" t="inlineStr">
        <is>
          <t>NORRBOTTENS LÄN</t>
        </is>
      </c>
      <c r="E11427" t="inlineStr">
        <is>
          <t>BODEN</t>
        </is>
      </c>
      <c r="F11427" t="inlineStr">
        <is>
          <t>SCA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24120-2025</t>
        </is>
      </c>
      <c r="B11428" s="1" t="n">
        <v>45796</v>
      </c>
      <c r="C11428" s="1" t="n">
        <v>45798</v>
      </c>
      <c r="D11428" t="inlineStr">
        <is>
          <t>NORRBOTTENS LÄN</t>
        </is>
      </c>
      <c r="E11428" t="inlineStr">
        <is>
          <t>HAPARANDA</t>
        </is>
      </c>
      <c r="G11428" t="n">
        <v>10.9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24141-2025</t>
        </is>
      </c>
      <c r="B11429" s="1" t="n">
        <v>45796</v>
      </c>
      <c r="C11429" s="1" t="n">
        <v>45798</v>
      </c>
      <c r="D11429" t="inlineStr">
        <is>
          <t>NORRBOTTENS LÄN</t>
        </is>
      </c>
      <c r="E11429" t="inlineStr">
        <is>
          <t>ÖVERKALIX</t>
        </is>
      </c>
      <c r="F11429" t="inlineStr">
        <is>
          <t>Sveaskog</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24148-2025</t>
        </is>
      </c>
      <c r="B11430" s="1" t="n">
        <v>45796</v>
      </c>
      <c r="C11430" s="1" t="n">
        <v>45798</v>
      </c>
      <c r="D11430" t="inlineStr">
        <is>
          <t>NORRBOTTENS LÄN</t>
        </is>
      </c>
      <c r="E11430" t="inlineStr">
        <is>
          <t>GÄLLIVARE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24153-2025</t>
        </is>
      </c>
      <c r="B11431" s="1" t="n">
        <v>45796</v>
      </c>
      <c r="C11431" s="1" t="n">
        <v>45798</v>
      </c>
      <c r="D11431" t="inlineStr">
        <is>
          <t>NORRBOTTENS LÄN</t>
        </is>
      </c>
      <c r="E11431" t="inlineStr">
        <is>
          <t>KALIX</t>
        </is>
      </c>
      <c r="F11431" t="inlineStr">
        <is>
          <t>SCA</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23944-2025</t>
        </is>
      </c>
      <c r="B11432" s="1" t="n">
        <v>45796</v>
      </c>
      <c r="C11432" s="1" t="n">
        <v>45798</v>
      </c>
      <c r="D11432" t="inlineStr">
        <is>
          <t>NORRBOTTENS LÄN</t>
        </is>
      </c>
      <c r="E11432" t="inlineStr">
        <is>
          <t>GÄLLIVARE</t>
        </is>
      </c>
      <c r="F11432" t="inlineStr">
        <is>
          <t>SCA</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24125-2025</t>
        </is>
      </c>
      <c r="B11433" s="1" t="n">
        <v>45796</v>
      </c>
      <c r="C11433" s="1" t="n">
        <v>45798</v>
      </c>
      <c r="D11433" t="inlineStr">
        <is>
          <t>NORRBOTTENS LÄN</t>
        </is>
      </c>
      <c r="E11433" t="inlineStr">
        <is>
          <t>GÄLLIVARE</t>
        </is>
      </c>
      <c r="F11433" t="inlineStr">
        <is>
          <t>Allmännings- och besparingsskogar</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24221-2025</t>
        </is>
      </c>
      <c r="B11434" s="1" t="n">
        <v>45797</v>
      </c>
      <c r="C11434" s="1" t="n">
        <v>45798</v>
      </c>
      <c r="D11434" t="inlineStr">
        <is>
          <t>NORRBOTTENS LÄN</t>
        </is>
      </c>
      <c r="E11434" t="inlineStr">
        <is>
          <t>GÄLLIVARE</t>
        </is>
      </c>
      <c r="G11434" t="n">
        <v>5.6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24243-2025</t>
        </is>
      </c>
      <c r="B11435" s="1" t="n">
        <v>45797</v>
      </c>
      <c r="C11435" s="1" t="n">
        <v>45798</v>
      </c>
      <c r="D11435" t="inlineStr">
        <is>
          <t>NORRBOTTENS LÄN</t>
        </is>
      </c>
      <c r="E11435" t="inlineStr">
        <is>
          <t>PAJALA</t>
        </is>
      </c>
      <c r="F11435" t="inlineStr">
        <is>
          <t>Sveaskog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24237-2025</t>
        </is>
      </c>
      <c r="B11436" s="1" t="n">
        <v>45797</v>
      </c>
      <c r="C11436" s="1" t="n">
        <v>45798</v>
      </c>
      <c r="D11436" t="inlineStr">
        <is>
          <t>NORRBOTTENS LÄN</t>
        </is>
      </c>
      <c r="E11436" t="inlineStr">
        <is>
          <t>GÄLLIVARE</t>
        </is>
      </c>
      <c r="F11436" t="inlineStr">
        <is>
          <t>SCA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24288-2025</t>
        </is>
      </c>
      <c r="B11437" s="1" t="n">
        <v>45797</v>
      </c>
      <c r="C11437" s="1" t="n">
        <v>45798</v>
      </c>
      <c r="D11437" t="inlineStr">
        <is>
          <t>NORRBOTTENS LÄN</t>
        </is>
      </c>
      <c r="E11437" t="inlineStr">
        <is>
          <t>PITEÅ</t>
        </is>
      </c>
      <c r="G11437" t="n">
        <v>17.5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24304-2025</t>
        </is>
      </c>
      <c r="B11438" s="1" t="n">
        <v>45797</v>
      </c>
      <c r="C11438" s="1" t="n">
        <v>45798</v>
      </c>
      <c r="D11438" t="inlineStr">
        <is>
          <t>NORRBOTTENS LÄN</t>
        </is>
      </c>
      <c r="E11438" t="inlineStr">
        <is>
          <t>PITEÅ</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24223-2025</t>
        </is>
      </c>
      <c r="B11439" s="1" t="n">
        <v>45797</v>
      </c>
      <c r="C11439" s="1" t="n">
        <v>45798</v>
      </c>
      <c r="D11439" t="inlineStr">
        <is>
          <t>NORRBOTTENS LÄN</t>
        </is>
      </c>
      <c r="E11439" t="inlineStr">
        <is>
          <t>PAJALA</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24358-2025</t>
        </is>
      </c>
      <c r="B11440" s="1" t="n">
        <v>45797</v>
      </c>
      <c r="C11440" s="1" t="n">
        <v>45798</v>
      </c>
      <c r="D11440" t="inlineStr">
        <is>
          <t>NORRBOTTENS LÄN</t>
        </is>
      </c>
      <c r="E11440" t="inlineStr">
        <is>
          <t>BODEN</t>
        </is>
      </c>
      <c r="F11440" t="inlineStr">
        <is>
          <t>SCA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24394-2025</t>
        </is>
      </c>
      <c r="B11441" s="1" t="n">
        <v>45797</v>
      </c>
      <c r="C11441" s="1" t="n">
        <v>45798</v>
      </c>
      <c r="D11441" t="inlineStr">
        <is>
          <t>NORRBOTTENS LÄN</t>
        </is>
      </c>
      <c r="E11441" t="inlineStr">
        <is>
          <t>PAJALA</t>
        </is>
      </c>
      <c r="F11441" t="inlineStr">
        <is>
          <t>SCA</t>
        </is>
      </c>
      <c r="G11441" t="n">
        <v>27.1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24302-2025</t>
        </is>
      </c>
      <c r="B11442" s="1" t="n">
        <v>45797</v>
      </c>
      <c r="C11442" s="1" t="n">
        <v>45798</v>
      </c>
      <c r="D11442" t="inlineStr">
        <is>
          <t>NORRBOTTENS LÄN</t>
        </is>
      </c>
      <c r="E11442" t="inlineStr">
        <is>
          <t>PITEÅ</t>
        </is>
      </c>
      <c r="G11442" t="n">
        <v>6.9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24311-2025</t>
        </is>
      </c>
      <c r="B11443" s="1" t="n">
        <v>45797</v>
      </c>
      <c r="C11443" s="1" t="n">
        <v>45798</v>
      </c>
      <c r="D11443" t="inlineStr">
        <is>
          <t>NORRBOTTENS LÄN</t>
        </is>
      </c>
      <c r="E11443" t="inlineStr">
        <is>
          <t>PITEÅ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24295-2025</t>
        </is>
      </c>
      <c r="B11444" s="1" t="n">
        <v>45797</v>
      </c>
      <c r="C11444" s="1" t="n">
        <v>45798</v>
      </c>
      <c r="D11444" t="inlineStr">
        <is>
          <t>NORRBOTTENS LÄN</t>
        </is>
      </c>
      <c r="E11444" t="inlineStr">
        <is>
          <t>PITEÅ</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24271-2025</t>
        </is>
      </c>
      <c r="B11445" s="1" t="n">
        <v>45797</v>
      </c>
      <c r="C11445" s="1" t="n">
        <v>45798</v>
      </c>
      <c r="D11445" t="inlineStr">
        <is>
          <t>NORRBOTTENS LÄN</t>
        </is>
      </c>
      <c r="E11445" t="inlineStr">
        <is>
          <t>PAJALA</t>
        </is>
      </c>
      <c r="G11445" t="n">
        <v>4.5</v>
      </c>
      <c r="H11445" t="n">
        <v>0</v>
      </c>
      <c r="I11445" t="n">
        <v>0</v>
      </c>
      <c r="J11445" t="n">
        <v>0</v>
      </c>
      <c r="K11445" t="n">
        <v>0</v>
      </c>
      <c r="L11445" t="n">
        <v>0</v>
      </c>
      <c r="M11445" t="n">
        <v>0</v>
      </c>
      <c r="N11445" t="n">
        <v>0</v>
      </c>
      <c r="O11445" t="n">
        <v>0</v>
      </c>
      <c r="P11445" t="n">
        <v>0</v>
      </c>
      <c r="Q11445" t="n">
        <v>0</v>
      </c>
      <c r="R11445" s="2" t="inlineStr"/>
    </row>
    <row r="11446">
      <c r="A11446" t="inlineStr">
        <is>
          <t>A 24276-2025</t>
        </is>
      </c>
      <c r="B11446" s="1" t="n">
        <v>45797</v>
      </c>
      <c r="C11446" s="1" t="n">
        <v>45798</v>
      </c>
      <c r="D11446" t="inlineStr">
        <is>
          <t>NORRBOTTENS LÄN</t>
        </is>
      </c>
      <c r="E11446" t="inlineStr">
        <is>
          <t>GÄLLIVARE</t>
        </is>
      </c>
      <c r="F11446" t="inlineStr">
        <is>
          <t>SCA</t>
        </is>
      </c>
      <c r="G11446" t="n">
        <v>9.6</v>
      </c>
      <c r="H11446" t="n">
        <v>0</v>
      </c>
      <c r="I11446" t="n">
        <v>0</v>
      </c>
      <c r="J11446" t="n">
        <v>0</v>
      </c>
      <c r="K11446" t="n">
        <v>0</v>
      </c>
      <c r="L11446" t="n">
        <v>0</v>
      </c>
      <c r="M11446" t="n">
        <v>0</v>
      </c>
      <c r="N11446" t="n">
        <v>0</v>
      </c>
      <c r="O11446" t="n">
        <v>0</v>
      </c>
      <c r="P11446" t="n">
        <v>0</v>
      </c>
      <c r="Q11446" t="n">
        <v>0</v>
      </c>
      <c r="R11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2025-05-21T17:15:33Z</dcterms:created>
  <dcterms:modified xmlns:dcterms="http://purl.org/dc/terms/" xmlns:xsi="http://www.w3.org/2001/XMLSchema-instance" xsi:type="dcterms:W3CDTF">2025-05-21T17:15:44Z</dcterms:modified>
</cp:coreProperties>
</file>